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6" autoFilterDateGrouping="1"/>
  </bookViews>
  <sheets>
    <sheet xmlns:r="http://schemas.openxmlformats.org/officeDocument/2006/relationships" name="Лист5" sheetId="1" state="hidden" r:id="rId1"/>
    <sheet xmlns:r="http://schemas.openxmlformats.org/officeDocument/2006/relationships" name="общее (2)" sheetId="2" state="hidden" r:id="rId2"/>
    <sheet xmlns:r="http://schemas.openxmlformats.org/officeDocument/2006/relationships" name="общее" sheetId="3" state="hidden" r:id="rId3"/>
    <sheet xmlns:r="http://schemas.openxmlformats.org/officeDocument/2006/relationships" name="Лист2" sheetId="4" state="hidden" r:id="rId4"/>
    <sheet xmlns:r="http://schemas.openxmlformats.org/officeDocument/2006/relationships" name="Лист4" sheetId="5" state="hidden" r:id="rId5"/>
    <sheet xmlns:r="http://schemas.openxmlformats.org/officeDocument/2006/relationships" name="Лист8" sheetId="6" state="hidden" r:id="rId6"/>
    <sheet xmlns:r="http://schemas.openxmlformats.org/officeDocument/2006/relationships" name="Сводная ставка" sheetId="7" state="visible" r:id="rId7"/>
    <sheet xmlns:r="http://schemas.openxmlformats.org/officeDocument/2006/relationships" name="Нагрузка" sheetId="8" state="visible" r:id="rId8"/>
    <sheet xmlns:r="http://schemas.openxmlformats.org/officeDocument/2006/relationships" name="19-20" sheetId="9" state="hidden" r:id="rId9"/>
    <sheet xmlns:r="http://schemas.openxmlformats.org/officeDocument/2006/relationships" name="сводная 12" sheetId="10" state="hidden" r:id="rId10"/>
    <sheet xmlns:r="http://schemas.openxmlformats.org/officeDocument/2006/relationships" name="Дип Магистры" sheetId="11" state="hidden" r:id="rId11"/>
    <sheet xmlns:r="http://schemas.openxmlformats.org/officeDocument/2006/relationships" name="Дип Бакалавры" sheetId="12" state="hidden" r:id="rId12"/>
    <sheet xmlns:r="http://schemas.openxmlformats.org/officeDocument/2006/relationships" name="для  комп" sheetId="13" state="hidden" r:id="rId13"/>
    <sheet xmlns:r="http://schemas.openxmlformats.org/officeDocument/2006/relationships" name="Лист1" sheetId="14" state="hidden" r:id="rId14"/>
    <sheet xmlns:r="http://schemas.openxmlformats.org/officeDocument/2006/relationships" name="Лист3" sheetId="15" state="hidden" r:id="rId15"/>
    <sheet xmlns:r="http://schemas.openxmlformats.org/officeDocument/2006/relationships" name="порошки" sheetId="16" state="hidden" r:id="rId16"/>
    <sheet xmlns:r="http://schemas.openxmlformats.org/officeDocument/2006/relationships" name="Лист17" sheetId="17" state="hidden" r:id="rId17"/>
  </sheets>
  <definedNames>
    <definedName name="newname">#REF!</definedName>
    <definedName name="ПЧ20">Нагрузка!$R$1</definedName>
    <definedName name="Excel_BuiltIn__FilterDatabase" localSheetId="1">'общее (2)'!$A$1:$Q$1130</definedName>
    <definedName name="_xlnm._FilterDatabase" localSheetId="1" hidden="1">'общее (2)'!$A$1:$Q$1130</definedName>
    <definedName name="Excel_BuiltIn__FilterDatabase" localSheetId="2">общее!$A$1:$Q$1130</definedName>
    <definedName name="_xlnm._FilterDatabase" localSheetId="2" hidden="1">'общее'!$A$1:$Q$1130</definedName>
    <definedName name="Excel_BuiltIn__FilterDatabase" localSheetId="7">Нагрузка!$A$1:$S$896</definedName>
    <definedName name="Z_B63C844A_1ED1_4658_92BD_A9302F6BA5CF_.wvu.FilterData" localSheetId="7" hidden="1">Нагрузка!$A$1:$AK$896</definedName>
    <definedName name="_xlnm._FilterDatabase" localSheetId="7" hidden="1">'Нагрузка'!$A$1:$AK$896</definedName>
    <definedName name="Excel_BuiltIn__FilterDatabase" localSheetId="8">'19-20'!$A$3:$Z$50</definedName>
    <definedName name="_xlnm._FilterDatabase" localSheetId="8" hidden="1">'19-20'!$A$3:$Z$50</definedName>
    <definedName name="Excel_BuiltIn__FilterDatabase" localSheetId="15">порошки!$A$1:$P$299</definedName>
    <definedName name="_xlnm._FilterDatabase" localSheetId="15" hidden="1">'порошки'!$A$1:$P$299</definedName>
  </definedNames>
  <calcPr calcId="124519" fullCalcOnLoad="1"/>
  <pivotCaches>
    <pivotCache xmlns:r="http://schemas.openxmlformats.org/officeDocument/2006/relationships" cacheId="0" r:id="rId18"/>
    <pivotCache xmlns:r="http://schemas.openxmlformats.org/officeDocument/2006/relationships" cacheId="1" r:id="rId19"/>
  </pivotCaches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\ _₽_-;\-* #,##0.00\ _₽_-;_-* &quot;-&quot;??\ _₽_-;_-@_-"/>
    <numFmt numFmtId="166" formatCode="_-* #,##0.00\ _₽_-;\-* #,##0.00\ _₽_-;_-* \-??\ _₽_-;_-@"/>
  </numFmts>
  <fonts count="27">
    <font>
      <name val="Calibri"/>
      <color theme="1"/>
      <sz val="11"/>
    </font>
    <font>
      <name val="Calibri"/>
      <color rgb="FF3F3F76"/>
      <sz val="11"/>
      <scheme val="minor"/>
    </font>
    <font>
      <name val="Calibri"/>
      <b val="1"/>
      <color rgb="FF3F3F3F"/>
      <sz val="11"/>
      <scheme val="minor"/>
    </font>
    <font>
      <name val="Arial"/>
      <color indexed="24"/>
      <sz val="8"/>
    </font>
    <font>
      <name val="Calibri"/>
      <color indexed="2"/>
      <sz val="11"/>
    </font>
    <font>
      <name val="Arial"/>
      <sz val="8"/>
    </font>
    <font>
      <name val="Arial"/>
      <b val="1"/>
      <sz val="8"/>
    </font>
    <font>
      <name val="Arial"/>
      <color theme="1"/>
      <sz val="8"/>
    </font>
    <font>
      <name val="Arial"/>
      <sz val="10"/>
    </font>
    <font>
      <name val="Arial"/>
      <color indexed="2"/>
      <sz val="8"/>
    </font>
    <font>
      <name val="Arial"/>
      <b val="1"/>
      <sz val="10"/>
    </font>
    <font>
      <name val="Arial"/>
      <b val="1"/>
      <color theme="1"/>
      <sz val="8"/>
    </font>
    <font>
      <name val="Arial"/>
      <b val="1"/>
      <color indexed="2"/>
      <sz val="8"/>
    </font>
    <font>
      <name val="Arial"/>
      <b val="1"/>
      <color indexed="2"/>
      <sz val="10"/>
    </font>
    <font>
      <name val="Arial"/>
      <b val="1"/>
      <color indexed="5"/>
      <sz val="10"/>
    </font>
    <font>
      <name val="Arial"/>
      <sz val="12"/>
    </font>
    <font>
      <name val="Calibri"/>
      <b val="1"/>
      <sz val="11"/>
    </font>
    <font>
      <name val="Calibri"/>
      <color theme="0"/>
      <sz val="11"/>
    </font>
    <font>
      <name val="Calibri"/>
      <b val="1"/>
      <color theme="0"/>
      <sz val="11"/>
      <scheme val="minor"/>
    </font>
    <font>
      <name val="Calibri"/>
      <sz val="10"/>
    </font>
    <font>
      <name val="Arial"/>
      <color indexed="24"/>
      <sz val="10"/>
    </font>
    <font>
      <name val="Arial"/>
      <color indexed="63"/>
      <sz val="8"/>
    </font>
    <font>
      <name val="Calibri"/>
      <color indexed="5"/>
      <sz val="11"/>
    </font>
    <font>
      <name val="Calibri"/>
      <color indexed="60"/>
      <sz val="11"/>
    </font>
    <font>
      <name val="Calibri"/>
      <b val="1"/>
      <color indexed="2"/>
      <sz val="24"/>
    </font>
    <font>
      <name val="Calibri"/>
      <color indexed="40"/>
      <sz val="11"/>
    </font>
    <font>
      <name val="Arial"/>
      <color indexed="5"/>
      <sz val="8"/>
    </font>
  </fonts>
  <fills count="47">
    <fill>
      <patternFill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indexed="3"/>
        <bgColor indexed="3"/>
      </patternFill>
    </fill>
    <fill>
      <patternFill patternType="solid">
        <fgColor indexed="28"/>
        <bgColor indexed="28"/>
      </patternFill>
    </fill>
    <fill>
      <patternFill patternType="solid">
        <fgColor indexed="65"/>
        <bgColor indexed="65"/>
      </patternFill>
    </fill>
    <fill>
      <patternFill patternType="solid">
        <fgColor indexed="27"/>
        <bgColor indexed="27"/>
      </patternFill>
    </fill>
    <fill>
      <patternFill patternType="solid">
        <fgColor indexed="51"/>
        <bgColor indexed="51"/>
      </patternFill>
    </fill>
    <fill>
      <patternFill patternType="solid">
        <fgColor indexed="50"/>
        <bgColor indexed="50"/>
      </patternFill>
    </fill>
    <fill>
      <patternFill patternType="solid">
        <fgColor indexed="17"/>
        <bgColor indexed="17"/>
      </patternFill>
    </fill>
    <fill>
      <patternFill patternType="solid">
        <fgColor indexed="5"/>
        <bgColor indexed="5"/>
      </patternFill>
    </fill>
    <fill>
      <patternFill patternType="solid">
        <fgColor indexed="44"/>
        <bgColor indexed="44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"/>
        <bgColor indexed="2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rgb="FF92D050"/>
        <bgColor rgb="FF92D050"/>
      </patternFill>
    </fill>
    <fill>
      <patternFill patternType="solid">
        <fgColor theme="1" tint="0.3499862666707358"/>
        <bgColor theme="1" tint="0.3499862666707358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theme="6" tint="-0.249977111117893"/>
        <bgColor indexed="57"/>
      </patternFill>
    </fill>
    <fill>
      <patternFill patternType="solid">
        <fgColor indexed="31"/>
        <bgColor indexed="31"/>
      </patternFill>
    </fill>
    <fill>
      <patternFill patternType="solid">
        <fgColor indexed="42"/>
        <bgColor indexed="42"/>
      </patternFill>
    </fill>
    <fill>
      <patternFill patternType="solid">
        <fgColor indexed="20"/>
        <bgColor indexed="20"/>
      </patternFill>
    </fill>
    <fill>
      <patternFill patternType="solid">
        <fgColor indexed="30"/>
        <bgColor indexed="30"/>
      </patternFill>
    </fill>
    <fill>
      <patternFill patternType="solid">
        <fgColor indexed="40"/>
        <bgColor indexed="40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2"/>
        <bgColor indexed="22"/>
      </patternFill>
    </fill>
    <fill>
      <patternFill patternType="solid">
        <fgColor rgb="FFFB8C00"/>
        <bgColor rgb="FFFB8C00"/>
      </patternFill>
    </fill>
    <fill>
      <patternFill patternType="solid">
        <fgColor rgb="FF76FF03"/>
        <bgColor rgb="FF76FF03"/>
      </patternFill>
    </fill>
    <fill>
      <patternFill patternType="solid">
        <fgColor rgb="FFFFEB3B"/>
        <bgColor rgb="FFFFEB3B"/>
      </patternFill>
    </fill>
    <fill>
      <patternFill patternType="solid">
        <fgColor indexed="45"/>
        <bgColor indexed="45"/>
      </patternFill>
    </fill>
    <fill>
      <patternFill patternType="solid">
        <fgColor rgb="FF18FFFF"/>
        <bgColor rgb="FF18FFFF"/>
      </patternFill>
    </fill>
    <fill>
      <patternFill patternType="solid">
        <fgColor rgb="FFF48FB1"/>
        <bgColor rgb="FFF48FB1"/>
      </patternFill>
    </fill>
    <fill>
      <patternFill patternType="solid">
        <fgColor rgb="FFF50057"/>
        <bgColor rgb="FFF50057"/>
      </patternFill>
    </fill>
    <fill>
      <patternFill patternType="solid">
        <fgColor rgb="FFC5CAE9"/>
        <bgColor rgb="FFC5CAE9"/>
      </patternFill>
    </fill>
  </fills>
  <borders count="5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rgb="FFA0A0A0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auto="1"/>
      </right>
      <top style="thin">
        <color rgb="FFA0A0A0"/>
      </top>
      <bottom style="thin">
        <color rgb="FFA0A0A0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5"/>
      </left>
      <right/>
      <top style="thin">
        <color indexed="22"/>
      </top>
      <bottom/>
      <diagonal/>
    </border>
    <border>
      <left style="thin">
        <color indexed="65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22"/>
      </right>
      <top style="thin">
        <color indexed="65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 style="thin">
        <color indexed="22"/>
      </right>
      <top style="thin">
        <color indexed="6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65"/>
      </left>
      <right/>
      <top style="thin">
        <color auto="1"/>
      </top>
      <bottom/>
      <diagonal/>
    </border>
    <border>
      <left style="thin">
        <color indexed="65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5"/>
      </top>
      <bottom/>
      <diagonal/>
    </border>
    <border>
      <left style="thin">
        <color indexed="65"/>
      </left>
      <right style="thin">
        <color auto="1"/>
      </right>
      <top style="thin">
        <color indexed="65"/>
      </top>
      <bottom/>
      <diagonal/>
    </border>
    <border>
      <left style="thin">
        <color indexed="65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 style="thin">
        <color auto="1"/>
      </right>
      <top style="thin">
        <color indexed="65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9" fontId="0" fillId="0" borderId="0"/>
    <xf numFmtId="0" fontId="1" fillId="2" borderId="1"/>
    <xf numFmtId="0" fontId="2" fillId="3" borderId="2"/>
  </cellStyleXfs>
  <cellXfs count="319">
    <xf numFmtId="0" fontId="0" fillId="0" borderId="0" pivotButton="0" quotePrefix="0" xfId="0"/>
    <xf numFmtId="0" fontId="0" fillId="4" borderId="0" pivotButton="0" quotePrefix="0" xfId="0"/>
    <xf numFmtId="0" fontId="0" fillId="0" borderId="0" pivotButton="0" quotePrefix="0" xfId="0"/>
    <xf numFmtId="0" fontId="3" fillId="5" borderId="3" applyAlignment="1" pivotButton="0" quotePrefix="0" xfId="0">
      <alignment horizontal="left" vertical="top"/>
    </xf>
    <xf numFmtId="0" fontId="3" fillId="5" borderId="4" applyAlignment="1" pivotButton="0" quotePrefix="0" xfId="0">
      <alignment horizontal="left" vertical="top"/>
    </xf>
    <xf numFmtId="4" fontId="3" fillId="5" borderId="4" applyAlignment="1" pivotButton="0" quotePrefix="0" xfId="0">
      <alignment horizontal="left" vertical="top"/>
    </xf>
    <xf numFmtId="0" fontId="3" fillId="5" borderId="5" applyAlignment="1" pivotButton="0" quotePrefix="0" xfId="0">
      <alignment horizontal="left" vertical="top"/>
    </xf>
    <xf numFmtId="0" fontId="3" fillId="5" borderId="6" applyAlignment="1" pivotButton="0" quotePrefix="0" xfId="0">
      <alignment horizontal="left" vertical="top"/>
    </xf>
    <xf numFmtId="0" fontId="4" fillId="6" borderId="0" pivotButton="0" quotePrefix="0" xfId="0"/>
    <xf numFmtId="0" fontId="5" fillId="6" borderId="7" applyAlignment="1" pivotButton="0" quotePrefix="0" xfId="0">
      <alignment horizontal="left" vertical="top"/>
    </xf>
    <xf numFmtId="2" fontId="5" fillId="6" borderId="7" applyAlignment="1" pivotButton="0" quotePrefix="0" xfId="0">
      <alignment horizontal="right" vertical="top"/>
    </xf>
    <xf numFmtId="1" fontId="5" fillId="6" borderId="7" applyAlignment="1" pivotButton="0" quotePrefix="0" xfId="0">
      <alignment horizontal="right" vertical="top"/>
    </xf>
    <xf numFmtId="0" fontId="5" fillId="7" borderId="8" applyAlignment="1" pivotButton="0" quotePrefix="0" xfId="0">
      <alignment horizontal="left" vertical="top"/>
    </xf>
    <xf numFmtId="0" fontId="5" fillId="7" borderId="7" applyAlignment="1" pivotButton="0" quotePrefix="0" xfId="0">
      <alignment horizontal="left" vertical="top"/>
    </xf>
    <xf numFmtId="0" fontId="5" fillId="8" borderId="7" applyAlignment="1" pivotButton="0" quotePrefix="0" xfId="0">
      <alignment horizontal="left" vertical="top"/>
    </xf>
    <xf numFmtId="2" fontId="5" fillId="8" borderId="7" applyAlignment="1" pivotButton="0" quotePrefix="0" xfId="0">
      <alignment horizontal="left" vertical="top"/>
    </xf>
    <xf numFmtId="0" fontId="0" fillId="6" borderId="0" pivotButton="0" quotePrefix="0" xfId="0"/>
    <xf numFmtId="0" fontId="4" fillId="9" borderId="0" pivotButton="0" quotePrefix="0" xfId="0"/>
    <xf numFmtId="0" fontId="5" fillId="10" borderId="7" applyAlignment="1" pivotButton="0" quotePrefix="0" xfId="0">
      <alignment horizontal="left" vertical="top"/>
    </xf>
    <xf numFmtId="2" fontId="5" fillId="10" borderId="7" applyAlignment="1" pivotButton="0" quotePrefix="0" xfId="0">
      <alignment horizontal="right" vertical="top"/>
    </xf>
    <xf numFmtId="0" fontId="6" fillId="10" borderId="9" applyAlignment="1" pivotButton="0" quotePrefix="0" xfId="0">
      <alignment horizontal="left" vertical="top"/>
    </xf>
    <xf numFmtId="0" fontId="5" fillId="11" borderId="7" applyAlignment="1" pivotButton="0" quotePrefix="0" xfId="0">
      <alignment horizontal="left" vertical="top"/>
    </xf>
    <xf numFmtId="0" fontId="5" fillId="9" borderId="7" applyAlignment="1" pivotButton="0" quotePrefix="0" xfId="0">
      <alignment horizontal="left" vertical="top"/>
    </xf>
    <xf numFmtId="2" fontId="5" fillId="11" borderId="7" applyAlignment="1" pivotButton="0" quotePrefix="0" xfId="0">
      <alignment horizontal="right" vertical="top"/>
    </xf>
    <xf numFmtId="0" fontId="5" fillId="0" borderId="7" applyAlignment="1" pivotButton="0" quotePrefix="0" xfId="0">
      <alignment horizontal="left" vertical="top"/>
    </xf>
    <xf numFmtId="1" fontId="5" fillId="0" borderId="7" applyAlignment="1" pivotButton="0" quotePrefix="0" xfId="0">
      <alignment horizontal="right" vertical="top"/>
    </xf>
    <xf numFmtId="0" fontId="0" fillId="6" borderId="7" pivotButton="0" quotePrefix="0" xfId="0"/>
    <xf numFmtId="1" fontId="5" fillId="10" borderId="7" applyAlignment="1" pivotButton="0" quotePrefix="0" xfId="0">
      <alignment horizontal="right" vertical="top"/>
    </xf>
    <xf numFmtId="0" fontId="0" fillId="10" borderId="10" pivotButton="0" quotePrefix="0" xfId="0"/>
    <xf numFmtId="0" fontId="4" fillId="4" borderId="0" pivotButton="0" quotePrefix="0" xfId="0"/>
    <xf numFmtId="0" fontId="0" fillId="10" borderId="11" pivotButton="0" quotePrefix="0" xfId="0"/>
    <xf numFmtId="0" fontId="5" fillId="4" borderId="12" applyAlignment="1" pivotButton="0" quotePrefix="0" xfId="0">
      <alignment horizontal="left" vertical="top"/>
    </xf>
    <xf numFmtId="0" fontId="5" fillId="12" borderId="7" applyAlignment="1" pivotButton="0" quotePrefix="0" xfId="0">
      <alignment horizontal="left" vertical="top"/>
    </xf>
    <xf numFmtId="0" fontId="5" fillId="8" borderId="12" applyAlignment="1" pivotButton="0" quotePrefix="0" xfId="0">
      <alignment horizontal="left" vertical="top"/>
    </xf>
    <xf numFmtId="0" fontId="5" fillId="6" borderId="13" applyAlignment="1" pivotButton="0" quotePrefix="0" xfId="0">
      <alignment horizontal="left" vertical="top"/>
    </xf>
    <xf numFmtId="0" fontId="5" fillId="6" borderId="14" applyAlignment="1" pivotButton="0" quotePrefix="0" xfId="0">
      <alignment horizontal="left" vertical="top"/>
    </xf>
    <xf numFmtId="0" fontId="5" fillId="6" borderId="12" applyAlignment="1" pivotButton="0" quotePrefix="0" xfId="0">
      <alignment horizontal="left" vertical="top"/>
    </xf>
    <xf numFmtId="0" fontId="5" fillId="6" borderId="0" applyAlignment="1" pivotButton="0" quotePrefix="0" xfId="0">
      <alignment horizontal="left" vertical="top"/>
    </xf>
    <xf numFmtId="0" fontId="7" fillId="6" borderId="8" applyAlignment="1" pivotButton="0" quotePrefix="0" xfId="0">
      <alignment horizontal="left" vertical="top"/>
    </xf>
    <xf numFmtId="0" fontId="0" fillId="0" borderId="11" pivotButton="0" quotePrefix="0" xfId="0"/>
    <xf numFmtId="0" fontId="8" fillId="6" borderId="14" applyAlignment="1" pivotButton="0" quotePrefix="0" xfId="0">
      <alignment horizontal="left" vertical="top"/>
    </xf>
    <xf numFmtId="0" fontId="5" fillId="4" borderId="7" applyAlignment="1" pivotButton="0" quotePrefix="0" xfId="0">
      <alignment horizontal="left" vertical="top"/>
    </xf>
    <xf numFmtId="0" fontId="9" fillId="6" borderId="7" applyAlignment="1" pivotButton="0" quotePrefix="0" xfId="0">
      <alignment horizontal="left" vertical="top"/>
    </xf>
    <xf numFmtId="0" fontId="0" fillId="0" borderId="8" pivotButton="0" quotePrefix="0" xfId="0"/>
    <xf numFmtId="0" fontId="10" fillId="4" borderId="7" applyAlignment="1" pivotButton="0" quotePrefix="0" xfId="0">
      <alignment horizontal="left" vertical="top"/>
    </xf>
    <xf numFmtId="164" fontId="5" fillId="6" borderId="15" applyAlignment="1" pivotButton="0" quotePrefix="0" xfId="0">
      <alignment horizontal="right" vertical="top"/>
    </xf>
    <xf numFmtId="0" fontId="5" fillId="6" borderId="15" applyAlignment="1" pivotButton="0" quotePrefix="0" xfId="0">
      <alignment horizontal="right" vertical="top"/>
    </xf>
    <xf numFmtId="0" fontId="5" fillId="6" borderId="16" applyAlignment="1" pivotButton="0" quotePrefix="0" xfId="0">
      <alignment horizontal="right" vertical="top"/>
    </xf>
    <xf numFmtId="0" fontId="5" fillId="6" borderId="17" applyAlignment="1" pivotButton="0" quotePrefix="0" xfId="0">
      <alignment horizontal="left" vertical="top"/>
    </xf>
    <xf numFmtId="0" fontId="5" fillId="4" borderId="17" applyAlignment="1" pivotButton="0" quotePrefix="0" xfId="0">
      <alignment horizontal="left" vertical="top"/>
    </xf>
    <xf numFmtId="0" fontId="5" fillId="6" borderId="8" applyAlignment="1" pivotButton="0" quotePrefix="0" xfId="0">
      <alignment horizontal="right" vertical="top"/>
    </xf>
    <xf numFmtId="0" fontId="5" fillId="6" borderId="18" applyAlignment="1" pivotButton="0" quotePrefix="0" xfId="0">
      <alignment horizontal="right" vertical="top"/>
    </xf>
    <xf numFmtId="0" fontId="6" fillId="4" borderId="7" applyAlignment="1" pivotButton="0" quotePrefix="0" xfId="0">
      <alignment horizontal="left" vertical="top"/>
    </xf>
    <xf numFmtId="0" fontId="0" fillId="0" borderId="7" pivotButton="0" quotePrefix="0" xfId="0"/>
    <xf numFmtId="2" fontId="5" fillId="6" borderId="10" applyAlignment="1" pivotButton="0" quotePrefix="0" xfId="0">
      <alignment horizontal="right" vertical="top"/>
    </xf>
    <xf numFmtId="1" fontId="5" fillId="6" borderId="10" applyAlignment="1" pivotButton="0" quotePrefix="0" xfId="0">
      <alignment horizontal="right" vertical="top"/>
    </xf>
    <xf numFmtId="0" fontId="5" fillId="6" borderId="10" applyAlignment="1" pivotButton="0" quotePrefix="0" xfId="0">
      <alignment horizontal="left" vertical="top"/>
    </xf>
    <xf numFmtId="0" fontId="10" fillId="12" borderId="10" applyAlignment="1" pivotButton="0" quotePrefix="0" xfId="0">
      <alignment horizontal="left" vertical="top"/>
    </xf>
    <xf numFmtId="0" fontId="5" fillId="12" borderId="10" applyAlignment="1" pivotButton="0" quotePrefix="0" xfId="0">
      <alignment horizontal="left" vertical="top"/>
    </xf>
    <xf numFmtId="0" fontId="0" fillId="6" borderId="7" applyAlignment="1" pivotButton="0" quotePrefix="0" xfId="0">
      <alignment horizontal="left"/>
    </xf>
    <xf numFmtId="0" fontId="6" fillId="12" borderId="7" applyAlignment="1" pivotButton="0" quotePrefix="0" xfId="0">
      <alignment horizontal="left" vertical="top"/>
    </xf>
    <xf numFmtId="0" fontId="10" fillId="8" borderId="7" applyAlignment="1" pivotButton="0" quotePrefix="0" xfId="0">
      <alignment horizontal="left" vertical="top"/>
    </xf>
    <xf numFmtId="0" fontId="5" fillId="6" borderId="12" applyAlignment="1" pivotButton="0" quotePrefix="0" xfId="0">
      <alignment horizontal="right" vertical="top"/>
    </xf>
    <xf numFmtId="0" fontId="0" fillId="0" borderId="7" applyAlignment="1" pivotButton="0" quotePrefix="0" xfId="0">
      <alignment horizontal="left"/>
    </xf>
    <xf numFmtId="0" fontId="5" fillId="9" borderId="12" applyAlignment="1" pivotButton="0" quotePrefix="0" xfId="0">
      <alignment horizontal="left" vertical="top"/>
    </xf>
    <xf numFmtId="4" fontId="0" fillId="0" borderId="7" applyAlignment="1" pivotButton="0" quotePrefix="0" xfId="0">
      <alignment horizontal="left"/>
    </xf>
    <xf numFmtId="0" fontId="10" fillId="6" borderId="7" applyAlignment="1" pivotButton="0" quotePrefix="0" xfId="0">
      <alignment horizontal="left" vertical="top"/>
    </xf>
    <xf numFmtId="4" fontId="0" fillId="0" borderId="7" applyAlignment="1" pivotButton="0" quotePrefix="0" xfId="0">
      <alignment horizontal="right"/>
    </xf>
    <xf numFmtId="2" fontId="5" fillId="6" borderId="14" applyAlignment="1" pivotButton="0" quotePrefix="0" xfId="0">
      <alignment horizontal="right" vertical="top"/>
    </xf>
    <xf numFmtId="0" fontId="5" fillId="6" borderId="8" applyAlignment="1" pivotButton="0" quotePrefix="0" xfId="0">
      <alignment horizontal="left" vertical="top"/>
    </xf>
    <xf numFmtId="0" fontId="5" fillId="6" borderId="3" applyAlignment="1" pivotButton="0" quotePrefix="0" xfId="0">
      <alignment horizontal="left" vertical="top"/>
    </xf>
    <xf numFmtId="0" fontId="5" fillId="10" borderId="14" applyAlignment="1" pivotButton="0" quotePrefix="0" xfId="0">
      <alignment horizontal="left" vertical="top"/>
    </xf>
    <xf numFmtId="2" fontId="5" fillId="10" borderId="14" applyAlignment="1" pivotButton="0" quotePrefix="0" xfId="0">
      <alignment horizontal="right" vertical="top"/>
    </xf>
    <xf numFmtId="0" fontId="6" fillId="10" borderId="14" applyAlignment="1" pivotButton="0" quotePrefix="0" xfId="0">
      <alignment horizontal="left" vertical="top"/>
    </xf>
    <xf numFmtId="0" fontId="5" fillId="10" borderId="9" applyAlignment="1" pivotButton="0" quotePrefix="0" xfId="0">
      <alignment horizontal="left" vertical="top"/>
    </xf>
    <xf numFmtId="0" fontId="0" fillId="10" borderId="7" pivotButton="0" quotePrefix="0" xfId="0"/>
    <xf numFmtId="0" fontId="0" fillId="10" borderId="0" applyAlignment="1" pivotButton="0" quotePrefix="0" xfId="0">
      <alignment horizontal="left"/>
    </xf>
    <xf numFmtId="0" fontId="7" fillId="6" borderId="7" applyAlignment="1" pivotButton="0" quotePrefix="0" xfId="0">
      <alignment horizontal="left" vertical="top"/>
    </xf>
    <xf numFmtId="0" fontId="0" fillId="6" borderId="10" pivotButton="0" quotePrefix="0" xfId="0"/>
    <xf numFmtId="0" fontId="11" fillId="6" borderId="7" applyAlignment="1" pivotButton="0" quotePrefix="0" xfId="0">
      <alignment horizontal="left" vertical="top"/>
    </xf>
    <xf numFmtId="0" fontId="5" fillId="4" borderId="10" applyAlignment="1" pivotButton="0" quotePrefix="0" xfId="0">
      <alignment horizontal="left" vertical="top"/>
    </xf>
    <xf numFmtId="0" fontId="5" fillId="10" borderId="10" applyAlignment="1" pivotButton="0" quotePrefix="0" xfId="0">
      <alignment horizontal="left" vertical="top"/>
    </xf>
    <xf numFmtId="2" fontId="5" fillId="10" borderId="9" applyAlignment="1" pivotButton="0" quotePrefix="0" xfId="0">
      <alignment horizontal="right" vertical="top"/>
    </xf>
    <xf numFmtId="0" fontId="12" fillId="10" borderId="9" applyAlignment="1" pivotButton="0" quotePrefix="0" xfId="0">
      <alignment horizontal="left" vertical="top"/>
    </xf>
    <xf numFmtId="1" fontId="5" fillId="6" borderId="14" applyAlignment="1" pivotButton="0" quotePrefix="0" xfId="0">
      <alignment horizontal="right" vertical="top"/>
    </xf>
    <xf numFmtId="0" fontId="5" fillId="10" borderId="19" applyAlignment="1" pivotButton="0" quotePrefix="0" xfId="0">
      <alignment horizontal="left" vertical="top"/>
    </xf>
    <xf numFmtId="2" fontId="5" fillId="10" borderId="19" applyAlignment="1" pivotButton="0" quotePrefix="0" xfId="0">
      <alignment horizontal="right" vertical="top"/>
    </xf>
    <xf numFmtId="1" fontId="5" fillId="10" borderId="19" applyAlignment="1" pivotButton="0" quotePrefix="0" xfId="0">
      <alignment horizontal="right" vertical="top"/>
    </xf>
    <xf numFmtId="0" fontId="5" fillId="10" borderId="20" applyAlignment="1" pivotButton="0" quotePrefix="0" xfId="0">
      <alignment horizontal="left" vertical="top"/>
    </xf>
    <xf numFmtId="0" fontId="5" fillId="4" borderId="4" applyAlignment="1" pivotButton="0" quotePrefix="0" xfId="0">
      <alignment horizontal="left" vertical="top"/>
    </xf>
    <xf numFmtId="0" fontId="5" fillId="6" borderId="4" applyAlignment="1" pivotButton="0" quotePrefix="0" xfId="0">
      <alignment horizontal="left" vertical="top"/>
    </xf>
    <xf numFmtId="0" fontId="5" fillId="6" borderId="18" applyAlignment="1" pivotButton="0" quotePrefix="0" xfId="0">
      <alignment horizontal="left" vertical="top"/>
    </xf>
    <xf numFmtId="0" fontId="13" fillId="6" borderId="21" applyAlignment="1" pivotButton="0" quotePrefix="0" xfId="0">
      <alignment horizontal="left" vertical="top"/>
    </xf>
    <xf numFmtId="2" fontId="5" fillId="6" borderId="9" applyAlignment="1" pivotButton="0" quotePrefix="0" xfId="0">
      <alignment horizontal="right" vertical="top"/>
    </xf>
    <xf numFmtId="0" fontId="5" fillId="6" borderId="9" applyAlignment="1" pivotButton="0" quotePrefix="0" xfId="0">
      <alignment horizontal="left" vertical="top"/>
    </xf>
    <xf numFmtId="1" fontId="5" fillId="6" borderId="9" applyAlignment="1" pivotButton="0" quotePrefix="0" xfId="0">
      <alignment horizontal="right" vertical="top"/>
    </xf>
    <xf numFmtId="0" fontId="8" fillId="6" borderId="7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7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4" fontId="8" fillId="0" borderId="0" applyAlignment="1" pivotButton="0" quotePrefix="0" xfId="0">
      <alignment horizontal="left"/>
    </xf>
    <xf numFmtId="4" fontId="8" fillId="4" borderId="0" applyAlignment="1" pivotButton="0" quotePrefix="0" xfId="0">
      <alignment horizontal="left"/>
    </xf>
    <xf numFmtId="0" fontId="8" fillId="4" borderId="0" applyAlignment="1" pivotButton="0" quotePrefix="0" xfId="0">
      <alignment horizontal="left"/>
    </xf>
    <xf numFmtId="4" fontId="14" fillId="13" borderId="0" applyAlignment="1" pivotButton="0" quotePrefix="0" xfId="0">
      <alignment horizontal="left"/>
    </xf>
    <xf numFmtId="0" fontId="14" fillId="13" borderId="0" applyAlignment="1" pivotButton="0" quotePrefix="0" xfId="0">
      <alignment horizontal="left"/>
    </xf>
    <xf numFmtId="4" fontId="14" fillId="10" borderId="0" applyAlignment="1" pivotButton="0" quotePrefix="0" xfId="0">
      <alignment horizontal="left"/>
    </xf>
    <xf numFmtId="0" fontId="14" fillId="1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8" fillId="8" borderId="0" applyAlignment="1" pivotButton="0" quotePrefix="0" xfId="0">
      <alignment horizontal="right"/>
    </xf>
    <xf numFmtId="4" fontId="8" fillId="8" borderId="0" applyAlignment="1" pivotButton="0" quotePrefix="0" xfId="0">
      <alignment horizontal="left"/>
    </xf>
    <xf numFmtId="0" fontId="8" fillId="8" borderId="0" applyAlignment="1" pivotButton="0" quotePrefix="0" xfId="0">
      <alignment horizontal="left"/>
    </xf>
    <xf numFmtId="0" fontId="0" fillId="14" borderId="0" applyAlignment="1" pivotButton="0" quotePrefix="0" xfId="0">
      <alignment horizontal="left"/>
    </xf>
    <xf numFmtId="0" fontId="4" fillId="12" borderId="0" pivotButton="0" quotePrefix="0" xfId="0"/>
    <xf numFmtId="0" fontId="9" fillId="11" borderId="7" applyAlignment="1" pivotButton="0" quotePrefix="0" xfId="0">
      <alignment horizontal="left" vertical="top"/>
    </xf>
    <xf numFmtId="0" fontId="5" fillId="15" borderId="7" applyAlignment="1" pivotButton="0" quotePrefix="0" xfId="0">
      <alignment horizontal="left" vertical="top"/>
    </xf>
    <xf numFmtId="0" fontId="5" fillId="12" borderId="12" applyAlignment="1" pivotButton="0" quotePrefix="0" xfId="0">
      <alignment horizontal="left" vertical="top"/>
    </xf>
    <xf numFmtId="0" fontId="5" fillId="12" borderId="4" applyAlignment="1" pivotButton="0" quotePrefix="0" xfId="0">
      <alignment horizontal="left" vertical="top"/>
    </xf>
    <xf numFmtId="0" fontId="0" fillId="0" borderId="22" pivotButton="0" quotePrefix="0" xfId="0"/>
    <xf numFmtId="0" fontId="0" fillId="16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applyAlignment="1" pivotButton="0" quotePrefix="0" xfId="0">
      <alignment horizontal="center"/>
    </xf>
    <xf numFmtId="0" fontId="0" fillId="16" borderId="22" applyAlignment="1" pivotButton="0" quotePrefix="0" xfId="0">
      <alignment horizontal="center"/>
    </xf>
    <xf numFmtId="0" fontId="0" fillId="17" borderId="24" pivotButton="0" quotePrefix="0" xfId="0"/>
    <xf numFmtId="2" fontId="0" fillId="0" borderId="24" pivotButton="0" quotePrefix="0" xfId="0"/>
    <xf numFmtId="2" fontId="0" fillId="0" borderId="22" pivotButton="0" quotePrefix="0" xfId="0"/>
    <xf numFmtId="2" fontId="0" fillId="16" borderId="22" pivotButton="0" quotePrefix="0" xfId="0"/>
    <xf numFmtId="9" fontId="0" fillId="0" borderId="22" pivotButton="0" quotePrefix="0" xfId="0"/>
    <xf numFmtId="2" fontId="0" fillId="0" borderId="0" pivotButton="0" quotePrefix="0" xfId="0"/>
    <xf numFmtId="2" fontId="0" fillId="0" borderId="11" pivotButton="0" quotePrefix="0" xfId="0"/>
    <xf numFmtId="2" fontId="0" fillId="16" borderId="0" pivotButton="0" quotePrefix="0" xfId="0"/>
    <xf numFmtId="0" fontId="0" fillId="0" borderId="0" pivotButton="1" quotePrefix="0" xfId="0"/>
    <xf numFmtId="0" fontId="0" fillId="0" borderId="22" pivotButton="1" quotePrefix="0" xfId="0"/>
    <xf numFmtId="0" fontId="0" fillId="11" borderId="22" applyAlignment="1" pivotButton="0" quotePrefix="0" xfId="0">
      <alignment horizontal="center"/>
    </xf>
    <xf numFmtId="0" fontId="0" fillId="0" borderId="22" applyAlignment="1" pivotButton="0" quotePrefix="0" xfId="0">
      <alignment horizontal="left"/>
    </xf>
    <xf numFmtId="165" fontId="0" fillId="0" borderId="22" pivotButton="0" quotePrefix="0" xfId="0"/>
    <xf numFmtId="1" fontId="0" fillId="0" borderId="22" applyAlignment="1" pivotButton="0" quotePrefix="0" xfId="0">
      <alignment horizontal="center"/>
    </xf>
    <xf numFmtId="0" fontId="0" fillId="18" borderId="22" applyAlignment="1" pivotButton="0" quotePrefix="0" xfId="0">
      <alignment horizontal="center"/>
    </xf>
    <xf numFmtId="2" fontId="0" fillId="0" borderId="22" applyAlignment="1" pivotButton="0" quotePrefix="0" xfId="0">
      <alignment horizontal="center"/>
    </xf>
    <xf numFmtId="0" fontId="16" fillId="19" borderId="23" applyAlignment="1" pivotButton="0" quotePrefix="0" xfId="0">
      <alignment horizontal="center"/>
    </xf>
    <xf numFmtId="0" fontId="16" fillId="20" borderId="23" applyAlignment="1" pivotButton="0" quotePrefix="0" xfId="0">
      <alignment horizontal="center"/>
    </xf>
    <xf numFmtId="0" fontId="16" fillId="20" borderId="11" applyAlignment="1" pivotButton="0" quotePrefix="0" xfId="0">
      <alignment horizontal="center"/>
    </xf>
    <xf numFmtId="0" fontId="16" fillId="20" borderId="25" applyAlignment="1" pivotButton="0" quotePrefix="0" xfId="0">
      <alignment horizontal="center"/>
    </xf>
    <xf numFmtId="0" fontId="0" fillId="0" borderId="25" applyAlignment="1" pivotButton="0" quotePrefix="0" xfId="0">
      <alignment horizontal="left"/>
    </xf>
    <xf numFmtId="0" fontId="0" fillId="0" borderId="25" applyAlignment="1" pivotButton="0" quotePrefix="0" xfId="0">
      <alignment horizontal="center"/>
    </xf>
    <xf numFmtId="2" fontId="0" fillId="0" borderId="25" applyAlignment="1" pivotButton="0" quotePrefix="0" xfId="0">
      <alignment horizontal="center"/>
    </xf>
    <xf numFmtId="0" fontId="0" fillId="19" borderId="25" applyAlignment="1" pivotButton="0" quotePrefix="0" xfId="0">
      <alignment horizontal="center" vertical="center"/>
    </xf>
    <xf numFmtId="2" fontId="0" fillId="19" borderId="25" applyAlignment="1" pivotButton="0" quotePrefix="0" xfId="0">
      <alignment horizontal="center" vertical="center"/>
    </xf>
    <xf numFmtId="1" fontId="0" fillId="0" borderId="25" applyAlignment="1" pivotButton="0" quotePrefix="0" xfId="0">
      <alignment horizontal="center" vertical="center"/>
    </xf>
    <xf numFmtId="9" fontId="0" fillId="0" borderId="25" applyAlignment="1" pivotButton="0" quotePrefix="0" xfId="1">
      <alignment horizontal="center" vertical="center"/>
    </xf>
    <xf numFmtId="49" fontId="0" fillId="0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 wrapText="1"/>
    </xf>
    <xf numFmtId="1" fontId="0" fillId="21" borderId="25" applyAlignment="1" pivotButton="0" quotePrefix="0" xfId="0">
      <alignment horizontal="center" vertical="center"/>
    </xf>
    <xf numFmtId="49" fontId="0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16" fillId="0" borderId="25" applyAlignment="1" pivotButton="0" quotePrefix="0" xfId="0">
      <alignment horizontal="center" wrapText="1"/>
    </xf>
    <xf numFmtId="164" fontId="0" fillId="0" borderId="25" applyAlignment="1" pivotButton="0" quotePrefix="0" xfId="0">
      <alignment horizontal="center"/>
    </xf>
    <xf numFmtId="0" fontId="0" fillId="0" borderId="25" pivotButton="0" quotePrefix="0" xfId="0"/>
    <xf numFmtId="0" fontId="0" fillId="0" borderId="0" applyAlignment="1" pivotButton="0" quotePrefix="0" xfId="0">
      <alignment horizontal="center"/>
    </xf>
    <xf numFmtId="0" fontId="17" fillId="22" borderId="0" applyAlignment="1" pivotButton="0" quotePrefix="0" xfId="0">
      <alignment horizontal="right"/>
    </xf>
    <xf numFmtId="2" fontId="18" fillId="22" borderId="2" applyAlignment="1" pivotButton="0" quotePrefix="0" xfId="3">
      <alignment horizontal="center"/>
    </xf>
    <xf numFmtId="164" fontId="18" fillId="22" borderId="2" applyAlignment="1" pivotButton="0" quotePrefix="0" xfId="3">
      <alignment horizontal="center"/>
    </xf>
    <xf numFmtId="9" fontId="18" fillId="22" borderId="2" applyAlignment="1" pivotButton="0" quotePrefix="0" xfId="3">
      <alignment horizontal="center"/>
    </xf>
    <xf numFmtId="0" fontId="17" fillId="22" borderId="0" pivotButton="0" quotePrefix="0" xfId="0"/>
    <xf numFmtId="2" fontId="18" fillId="22" borderId="26" applyAlignment="1" pivotButton="0" quotePrefix="0" xfId="3">
      <alignment horizontal="center"/>
    </xf>
    <xf numFmtId="2" fontId="18" fillId="22" borderId="25" applyAlignment="1" pivotButton="0" quotePrefix="0" xfId="3">
      <alignment horizontal="center"/>
    </xf>
    <xf numFmtId="4" fontId="19" fillId="0" borderId="0" pivotButton="0" quotePrefix="0" xfId="0"/>
    <xf numFmtId="0" fontId="3" fillId="5" borderId="27" applyAlignment="1" pivotButton="0" quotePrefix="0" xfId="0">
      <alignment horizontal="left" vertical="top"/>
    </xf>
    <xf numFmtId="0" fontId="20" fillId="5" borderId="5" applyAlignment="1" pivotButton="0" quotePrefix="0" xfId="0">
      <alignment horizontal="left" vertical="top"/>
    </xf>
    <xf numFmtId="0" fontId="4" fillId="23" borderId="22" pivotButton="0" quotePrefix="0" xfId="0"/>
    <xf numFmtId="0" fontId="21" fillId="6" borderId="28" applyAlignment="1" pivotButton="0" quotePrefix="0" xfId="0">
      <alignment horizontal="left" vertical="top"/>
    </xf>
    <xf numFmtId="2" fontId="21" fillId="6" borderId="28" applyAlignment="1" pivotButton="0" quotePrefix="0" xfId="0">
      <alignment horizontal="right" vertical="top"/>
    </xf>
    <xf numFmtId="0" fontId="21" fillId="6" borderId="28" applyAlignment="1" pivotButton="0" quotePrefix="0" xfId="0">
      <alignment horizontal="right" vertical="top"/>
    </xf>
    <xf numFmtId="0" fontId="5" fillId="7" borderId="22" applyAlignment="1" pivotButton="0" quotePrefix="0" xfId="0">
      <alignment horizontal="left" vertical="top"/>
    </xf>
    <xf numFmtId="0" fontId="5" fillId="8" borderId="22" applyAlignment="1" pivotButton="0" quotePrefix="0" xfId="0">
      <alignment horizontal="left" vertical="top"/>
    </xf>
    <xf numFmtId="2" fontId="5" fillId="8" borderId="22" applyAlignment="1" pivotButton="0" quotePrefix="0" xfId="0">
      <alignment horizontal="left" vertical="top"/>
    </xf>
    <xf numFmtId="0" fontId="21" fillId="24" borderId="28" applyAlignment="1" pivotButton="0" quotePrefix="0" xfId="0">
      <alignment horizontal="left" vertical="top"/>
    </xf>
    <xf numFmtId="2" fontId="21" fillId="24" borderId="28" applyAlignment="1" pivotButton="0" quotePrefix="0" xfId="0">
      <alignment horizontal="right" vertical="top"/>
    </xf>
    <xf numFmtId="2" fontId="21" fillId="25" borderId="28" applyAlignment="1" pivotButton="0" quotePrefix="0" xfId="0">
      <alignment horizontal="right" vertical="top"/>
    </xf>
    <xf numFmtId="2" fontId="0" fillId="0" borderId="29" pivotButton="0" quotePrefix="0" xfId="0"/>
    <xf numFmtId="0" fontId="21" fillId="0" borderId="28" applyAlignment="1" pivotButton="0" quotePrefix="0" xfId="0">
      <alignment horizontal="left" vertical="top"/>
    </xf>
    <xf numFmtId="0" fontId="21" fillId="24" borderId="28" applyAlignment="1" pivotButton="0" quotePrefix="0" xfId="0">
      <alignment horizontal="right" vertical="top"/>
    </xf>
    <xf numFmtId="0" fontId="21" fillId="26" borderId="28" applyAlignment="1" pivotButton="0" quotePrefix="0" xfId="0">
      <alignment horizontal="left" vertical="top"/>
    </xf>
    <xf numFmtId="2" fontId="21" fillId="26" borderId="28" applyAlignment="1" pivotButton="0" quotePrefix="0" xfId="0">
      <alignment horizontal="right" vertical="top"/>
    </xf>
    <xf numFmtId="0" fontId="21" fillId="26" borderId="28" applyAlignment="1" pivotButton="0" quotePrefix="0" xfId="0">
      <alignment horizontal="right" vertical="top"/>
    </xf>
    <xf numFmtId="0" fontId="4" fillId="23" borderId="24" pivotButton="0" quotePrefix="0" xfId="0"/>
    <xf numFmtId="0" fontId="21" fillId="6" borderId="30" applyAlignment="1" pivotButton="0" quotePrefix="0" xfId="0">
      <alignment horizontal="left" vertical="top"/>
    </xf>
    <xf numFmtId="0" fontId="21" fillId="27" borderId="28" applyAlignment="1" pivotButton="0" quotePrefix="0" xfId="0">
      <alignment horizontal="left" vertical="top"/>
    </xf>
    <xf numFmtId="0" fontId="5" fillId="28" borderId="22" applyAlignment="1" pivotButton="0" quotePrefix="0" xfId="0">
      <alignment horizontal="left" vertical="top"/>
    </xf>
    <xf numFmtId="0" fontId="21" fillId="29" borderId="28" applyAlignment="1" pivotButton="0" quotePrefix="0" xfId="0">
      <alignment horizontal="left" vertical="top"/>
    </xf>
    <xf numFmtId="0" fontId="5" fillId="28" borderId="31" applyAlignment="1" pivotButton="0" quotePrefix="0" xfId="0">
      <alignment horizontal="left" vertical="top"/>
    </xf>
    <xf numFmtId="0" fontId="21" fillId="6" borderId="32" applyAlignment="1" pivotButton="0" quotePrefix="0" xfId="0">
      <alignment horizontal="left" vertical="top"/>
    </xf>
    <xf numFmtId="0" fontId="5" fillId="28" borderId="24" applyAlignment="1" pivotButton="0" quotePrefix="0" xfId="0">
      <alignment horizontal="left" vertical="top"/>
    </xf>
    <xf numFmtId="4" fontId="14" fillId="30" borderId="0" applyAlignment="1" pivotButton="0" quotePrefix="0" xfId="0">
      <alignment horizontal="left"/>
    </xf>
    <xf numFmtId="0" fontId="14" fillId="30" borderId="0" applyAlignment="1" pivotButton="0" quotePrefix="0" xfId="0">
      <alignment horizontal="left"/>
    </xf>
    <xf numFmtId="4" fontId="15" fillId="0" borderId="0" applyAlignment="1" pivotButton="0" quotePrefix="0" xfId="0">
      <alignment horizontal="left"/>
    </xf>
    <xf numFmtId="0" fontId="22" fillId="15" borderId="0" pivotButton="0" quotePrefix="0" xfId="0"/>
    <xf numFmtId="0" fontId="0" fillId="11" borderId="0" pivotButton="0" quotePrefix="0" xfId="0"/>
    <xf numFmtId="0" fontId="0" fillId="4" borderId="8" pivotButton="0" quotePrefix="0" xfId="0"/>
    <xf numFmtId="0" fontId="0" fillId="31" borderId="7" pivotButton="0" quotePrefix="0" xfId="0"/>
    <xf numFmtId="0" fontId="0" fillId="10" borderId="8" applyAlignment="1" pivotButton="0" quotePrefix="0" xfId="0">
      <alignment wrapText="1"/>
    </xf>
    <xf numFmtId="0" fontId="0" fillId="31" borderId="7" applyAlignment="1" pivotButton="0" quotePrefix="0" xfId="0">
      <alignment wrapText="1"/>
    </xf>
    <xf numFmtId="0" fontId="0" fillId="31" borderId="4" applyAlignment="1" pivotButton="0" quotePrefix="0" xfId="0">
      <alignment wrapText="1"/>
    </xf>
    <xf numFmtId="0" fontId="0" fillId="31" borderId="4" applyAlignment="1" pivotButton="0" quotePrefix="0" xfId="0">
      <alignment vertical="center" wrapText="1"/>
    </xf>
    <xf numFmtId="2" fontId="23" fillId="0" borderId="7" pivotButton="0" quotePrefix="0" xfId="0"/>
    <xf numFmtId="9" fontId="0" fillId="0" borderId="7" pivotButton="0" quotePrefix="0" xfId="0"/>
    <xf numFmtId="2" fontId="23" fillId="6" borderId="7" pivotButton="0" quotePrefix="0" xfId="0"/>
    <xf numFmtId="1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7" applyAlignment="1" pivotButton="0" quotePrefix="0" xfId="0">
      <alignment vertical="top" wrapText="1"/>
    </xf>
    <xf numFmtId="0" fontId="0" fillId="32" borderId="7" pivotButton="0" quotePrefix="0" xfId="0"/>
    <xf numFmtId="2" fontId="23" fillId="33" borderId="7" pivotButton="0" quotePrefix="0" xfId="0"/>
    <xf numFmtId="0" fontId="4" fillId="0" borderId="7" applyAlignment="1" pivotButton="0" quotePrefix="0" xfId="0">
      <alignment vertical="top" wrapText="1"/>
    </xf>
    <xf numFmtId="0" fontId="4" fillId="0" borderId="8" pivotButton="0" quotePrefix="0" xfId="0"/>
    <xf numFmtId="0" fontId="4" fillId="0" borderId="7" pivotButton="0" quotePrefix="0" xfId="0"/>
    <xf numFmtId="0" fontId="4" fillId="15" borderId="7" applyAlignment="1" pivotButton="0" quotePrefix="0" xfId="0">
      <alignment vertical="top" wrapText="1"/>
    </xf>
    <xf numFmtId="0" fontId="0" fillId="6" borderId="7" applyAlignment="1" pivotButton="0" quotePrefix="0" xfId="0">
      <alignment vertical="center"/>
    </xf>
    <xf numFmtId="0" fontId="0" fillId="11" borderId="7" applyAlignment="1" pivotButton="0" quotePrefix="0" xfId="0">
      <alignment vertical="top" wrapText="1"/>
    </xf>
    <xf numFmtId="0" fontId="0" fillId="8" borderId="7" applyAlignment="1" pivotButton="0" quotePrefix="0" xfId="0">
      <alignment vertical="center"/>
    </xf>
    <xf numFmtId="0" fontId="0" fillId="0" borderId="6" applyAlignment="1" pivotButton="0" quotePrefix="0" xfId="0">
      <alignment vertical="top" wrapText="1"/>
    </xf>
    <xf numFmtId="0" fontId="24" fillId="15" borderId="7" applyAlignment="1" pivotButton="0" quotePrefix="0" xfId="0">
      <alignment vertical="top" wrapText="1"/>
    </xf>
    <xf numFmtId="9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4" borderId="0" pivotButton="0" quotePrefix="0" xfId="0"/>
    <xf numFmtId="4" fontId="0" fillId="0" borderId="0" pivotButton="0" quotePrefix="0" xfId="0"/>
    <xf numFmtId="4" fontId="4" fillId="34" borderId="0" pivotButton="0" quotePrefix="0" xfId="0"/>
    <xf numFmtId="0" fontId="0" fillId="35" borderId="0" pivotButton="0" quotePrefix="0" xfId="0"/>
    <xf numFmtId="0" fontId="22" fillId="15" borderId="33" pivotButton="0" quotePrefix="0" xfId="0"/>
    <xf numFmtId="0" fontId="22" fillId="15" borderId="34" pivotButton="0" quotePrefix="0" xfId="0"/>
    <xf numFmtId="9" fontId="22" fillId="15" borderId="35" pivotButton="0" quotePrefix="0" xfId="0"/>
    <xf numFmtId="0" fontId="22" fillId="14" borderId="7" pivotButton="0" quotePrefix="0" xfId="0"/>
    <xf numFmtId="0" fontId="0" fillId="2" borderId="7" pivotButton="0" quotePrefix="0" xfId="0"/>
    <xf numFmtId="0" fontId="16" fillId="8" borderId="7" pivotButton="0" quotePrefix="0" xfId="0"/>
    <xf numFmtId="0" fontId="0" fillId="36" borderId="7" pivotButton="0" quotePrefix="0" xfId="0"/>
    <xf numFmtId="0" fontId="16" fillId="9" borderId="7" pivotButton="0" quotePrefix="0" xfId="0"/>
    <xf numFmtId="0" fontId="0" fillId="9" borderId="7" pivotButton="0" quotePrefix="0" xfId="0"/>
    <xf numFmtId="0" fontId="0" fillId="14" borderId="7" pivotButton="0" quotePrefix="0" xfId="0"/>
    <xf numFmtId="166" fontId="0" fillId="0" borderId="0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2" fontId="0" fillId="0" borderId="36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0" applyAlignment="1" pivotButton="0" quotePrefix="0" xfId="0">
      <alignment horizontal="right"/>
    </xf>
    <xf numFmtId="0" fontId="0" fillId="15" borderId="0" pivotButton="0" quotePrefix="0" xfId="0"/>
    <xf numFmtId="0" fontId="0" fillId="0" borderId="6" pivotButton="0" quotePrefix="0" xfId="0"/>
    <xf numFmtId="0" fontId="8" fillId="0" borderId="0" pivotButton="0" quotePrefix="0" xfId="0"/>
    <xf numFmtId="0" fontId="8" fillId="4" borderId="0" pivotButton="0" quotePrefix="0" xfId="0"/>
    <xf numFmtId="2" fontId="0" fillId="0" borderId="7" pivotButton="0" quotePrefix="0" xfId="0"/>
    <xf numFmtId="2" fontId="22" fillId="10" borderId="8" pivotButton="0" quotePrefix="0" xfId="0"/>
    <xf numFmtId="2" fontId="0" fillId="6" borderId="8" pivotButton="0" quotePrefix="0" xfId="0"/>
    <xf numFmtId="0" fontId="25" fillId="0" borderId="7" applyAlignment="1" pivotButton="0" quotePrefix="0" xfId="0">
      <alignment vertical="top" wrapText="1"/>
    </xf>
    <xf numFmtId="2" fontId="0" fillId="0" borderId="8" pivotButton="0" quotePrefix="0" xfId="0"/>
    <xf numFmtId="0" fontId="0" fillId="15" borderId="7" applyAlignment="1" pivotButton="0" quotePrefix="0" xfId="0">
      <alignment vertical="top" wrapText="1"/>
    </xf>
    <xf numFmtId="0" fontId="0" fillId="15" borderId="7" applyAlignment="1" pivotButton="0" quotePrefix="0" xfId="0">
      <alignment vertical="center"/>
    </xf>
    <xf numFmtId="0" fontId="0" fillId="6" borderId="7" applyAlignment="1" pivotButton="0" quotePrefix="0" xfId="0">
      <alignment vertical="top" wrapText="1"/>
    </xf>
    <xf numFmtId="0" fontId="0" fillId="0" borderId="47" pivotButton="0" quotePrefix="0" xfId="0"/>
    <xf numFmtId="2" fontId="0" fillId="0" borderId="47" pivotButton="0" quotePrefix="0" xfId="0"/>
    <xf numFmtId="2" fontId="0" fillId="6" borderId="18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2" fontId="5" fillId="6" borderId="56" applyAlignment="1" pivotButton="0" quotePrefix="0" xfId="0">
      <alignment horizontal="right" vertical="top"/>
    </xf>
    <xf numFmtId="4" fontId="5" fillId="6" borderId="56" applyAlignment="1" pivotButton="0" quotePrefix="0" xfId="0">
      <alignment horizontal="right" vertical="top"/>
    </xf>
    <xf numFmtId="4" fontId="5" fillId="4" borderId="0" applyAlignment="1" pivotButton="0" quotePrefix="0" xfId="0">
      <alignment horizontal="right"/>
    </xf>
    <xf numFmtId="4" fontId="26" fillId="13" borderId="0" applyAlignment="1" pivotButton="0" quotePrefix="0" xfId="0">
      <alignment horizontal="right"/>
    </xf>
    <xf numFmtId="4" fontId="5" fillId="32" borderId="0" applyAlignment="1" pivotButton="0" quotePrefix="0" xfId="0">
      <alignment horizontal="right"/>
    </xf>
    <xf numFmtId="0" fontId="5" fillId="6" borderId="56" applyAlignment="1" pivotButton="0" quotePrefix="0" xfId="0">
      <alignment horizontal="left" vertical="top"/>
    </xf>
    <xf numFmtId="1" fontId="5" fillId="6" borderId="56" applyAlignment="1" pivotButton="0" quotePrefix="0" xfId="0">
      <alignment horizontal="right" vertical="top"/>
    </xf>
    <xf numFmtId="0" fontId="26" fillId="15" borderId="56" applyAlignment="1" pivotButton="0" quotePrefix="0" xfId="0">
      <alignment horizontal="left" vertical="top"/>
    </xf>
    <xf numFmtId="0" fontId="26" fillId="37" borderId="56" applyAlignment="1" pivotButton="0" quotePrefix="0" xfId="0">
      <alignment horizontal="left" vertical="top"/>
    </xf>
    <xf numFmtId="0" fontId="4" fillId="38" borderId="0" pivotButton="0" quotePrefix="0" xfId="0"/>
    <xf numFmtId="2" fontId="26" fillId="35" borderId="56" applyAlignment="1" pivotButton="0" quotePrefix="0" xfId="0">
      <alignment horizontal="right" vertical="top"/>
    </xf>
    <xf numFmtId="2" fontId="21" fillId="39" borderId="57" applyAlignment="1" pivotButton="0" quotePrefix="0" xfId="0">
      <alignment horizontal="right" vertical="top"/>
    </xf>
    <xf numFmtId="2" fontId="21" fillId="11" borderId="28" applyAlignment="1" pivotButton="0" quotePrefix="0" xfId="0">
      <alignment horizontal="right" vertical="top"/>
    </xf>
    <xf numFmtId="2" fontId="5" fillId="6" borderId="22" applyAlignment="1" pivotButton="0" quotePrefix="0" xfId="0">
      <alignment horizontal="right" vertical="top"/>
    </xf>
    <xf numFmtId="0" fontId="5" fillId="6" borderId="22" applyAlignment="1" pivotButton="0" quotePrefix="0" xfId="0">
      <alignment horizontal="left" vertical="top"/>
    </xf>
    <xf numFmtId="0" fontId="5" fillId="6" borderId="22" applyAlignment="1" pivotButton="0" quotePrefix="0" xfId="0">
      <alignment horizontal="right" vertical="top"/>
    </xf>
    <xf numFmtId="2" fontId="21" fillId="11" borderId="57" applyAlignment="1" pivotButton="0" quotePrefix="0" xfId="0">
      <alignment horizontal="right" vertical="top"/>
    </xf>
    <xf numFmtId="2" fontId="21" fillId="40" borderId="57" applyAlignment="1" pivotButton="0" quotePrefix="0" xfId="0">
      <alignment horizontal="right" vertical="top"/>
    </xf>
    <xf numFmtId="2" fontId="21" fillId="41" borderId="57" applyAlignment="1" pivotButton="0" quotePrefix="0" xfId="0">
      <alignment horizontal="right" vertical="top"/>
    </xf>
    <xf numFmtId="2" fontId="21" fillId="42" borderId="28" applyAlignment="1" pivotButton="0" quotePrefix="0" xfId="0">
      <alignment horizontal="right" vertical="top"/>
    </xf>
    <xf numFmtId="2" fontId="21" fillId="43" borderId="28" applyAlignment="1" pivotButton="0" quotePrefix="0" xfId="0">
      <alignment horizontal="right" vertical="top"/>
    </xf>
    <xf numFmtId="2" fontId="21" fillId="6" borderId="57" applyAlignment="1" pivotButton="0" quotePrefix="0" xfId="0">
      <alignment horizontal="right" vertical="top"/>
    </xf>
    <xf numFmtId="2" fontId="21" fillId="44" borderId="28" applyAlignment="1" pivotButton="0" quotePrefix="0" xfId="0">
      <alignment horizontal="right" vertical="top"/>
    </xf>
    <xf numFmtId="2" fontId="5" fillId="11" borderId="57" applyAlignment="1" pivotButton="0" quotePrefix="0" xfId="0">
      <alignment horizontal="right" vertical="top"/>
    </xf>
    <xf numFmtId="2" fontId="5" fillId="39" borderId="57" applyAlignment="1" pivotButton="0" quotePrefix="0" xfId="0">
      <alignment horizontal="right" vertical="top"/>
    </xf>
    <xf numFmtId="2" fontId="5" fillId="40" borderId="57" applyAlignment="1" pivotButton="0" quotePrefix="0" xfId="0">
      <alignment horizontal="right" vertical="top"/>
    </xf>
    <xf numFmtId="2" fontId="21" fillId="45" borderId="28" applyAlignment="1" pivotButton="0" quotePrefix="0" xfId="0">
      <alignment horizontal="right" vertical="top"/>
    </xf>
    <xf numFmtId="2" fontId="5" fillId="45" borderId="22" applyAlignment="1" pivotButton="0" quotePrefix="0" xfId="0">
      <alignment horizontal="right" vertical="top"/>
    </xf>
    <xf numFmtId="2" fontId="0" fillId="45" borderId="0" pivotButton="0" quotePrefix="0" xfId="0"/>
    <xf numFmtId="2" fontId="21" fillId="46" borderId="28" applyAlignment="1" pivotButton="0" quotePrefix="0" xfId="0">
      <alignment horizontal="right" vertical="top"/>
    </xf>
    <xf numFmtId="164" fontId="5" fillId="6" borderId="15" applyAlignment="1" pivotButton="0" quotePrefix="0" xfId="0">
      <alignment horizontal="right" vertical="top"/>
    </xf>
    <xf numFmtId="165" fontId="0" fillId="0" borderId="22" pivotButton="0" quotePrefix="0" xfId="0"/>
    <xf numFmtId="164" fontId="0" fillId="0" borderId="25" applyAlignment="1" pivotButton="0" quotePrefix="0" xfId="0">
      <alignment horizontal="center"/>
    </xf>
    <xf numFmtId="164" fontId="18" fillId="22" borderId="2" applyAlignment="1" pivotButton="0" quotePrefix="0" xfId="3">
      <alignment horizontal="center"/>
    </xf>
    <xf numFmtId="166" fontId="0" fillId="0" borderId="0" pivotButton="0" quotePrefix="0" xfId="0"/>
  </cellXfs>
  <cellStyles count="4">
    <cellStyle name="Обычный" xfId="0" builtinId="0"/>
    <cellStyle name="Процентный" xfId="1" builtinId="5"/>
    <cellStyle name="Input" xfId="2" builtinId="20"/>
    <cellStyle name="Output" xfId="3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pivotCacheDefinition" Target="/xl/pivotCache/pivotCacheDefinition1.xml" Id="rId18"/><Relationship Type="http://schemas.openxmlformats.org/officeDocument/2006/relationships/pivotCacheDefinition" Target="/xl/pivotCache/pivotCacheDefinition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Андрей Белевцев" refreshedDate="44819.50058611111" createdVersion="4" refreshedVersion="6" minRefreshableVersion="3" recordCount="358" r:id="rId1">
  <cacheSource type="worksheet">
    <worksheetSource ref="A1:Q896" sheet="Нагрузка"/>
  </cacheSource>
  <cacheFields count="17">
    <cacheField name="семестр" uniqueList="1" numFmtId="0" sqlType="0" hierarchy="0" level="0" databaseField="1">
      <sharedItems count="0"/>
    </cacheField>
    <cacheField name="Дисциплина" uniqueList="1" numFmtId="0" sqlType="0" hierarchy="0" level="0" databaseField="1">
      <sharedItems count="0"/>
    </cacheField>
    <cacheField name="Вид нагрузки" uniqueList="1" numFmtId="0" sqlType="0" hierarchy="0" level="0" databaseField="1">
      <sharedItems count="0"/>
    </cacheField>
    <cacheField name="Группы" uniqueList="1" numFmtId="0" sqlType="0" hierarchy="0" level="0" databaseField="1">
      <sharedItems count="0" containsBlank="1"/>
    </cacheField>
    <cacheField name="Нагрузка" uniqueList="1" numFmtId="2" sqlType="0" hierarchy="0" level="0" databaseField="1">
      <sharedItems count="0" containsNumber="1" containsSemiMixedTypes="0" containsString="0" minValue="1" maxValue="129.55"/>
    </cacheField>
    <cacheField name="Поток" uniqueList="1" numFmtId="0" sqlType="0" hierarchy="0" level="0" databaseField="1">
      <sharedItems count="0" containsBlank="1"/>
    </cacheField>
    <cacheField name="Количества часов по УП" uniqueList="1" numFmtId="0" sqlType="0" hierarchy="0" level="0" databaseField="1">
      <sharedItems count="0" containsBlank="1" containsInteger="1" containsNumber="1" containsString="0" minValue="8" maxValue="96"/>
    </cacheField>
    <cacheField name="Табельный №" uniqueList="1" numFmtId="0" sqlType="0" hierarchy="0" level="0" databaseField="1">
      <sharedItems count="0" containsBlank="1"/>
    </cacheField>
    <cacheField name="ФИО" uniqueList="1" numFmtId="0" sqlType="0" hierarchy="0" level="0" databaseField="1">
      <sharedItems count="29" containsBlank="1">
        <s v="Бендерский Геннадий Петрович "/>
        <s v="Климов Константин Николаевич"/>
        <s v="Бухаров Сергей Викторович"/>
        <s v="Дрягин Иван Олегович"/>
        <s v="Александрова Светлана Сергеевна"/>
        <s v="Власенко Артем Николаевич "/>
        <s v="Луценко Александр Владимирович"/>
        <s v="Дворецкий Виктор Васильевич"/>
        <s v="Гвоздарев Роман Сергеевич"/>
        <s v="Крючков Василий Леонидович "/>
        <s v="Истомина Наталья Леонидовна"/>
        <s v="Белевцев Андрей Михайлович"/>
        <s v="Кубрин Владимир Иванович "/>
        <s v="Анферова Маргарита Сергеевна"/>
        <s v="Садковская Наталия Евгеньевна "/>
        <s v="Молостова Юлия Михайловна"/>
        <s v="Воронин Павел Александрович"/>
        <s v="Епанешникова Ирина Кириковна "/>
        <s v="Садреев Фарид Гайнутдинович"/>
        <s v="Левашова Дарья Вячеславовна"/>
        <m u="1"/>
        <s v="Епанешникова Ирина Кириковна" u="1"/>
        <s v="Бендеркий Геннадий Петрович" u="1"/>
        <s v="Садковская Наталия Евгеньевна" u="1"/>
        <s v="." u="1"/>
        <s v="Бендерский Геннадий Петрович" u="1"/>
        <s v="Власенко Артем Николаевич" u="1"/>
        <s v="Крючков Василий Леонидович" u="1"/>
        <s v="Кубрин Владимир Иванович" u="1"/>
      </sharedItems>
    </cacheField>
    <cacheField name="Должность" uniqueList="1" numFmtId="0" sqlType="0" hierarchy="0" level="0" databaseField="1">
      <sharedItems count="0" containsBlank="1" containsNonDate="0" containsString="0"/>
    </cacheField>
    <cacheField name="65+" uniqueList="1" numFmtId="0" sqlType="0" hierarchy="0" level="0" databaseField="1">
      <sharedItems count="0"/>
    </cacheField>
    <cacheField name="Желаемая аудитория" uniqueList="1" numFmtId="0" sqlType="0" hierarchy="0" level="0" databaseField="1">
      <sharedItems count="0" containsBlank="1" containsNonDate="0" containsString="0"/>
    </cacheField>
    <cacheField name="Описание (пожелания по дням недели, времени, требования по техническому обеспечению аудитории)" uniqueList="1" numFmtId="0" sqlType="0" hierarchy="0" level="0" databaseField="1">
      <sharedItems count="0" containsBlank="1" containsNonDate="0" containsString="0"/>
    </cacheField>
    <cacheField name="осень" uniqueList="1" numFmtId="0" sqlType="0" hierarchy="0" level="0" databaseField="1">
      <sharedItems count="0" containsNumber="1" containsSemiMixedTypes="0" containsString="0" minValue="0" maxValue="334"/>
    </cacheField>
    <cacheField name="весна" uniqueList="1" numFmtId="0" sqlType="0" hierarchy="0" level="0" databaseField="1">
      <sharedItems count="0" containsNumber="1" containsSemiMixedTypes="0" containsString="0" minValue="24" maxValue="392.03"/>
    </cacheField>
    <cacheField name="всего" uniqueList="1" numFmtId="0" sqlType="0" hierarchy="0" level="0" databaseField="1">
      <sharedItems count="0" containsNumber="1" containsSemiMixedTypes="0" containsString="0" minValue="24" maxValue="672.7"/>
    </cacheField>
    <cacheField name="830" uniqueList="1" numFmtId="2" sqlType="0" hierarchy="0" level="0" databaseField="1">
      <sharedItems count="0" containsNumber="1" containsSemiMixedTypes="0" containsString="0" minValue="0.02891566265060241" maxValue="0.8104819277108434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createdVersion="4" refreshedVersion="4" minRefreshableVersion="3" recordCount="895" r:id="rId1">
  <cacheSource type="worksheet">
    <worksheetSource ref="A1:T896" sheet="Нагрузка"/>
  </cacheSource>
  <cacheFields count="20">
    <cacheField name="семестр" uniqueList="1" numFmtId="0" sqlType="0" hierarchy="0" level="0" databaseField="1">
      <sharedItems count="0"/>
    </cacheField>
    <cacheField name="Дисциплина" uniqueList="1" numFmtId="0" sqlType="0" hierarchy="0" level="0" databaseField="1">
      <sharedItems count="0"/>
    </cacheField>
    <cacheField name="Вид нагрузки" uniqueList="1" numFmtId="0" sqlType="0" hierarchy="0" level="0" databaseField="1">
      <sharedItems count="0"/>
    </cacheField>
    <cacheField name="Группы" uniqueList="1" numFmtId="0" sqlType="0" hierarchy="0" level="0" databaseField="1">
      <sharedItems count="0" containsBlank="1"/>
    </cacheField>
    <cacheField name="Нагрузка" uniqueList="1" numFmtId="2" sqlType="0" hierarchy="0" level="0" databaseField="1">
      <sharedItems count="0" containsNumber="1" containsSemiMixedTypes="0" containsString="0" minValue="-1.5" maxValue="80"/>
    </cacheField>
    <cacheField name="Поток" uniqueList="1" numFmtId="0" sqlType="0" hierarchy="0" level="0" databaseField="1">
      <sharedItems count="0" containsBlank="1"/>
    </cacheField>
    <cacheField name="Количества часов по УП" uniqueList="1" sqlType="0" hierarchy="0" level="0" databaseField="1">
      <sharedItems count="0" containsBlank="1" containsInteger="1" containsNumber="1" containsString="0" minValue="8" maxValue="80"/>
    </cacheField>
    <cacheField name="Табельный №" uniqueList="1" numFmtId="0" sqlType="0" hierarchy="0" level="0" databaseField="1">
      <sharedItems count="0" containsBlank="1"/>
    </cacheField>
    <cacheField name="ФИО" uniqueList="1" numFmtId="0" sqlType="0" hierarchy="0" level="0" databaseField="1">
      <sharedItems count="30">
        <s v="Моисеев Виктор Сергеевич"/>
        <s v="Варфоломеев Максим Сергеевич"/>
        <s v="Шляпцева Анастасия Дмитриевна"/>
        <s v="Степанов Владимир Валерьевич"/>
        <s v="Никитина Елена Владимировна"/>
        <s v="э-резерв"/>
        <s v="Бережной Дмитрий Васильевич"/>
        <s v="Ряховский Александр Павлович"/>
        <s v="Петров Игорь Алексеевич"/>
        <s v="Александрова Светлана Сергеевна"/>
        <s v="Барабанова Ольга Алексеевна"/>
        <s v="Шленский Алексей Геннадьевич"/>
        <s v="Петров Анатолий Павлович"/>
        <s v="Федоров Анатолий Александрович"/>
        <s v="Палтиевич Андрей Романович"/>
        <s v="Соколов Алексей Викторович"/>
        <s v="Галкин Виктор Иванович"/>
        <s v="Галкин Евгений Владимирович"/>
        <s v="Преображенский Евгений Владимирович"/>
        <s v="Жаров Максим Владимирович"/>
        <s v="Пашков Игорь Николаевич"/>
        <s v="Серов Михаил Михайлович"/>
        <s v="Кубатина Екатерина Павловна"/>
        <s v="Лозован Александр Александрович"/>
        <s v="Смыков Андрей Федорович"/>
        <s v="Бецофен Сергей Яковлевич"/>
        <s v="Беспалов Александр Владимирович"/>
        <s v="Рипецкий Андрей Владимирович"/>
        <s v="Ленковец Александр Сергеевич"/>
        <s v="э-пустое"/>
      </sharedItems>
    </cacheField>
    <cacheField name="Должность" uniqueList="1" numFmtId="0" sqlType="0" hierarchy="0" level="0" databaseField="1">
      <sharedItems count="0" containsBlank="1" containsNonDate="0" containsString="0"/>
    </cacheField>
    <cacheField name="65+" uniqueList="1" numFmtId="0" sqlType="0" hierarchy="0" level="0" databaseField="1">
      <sharedItems count="0" containsBlank="1"/>
    </cacheField>
    <cacheField name="Желаемая аудитория" uniqueList="1" numFmtId="0" sqlType="0" hierarchy="0" level="0" databaseField="1">
      <sharedItems count="0" containsBlank="1" containsNonDate="0" containsString="0"/>
    </cacheField>
    <cacheField name="Описание (пожелания по дням недели, времени, требования по техническому обеспечению аудитории)" uniqueList="1" numFmtId="0" sqlType="0" hierarchy="0" level="0" databaseField="1">
      <sharedItems count="0" containsBlank="1"/>
    </cacheField>
    <cacheField name="осень" uniqueList="1" numFmtId="0" sqlType="0" hierarchy="0" level="0" databaseField="1">
      <sharedItems count="0" containsNumber="1" containsSemiMixedTypes="0" containsString="0" minValue="0" maxValue="456"/>
    </cacheField>
    <cacheField name="весна" uniqueList="1" numFmtId="0" sqlType="0" hierarchy="0" level="0" databaseField="1">
      <sharedItems count="0" containsNumber="1" containsSemiMixedTypes="0" containsString="0" minValue="0" maxValue="431"/>
    </cacheField>
    <cacheField name="всего" uniqueList="1" numFmtId="0" sqlType="0" hierarchy="0" level="0" databaseField="1">
      <sharedItems count="0" containsNumber="1" containsSemiMixedTypes="0" containsString="0" minValue="1" maxValue="840"/>
    </cacheField>
    <cacheField name="830" uniqueList="1" numFmtId="2" sqlType="0" hierarchy="0" level="0" databaseField="1">
      <sharedItems count="0" containsNumber="1" containsSemiMixedTypes="0" containsString="0" minValue="0.001204819277108434" maxValue="1.012048192771084"/>
    </cacheField>
    <cacheField name="ПЧ20%" uniqueList="1" numFmtId="0" sqlType="0" hierarchy="0" level="0" databaseField="1">
      <sharedItems count="0" containsNumber="1" containsSemiMixedTypes="0" containsString="0" minValue="0.2" maxValue="168"/>
    </cacheField>
    <cacheField name="Ставка-ПЧ" uniqueList="1" numFmtId="0" sqlType="0" hierarchy="0" level="0" databaseField="1">
      <sharedItems count="0" containsNumber="1" containsSemiMixedTypes="0" containsString="0" minValue="0.0009638554216867472" maxValue="0.8096385542168675"/>
    </cacheField>
    <cacheField name="Приказ" uniqueList="1" numFmtId="2" sqlType="0" hierarchy="0" level="0" databaseField="1">
      <sharedItems count="0" containsNumber="1" containsSemiMixedTypes="0" containsString="0" minValue="0" maxValue="0.8"/>
    </cacheField>
  </cacheFields>
</pivotCacheDefinition>
</file>

<file path=xl/pivotCache/pivotCacheRecords1.xml><?xml version="1.0" encoding="utf-8"?>
<pivotCacheRecords xmlns="http://schemas.openxmlformats.org/spreadsheetml/2006/main" count="358">
  <r>
    <s v="осень"/>
    <s v="Руководство кафедрой"/>
    <s v="Руководство кафедрой"/>
    <m/>
    <n v="30"/>
    <m/>
    <m/>
    <s v="82765     "/>
    <x v="0"/>
    <m/>
    <s v="Нет"/>
    <m/>
    <m/>
    <n v="75.33"/>
    <n v="221.33"/>
    <n v="296.66"/>
    <n v="0.3574216867469879"/>
  </r>
  <r>
    <s v="осень"/>
    <s v="Физическая электроника"/>
    <s v="ЛК"/>
    <s v="Т12О-308А-20"/>
    <n v="58"/>
    <s v="14118"/>
    <n v="58"/>
    <s v="94172     "/>
    <x v="1"/>
    <m/>
    <s v="Нет"/>
    <m/>
    <m/>
    <n v="299"/>
    <n v="160"/>
    <n v="459"/>
    <n v="0.5530120481927711"/>
  </r>
  <r>
    <s v="осень"/>
    <s v="Физическая электроника"/>
    <s v="ПЗ"/>
    <s v="Т12О-308А-20"/>
    <n v="12"/>
    <s v="14118"/>
    <n v="12"/>
    <s v="94172     "/>
    <x v="1"/>
    <m/>
    <s v="Нет"/>
    <m/>
    <m/>
    <n v="299"/>
    <n v="160"/>
    <n v="459"/>
    <n v="0.5530120481927711"/>
  </r>
  <r>
    <s v="осень"/>
    <s v="Физическая электроника"/>
    <s v="Экзамен"/>
    <s v="Т12О-308А-20"/>
    <n v="1"/>
    <s v="14118"/>
    <m/>
    <s v="94172     "/>
    <x v="1"/>
    <m/>
    <s v="Нет"/>
    <m/>
    <m/>
    <n v="299"/>
    <n v="160"/>
    <n v="459"/>
    <n v="0.5530120481927711"/>
  </r>
  <r>
    <s v="осень"/>
    <s v="Физическая электроника"/>
    <s v="Консультация"/>
    <s v="Т12О-308А-20"/>
    <n v="5"/>
    <s v="14118"/>
    <m/>
    <s v="94172     "/>
    <x v="1"/>
    <m/>
    <s v="Нет"/>
    <m/>
    <m/>
    <n v="299"/>
    <n v="160"/>
    <n v="459"/>
    <n v="0.5530120481927711"/>
  </r>
  <r>
    <s v="осень"/>
    <s v="Современные технологии производства электронных средств"/>
    <s v="Рейтинг"/>
    <s v="М3О-119М-22"/>
    <n v="4"/>
    <s v="13712"/>
    <m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ЛК"/>
    <s v="М3О-119М-22"/>
    <n v="16"/>
    <s v="13712"/>
    <n v="16"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ПЗ"/>
    <s v="М3О-119М-22"/>
    <n v="12"/>
    <s v="13712"/>
    <n v="12"/>
    <s v="95640     "/>
    <x v="3"/>
    <m/>
    <s v="Нет"/>
    <m/>
    <m/>
    <n v="143"/>
    <n v="196"/>
    <n v="339"/>
    <n v="0.408433734939759"/>
  </r>
  <r>
    <s v="осень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осень"/>
    <s v="Прикладные методы и алгоритмы обработки и защиты данных"/>
    <s v="ЛК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ПЗ"/>
    <s v="М3О-234Б-21"/>
    <n v="16"/>
    <s v="10846"/>
    <n v="16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Экзамен"/>
    <s v="М3О-234Б-21"/>
    <n v="12"/>
    <s v="10846"/>
    <m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Консультация"/>
    <s v="М3О-234Б-21"/>
    <n v="3"/>
    <s v="10846"/>
    <m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ЛК"/>
    <s v="М3О-334Б-20"/>
    <n v="18"/>
    <s v="10846"/>
    <n v="18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ПЗ"/>
    <s v="М3О-334Б-20"/>
    <n v="24"/>
    <s v="10846"/>
    <n v="24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Экзамен"/>
    <s v="М3О-334Б-20"/>
    <n v="11"/>
    <s v="10846"/>
    <m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Консультация"/>
    <s v="М3О-334Б-20"/>
    <n v="3"/>
    <s v="10846"/>
    <m/>
    <s v="94089     "/>
    <x v="6"/>
    <m/>
    <s v="Нет"/>
    <m/>
    <m/>
    <n v="103"/>
    <n v="179"/>
    <n v="282"/>
    <n v="0.3397590361445783"/>
  </r>
  <r>
    <s v="осень"/>
    <s v="Технологии цифровой трансформации высокотехнологичных предприятий"/>
    <s v="ЛК"/>
    <s v="М3О-220М-21"/>
    <n v="8"/>
    <s v="13711"/>
    <n v="8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Зачет с оценкой"/>
    <s v="М3О-220М-21"/>
    <n v="3"/>
    <s v="13711"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120М-22"/>
    <n v="40"/>
    <m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220М-21"/>
    <n v="40"/>
    <s v="13711"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Экзамен"/>
    <s v="М3О-120М-22"/>
    <n v="6"/>
    <m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Консультация"/>
    <s v="М3О-120М-22"/>
    <n v="2"/>
    <m/>
    <m/>
    <s v="93895     "/>
    <x v="7"/>
    <m/>
    <s v="Нет"/>
    <m/>
    <m/>
    <n v="164"/>
    <n v="241"/>
    <n v="405"/>
    <n v="0.4879518072289157"/>
  </r>
  <r>
    <s v="осень"/>
    <s v="Технологии РЭС нового поколения"/>
    <s v="ЛК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ПЗ"/>
    <s v="М3О-219М-21"/>
    <n v="30"/>
    <s v="13712"/>
    <n v="30"/>
    <s v="93746     "/>
    <x v="8"/>
    <m/>
    <s v="Нет"/>
    <m/>
    <m/>
    <n v="54"/>
    <n v="158.18"/>
    <n v="212.18"/>
    <n v="0.2556385542168675"/>
  </r>
  <r>
    <s v="осень"/>
    <s v="Технологии РЭС нового поколения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Проектирование РЭС"/>
    <s v="ЛК"/>
    <s v="М3О-219М-21"/>
    <n v="24"/>
    <s v="13712"/>
    <n v="24"/>
    <s v="82529     "/>
    <x v="9"/>
    <m/>
    <s v="Нет"/>
    <m/>
    <m/>
    <n v="206"/>
    <n v="110"/>
    <n v="316"/>
    <n v="0.380722891566265"/>
  </r>
  <r>
    <s v="осень"/>
    <s v="Проектирование РЭС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"/>
  </r>
  <r>
    <s v="осень"/>
    <s v="Проектирование РЭС"/>
    <s v="ПЗ"/>
    <s v="М3О-219М-21"/>
    <n v="30"/>
    <s v="13712"/>
    <n v="30"/>
    <s v="82529     "/>
    <x v="9"/>
    <m/>
    <s v="Нет"/>
    <m/>
    <m/>
    <n v="206"/>
    <n v="110"/>
    <n v="316"/>
    <n v="0.380722891566265"/>
  </r>
  <r>
    <s v="осень"/>
    <s v="Проектирование РЭС"/>
    <s v="Консультация"/>
    <s v="М3О-219М-21"/>
    <n v="1"/>
    <s v="13712"/>
    <m/>
    <s v="82529     "/>
    <x v="9"/>
    <m/>
    <s v="Нет"/>
    <m/>
    <m/>
    <n v="206"/>
    <n v="110"/>
    <n v="316"/>
    <n v="0.380722891566265"/>
  </r>
  <r>
    <s v="осень"/>
    <s v="Технологии создания интеллектуальных интегрированных производств"/>
    <s v="ЛК"/>
    <s v="М3О-119М-22"/>
    <n v="14"/>
    <s v="13712"/>
    <n v="14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ПЗ"/>
    <s v="М3О-119М-22"/>
    <n v="18"/>
    <s v="13712"/>
    <n v="18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Зачет"/>
    <s v="М3О-119М-22"/>
    <n v="4"/>
    <s v="13712"/>
    <m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Консультация"/>
    <s v="М3О-119М-22"/>
    <n v="1"/>
    <s v="13712"/>
    <m/>
    <s v="93895     "/>
    <x v="7"/>
    <m/>
    <s v="Нет"/>
    <m/>
    <m/>
    <n v="164"/>
    <n v="241"/>
    <n v="405"/>
    <n v="0.4879518072289157"/>
  </r>
  <r>
    <s v="осень"/>
    <s v="Моделирование СВЧ функциональных устройств"/>
    <s v="ЛК"/>
    <s v="М3О-219М-21"/>
    <n v="24"/>
    <s v="13712"/>
    <n v="24"/>
    <s v="94172     "/>
    <x v="1"/>
    <m/>
    <s v="Нет"/>
    <m/>
    <m/>
    <n v="299"/>
    <n v="160"/>
    <n v="459"/>
    <n v="0.5530120481927711"/>
  </r>
  <r>
    <s v="осень"/>
    <s v="Моделирование СВЧ функциональных устройств"/>
    <s v="ПЗ"/>
    <s v="М3О-219М-21"/>
    <n v="30"/>
    <s v="13712"/>
    <n v="30"/>
    <s v="94172     "/>
    <x v="1"/>
    <m/>
    <s v="Нет"/>
    <m/>
    <m/>
    <n v="299"/>
    <n v="160"/>
    <n v="459"/>
    <n v="0.5530120481927711"/>
  </r>
  <r>
    <s v="осень"/>
    <s v="Моделирование СВЧ функциональных устройств"/>
    <s v="Экзамен"/>
    <s v="М3О-219М-21"/>
    <n v="2"/>
    <s v="13712"/>
    <m/>
    <s v="94172     "/>
    <x v="1"/>
    <m/>
    <s v="Нет"/>
    <m/>
    <m/>
    <n v="299"/>
    <n v="160"/>
    <n v="459"/>
    <n v="0.5530120481927711"/>
  </r>
  <r>
    <s v="осень"/>
    <s v="Моделирование СВЧ функциональных устройств"/>
    <s v="Консультация"/>
    <s v="М3О-219М-21"/>
    <n v="3"/>
    <s v="13712"/>
    <m/>
    <s v="94172     "/>
    <x v="1"/>
    <m/>
    <s v="Нет"/>
    <m/>
    <m/>
    <n v="299"/>
    <n v="160"/>
    <n v="459"/>
    <n v="0.5530120481927711"/>
  </r>
  <r>
    <s v="осень"/>
    <s v="Технологии технологического бизнеса и стартапов"/>
    <s v="ЛК"/>
    <s v="М3О-119М-22"/>
    <n v="16"/>
    <s v="13712"/>
    <n v="16"/>
    <s v="97722     "/>
    <x v="10"/>
    <m/>
    <s v="Нет"/>
    <m/>
    <m/>
    <n v="160.33"/>
    <n v="148.33"/>
    <n v="308.66"/>
    <n v="0.3718795180722891"/>
  </r>
  <r>
    <s v="осень"/>
    <s v="Технологии технологического бизнеса и стартапов"/>
    <s v="Зачет"/>
    <s v="М3О-119М-22"/>
    <n v="4"/>
    <s v="13712"/>
    <m/>
    <s v="97722     "/>
    <x v="10"/>
    <m/>
    <s v="Нет"/>
    <m/>
    <m/>
    <n v="160.33"/>
    <n v="148.33"/>
    <n v="308.66"/>
    <n v="0.3718795180722891"/>
  </r>
  <r>
    <s v="осень"/>
    <s v="Технологии технологического бизнеса и стартапов"/>
    <s v="Консультация"/>
    <s v="М3О-119М-22"/>
    <n v="1"/>
    <s v="13712"/>
    <m/>
    <s v="97722     "/>
    <x v="10"/>
    <m/>
    <s v="Нет"/>
    <m/>
    <m/>
    <n v="160.33"/>
    <n v="148.33"/>
    <n v="308.66"/>
    <n v="0.3718795180722891"/>
  </r>
  <r>
    <s v="осень"/>
    <s v="Технологии автоматизированного проектирования элементов и устройств радиоэлектронных средств"/>
    <s v="ЛК"/>
    <s v="М3О-334Б-20"/>
    <n v="16"/>
    <s v="10846"/>
    <n v="16"/>
    <s v="82529     "/>
    <x v="9"/>
    <m/>
    <s v="Нет"/>
    <m/>
    <m/>
    <n v="206"/>
    <n v="110"/>
    <n v="316"/>
    <n v="0.380722891566265"/>
  </r>
  <r>
    <s v="осень"/>
    <s v="Технологии автоматизированного проектирования элементов и устройств радиоэлектронных средств"/>
    <s v="Зачет с оценкой"/>
    <s v="М3О-334Б-20"/>
    <n v="8"/>
    <s v="10846"/>
    <m/>
    <s v="82529     "/>
    <x v="9"/>
    <m/>
    <s v="Нет"/>
    <m/>
    <m/>
    <n v="206"/>
    <n v="110"/>
    <n v="316"/>
    <n v="0.380722891566265"/>
  </r>
  <r>
    <s v="осень"/>
    <s v="Технологии автоматизированного проектирования элементов и устройств радиоэлектронных средств"/>
    <s v="ПЗ"/>
    <s v="М3О-334Б-20"/>
    <n v="16"/>
    <s v="10846"/>
    <n v="16"/>
    <s v="82529     "/>
    <x v="9"/>
    <m/>
    <s v="Нет"/>
    <m/>
    <m/>
    <n v="206"/>
    <n v="110"/>
    <n v="316"/>
    <n v="0.380722891566265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82529     "/>
    <x v="9"/>
    <m/>
    <s v="Нет"/>
    <m/>
    <m/>
    <n v="206"/>
    <n v="110"/>
    <n v="316"/>
    <n v="0.380722891566265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95640     "/>
    <x v="3"/>
    <m/>
    <s v="Нет"/>
    <m/>
    <m/>
    <n v="143"/>
    <n v="196"/>
    <n v="339"/>
    <n v="0.408433734939759"/>
  </r>
  <r>
    <s v="осень"/>
    <s v="Технологии автоматизированного проектирования элементов и устройств радиоэлектронных средств"/>
    <s v="Консультация"/>
    <s v="М3О-334Б-20"/>
    <n v="1"/>
    <s v="10846"/>
    <m/>
    <s v="82529     "/>
    <x v="9"/>
    <m/>
    <s v="Нет"/>
    <m/>
    <m/>
    <n v="206"/>
    <n v="110"/>
    <n v="316"/>
    <n v="0.380722891566265"/>
  </r>
  <r>
    <s v="осень"/>
    <s v="Программируемая элементная база"/>
    <s v="ЛК"/>
    <s v="М3О-219М-21"/>
    <n v="14"/>
    <s v="13712"/>
    <n v="14"/>
    <s v="82529     "/>
    <x v="9"/>
    <m/>
    <s v="Нет"/>
    <m/>
    <m/>
    <n v="206"/>
    <n v="110"/>
    <n v="316"/>
    <n v="0.380722891566265"/>
  </r>
  <r>
    <s v="осень"/>
    <s v="Программируемая элементная база"/>
    <s v="КР"/>
    <s v="М3О-219М-21"/>
    <n v="12"/>
    <s v="13712"/>
    <m/>
    <s v="82529     "/>
    <x v="9"/>
    <m/>
    <s v="Нет"/>
    <m/>
    <m/>
    <n v="206"/>
    <n v="110"/>
    <n v="316"/>
    <n v="0.380722891566265"/>
  </r>
  <r>
    <s v="осень"/>
    <s v="Программируемая элементная база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"/>
  </r>
  <r>
    <s v="осень"/>
    <s v="Программируемая элементная база"/>
    <s v="ЛР"/>
    <s v="М3О-219М-21"/>
    <n v="16"/>
    <s v="13712"/>
    <n v="16"/>
    <s v="82529     "/>
    <x v="9"/>
    <m/>
    <s v="Нет"/>
    <m/>
    <m/>
    <n v="206"/>
    <n v="110"/>
    <n v="316"/>
    <n v="0.380722891566265"/>
  </r>
  <r>
    <s v="осень"/>
    <s v="Программируемая элементная база"/>
    <s v="Консультация"/>
    <s v="М3О-219М-21"/>
    <n v="1"/>
    <s v="13712"/>
    <m/>
    <s v="82529     "/>
    <x v="9"/>
    <m/>
    <s v="Нет"/>
    <m/>
    <m/>
    <n v="206"/>
    <n v="110"/>
    <n v="316"/>
    <n v="0.380722891566265"/>
  </r>
  <r>
    <s v="осень"/>
    <s v="Стратегический анализ направлений инновационного развития высокотехнологических предприятиях"/>
    <s v="ЛК"/>
    <s v="М3О-219М-21"/>
    <n v="26"/>
    <s v="13712"/>
    <n v="26"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ПЗ"/>
    <s v="М3О-219М-21"/>
    <n v="28"/>
    <s v="13712"/>
    <n v="28"/>
    <s v="93895     "/>
    <x v="7"/>
    <m/>
    <s v="Нет"/>
    <m/>
    <m/>
    <n v="164"/>
    <n v="241"/>
    <n v="405"/>
    <n v="0.4879518072289157"/>
  </r>
  <r>
    <s v="осень"/>
    <s v="Стратегический анализ направлений инновационного развития высокотехнологических предприятиях"/>
    <s v="Экзамен"/>
    <s v="М3О-219М-21"/>
    <n v="2"/>
    <s v="13712"/>
    <m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Консультация"/>
    <s v="М3О-219М-21"/>
    <n v="3"/>
    <s v="13712"/>
    <m/>
    <s v="91852     "/>
    <x v="11"/>
    <m/>
    <s v="Да"/>
    <m/>
    <m/>
    <n v="96"/>
    <n v="367"/>
    <n v="463"/>
    <n v="0.5578313253012048"/>
  </r>
  <r>
    <s v="осень"/>
    <s v="Современные технологии сборочных производств радиоэлектронных средств"/>
    <s v="ЛК"/>
    <s v="М3О-220М-21"/>
    <n v="8"/>
    <s v="13711"/>
    <n v="8"/>
    <s v="81877     "/>
    <x v="12"/>
    <m/>
    <s v="Да"/>
    <m/>
    <m/>
    <n v="270.67"/>
    <n v="355.03"/>
    <n v="625.7"/>
    <n v="0.753855421686747"/>
  </r>
  <r>
    <s v="осень"/>
    <s v="Современные технологии сборочных производств радиоэлектронных средств"/>
    <s v="ЛК"/>
    <s v="М3О-119М-22"/>
    <n v="14"/>
    <s v="13712"/>
    <n v="14"/>
    <s v="81877     "/>
    <x v="12"/>
    <m/>
    <s v="Да"/>
    <m/>
    <m/>
    <n v="270.67"/>
    <n v="355.03"/>
    <n v="625.7"/>
    <n v="0.753855421686747"/>
  </r>
  <r>
    <s v="осень"/>
    <s v="Современные технологии сборочных производств радиоэлектронных средств"/>
    <s v="Зачет с оценкой"/>
    <s v="М3О-119М-22"/>
    <n v="4"/>
    <s v="13712"/>
    <m/>
    <s v="81877     "/>
    <x v="12"/>
    <m/>
    <s v="Да"/>
    <m/>
    <m/>
    <n v="270.67"/>
    <n v="355.03"/>
    <n v="625.7"/>
    <n v="0.753855421686747"/>
  </r>
  <r>
    <s v="осень"/>
    <s v="Современные технологии сборочных производств радиоэлектронных средств"/>
    <s v="ПЗ"/>
    <s v="М3О-220М-21"/>
    <n v="24"/>
    <s v="13711"/>
    <n v="24"/>
    <s v="95640     "/>
    <x v="3"/>
    <m/>
    <s v="Нет"/>
    <m/>
    <m/>
    <n v="143"/>
    <n v="196"/>
    <n v="339"/>
    <n v="0.408433734939759"/>
  </r>
  <r>
    <s v="осень"/>
    <s v="Современные технологии сборочных производств радиоэлектронных средств"/>
    <s v="ПЗ"/>
    <s v="М3О-119М-22"/>
    <n v="40"/>
    <s v="13712"/>
    <n v="40"/>
    <s v="95640     "/>
    <x v="3"/>
    <m/>
    <s v="Нет"/>
    <m/>
    <m/>
    <n v="143"/>
    <n v="196"/>
    <n v="339"/>
    <n v="0.408433734939759"/>
  </r>
  <r>
    <s v="осень"/>
    <s v="Современные технологии сборочных производств радиоэлектронных средств"/>
    <s v="Зачет"/>
    <s v="М3О-220М-21"/>
    <n v="3"/>
    <s v="13711"/>
    <m/>
    <s v="81877     "/>
    <x v="12"/>
    <m/>
    <s v="Да"/>
    <m/>
    <m/>
    <n v="270.67"/>
    <n v="355.03"/>
    <n v="625.7"/>
    <n v="0.753855421686747"/>
  </r>
  <r>
    <s v="осень"/>
    <s v="Современные технологии сборочных производств радиоэлектронных средств"/>
    <s v="Консультация"/>
    <s v="М3О-119М-22"/>
    <n v="1"/>
    <s v="13712"/>
    <m/>
    <s v="81877     "/>
    <x v="12"/>
    <m/>
    <s v="Да"/>
    <m/>
    <m/>
    <n v="270.67"/>
    <n v="355.03"/>
    <n v="625.7"/>
    <n v="0.753855421686747"/>
  </r>
  <r>
    <s v="осень"/>
    <s v="Структура программного обеспечения и базы данных"/>
    <s v="ЛК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Р"/>
    <s v="М3О-234Б-21"/>
    <n v="69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ПЗ"/>
    <s v="М3О-234Б-21"/>
    <n v="24"/>
    <s v="10846"/>
    <n v="24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3681     "/>
    <x v="13"/>
    <m/>
    <s v="Нет"/>
    <m/>
    <m/>
    <n v="128"/>
    <n v="130"/>
    <n v="258"/>
    <n v="0.3108433734939759"/>
  </r>
  <r>
    <s v="осень"/>
    <s v="Структура программного обеспечения и базы данных"/>
    <s v="Экзамен"/>
    <s v="М3О-234Б-21"/>
    <n v="12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онсультация"/>
    <s v="М3О-234Б-21"/>
    <n v="4"/>
    <s v="10846"/>
    <m/>
    <s v="97409     "/>
    <x v="4"/>
    <m/>
    <s v="Нет"/>
    <m/>
    <m/>
    <n v="205"/>
    <n v="112"/>
    <n v="317"/>
    <n v="0.3819277108433735"/>
  </r>
  <r>
    <s v="осень"/>
    <s v="Программирование цифровых устройств электронных средств"/>
    <s v="ЛК"/>
    <s v="М3О-219М-21"/>
    <n v="16"/>
    <s v="13712"/>
    <n v="16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ПЗ"/>
    <s v="М3О-219М-21"/>
    <n v="32"/>
    <s v="13712"/>
    <n v="32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ЛР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Системный анализ  и теория принятия решений"/>
    <s v="ЛК"/>
    <s v="М3О-234Б-21"/>
    <n v="32"/>
    <s v="10846"/>
    <n v="32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ПЗ"/>
    <s v="М3О-234Б-21"/>
    <n v="64"/>
    <s v="10846"/>
    <n v="64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Экзамен"/>
    <s v="М3О-234Б-21"/>
    <n v="12"/>
    <s v="10846"/>
    <m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Консультация"/>
    <s v="М3О-234Б-21"/>
    <n v="4"/>
    <s v="10846"/>
    <m/>
    <s v="93681     "/>
    <x v="13"/>
    <m/>
    <s v="Нет"/>
    <m/>
    <m/>
    <n v="128"/>
    <n v="130"/>
    <n v="258"/>
    <n v="0.3108433734939759"/>
  </r>
  <r>
    <s v="осень"/>
    <s v="Теория инноваций"/>
    <s v="ЛК"/>
    <s v="М3О-334Б-20"/>
    <n v="26"/>
    <s v="10846"/>
    <n v="26"/>
    <s v="81877     "/>
    <x v="12"/>
    <m/>
    <s v="Да"/>
    <m/>
    <m/>
    <n v="270.67"/>
    <n v="355.03"/>
    <n v="625.7"/>
    <n v="0.753855421686747"/>
  </r>
  <r>
    <s v="осень"/>
    <s v="Теория инноваций"/>
    <s v="ПЗ"/>
    <s v="М3О-334Б-20"/>
    <n v="24"/>
    <s v="10846"/>
    <n v="24"/>
    <s v="81877     "/>
    <x v="12"/>
    <m/>
    <s v="Да"/>
    <m/>
    <m/>
    <n v="270.67"/>
    <n v="355.03"/>
    <n v="625.7"/>
    <n v="0.753855421686747"/>
  </r>
  <r>
    <s v="осень"/>
    <s v="Теория инноваций"/>
    <s v="ЛР"/>
    <s v="М3О-334Б-20"/>
    <n v="16"/>
    <s v="10846"/>
    <n v="16"/>
    <s v="81877     "/>
    <x v="12"/>
    <m/>
    <s v="Да"/>
    <m/>
    <m/>
    <n v="270.67"/>
    <n v="355.03"/>
    <n v="625.7"/>
    <n v="0.753855421686747"/>
  </r>
  <r>
    <s v="осень"/>
    <s v="Теория инноваций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Теория инноваций"/>
    <s v="Экзамен"/>
    <s v="М3О-334Б-20"/>
    <n v="11"/>
    <s v="10846"/>
    <m/>
    <s v="81877     "/>
    <x v="12"/>
    <m/>
    <s v="Да"/>
    <m/>
    <m/>
    <n v="270.67"/>
    <n v="355.03"/>
    <n v="625.7"/>
    <n v="0.753855421686747"/>
  </r>
  <r>
    <s v="осень"/>
    <s v="Теория инноваций"/>
    <s v="Консультация"/>
    <s v="М3О-334Б-20"/>
    <n v="3"/>
    <s v="10846"/>
    <m/>
    <s v="81877     "/>
    <x v="12"/>
    <m/>
    <s v="Да"/>
    <m/>
    <m/>
    <n v="270.67"/>
    <n v="355.03"/>
    <n v="625.7"/>
    <n v="0.753855421686747"/>
  </r>
  <r>
    <s v="осень"/>
    <s v="Технологии нововведений"/>
    <s v="ЛК"/>
    <s v="М3О-436Б-19"/>
    <n v="18"/>
    <s v="13501"/>
    <n v="18"/>
    <m/>
    <x v="10"/>
    <m/>
    <s v="Нет"/>
    <m/>
    <m/>
    <n v="160.33"/>
    <n v="148.33"/>
    <n v="308.66"/>
    <n v="0.3718795180722891"/>
  </r>
  <r>
    <s v="осень"/>
    <s v="Технологии нововведений"/>
    <s v="ПЗ"/>
    <s v="М3О-436Б-19"/>
    <n v="28"/>
    <s v="13501"/>
    <n v="28"/>
    <s v="97722     "/>
    <x v="10"/>
    <m/>
    <s v="Нет"/>
    <m/>
    <m/>
    <n v="160.33"/>
    <n v="148.33"/>
    <n v="308.66"/>
    <n v="0.3718795180722891"/>
  </r>
  <r>
    <s v="осень"/>
    <s v="Технологии нововведений"/>
    <s v="ЛР"/>
    <s v="М3О-436Б-19"/>
    <n v="32"/>
    <s v="13501"/>
    <n v="16"/>
    <s v="97722     "/>
    <x v="10"/>
    <m/>
    <s v="Нет"/>
    <m/>
    <m/>
    <n v="160.33"/>
    <n v="148.33"/>
    <n v="308.66"/>
    <n v="0.3718795180722891"/>
  </r>
  <r>
    <s v="осень"/>
    <s v="Технологии нововведений"/>
    <s v="Экзамен"/>
    <s v="М3О-436Б-19"/>
    <n v="10"/>
    <s v="13501"/>
    <m/>
    <s v="97722     "/>
    <x v="10"/>
    <m/>
    <s v="Нет"/>
    <m/>
    <m/>
    <n v="160.33"/>
    <n v="148.33"/>
    <n v="308.66"/>
    <n v="0.3718795180722891"/>
  </r>
  <r>
    <s v="осень"/>
    <s v="Технологии нововведений"/>
    <s v="Консультация"/>
    <s v="М3О-436Б-19"/>
    <n v="3"/>
    <s v="13501"/>
    <m/>
    <s v="97722     "/>
    <x v="10"/>
    <m/>
    <s v="Нет"/>
    <m/>
    <m/>
    <n v="160.33"/>
    <n v="148.33"/>
    <n v="308.66"/>
    <n v="0.3718795180722891"/>
  </r>
  <r>
    <s v="осень"/>
    <s v="Прикладные системы ИПИ технологий"/>
    <s v="ЛК"/>
    <s v="М3О-436Б-19"/>
    <n v="24"/>
    <s v="13501"/>
    <n v="24"/>
    <m/>
    <x v="5"/>
    <m/>
    <s v="Нет"/>
    <m/>
    <m/>
    <n v="334"/>
    <n v="215"/>
    <n v="549"/>
    <n v="0.6614457831325301"/>
  </r>
  <r>
    <s v="осень"/>
    <s v="Прикладные системы ИПИ технологий"/>
    <s v="КР"/>
    <s v="М3О-436Б-19"/>
    <n v="57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ПЗ"/>
    <s v="М3О-436Б-19"/>
    <n v="26"/>
    <s v="13501"/>
    <n v="2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ЛР"/>
    <s v="М3О-436Б-19"/>
    <n v="32"/>
    <s v="13501"/>
    <n v="1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Экзамен"/>
    <s v="М3О-436Б-19"/>
    <n v="10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Консультация"/>
    <s v="М3О-436Б-19"/>
    <n v="3"/>
    <s v="13501"/>
    <m/>
    <s v="82021     "/>
    <x v="5"/>
    <m/>
    <s v="Нет"/>
    <m/>
    <m/>
    <n v="334"/>
    <n v="215"/>
    <n v="549"/>
    <n v="0.6614457831325301"/>
  </r>
  <r>
    <s v="осень"/>
    <s v="Инфраструктура нововведений"/>
    <s v="ЛК"/>
    <s v="М3О-334Б-20"/>
    <n v="34"/>
    <s v="10846"/>
    <n v="34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ПЗ"/>
    <s v="М3О-334Б-20"/>
    <n v="30"/>
    <s v="10846"/>
    <n v="30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81877     "/>
    <x v="12"/>
    <m/>
    <s v="Да"/>
    <m/>
    <m/>
    <n v="270.67"/>
    <n v="355.03"/>
    <n v="625.7"/>
    <n v="0.753855421686747"/>
  </r>
  <r>
    <s v="осень"/>
    <s v="Инфраструктура нововведений"/>
    <s v="Экзамен"/>
    <s v="М3О-334Б-20"/>
    <n v="11"/>
    <s v="10846"/>
    <m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Консультация"/>
    <s v="М3О-334Б-20"/>
    <n v="4"/>
    <s v="10846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ЛК"/>
    <s v="М3О-134Б-22, М3О-136Б-22"/>
    <n v="28"/>
    <s v="16272"/>
    <n v="2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4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6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4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6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4Б-22"/>
    <n v="1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6Б-22"/>
    <n v="1"/>
    <s v="16272"/>
    <m/>
    <s v="90109     "/>
    <x v="14"/>
    <m/>
    <s v="Нет"/>
    <m/>
    <m/>
    <n v="332.33"/>
    <n v="309.88"/>
    <n v="642.21"/>
    <n v="0.7737469879518073"/>
  </r>
  <r>
    <s v="осень"/>
    <s v="Современные информационные технологии проектирования электронных средств"/>
    <s v="ЛК"/>
    <s v="М3О-219М-21"/>
    <n v="14"/>
    <s v="13712"/>
    <n v="14"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ПЗ"/>
    <s v="М3О-219М-21"/>
    <n v="24"/>
    <s v="13712"/>
    <n v="24"/>
    <s v="95640     "/>
    <x v="3"/>
    <m/>
    <s v="Нет"/>
    <m/>
    <m/>
    <n v="143"/>
    <n v="196"/>
    <n v="339"/>
    <n v="0.408433734939759"/>
  </r>
  <r>
    <s v="осень"/>
    <s v="Современные информационные технологии проектирования электронных средств"/>
    <s v="ЛР"/>
    <s v="М3О-219М-21"/>
    <n v="16"/>
    <s v="13712"/>
    <n v="16"/>
    <s v="95640     "/>
    <x v="3"/>
    <m/>
    <s v="Нет"/>
    <m/>
    <m/>
    <n v="143"/>
    <n v="196"/>
    <n v="339"/>
    <n v="0.408433734939759"/>
  </r>
  <r>
    <s v="осень"/>
    <s v="Современные информационные технологии проектирования электронных средств"/>
    <s v="Экзамен"/>
    <s v="М3О-219М-21"/>
    <n v="2"/>
    <s v="13712"/>
    <m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Консультация"/>
    <s v="М3О-219М-21"/>
    <n v="3"/>
    <s v="13712"/>
    <m/>
    <s v="95640     "/>
    <x v="3"/>
    <m/>
    <s v="Нет"/>
    <m/>
    <m/>
    <n v="143"/>
    <n v="196"/>
    <n v="339"/>
    <n v="0.408433734939759"/>
  </r>
  <r>
    <s v="осень"/>
    <s v="Математическое моделирование, численные методы и комплексы программ"/>
    <s v="ЛК"/>
    <s v="М3О-308А-20"/>
    <n v="68"/>
    <s v="15862"/>
    <n v="68"/>
    <s v="94172     "/>
    <x v="1"/>
    <m/>
    <s v="Нет"/>
    <m/>
    <m/>
    <n v="299"/>
    <n v="160"/>
    <n v="459"/>
    <n v="0.5530120481927711"/>
  </r>
  <r>
    <s v="осень"/>
    <s v="Математическое моделирование, численные методы и комплексы программ"/>
    <s v="ПЗ"/>
    <s v="М3О-308А-20"/>
    <n v="20"/>
    <s v="15862"/>
    <n v="20"/>
    <s v="94172     "/>
    <x v="1"/>
    <m/>
    <s v="Нет"/>
    <m/>
    <m/>
    <n v="299"/>
    <n v="160"/>
    <n v="459"/>
    <n v="0.5530120481927711"/>
  </r>
  <r>
    <s v="осень"/>
    <s v="Математическое моделирование, численные методы и комплексы программ"/>
    <s v="Экзамен"/>
    <s v="М3О-308А-20"/>
    <n v="1"/>
    <s v="15862"/>
    <m/>
    <s v="94172     "/>
    <x v="1"/>
    <m/>
    <s v="Нет"/>
    <m/>
    <m/>
    <n v="299"/>
    <n v="160"/>
    <n v="459"/>
    <n v="0.5530120481927711"/>
  </r>
  <r>
    <s v="осень"/>
    <s v="Математическое моделирование, численные методы и комплексы программ"/>
    <s v="Консультация"/>
    <s v="М3О-308А-20"/>
    <n v="5"/>
    <s v="15862"/>
    <m/>
    <s v="94172     "/>
    <x v="1"/>
    <m/>
    <s v="Нет"/>
    <m/>
    <m/>
    <n v="299"/>
    <n v="160"/>
    <n v="459"/>
    <n v="0.5530120481927711"/>
  </r>
  <r>
    <s v="осень"/>
    <s v="Моделирование бизнес процессов и основа предпринимательства"/>
    <s v="ЛК"/>
    <s v="М3О-119М-22"/>
    <n v="14"/>
    <s v="13712"/>
    <n v="14"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ПЗ"/>
    <s v="М3О-119М-22"/>
    <n v="18"/>
    <s v="13712"/>
    <n v="18"/>
    <s v="97630     "/>
    <x v="16"/>
    <m/>
    <s v="Нет"/>
    <m/>
    <m/>
    <n v="97"/>
    <n v="80"/>
    <n v="177"/>
    <n v="0.2132530120481928"/>
  </r>
  <r>
    <s v="осень"/>
    <s v="Моделирование бизнес процессов и основа предпринимательства"/>
    <s v="Зачет"/>
    <s v="М3О-119М-22"/>
    <n v="4"/>
    <s v="13712"/>
    <m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Консультация"/>
    <s v="М3О-119М-22"/>
    <n v="1"/>
    <s v="13712"/>
    <m/>
    <s v="97630     "/>
    <x v="16"/>
    <m/>
    <s v="Нет"/>
    <m/>
    <m/>
    <n v="97"/>
    <n v="80"/>
    <n v="177"/>
    <n v="0.2132530120481928"/>
  </r>
  <r>
    <s v="осень"/>
    <s v="Автоматизация технологических процессов"/>
    <s v="ЛК"/>
    <s v="М3О-120М-22"/>
    <n v="16"/>
    <s v="13711"/>
    <n v="16"/>
    <s v="81877     "/>
    <x v="12"/>
    <m/>
    <s v="Да"/>
    <m/>
    <m/>
    <n v="270.67"/>
    <n v="355.03"/>
    <n v="625.7"/>
    <n v="0.753855421686747"/>
  </r>
  <r>
    <s v="осень"/>
    <s v="Автоматизация технологических процессов"/>
    <s v="ПЗ"/>
    <s v="М3О-120М-22"/>
    <n v="40"/>
    <s v="13711"/>
    <n v="40"/>
    <s v="81877     "/>
    <x v="12"/>
    <m/>
    <s v="Да"/>
    <m/>
    <m/>
    <n v="270.67"/>
    <n v="355.03"/>
    <n v="625.7"/>
    <n v="0.753855421686747"/>
  </r>
  <r>
    <s v="осень"/>
    <s v="Автоматизация технологических процессов"/>
    <s v="ЛР"/>
    <s v="М3О-120М-22"/>
    <n v="16"/>
    <s v="13711"/>
    <n v="16"/>
    <s v="81877     "/>
    <x v="12"/>
    <m/>
    <s v="Да"/>
    <m/>
    <m/>
    <n v="270.67"/>
    <n v="355.03"/>
    <n v="625.7"/>
    <n v="0.753855421686747"/>
  </r>
  <r>
    <s v="осень"/>
    <s v="Автоматизация технологических процессов"/>
    <s v="Экзамен"/>
    <s v="М3О-120М-22"/>
    <n v="6"/>
    <s v="13711"/>
    <m/>
    <s v="81877     "/>
    <x v="12"/>
    <m/>
    <s v="Да"/>
    <m/>
    <m/>
    <n v="270.67"/>
    <n v="355.03"/>
    <n v="625.7"/>
    <n v="0.753855421686747"/>
  </r>
  <r>
    <s v="осень"/>
    <s v="Автоматизация технологических процессов"/>
    <s v="Консультация"/>
    <s v="М3О-120М-22"/>
    <n v="3"/>
    <s v="13711"/>
    <m/>
    <s v="81877     "/>
    <x v="12"/>
    <m/>
    <s v="Да"/>
    <m/>
    <m/>
    <n v="270.67"/>
    <n v="355.03"/>
    <n v="625.7"/>
    <n v="0.753855421686747"/>
  </r>
  <r>
    <s v="осень"/>
    <s v="Моделирование бизнес-процессов"/>
    <s v="ЛК"/>
    <s v="М3О-436Б-19"/>
    <n v="16"/>
    <s v="13501"/>
    <n v="16"/>
    <m/>
    <x v="15"/>
    <m/>
    <s v="Нет"/>
    <m/>
    <m/>
    <n v="47"/>
    <n v="89"/>
    <n v="136"/>
    <n v="0.163855421686747"/>
  </r>
  <r>
    <s v="осень"/>
    <s v="Моделирование бизнес-процессов"/>
    <s v="ПЗ"/>
    <s v="М3О-436Б-19"/>
    <n v="46"/>
    <s v="13501"/>
    <n v="46"/>
    <s v="97630     "/>
    <x v="16"/>
    <m/>
    <s v="Нет"/>
    <m/>
    <m/>
    <n v="97"/>
    <n v="80"/>
    <n v="177"/>
    <n v="0.2132530120481928"/>
  </r>
  <r>
    <s v="осень"/>
    <s v="Моделирование бизнес-процессов"/>
    <s v="ЛР"/>
    <s v="М3О-436Б-19"/>
    <n v="32"/>
    <s v="13501"/>
    <n v="16"/>
    <s v="97630     "/>
    <x v="16"/>
    <m/>
    <s v="Нет"/>
    <m/>
    <m/>
    <n v="97"/>
    <n v="80"/>
    <n v="177"/>
    <n v="0.2132530120481928"/>
  </r>
  <r>
    <s v="осень"/>
    <s v="Моделирование бизнес-процессов"/>
    <s v="Экзамен"/>
    <s v="М3О-436Б-19"/>
    <n v="10"/>
    <s v="13501"/>
    <m/>
    <s v="96199     "/>
    <x v="15"/>
    <m/>
    <s v="Нет"/>
    <m/>
    <m/>
    <n v="47"/>
    <n v="89"/>
    <n v="136"/>
    <n v="0.163855421686747"/>
  </r>
  <r>
    <s v="осень"/>
    <s v="Моделирование бизнес-процессов"/>
    <s v="Консультация"/>
    <s v="М3О-436Б-19"/>
    <n v="3"/>
    <s v="13501"/>
    <m/>
    <s v="96199     "/>
    <x v="15"/>
    <m/>
    <s v="Нет"/>
    <m/>
    <m/>
    <n v="47"/>
    <n v="89"/>
    <n v="136"/>
    <n v="0.163855421686747"/>
  </r>
  <r>
    <s v="осень"/>
    <s v="Технологии искусственного интеллекта и обучающие системы"/>
    <s v="ЛК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ПЗ"/>
    <s v="М3О-220М-21"/>
    <n v="48"/>
    <s v="13711"/>
    <n v="48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ЛР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Экзамен"/>
    <s v="М3О-220М-21"/>
    <n v="4"/>
    <s v="13711"/>
    <m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Консультация"/>
    <s v="М3О-220М-21"/>
    <n v="3"/>
    <s v="13711"/>
    <m/>
    <s v="82021     "/>
    <x v="5"/>
    <m/>
    <s v="Нет"/>
    <m/>
    <m/>
    <n v="334"/>
    <n v="215"/>
    <n v="549"/>
    <n v="0.6614457831325301"/>
  </r>
  <r>
    <s v="осень"/>
    <s v="Введение в авиационную и ракетно-космическую технику"/>
    <s v="ЛК"/>
    <s v="М3О-134Б-22, М3О-136Б-22"/>
    <n v="26"/>
    <s v="16272"/>
    <n v="26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4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6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4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6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4Б-22"/>
    <n v="1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6Б-22"/>
    <n v="1"/>
    <s v="16272"/>
    <m/>
    <s v="98323     "/>
    <x v="2"/>
    <m/>
    <s v="Да"/>
    <m/>
    <m/>
    <n v="230"/>
    <n v="121.18"/>
    <n v="351.18"/>
    <n v="0.4231084337349398"/>
  </r>
  <r>
    <s v="осень"/>
    <s v="Организация производства"/>
    <s v="ЛК"/>
    <s v="М3О-312А-20"/>
    <n v="68"/>
    <s v="15863"/>
    <n v="68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ПЗ"/>
    <s v="М3О-312А-20"/>
    <n v="20"/>
    <s v="15863"/>
    <n v="20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Экзамен"/>
    <s v="М3О-312А-20"/>
    <n v="1"/>
    <s v="15863"/>
    <m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Консультация"/>
    <s v="М3О-312А-20"/>
    <n v="5"/>
    <s v="15863"/>
    <m/>
    <s v="90109     "/>
    <x v="14"/>
    <m/>
    <s v="Нет"/>
    <m/>
    <m/>
    <n v="332.33"/>
    <n v="309.88"/>
    <n v="642.21"/>
    <n v="0.7737469879518073"/>
  </r>
  <r>
    <s v="осень"/>
    <s v="Основы микроэлектроники"/>
    <s v="ЛК"/>
    <s v="М3О-334Б-20"/>
    <n v="34"/>
    <s v="10846"/>
    <n v="34"/>
    <s v="83003     "/>
    <x v="17"/>
    <m/>
    <s v="Да"/>
    <m/>
    <m/>
    <n v="280.67"/>
    <n v="392.03"/>
    <n v="672.7"/>
    <n v="0.8104819277108434"/>
  </r>
  <r>
    <s v="осень"/>
    <s v="Основы микроэлектроники"/>
    <s v="КР"/>
    <s v="М3О-334Б-20"/>
    <n v="66"/>
    <s v="10846"/>
    <m/>
    <s v="83003     "/>
    <x v="17"/>
    <m/>
    <s v="Да"/>
    <m/>
    <m/>
    <n v="280.67"/>
    <n v="392.03"/>
    <n v="672.7"/>
    <n v="0.8104819277108434"/>
  </r>
  <r>
    <s v="осень"/>
    <s v="Основы микроэлектроники"/>
    <s v="Зачет с оценкой"/>
    <s v="М3О-334Б-20"/>
    <n v="8"/>
    <s v="10846"/>
    <m/>
    <s v="83003     "/>
    <x v="17"/>
    <m/>
    <s v="Да"/>
    <m/>
    <m/>
    <n v="280.67"/>
    <n v="392.03"/>
    <n v="672.7"/>
    <n v="0.8104819277108434"/>
  </r>
  <r>
    <s v="осень"/>
    <s v="Основы микроэлектроники"/>
    <s v="ПЗ"/>
    <s v="М3О-334Б-20"/>
    <n v="16"/>
    <s v="10846"/>
    <n v="16"/>
    <s v="83003     "/>
    <x v="17"/>
    <m/>
    <s v="Да"/>
    <m/>
    <m/>
    <n v="280.67"/>
    <n v="392.03"/>
    <n v="672.7"/>
    <n v="0.8104819277108434"/>
  </r>
  <r>
    <s v="осень"/>
    <s v="Основы микроэлектроники"/>
    <s v="ЛР"/>
    <s v="М3О-334Б-20"/>
    <n v="16"/>
    <s v="10846"/>
    <n v="16"/>
    <s v="83003     "/>
    <x v="17"/>
    <m/>
    <s v="Да"/>
    <m/>
    <m/>
    <n v="280.67"/>
    <n v="392.03"/>
    <n v="672.7"/>
    <n v="0.8104819277108434"/>
  </r>
  <r>
    <s v="осень"/>
    <s v="Основы микроэлектроники"/>
    <s v="ЛР"/>
    <s v="М3О-334Б-20"/>
    <n v="16"/>
    <s v="10846"/>
    <n v="16"/>
    <s v="95640     "/>
    <x v="3"/>
    <m/>
    <s v="Нет"/>
    <m/>
    <m/>
    <n v="143"/>
    <n v="196"/>
    <n v="339"/>
    <n v="0.408433734939759"/>
  </r>
  <r>
    <s v="осень"/>
    <s v="Основы микроэлектроники"/>
    <s v="Консультация"/>
    <s v="М3О-334Б-20"/>
    <n v="2"/>
    <s v="10846"/>
    <m/>
    <s v="83003     "/>
    <x v="17"/>
    <m/>
    <s v="Да"/>
    <m/>
    <m/>
    <n v="280.67"/>
    <n v="392.03"/>
    <n v="672.7"/>
    <n v="0.8104819277108434"/>
  </r>
  <r>
    <s v="осень"/>
    <s v="Производственная практика"/>
    <s v="Преддипломная практика"/>
    <s v="М3О-220М-21"/>
    <n v="57"/>
    <m/>
    <m/>
    <s v="83003     "/>
    <x v="17"/>
    <m/>
    <s v="Да"/>
    <m/>
    <m/>
    <n v="280.67"/>
    <n v="392.03"/>
    <n v="672.7"/>
    <n v="0.8104819277108434"/>
  </r>
  <r>
    <s v="осень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осень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"/>
  </r>
  <r>
    <s v="осень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1"/>
  </r>
  <r>
    <s v="осень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"/>
    <n v="672.7"/>
    <n v="0.8104819277108434"/>
  </r>
  <r>
    <s v="осень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"/>
    <n v="625.7"/>
    <n v="0.753855421686747"/>
  </r>
  <r>
    <s v="осень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"/>
    <n v="672.7"/>
    <n v="0.8104819277108434"/>
  </r>
  <r>
    <s v="осень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"/>
    <n v="276.7"/>
    <n v="0.3333734939759037"/>
  </r>
  <r>
    <s v="осень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3"/>
    <n v="296.66"/>
    <n v="0.3574216867469879"/>
  </r>
  <r>
    <s v="осень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3"/>
    <n v="148.33"/>
    <n v="308.66"/>
    <n v="0.3718795180722891"/>
  </r>
  <r>
    <s v="осень"/>
    <s v="Руководство магистрами"/>
    <s v="Руководство магистрами"/>
    <s v="М3О-219М-21"/>
    <n v="24"/>
    <m/>
    <m/>
    <s v="93746     "/>
    <x v="8"/>
    <m/>
    <s v="Нет"/>
    <m/>
    <m/>
    <n v="54"/>
    <n v="158.18"/>
    <n v="212.18"/>
    <n v="0.2556385542168675"/>
  </r>
  <r>
    <s v="осень"/>
    <s v="Руководство магистрами"/>
    <s v="Руководство магистрами"/>
    <s v="М3О-219М-21"/>
    <n v="12"/>
    <m/>
    <m/>
    <s v="82529     "/>
    <x v="9"/>
    <m/>
    <s v="Нет"/>
    <m/>
    <m/>
    <n v="206"/>
    <n v="110"/>
    <n v="316"/>
    <n v="0.380722891566265"/>
  </r>
  <r>
    <s v="осень"/>
    <s v="Руководство магистрами"/>
    <s v="Руководство магистрами"/>
    <s v="М3О-219М-21"/>
    <n v="12"/>
    <m/>
    <m/>
    <s v="82765     "/>
    <x v="0"/>
    <m/>
    <s v="Нет"/>
    <m/>
    <m/>
    <n v="75.33"/>
    <n v="221.33"/>
    <n v="296.66"/>
    <n v="0.3574216867469879"/>
  </r>
  <r>
    <s v="осень"/>
    <s v="Руководство магистрами"/>
    <s v="Руководство магистрами"/>
    <s v="М3О-219М-21"/>
    <n v="12"/>
    <m/>
    <m/>
    <s v="81877     "/>
    <x v="12"/>
    <m/>
    <s v="Да"/>
    <m/>
    <m/>
    <n v="270.67"/>
    <n v="355.03"/>
    <n v="625.7"/>
    <n v="0.753855421686747"/>
  </r>
  <r>
    <s v="осень"/>
    <s v="Руководство магистрами"/>
    <s v="Руководство магистрами"/>
    <s v="М3О-220М-21"/>
    <n v="30"/>
    <m/>
    <m/>
    <s v="97722     "/>
    <x v="10"/>
    <m/>
    <s v="Нет"/>
    <m/>
    <m/>
    <n v="160.33"/>
    <n v="148.33"/>
    <n v="308.66"/>
    <n v="0.3718795180722891"/>
  </r>
  <r>
    <s v="осень"/>
    <s v="Руководство магистрами"/>
    <s v="Руководство магистрами"/>
    <s v="М3О-220М-21"/>
    <n v="15"/>
    <m/>
    <m/>
    <s v="82765     "/>
    <x v="0"/>
    <m/>
    <s v="Нет"/>
    <m/>
    <m/>
    <n v="75.33"/>
    <n v="221.33"/>
    <n v="296.66"/>
    <n v="0.3574216867469879"/>
  </r>
  <r>
    <s v="осень"/>
    <s v="Руководство магистрами"/>
    <s v="Руководство магистрами"/>
    <s v="М3О-220М-21"/>
    <n v="15"/>
    <m/>
    <m/>
    <s v="91852     "/>
    <x v="11"/>
    <m/>
    <s v="Да"/>
    <m/>
    <m/>
    <n v="96"/>
    <n v="367"/>
    <n v="463"/>
    <n v="0.5578313253012048"/>
  </r>
  <r>
    <s v="осень"/>
    <s v="Руководство магистрами"/>
    <s v="Руководство магистрами"/>
    <s v="М3О-220М-21"/>
    <n v="15"/>
    <m/>
    <m/>
    <s v="95641     "/>
    <x v="18"/>
    <m/>
    <s v="Нет"/>
    <m/>
    <m/>
    <n v="51.67"/>
    <n v="225.03"/>
    <n v="276.7"/>
    <n v="0.3333734939759037"/>
  </r>
  <r>
    <s v="осень"/>
    <s v="Руководство магистрами"/>
    <s v="Руководство магистрами"/>
    <s v="М3О-220М-21"/>
    <n v="15"/>
    <m/>
    <m/>
    <s v="94089     "/>
    <x v="6"/>
    <m/>
    <s v="Нет"/>
    <m/>
    <m/>
    <n v="103"/>
    <n v="179"/>
    <n v="282"/>
    <n v="0.3397590361445783"/>
  </r>
  <r>
    <s v="осень"/>
    <s v="Руководство магистрами"/>
    <s v="Руководство магистрами"/>
    <s v="М3О-220М-21"/>
    <n v="15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220М-21"/>
    <n v="15"/>
    <m/>
    <m/>
    <s v="81877     "/>
    <x v="12"/>
    <m/>
    <s v="Да"/>
    <m/>
    <m/>
    <n v="270.67"/>
    <n v="355.03"/>
    <n v="625.7"/>
    <n v="0.753855421686747"/>
  </r>
  <r>
    <s v="осень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1"/>
  </r>
  <r>
    <s v="осень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Руководство кафедрой"/>
    <s v="Руководство кафедрой"/>
    <m/>
    <n v="30"/>
    <m/>
    <m/>
    <s v="82765     "/>
    <x v="0"/>
    <m/>
    <s v="Нет"/>
    <m/>
    <m/>
    <n v="75.33"/>
    <n v="221.33"/>
    <n v="296.66"/>
    <n v="0.3574216867469879"/>
  </r>
  <r>
    <s v="весна"/>
    <s v="Вычислительные методы в электродинамике"/>
    <s v="ЛК"/>
    <s v="Т12О-308А-20"/>
    <n v="22"/>
    <s v="14118"/>
    <n v="22"/>
    <s v="94172     "/>
    <x v="1"/>
    <m/>
    <s v="Нет"/>
    <m/>
    <m/>
    <n v="299"/>
    <n v="160"/>
    <n v="459"/>
    <n v="0.5530120481927711"/>
  </r>
  <r>
    <s v="весна"/>
    <s v="Вычислительные методы в электродинамике"/>
    <s v="ПЗ"/>
    <s v="Т12О-308А-20"/>
    <n v="8"/>
    <s v="14118"/>
    <n v="8"/>
    <s v="94172     "/>
    <x v="1"/>
    <m/>
    <s v="Нет"/>
    <m/>
    <m/>
    <n v="299"/>
    <n v="160"/>
    <n v="459"/>
    <n v="0.5530120481927711"/>
  </r>
  <r>
    <s v="весна"/>
    <s v="Вычислительные методы в электродинамике"/>
    <s v="Консультация"/>
    <s v="Т12О-308А-20"/>
    <n v="1"/>
    <s v="14118"/>
    <m/>
    <s v="94172     "/>
    <x v="1"/>
    <m/>
    <s v="Нет"/>
    <m/>
    <m/>
    <n v="299"/>
    <n v="160"/>
    <n v="459"/>
    <n v="0.5530120481927711"/>
  </r>
  <r>
    <s v="весна"/>
    <s v="Современные технологии производства электронных средств"/>
    <s v="ЛК"/>
    <s v="М3О-119М-22"/>
    <n v="12"/>
    <s v="13712"/>
    <n v="12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ПЗ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ЛР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Зачет"/>
    <s v="М3О-119М-22"/>
    <n v="4"/>
    <s v="13712"/>
    <m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весна"/>
    <s v="Управление производством и информационные технологии обработки BIG DATA"/>
    <s v="ЛК"/>
    <s v="М3О-234Б-21"/>
    <n v="24"/>
    <s v="10846"/>
    <n v="24"/>
    <s v="81877     "/>
    <x v="12"/>
    <m/>
    <s v="Да"/>
    <m/>
    <m/>
    <n v="270.67"/>
    <n v="355.03"/>
    <n v="625.7"/>
    <n v="0.753855421686747"/>
  </r>
  <r>
    <s v="весна"/>
    <s v="Управление производством и информационные технологии обработки BIG DATA"/>
    <s v="Зачет с оценкой"/>
    <s v="М3О-234Б-21"/>
    <n v="8"/>
    <s v="10846"/>
    <m/>
    <s v="81877     "/>
    <x v="12"/>
    <m/>
    <s v="Да"/>
    <m/>
    <m/>
    <n v="270.67"/>
    <n v="355.03"/>
    <n v="625.7"/>
    <n v="0.753855421686747"/>
  </r>
  <r>
    <s v="весна"/>
    <s v="Управление производством и информационные технологии обработки BIG DATA"/>
    <s v="ПЗ"/>
    <s v="М3О-234Б-21"/>
    <n v="24"/>
    <s v="10846"/>
    <n v="24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1877     "/>
    <x v="12"/>
    <m/>
    <s v="Да"/>
    <m/>
    <m/>
    <n v="270.67"/>
    <n v="355.03"/>
    <n v="625.7"/>
    <n v="0.753855421686747"/>
  </r>
  <r>
    <s v="весна"/>
    <s v="Управление производством и информационные технологии обработки BIG DATA"/>
    <s v="Консультация"/>
    <s v="М3О-234Б-21"/>
    <n v="1"/>
    <s v="10846"/>
    <m/>
    <s v="81877     "/>
    <x v="12"/>
    <m/>
    <s v="Да"/>
    <m/>
    <m/>
    <n v="270.67"/>
    <n v="355.03"/>
    <n v="625.7"/>
    <n v="0.753855421686747"/>
  </r>
  <r>
    <s v="весна"/>
    <s v="Стратегический анализ направлений развития высокотехнологичных предприятий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Р"/>
    <s v="М3О-120М-22"/>
    <n v="33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ПЗ"/>
    <s v="М3О-120М-22"/>
    <n v="48"/>
    <s v="13711"/>
    <n v="48"/>
    <s v="93895     "/>
    <x v="7"/>
    <m/>
    <s v="Нет"/>
    <m/>
    <m/>
    <n v="164"/>
    <n v="241"/>
    <n v="405"/>
    <n v="0.4879518072289157"/>
  </r>
  <r>
    <s v="весна"/>
    <s v="Стратегический анализ направлений развития высокотехнологичных предприятий"/>
    <s v="ЛР"/>
    <s v="М3О-120М-22"/>
    <n v="16"/>
    <s v="13711"/>
    <n v="16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Экзамен"/>
    <s v="М3О-120М-22"/>
    <n v="6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онсультация"/>
    <s v="М3О-120М-22"/>
    <n v="2"/>
    <s v="13711"/>
    <m/>
    <s v="91852     "/>
    <x v="11"/>
    <m/>
    <s v="Да"/>
    <m/>
    <m/>
    <n v="96"/>
    <n v="367"/>
    <n v="463"/>
    <n v="0.5578313253012048"/>
  </r>
  <r>
    <s v="весна"/>
    <s v="Конструирование РЭС"/>
    <s v="ЛК"/>
    <s v="М3О-119М-22"/>
    <n v="22"/>
    <s v="13712"/>
    <n v="22"/>
    <s v="93746     "/>
    <x v="8"/>
    <m/>
    <s v="Нет"/>
    <m/>
    <m/>
    <n v="54"/>
    <n v="158.18"/>
    <n v="212.18"/>
    <n v="0.2556385542168675"/>
  </r>
  <r>
    <s v="весна"/>
    <s v="Конструирование РЭС"/>
    <s v="Зачет с оценкой"/>
    <s v="М3О-119М-22"/>
    <n v="4"/>
    <s v="13712"/>
    <m/>
    <s v="93746     "/>
    <x v="8"/>
    <m/>
    <s v="Нет"/>
    <m/>
    <m/>
    <n v="54"/>
    <n v="158.18"/>
    <n v="212.18"/>
    <n v="0.2556385542168675"/>
  </r>
  <r>
    <s v="весна"/>
    <s v="Конструирование РЭС"/>
    <s v="ПЗ"/>
    <s v="М3О-119М-22"/>
    <n v="32"/>
    <s v="13712"/>
    <n v="32"/>
    <s v="93746     "/>
    <x v="8"/>
    <m/>
    <s v="Нет"/>
    <m/>
    <m/>
    <n v="54"/>
    <n v="158.18"/>
    <n v="212.18"/>
    <n v="0.2556385542168675"/>
  </r>
  <r>
    <s v="весна"/>
    <s v="Конструирование РЭС"/>
    <s v="Консультация"/>
    <s v="М3О-119М-22"/>
    <n v="1"/>
    <s v="13712"/>
    <m/>
    <s v="93746     "/>
    <x v="8"/>
    <m/>
    <s v="Нет"/>
    <m/>
    <m/>
    <n v="54"/>
    <n v="158.18"/>
    <n v="212.18"/>
    <n v="0.2556385542168675"/>
  </r>
  <r>
    <s v="весна"/>
    <s v="Технология управления жизненным циклом изделий и киберфизические системы"/>
    <s v="ЛК"/>
    <s v="М3О-119М-22"/>
    <n v="14"/>
    <s v="13712"/>
    <n v="14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ПЗ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ЛР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Экзамен"/>
    <s v="М3О-119М-22"/>
    <n v="6"/>
    <s v="13712"/>
    <m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Консультация"/>
    <s v="М3О-119М-22"/>
    <n v="3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ЛК"/>
    <s v="М3О-119М-22"/>
    <n v="10"/>
    <s v="13712"/>
    <n v="10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ПЗ"/>
    <s v="М3О-119М-22"/>
    <n v="26"/>
    <s v="13712"/>
    <n v="26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Зачет"/>
    <s v="М3О-119М-22"/>
    <n v="4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Консультация"/>
    <s v="М3О-119М-22"/>
    <n v="1"/>
    <s v="13712"/>
    <m/>
    <s v="82021     "/>
    <x v="5"/>
    <m/>
    <s v="Нет"/>
    <m/>
    <m/>
    <n v="334"/>
    <n v="215"/>
    <n v="549"/>
    <n v="0.6614457831325301"/>
  </r>
  <r>
    <s v="весна"/>
    <s v="Технологии технологического бизнеса и стартапов"/>
    <s v="ПЗ"/>
    <s v="М3О-119М-22"/>
    <n v="16"/>
    <m/>
    <n v="16"/>
    <m/>
    <x v="10"/>
    <m/>
    <s v="Нет"/>
    <m/>
    <m/>
    <n v="160.33"/>
    <n v="148.33"/>
    <n v="308.66"/>
    <n v="0.3718795180722891"/>
  </r>
  <r>
    <s v="весна"/>
    <s v="Технологии технологического бизнеса и стартапов"/>
    <s v="Экзамен"/>
    <s v="М3О-119М-22"/>
    <n v="6"/>
    <m/>
    <m/>
    <m/>
    <x v="10"/>
    <m/>
    <s v="Нет"/>
    <m/>
    <m/>
    <n v="160.33"/>
    <n v="148.33"/>
    <n v="308.66"/>
    <n v="0.3718795180722891"/>
  </r>
  <r>
    <s v="весна"/>
    <s v="Технологии технологического бизнеса и стартапов"/>
    <s v="Консультация"/>
    <s v="М3О-119М-22"/>
    <n v="2"/>
    <m/>
    <m/>
    <m/>
    <x v="10"/>
    <m/>
    <s v="Нет"/>
    <m/>
    <m/>
    <n v="160.33"/>
    <n v="148.33"/>
    <n v="308.66"/>
    <n v="0.3718795180722891"/>
  </r>
  <r>
    <s v="весна"/>
    <s v="Техническая электродинамика"/>
    <s v="ЛК"/>
    <s v="М3О-119М-22"/>
    <n v="22"/>
    <s v="13712"/>
    <n v="22"/>
    <s v="94172     "/>
    <x v="1"/>
    <m/>
    <s v="Нет"/>
    <m/>
    <m/>
    <n v="299"/>
    <n v="160"/>
    <n v="459"/>
    <n v="0.5530120481927711"/>
  </r>
  <r>
    <s v="весна"/>
    <s v="Техническая электродинамика"/>
    <s v="ПЗ"/>
    <s v="М3О-119М-22"/>
    <n v="28"/>
    <s v="13712"/>
    <n v="28"/>
    <s v="94172     "/>
    <x v="1"/>
    <m/>
    <s v="Нет"/>
    <m/>
    <m/>
    <n v="299"/>
    <n v="160"/>
    <n v="459"/>
    <n v="0.5530120481927711"/>
  </r>
  <r>
    <s v="весна"/>
    <s v="Техническая электродинамика"/>
    <s v="Экзамен"/>
    <s v="М3О-119М-22"/>
    <n v="6"/>
    <s v="13712"/>
    <m/>
    <s v="94172     "/>
    <x v="1"/>
    <m/>
    <s v="Нет"/>
    <m/>
    <m/>
    <n v="299"/>
    <n v="160"/>
    <n v="459"/>
    <n v="0.5530120481927711"/>
  </r>
  <r>
    <s v="весна"/>
    <s v="Техническая электродинамика"/>
    <s v="Консультация"/>
    <s v="М3О-119М-22"/>
    <n v="3"/>
    <s v="13712"/>
    <m/>
    <s v="94172     "/>
    <x v="1"/>
    <m/>
    <s v="Нет"/>
    <m/>
    <m/>
    <n v="299"/>
    <n v="160"/>
    <n v="459"/>
    <n v="0.5530120481927711"/>
  </r>
  <r>
    <s v="весна"/>
    <s v="Программируемая элементная база"/>
    <s v="Рейтинг"/>
    <s v="М3О-119М-22"/>
    <n v="4"/>
    <s v="13712"/>
    <m/>
    <s v="82529     "/>
    <x v="9"/>
    <m/>
    <s v="Нет"/>
    <m/>
    <m/>
    <n v="206"/>
    <n v="110"/>
    <n v="316"/>
    <n v="0.380722891566265"/>
  </r>
  <r>
    <s v="весна"/>
    <s v="Программируемая элементная база"/>
    <s v="ЛК"/>
    <s v="М3О-119М-22"/>
    <n v="16"/>
    <s v="13712"/>
    <n v="16"/>
    <s v="82529     "/>
    <x v="9"/>
    <m/>
    <s v="Нет"/>
    <m/>
    <m/>
    <n v="206"/>
    <n v="110"/>
    <n v="316"/>
    <n v="0.380722891566265"/>
  </r>
  <r>
    <s v="весна"/>
    <s v="Программируемая элементная база"/>
    <s v="ЛР"/>
    <s v="М3О-119М-22"/>
    <n v="16"/>
    <s v="13712"/>
    <n v="16"/>
    <s v="82529     "/>
    <x v="9"/>
    <m/>
    <s v="Нет"/>
    <m/>
    <m/>
    <n v="206"/>
    <n v="110"/>
    <n v="316"/>
    <n v="0.380722891566265"/>
  </r>
  <r>
    <s v="весна"/>
    <s v="Программируемая элементная база"/>
    <s v="Консультация"/>
    <s v="М3О-119М-22"/>
    <n v="1"/>
    <s v="13712"/>
    <m/>
    <s v="82529     "/>
    <x v="9"/>
    <m/>
    <s v="Нет"/>
    <m/>
    <m/>
    <n v="206"/>
    <n v="110"/>
    <n v="316"/>
    <n v="0.380722891566265"/>
  </r>
  <r>
    <s v="весна"/>
    <s v="Информационные технологии управления инновационными проектами и бизнес процессами"/>
    <s v="ЛК"/>
    <s v="М3О-334Б-20"/>
    <n v="32"/>
    <s v="10846"/>
    <n v="32"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ПЗ"/>
    <s v="М3О-334Б-20"/>
    <n v="48"/>
    <s v="10846"/>
    <n v="48"/>
    <s v="97630     "/>
    <x v="16"/>
    <m/>
    <s v="Нет"/>
    <m/>
    <m/>
    <n v="97"/>
    <n v="80"/>
    <n v="177"/>
    <n v="0.2132530120481928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7630     "/>
    <x v="16"/>
    <m/>
    <s v="Нет"/>
    <m/>
    <m/>
    <n v="97"/>
    <n v="80"/>
    <n v="177"/>
    <n v="0.2132530120481928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6199     "/>
    <x v="16"/>
    <m/>
    <s v="Нет"/>
    <m/>
    <m/>
    <n v="97"/>
    <n v="80"/>
    <n v="177"/>
    <n v="0.2132530120481928"/>
  </r>
  <r>
    <s v="весна"/>
    <s v="Информационные технологии управления инновационными проектами и бизнес процессами"/>
    <s v="Экзамен"/>
    <s v="М3О-334Б-20"/>
    <n v="11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Консультация"/>
    <s v="М3О-334Б-20"/>
    <n v="4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обработки BIG DATA"/>
    <s v="ЛК"/>
    <s v="М3О-334Б-20"/>
    <n v="20"/>
    <s v="10846"/>
    <n v="20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Зачет с оценкой"/>
    <s v="М3О-334Б-20"/>
    <n v="8"/>
    <s v="10846"/>
    <m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ПЗ"/>
    <s v="М3О-334Б-20"/>
    <n v="18"/>
    <s v="10846"/>
    <n v="18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ЛР"/>
    <s v="М3О-334Б-20"/>
    <n v="24"/>
    <s v="10846"/>
    <n v="12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Консультация"/>
    <s v="М3О-334Б-20"/>
    <n v="1"/>
    <s v="10846"/>
    <m/>
    <s v="82021     "/>
    <x v="5"/>
    <m/>
    <s v="Нет"/>
    <m/>
    <m/>
    <n v="334"/>
    <n v="215"/>
    <n v="549"/>
    <n v="0.6614457831325301"/>
  </r>
  <r>
    <s v="весна"/>
    <s v="Маркетинг в инновационной сфере"/>
    <s v="ЛК"/>
    <s v="М3О-334Б-20"/>
    <n v="24"/>
    <s v="10846"/>
    <n v="24"/>
    <s v="95641     "/>
    <x v="18"/>
    <m/>
    <s v="Нет"/>
    <m/>
    <m/>
    <n v="51.67"/>
    <n v="225.03"/>
    <n v="276.7"/>
    <n v="0.3333734939759037"/>
  </r>
  <r>
    <s v="весна"/>
    <s v="Маркетинг в инновационной сфере"/>
    <s v="ПЗ"/>
    <s v="М3О-334Б-20"/>
    <n v="24"/>
    <s v="10846"/>
    <n v="24"/>
    <s v="95640     "/>
    <x v="3"/>
    <m/>
    <s v="Нет"/>
    <m/>
    <m/>
    <n v="143"/>
    <n v="196"/>
    <n v="339"/>
    <n v="0.408433734939759"/>
  </r>
  <r>
    <s v="весна"/>
    <s v="Маркетинг в инновационной сфере"/>
    <s v="ЛР"/>
    <s v="М3О-334Б-20"/>
    <n v="16"/>
    <s v="10846"/>
    <n v="16"/>
    <s v="95640     "/>
    <x v="3"/>
    <m/>
    <s v="Нет"/>
    <m/>
    <m/>
    <n v="143"/>
    <n v="196"/>
    <n v="339"/>
    <n v="0.408433734939759"/>
  </r>
  <r>
    <s v="весна"/>
    <s v="Маркетинг в инновационной сфере"/>
    <s v="ЛР"/>
    <s v="М3О-334Б-20"/>
    <n v="16"/>
    <s v="10846"/>
    <n v="16"/>
    <s v="95641     "/>
    <x v="18"/>
    <m/>
    <s v="Нет"/>
    <m/>
    <m/>
    <n v="51.67"/>
    <n v="225.03"/>
    <n v="276.7"/>
    <n v="0.3333734939759037"/>
  </r>
  <r>
    <s v="весна"/>
    <s v="Маркетинг в инновационной сфере"/>
    <s v="Экзамен"/>
    <s v="М3О-334Б-20"/>
    <n v="11"/>
    <s v="10846"/>
    <m/>
    <s v="95641     "/>
    <x v="18"/>
    <m/>
    <s v="Нет"/>
    <m/>
    <m/>
    <n v="51.67"/>
    <n v="225.03"/>
    <n v="276.7"/>
    <n v="0.3333734939759037"/>
  </r>
  <r>
    <s v="весна"/>
    <s v="Маркетинг в инновационной сфере"/>
    <s v="Консультация"/>
    <s v="М3О-334Б-20"/>
    <n v="3"/>
    <s v="10846"/>
    <m/>
    <s v="95641     "/>
    <x v="18"/>
    <m/>
    <s v="Нет"/>
    <m/>
    <m/>
    <n v="51.67"/>
    <n v="225.03"/>
    <n v="276.7"/>
    <n v="0.3333734939759037"/>
  </r>
  <r>
    <s v="весна"/>
    <s v="Микрокомпьютерные системы автоматизации бизнес процессов"/>
    <s v="ЛК"/>
    <s v="М3О-334Б-20"/>
    <n v="32"/>
    <s v="10846"/>
    <n v="32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Р"/>
    <s v="М3О-334Б-20"/>
    <n v="66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ПЗ"/>
    <s v="М3О-334Б-20"/>
    <n v="32"/>
    <s v="10846"/>
    <n v="32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Экзамен"/>
    <s v="М3О-334Б-20"/>
    <n v="11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онсультация"/>
    <s v="М3О-334Б-20"/>
    <n v="4"/>
    <s v="10846"/>
    <m/>
    <s v="91852     "/>
    <x v="11"/>
    <m/>
    <s v="Да"/>
    <m/>
    <m/>
    <n v="96"/>
    <n v="367"/>
    <n v="463"/>
    <n v="0.5578313253012048"/>
  </r>
  <r>
    <s v="весна"/>
    <s v="Алгоритмы решения нестандартных задач. Технология принятия решений"/>
    <s v="ЛК"/>
    <s v="М3О-436Б-19"/>
    <n v="16"/>
    <s v="13501"/>
    <n v="16"/>
    <m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Зачет с оценкой"/>
    <s v="М3О-436Б-19"/>
    <n v="7"/>
    <s v="13501"/>
    <m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ПЗ"/>
    <s v="М3О-436Б-19"/>
    <n v="20"/>
    <s v="13501"/>
    <n v="20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ЛР"/>
    <s v="М3О-436Б-19"/>
    <n v="24"/>
    <s v="13501"/>
    <n v="12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Консультация"/>
    <s v="М3О-436Б-19"/>
    <n v="1"/>
    <s v="13501"/>
    <m/>
    <s v="93681     "/>
    <x v="13"/>
    <m/>
    <s v="Нет"/>
    <m/>
    <m/>
    <n v="128"/>
    <n v="130"/>
    <n v="258"/>
    <n v="0.3108433734939759"/>
  </r>
  <r>
    <s v="весна"/>
    <s v="Управление инновационной деятельностью"/>
    <s v="ЛК"/>
    <s v="М3О-436Б-19"/>
    <n v="24"/>
    <s v="13501"/>
    <n v="24"/>
    <m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ПЗ"/>
    <s v="М3О-436Б-19"/>
    <n v="24"/>
    <s v="13501"/>
    <n v="24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ЛР"/>
    <s v="М3О-436Б-19"/>
    <n v="24"/>
    <s v="13501"/>
    <n v="12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Экзамен"/>
    <s v="М3О-436Б-19"/>
    <n v="10"/>
    <s v="13501"/>
    <m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Консультация"/>
    <s v="М3О-436Б-19"/>
    <n v="3"/>
    <s v="13501"/>
    <m/>
    <s v="93895     "/>
    <x v="7"/>
    <m/>
    <s v="Нет"/>
    <m/>
    <m/>
    <n v="164"/>
    <n v="241"/>
    <n v="405"/>
    <n v="0.4879518072289157"/>
  </r>
  <r>
    <s v="весна"/>
    <s v="Современные проблемы инноватики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ПЗ"/>
    <s v="М3О-120М-22"/>
    <n v="40"/>
    <s v="13711"/>
    <n v="40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Зачет"/>
    <s v="М3О-120М-22"/>
    <n v="4"/>
    <s v="13711"/>
    <m/>
    <s v="91852     "/>
    <x v="11"/>
    <m/>
    <s v="Да"/>
    <m/>
    <m/>
    <n v="96"/>
    <n v="367"/>
    <n v="463"/>
    <n v="0.5578313253012048"/>
  </r>
  <r>
    <s v="весна"/>
    <s v="Современные технологии электронной техники и микроэлектроники"/>
    <s v="ЛК"/>
    <s v="М3О-120М-22"/>
    <n v="8"/>
    <s v="13711"/>
    <n v="8"/>
    <s v="97722     "/>
    <x v="10"/>
    <m/>
    <s v="Нет"/>
    <m/>
    <m/>
    <n v="160.33"/>
    <n v="148.33"/>
    <n v="308.66"/>
    <n v="0.3718795180722891"/>
  </r>
  <r>
    <s v="весна"/>
    <s v="Современные технологии электронной техники и микроэлектроники"/>
    <s v="ПЗ"/>
    <s v="М3О-120М-22"/>
    <n v="24"/>
    <s v="13711"/>
    <n v="24"/>
    <s v="97722     "/>
    <x v="10"/>
    <m/>
    <s v="Нет"/>
    <m/>
    <m/>
    <n v="160.33"/>
    <n v="148.33"/>
    <n v="308.66"/>
    <n v="0.3718795180722891"/>
  </r>
  <r>
    <s v="весна"/>
    <s v="Современные технологии электронной техники и микроэлектроники"/>
    <s v="Зачет"/>
    <s v="М3О-120М-22"/>
    <n v="4"/>
    <s v="13711"/>
    <m/>
    <s v="97722     "/>
    <x v="10"/>
    <m/>
    <s v="Нет"/>
    <m/>
    <m/>
    <n v="160.33"/>
    <n v="148.33"/>
    <n v="308.66"/>
    <n v="0.3718795180722891"/>
  </r>
  <r>
    <s v="весна"/>
    <s v="Технологии и материаловедение"/>
    <s v="ЛК"/>
    <s v="М3О-234Б-21"/>
    <n v="32"/>
    <s v="10846"/>
    <n v="32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ПЗ"/>
    <s v="М3О-234Б-21"/>
    <n v="96"/>
    <s v="10846"/>
    <n v="96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Экзамен"/>
    <s v="М3О-234Б-21"/>
    <n v="12"/>
    <s v="10846"/>
    <m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Консультация"/>
    <s v="М3О-234Б-21"/>
    <n v="4"/>
    <s v="10846"/>
    <m/>
    <s v="94089     "/>
    <x v="6"/>
    <m/>
    <s v="Нет"/>
    <m/>
    <m/>
    <n v="103"/>
    <n v="179"/>
    <n v="282"/>
    <n v="0.3397590361445783"/>
  </r>
  <r>
    <s v="весна"/>
    <s v="Структура программного обеспечения и базы данных"/>
    <s v="ЛК"/>
    <s v="М3О-134Б-22, 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4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6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4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6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ЛР"/>
    <s v="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6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Консультация"/>
    <s v="М3О-134Б-22"/>
    <n v="1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Консультация"/>
    <s v="М3О-136Б-22"/>
    <n v="1"/>
    <s v="16272"/>
    <m/>
    <s v="97409     "/>
    <x v="4"/>
    <m/>
    <s v="Нет"/>
    <m/>
    <m/>
    <n v="205"/>
    <n v="112"/>
    <n v="317"/>
    <n v="0.3819277108433735"/>
  </r>
  <r>
    <s v="весна"/>
    <s v="Микро- и нанотехнологии"/>
    <s v="ЛК"/>
    <s v="М3О-119М-22"/>
    <n v="16"/>
    <s v="13712"/>
    <n v="16"/>
    <s v="83003     "/>
    <x v="17"/>
    <m/>
    <s v="Да"/>
    <m/>
    <m/>
    <n v="280.67"/>
    <n v="392.03"/>
    <n v="672.7"/>
    <n v="0.8104819277108434"/>
  </r>
  <r>
    <s v="весна"/>
    <s v="Микро- и нанотехнологии"/>
    <s v="ПЗ"/>
    <s v="М3О-119М-22"/>
    <n v="22"/>
    <s v="13712"/>
    <n v="22"/>
    <s v="83003     "/>
    <x v="17"/>
    <m/>
    <s v="Да"/>
    <m/>
    <m/>
    <n v="280.67"/>
    <n v="392.03"/>
    <n v="672.7"/>
    <n v="0.8104819277108434"/>
  </r>
  <r>
    <s v="весна"/>
    <s v="Микро- и нанотехнологии"/>
    <s v="ЛР"/>
    <s v="М3О-119М-22"/>
    <n v="16"/>
    <s v="13712"/>
    <n v="16"/>
    <s v="83003     "/>
    <x v="17"/>
    <m/>
    <s v="Да"/>
    <m/>
    <m/>
    <n v="280.67"/>
    <n v="392.03"/>
    <n v="672.7"/>
    <n v="0.8104819277108434"/>
  </r>
  <r>
    <s v="весна"/>
    <s v="Микро- и нанотехнологии"/>
    <s v="Экзамен"/>
    <s v="М3О-119М-22"/>
    <n v="6"/>
    <s v="13712"/>
    <m/>
    <s v="83003     "/>
    <x v="17"/>
    <m/>
    <s v="Да"/>
    <m/>
    <m/>
    <n v="280.67"/>
    <n v="392.03"/>
    <n v="672.7"/>
    <n v="0.8104819277108434"/>
  </r>
  <r>
    <s v="весна"/>
    <s v="Микро- и нанотехнологии"/>
    <s v="Консультация"/>
    <s v="М3О-119М-22"/>
    <n v="3"/>
    <s v="13712"/>
    <m/>
    <s v="83003     "/>
    <x v="17"/>
    <m/>
    <s v="Да"/>
    <m/>
    <m/>
    <n v="280.67"/>
    <n v="392.03"/>
    <n v="672.7"/>
    <n v="0.8104819277108434"/>
  </r>
  <r>
    <s v="весна"/>
    <s v="Стратегический анализ инновационных направлений развития высокотехнологичных предприятий"/>
    <s v="ЛК"/>
    <s v="М3О-214А-21, М8О-204А-21"/>
    <n v="24"/>
    <s v="15861"/>
    <n v="24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ПЗ"/>
    <s v="М3О-214А-21, М8О-204А-21"/>
    <n v="8"/>
    <s v="15861"/>
    <n v="8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Управление инновационными процессами"/>
    <s v="ЛК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Зачет с оценкой"/>
    <s v="М3О-120М-22"/>
    <n v="4"/>
    <s v="13711"/>
    <m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ПЗ"/>
    <s v="М3О-120М-22"/>
    <n v="40"/>
    <s v="13711"/>
    <n v="40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ЛР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Консультация"/>
    <s v="М3О-120М-22"/>
    <n v="1"/>
    <s v="13711"/>
    <m/>
    <s v="90109     "/>
    <x v="14"/>
    <m/>
    <s v="Нет"/>
    <m/>
    <m/>
    <n v="332.33"/>
    <n v="309.88"/>
    <n v="642.21"/>
    <n v="0.7737469879518073"/>
  </r>
  <r>
    <s v="весна"/>
    <s v="Основы внешнеэкономической деятельности"/>
    <s v="ЛК"/>
    <s v="М3О-234Б-21"/>
    <n v="32"/>
    <s v="10846"/>
    <n v="32"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Зачет с оценкой"/>
    <s v="М3О-234Б-21"/>
    <n v="8"/>
    <s v="10846"/>
    <m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ПЗ"/>
    <s v="М3О-234Б-21"/>
    <n v="24"/>
    <s v="10846"/>
    <n v="24"/>
    <s v="99488     "/>
    <x v="19"/>
    <m/>
    <s v="Нет"/>
    <m/>
    <m/>
    <n v="0"/>
    <n v="24"/>
    <n v="24"/>
    <n v="0.02891566265060241"/>
  </r>
  <r>
    <s v="весна"/>
    <s v="Основы внешнеэкономической деятельности"/>
    <s v="Консультация"/>
    <s v="М3О-234Б-21"/>
    <n v="2"/>
    <s v="10846"/>
    <m/>
    <s v="96199     "/>
    <x v="15"/>
    <m/>
    <s v="Нет"/>
    <m/>
    <m/>
    <n v="47"/>
    <n v="89"/>
    <n v="136"/>
    <n v="0.163855421686747"/>
  </r>
  <r>
    <s v="весна"/>
    <s v="Управление инновационными проектами"/>
    <s v="ЛК"/>
    <s v="М3О-436Б-19"/>
    <n v="24"/>
    <s v="13501"/>
    <n v="24"/>
    <m/>
    <x v="3"/>
    <m/>
    <s v="Нет"/>
    <m/>
    <m/>
    <n v="143"/>
    <n v="196"/>
    <n v="339"/>
    <n v="0.408433734939759"/>
  </r>
  <r>
    <s v="весна"/>
    <s v="Управление инновационными проектами"/>
    <s v="ПЗ"/>
    <s v="М3О-436Б-19"/>
    <n v="24"/>
    <s v="13501"/>
    <n v="24"/>
    <s v="95640     "/>
    <x v="3"/>
    <m/>
    <s v="Нет"/>
    <m/>
    <m/>
    <n v="143"/>
    <n v="196"/>
    <n v="339"/>
    <n v="0.408433734939759"/>
  </r>
  <r>
    <s v="весна"/>
    <s v="Управление инновационными проектами"/>
    <s v="ЛР"/>
    <s v="М3О-436Б-19"/>
    <n v="48"/>
    <s v="13501"/>
    <n v="24"/>
    <s v="95640     "/>
    <x v="3"/>
    <m/>
    <s v="Нет"/>
    <m/>
    <m/>
    <n v="143"/>
    <n v="196"/>
    <n v="339"/>
    <n v="0.408433734939759"/>
  </r>
  <r>
    <s v="весна"/>
    <s v="Управление инновационными проектами"/>
    <s v="Экзамен"/>
    <s v="М3О-436Б-19"/>
    <n v="10"/>
    <s v="13501"/>
    <m/>
    <s v="95641     "/>
    <x v="18"/>
    <m/>
    <s v="Нет"/>
    <m/>
    <m/>
    <n v="51.67"/>
    <n v="225.03"/>
    <n v="276.7"/>
    <n v="0.3333734939759037"/>
  </r>
  <r>
    <s v="весна"/>
    <s v="Управление инновационными проектами"/>
    <s v="Консультация"/>
    <s v="М3О-436Б-19"/>
    <n v="3"/>
    <s v="13501"/>
    <m/>
    <s v="95641     "/>
    <x v="18"/>
    <m/>
    <s v="Нет"/>
    <m/>
    <m/>
    <n v="51.67"/>
    <n v="225.03"/>
    <n v="276.7"/>
    <n v="0.3333734939759037"/>
  </r>
  <r>
    <s v="весна"/>
    <s v="Проектно-технологическая практика"/>
    <s v="Преддипломная практика"/>
    <s v="М3О-219М-21"/>
    <n v="32"/>
    <m/>
    <m/>
    <s v="83003     "/>
    <x v="17"/>
    <m/>
    <s v="Да"/>
    <m/>
    <m/>
    <n v="280.67"/>
    <n v="392.03"/>
    <n v="672.7"/>
    <n v="0.8104819277108434"/>
  </r>
  <r>
    <s v="весна"/>
    <s v="Производственная практика"/>
    <s v="Практика"/>
    <s v="М3О-334Б-20"/>
    <n v="60"/>
    <m/>
    <m/>
    <s v="93895     "/>
    <x v="7"/>
    <m/>
    <s v="Нет"/>
    <m/>
    <m/>
    <n v="164"/>
    <n v="241"/>
    <n v="405"/>
    <n v="0.4879518072289157"/>
  </r>
  <r>
    <s v="весна"/>
    <s v="Учебная практика"/>
    <s v="Практика"/>
    <s v="М3О-134Б-22"/>
    <n v="60"/>
    <m/>
    <m/>
    <s v="81877     "/>
    <x v="12"/>
    <m/>
    <s v="Да"/>
    <m/>
    <m/>
    <n v="270.67"/>
    <n v="355.03"/>
    <n v="625.7"/>
    <n v="0.753855421686747"/>
  </r>
  <r>
    <s v="весна"/>
    <s v="Учебная практика"/>
    <s v="Практика"/>
    <s v="М3О-136Б-22"/>
    <n v="60"/>
    <m/>
    <m/>
    <s v="81877     "/>
    <x v="12"/>
    <m/>
    <s v="Да"/>
    <m/>
    <m/>
    <n v="270.67"/>
    <n v="355.03"/>
    <n v="625.7"/>
    <n v="0.753855421686747"/>
  </r>
  <r>
    <s v="весна"/>
    <s v="Педагогическая практика"/>
    <s v="Практика"/>
    <s v="М3О-120М-22"/>
    <n v="30"/>
    <m/>
    <m/>
    <s v="93681     "/>
    <x v="13"/>
    <m/>
    <s v="Нет"/>
    <m/>
    <m/>
    <n v="128"/>
    <n v="130"/>
    <n v="258"/>
    <n v="0.3108433734939759"/>
  </r>
  <r>
    <s v="весна"/>
    <s v="Педагогическая практика"/>
    <s v="Практика"/>
    <s v="М3О-308А-20"/>
    <n v="30"/>
    <m/>
    <m/>
    <s v="82765     "/>
    <x v="0"/>
    <m/>
    <s v="Нет"/>
    <m/>
    <m/>
    <n v="75.33"/>
    <n v="221.33"/>
    <n v="296.66"/>
    <n v="0.3574216867469879"/>
  </r>
  <r>
    <s v="весна"/>
    <s v="Педагогическая практика"/>
    <s v="Практика"/>
    <s v="Т12О-308А-20"/>
    <n v="30"/>
    <m/>
    <m/>
    <s v="82765     "/>
    <x v="0"/>
    <m/>
    <s v="Нет"/>
    <m/>
    <m/>
    <n v="75.33"/>
    <n v="221.33"/>
    <n v="296.66"/>
    <n v="0.3574216867469879"/>
  </r>
  <r>
    <s v="весна"/>
    <s v="Педагогическая практика"/>
    <s v="Практика"/>
    <s v="М3О-312А-20"/>
    <n v="30"/>
    <m/>
    <m/>
    <s v="82765     "/>
    <x v="0"/>
    <m/>
    <s v="Нет"/>
    <m/>
    <m/>
    <n v="75.33"/>
    <n v="221.33"/>
    <n v="296.66"/>
    <n v="0.3574216867469879"/>
  </r>
  <r>
    <s v="весна"/>
    <s v="Педагогическая практика"/>
    <s v="Преддипломная практика"/>
    <s v="М3О-416А-19"/>
    <n v="4"/>
    <m/>
    <m/>
    <s v="82765     "/>
    <x v="0"/>
    <m/>
    <s v="Нет"/>
    <m/>
    <m/>
    <n v="75.33"/>
    <n v="221.33"/>
    <n v="296.66"/>
    <n v="0.3574216867469879"/>
  </r>
  <r>
    <s v="весна"/>
    <s v="Учебно-ознакомительная практика"/>
    <s v="Практика"/>
    <s v="М3О-234Б-21"/>
    <n v="60"/>
    <m/>
    <m/>
    <s v="95640     "/>
    <x v="3"/>
    <m/>
    <s v="Нет"/>
    <m/>
    <m/>
    <n v="143"/>
    <n v="196"/>
    <n v="339"/>
    <n v="0.408433734939759"/>
  </r>
  <r>
    <s v="весна"/>
    <s v="Государственный экзамен"/>
    <s v="Преддипломная практика"/>
    <s v="М3О-416А-19"/>
    <n v="4"/>
    <m/>
    <m/>
    <s v="82765     "/>
    <x v="0"/>
    <m/>
    <s v="Нет"/>
    <m/>
    <m/>
    <n v="75.33"/>
    <n v="221.33"/>
    <n v="296.66"/>
    <n v="0.3574216867469879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М3О-416А-19"/>
    <n v="8"/>
    <m/>
    <m/>
    <s v="82765     "/>
    <x v="0"/>
    <m/>
    <s v="Нет"/>
    <m/>
    <m/>
    <n v="75.33"/>
    <n v="221.33"/>
    <n v="296.66"/>
    <n v="0.3574216867469879"/>
  </r>
  <r>
    <s v="весна"/>
    <s v="Преддипломная практика"/>
    <s v="Преддипломная практика"/>
    <s v="М3О-219М-21"/>
    <n v="28"/>
    <m/>
    <m/>
    <s v="83003     "/>
    <x v="17"/>
    <m/>
    <s v="Да"/>
    <m/>
    <m/>
    <n v="280.67"/>
    <n v="392.03"/>
    <n v="672.7"/>
    <n v="0.8104819277108434"/>
  </r>
  <r>
    <s v="весна"/>
    <s v="Преддипломная практика"/>
    <s v="Преддипломная практика"/>
    <s v="М3О-220М-21"/>
    <n v="63"/>
    <m/>
    <m/>
    <s v="83003     "/>
    <x v="17"/>
    <m/>
    <s v="Да"/>
    <m/>
    <m/>
    <n v="280.67"/>
    <n v="392.03"/>
    <n v="672.7"/>
    <n v="0.8104819277108434"/>
  </r>
  <r>
    <s v="весна"/>
    <s v="Преддипломная практика"/>
    <s v="Преддипломная практика"/>
    <s v="М3О-436Б-19"/>
    <n v="38"/>
    <m/>
    <m/>
    <s v="83003     "/>
    <x v="17"/>
    <m/>
    <s v="Да"/>
    <m/>
    <m/>
    <n v="280.67"/>
    <n v="392.03"/>
    <n v="672.7"/>
    <n v="0.8104819277108434"/>
  </r>
  <r>
    <s v="весна"/>
    <s v="Научно-исследовательская практика"/>
    <s v="Преддипломная практика"/>
    <s v="М3О-416А-19"/>
    <n v="4"/>
    <m/>
    <m/>
    <s v="82765     "/>
    <x v="0"/>
    <m/>
    <s v="Нет"/>
    <m/>
    <m/>
    <n v="75.33"/>
    <n v="221.33"/>
    <n v="296.66"/>
    <n v="0.3574216867469879"/>
  </r>
  <r>
    <s v="весна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весна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"/>
  </r>
  <r>
    <s v="весна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1"/>
  </r>
  <r>
    <s v="весна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"/>
    <n v="276.7"/>
    <n v="0.3333734939759037"/>
  </r>
  <r>
    <s v="весна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"/>
    <n v="625.7"/>
    <n v="0.753855421686747"/>
  </r>
  <r>
    <s v="весна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3"/>
    <n v="148.33"/>
    <n v="308.66"/>
    <n v="0.3718795180722891"/>
  </r>
  <r>
    <s v="весна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3"/>
    <n v="296.66"/>
    <n v="0.3574216867469879"/>
  </r>
  <r>
    <s v="весна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1"/>
  </r>
  <r>
    <s v="весна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19М-21"/>
    <n v="56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219М-21"/>
    <n v="28"/>
    <m/>
    <m/>
    <s v="82765     "/>
    <x v="0"/>
    <m/>
    <s v="Нет"/>
    <m/>
    <m/>
    <n v="75.33"/>
    <n v="221.33"/>
    <n v="296.66"/>
    <n v="0.3574216867469879"/>
  </r>
  <r>
    <s v="весна"/>
    <s v="Диплом"/>
    <s v="Диплом"/>
    <s v="М3О-219М-21"/>
    <n v="28"/>
    <m/>
    <m/>
    <s v="81877     "/>
    <x v="12"/>
    <m/>
    <s v="Да"/>
    <m/>
    <m/>
    <n v="270.67"/>
    <n v="355.03"/>
    <n v="625.7"/>
    <n v="0.753855421686747"/>
  </r>
  <r>
    <s v="весна"/>
    <s v="Диплом"/>
    <s v="Диплом"/>
    <s v="М3О-219М-21"/>
    <n v="28"/>
    <m/>
    <m/>
    <s v="82529     "/>
    <x v="9"/>
    <m/>
    <s v="Нет"/>
    <m/>
    <m/>
    <n v="206"/>
    <n v="110"/>
    <n v="316"/>
    <n v="0.380722891566265"/>
  </r>
  <r>
    <s v="весна"/>
    <s v="Диплом"/>
    <s v="Диплом"/>
    <s v="М3О-220М-21"/>
    <n v="70"/>
    <m/>
    <m/>
    <s v="97722     "/>
    <x v="10"/>
    <m/>
    <s v="Нет"/>
    <m/>
    <m/>
    <n v="160.33"/>
    <n v="148.33"/>
    <n v="308.66"/>
    <n v="0.3718795180722891"/>
  </r>
  <r>
    <s v="весна"/>
    <s v="Диплом"/>
    <s v="Диплом"/>
    <s v="М3О-220М-21"/>
    <n v="35"/>
    <m/>
    <m/>
    <s v="82765     "/>
    <x v="0"/>
    <m/>
    <s v="Нет"/>
    <m/>
    <m/>
    <n v="75.33"/>
    <n v="221.33"/>
    <n v="296.66"/>
    <n v="0.3574216867469879"/>
  </r>
  <r>
    <s v="весна"/>
    <s v="Диплом"/>
    <s v="Диплом"/>
    <s v="М3О-220М-21"/>
    <n v="35"/>
    <m/>
    <m/>
    <s v="81877     "/>
    <x v="12"/>
    <m/>
    <s v="Да"/>
    <m/>
    <m/>
    <n v="270.67"/>
    <n v="355.03"/>
    <n v="625.7"/>
    <n v="0.753855421686747"/>
  </r>
  <r>
    <s v="весна"/>
    <s v="Диплом"/>
    <s v="Диплом"/>
    <s v="М3О-220М-21"/>
    <n v="35"/>
    <m/>
    <m/>
    <s v="95641     "/>
    <x v="18"/>
    <m/>
    <s v="Нет"/>
    <m/>
    <m/>
    <n v="51.67"/>
    <n v="225.03"/>
    <n v="276.7"/>
    <n v="0.3333734939759037"/>
  </r>
  <r>
    <s v="весна"/>
    <s v="Диплом"/>
    <s v="Диплом"/>
    <s v="М3О-220М-21"/>
    <n v="35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20М-21"/>
    <n v="3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220М-21"/>
    <n v="35"/>
    <m/>
    <m/>
    <s v="94089     "/>
    <x v="6"/>
    <m/>
    <s v="Нет"/>
    <m/>
    <m/>
    <n v="103"/>
    <n v="179"/>
    <n v="282"/>
    <n v="0.3397590361445783"/>
  </r>
  <r>
    <s v="весна"/>
    <s v="Диплом"/>
    <s v="Диплом"/>
    <s v="М3О-436Б-19"/>
    <n v="129.5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36Б-19"/>
    <n v="86.36"/>
    <m/>
    <m/>
    <s v="95641     "/>
    <x v="18"/>
    <m/>
    <s v="Нет"/>
    <m/>
    <m/>
    <n v="51.67"/>
    <n v="225.03"/>
    <n v="276.7"/>
    <n v="0.3333734939759037"/>
  </r>
  <r>
    <s v="весна"/>
    <s v="Диплом"/>
    <s v="Диплом"/>
    <s v="М3О-436Б-19"/>
    <n v="43.18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436Б-19"/>
    <n v="86.36"/>
    <m/>
    <m/>
    <s v="83003     "/>
    <x v="17"/>
    <m/>
    <s v="Да"/>
    <m/>
    <m/>
    <n v="280.67"/>
    <n v="392.03"/>
    <n v="672.7"/>
    <n v="0.8104819277108434"/>
  </r>
  <r>
    <s v="весна"/>
    <s v="Диплом"/>
    <s v="Диплом"/>
    <s v="М3О-436Б-19"/>
    <n v="86.36"/>
    <m/>
    <m/>
    <s v="81877     "/>
    <x v="12"/>
    <m/>
    <s v="Да"/>
    <m/>
    <m/>
    <n v="270.67"/>
    <n v="355.03"/>
    <n v="625.7"/>
    <n v="0.753855421686747"/>
  </r>
  <r>
    <s v="весна"/>
    <s v="Диплом"/>
    <s v="Диплом"/>
    <s v="М3О-436Б-19"/>
    <n v="43.18"/>
    <m/>
    <m/>
    <s v="98323     "/>
    <x v="2"/>
    <m/>
    <s v="Да"/>
    <m/>
    <m/>
    <n v="230"/>
    <n v="121.18"/>
    <n v="351.18"/>
    <n v="0.4231084337349398"/>
  </r>
</pivotCacheRecords>
</file>

<file path=xl/pivotCache/pivotCacheRecords2.xml><?xml version="1.0" encoding="utf-8"?>
<pivotCacheRecords xmlns="http://schemas.openxmlformats.org/spreadsheetml/2006/main" count="895">
  <r>
    <s v="осень"/>
    <s v="Руководство кафедрой"/>
    <s v="Руководство кафедрой"/>
    <m/>
    <n v="30"/>
    <m/>
    <m/>
    <s v="82061"/>
    <x v="0"/>
    <m/>
    <s v="Да"/>
    <m/>
    <m/>
    <n v="105"/>
    <n v="102"/>
    <n v="207"/>
    <n v="0.2493975903614458"/>
    <n v="41.40000000000001"/>
    <n v="0.1995180722891566"/>
    <n v="0.2"/>
  </r>
  <r>
    <s v="осень"/>
    <s v="Контроль качества отливок"/>
    <s v="ЛК"/>
    <s v="Т11О-101М-23"/>
    <n v="16"/>
    <s v="18008"/>
    <n v="16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Контроль качества отливок"/>
    <s v="ПЗ"/>
    <s v="Т11О-101М-23"/>
    <n v="20"/>
    <s v="18008"/>
    <n v="20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Контроль качества отливок"/>
    <s v="ЛР"/>
    <s v="Т11О-101М-23"/>
    <n v="16"/>
    <s v="18008"/>
    <n v="16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Контроль качества отливок"/>
    <s v="Зачет"/>
    <s v="Т11О-101М-23"/>
    <n v="3"/>
    <s v="18008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Контроль качества отливок"/>
    <s v="Консультация"/>
    <s v="Т11О-101М-23"/>
    <n v="1"/>
    <s v="18008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я и оборудование сварки плавлением"/>
    <s v="КП"/>
    <s v="Т11О-401Б-20"/>
    <n v="18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Технология и оборудование сварки плавлением"/>
    <s v="КП"/>
    <s v="Т11О-401Б-20"/>
    <n v="18"/>
    <s v="11924"/>
    <m/>
    <s v="82056"/>
    <x v="4"/>
    <m/>
    <s v="Да"/>
    <m/>
    <m/>
    <n v="188"/>
    <n v="294"/>
    <n v="482"/>
    <n v="0.5807228915662651"/>
    <n v="96.40000000000001"/>
    <n v="0.4645783132530121"/>
    <n v="0.5"/>
  </r>
  <r>
    <s v="осень"/>
    <s v="Технология и оборудование сварки плавлением"/>
    <s v="ЛК"/>
    <s v="Т11О-401Б-20"/>
    <n v="44"/>
    <s v="11924"/>
    <n v="44"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4"/>
    <m/>
    <s v="Нет"/>
    <m/>
    <m/>
    <n v="188"/>
    <n v="294"/>
    <n v="482"/>
    <n v="0.5807228915662651"/>
    <n v="96.40000000000001"/>
    <n v="0.4645783132530121"/>
    <n v="0.5"/>
  </r>
  <r>
    <s v="осень"/>
    <s v="Технология и оборудование сварки плавлением"/>
    <s v="ЛР"/>
    <s v="Т11О-401Б-20"/>
    <n v="36"/>
    <s v="11924"/>
    <n v="36"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Технология и оборудование сварки пл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Технология и оборудование сварки плавлением"/>
    <s v="Экзамен"/>
    <s v="Т11О-401Б-20"/>
    <n v="-1.5"/>
    <s v="11924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Технология и оборудование сварки плавлением"/>
    <s v="Консультация"/>
    <s v="Т11О-401Б-20"/>
    <n v="4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Прикладная гидравлика"/>
    <s v="ЛК"/>
    <s v="Т11О-402Б-20"/>
    <n v="24"/>
    <s v="11923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К"/>
    <s v="Т11О-301Б-21"/>
    <n v="24"/>
    <s v="14668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402Б-20"/>
    <n v="3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301Б-21"/>
    <n v="3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402Б-20"/>
    <n v="28"/>
    <s v="11923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301Б-21"/>
    <n v="28"/>
    <s v="14668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402Б-20"/>
    <n v="8"/>
    <s v="11923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301Б-21"/>
    <n v="8"/>
    <s v="14668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301Б-21"/>
    <n v="1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ория литейных процессов"/>
    <s v="ЛК"/>
    <s v="Т11О-402Б-20"/>
    <n v="56"/>
    <s v="11923"/>
    <n v="56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литейных процессов"/>
    <s v="КР"/>
    <s v="Т11О-402Б-20"/>
    <n v="18"/>
    <s v="1192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литейных процессов"/>
    <s v="ПЗ"/>
    <s v="Т11О-402Б-20"/>
    <n v="20"/>
    <s v="11923"/>
    <n v="20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литейных процесс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Теория литейных процессов"/>
    <s v="ЛР"/>
    <s v="Т11О-402Б-20"/>
    <n v="16"/>
    <s v="11923"/>
    <n v="32"/>
    <s v="82027"/>
    <x v="8"/>
    <m/>
    <s v="Нет"/>
    <m/>
    <m/>
    <n v="78"/>
    <n v="240.5"/>
    <n v="318.5"/>
    <n v="0.3837349397590362"/>
    <n v="63.7"/>
    <n v="0.3069879518072289"/>
    <n v="0.35"/>
  </r>
  <r>
    <s v="осень"/>
    <s v="Теория литейных процессов"/>
    <s v="Экзамен"/>
    <s v="Т11О-402Б-20"/>
    <n v="4"/>
    <s v="1192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литейных процессов"/>
    <s v="Экзамен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Теория литейных процессов"/>
    <s v="Консультация"/>
    <s v="Т11О-402Б-20"/>
    <n v="4"/>
    <s v="1192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Защита интеллектуальной собственности и патентоведение"/>
    <s v="ЛК"/>
    <s v="Т11О-101М-23"/>
    <n v="18"/>
    <s v="18008"/>
    <n v="1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ПЗ"/>
    <s v="Т11О-101М-23"/>
    <n v="28"/>
    <s v="18008"/>
    <n v="2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Зачет"/>
    <s v="Т11О-101М-23"/>
    <n v="3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Консультация"/>
    <s v="Т11О-101М-23"/>
    <n v="1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Разработка ресурсосберегающих технологий диффузионной сварки"/>
    <s v="ЛК"/>
    <s v="Т11О-101М-23"/>
    <n v="24"/>
    <s v="18008"/>
    <n v="24"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Разработка ресурсосберегающих технологий диффузионной сварки"/>
    <s v="КР"/>
    <s v="Т11О-101М-23"/>
    <n v="26"/>
    <s v="18008"/>
    <m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Разработка ресурсосберегающих технологий диффузионной сварки"/>
    <s v="Зачет с оценкой"/>
    <s v="Т11О-101М-23"/>
    <n v="4"/>
    <s v="18008"/>
    <m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Разработка ресурсосберегающих технологий диффузионной сварки"/>
    <s v="ПЗ"/>
    <s v="Т11О-101М-23"/>
    <n v="42"/>
    <s v="18008"/>
    <n v="42"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Разработка ресурсосберегающих технологий диффузионной сварки"/>
    <s v="Консультация"/>
    <s v="Т11О-101М-23"/>
    <n v="1"/>
    <s v="18008"/>
    <m/>
    <s v="82090"/>
    <x v="10"/>
    <m/>
    <s v="Да"/>
    <m/>
    <m/>
    <n v="161"/>
    <n v="92"/>
    <n v="253"/>
    <n v="0.3048192771084338"/>
    <n v="50.6"/>
    <n v="0.243855421686747"/>
    <n v="0.25"/>
  </r>
  <r>
    <s v="осень"/>
    <s v="Моделирование и оптимизация технологических процессов"/>
    <s v="ЛК"/>
    <s v="Т11О-201М-22"/>
    <n v="18"/>
    <s v="04489"/>
    <n v="18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Моделирование и оптимизация технологических процессов"/>
    <s v="КР"/>
    <s v="Т11О-201М-22"/>
    <n v="24"/>
    <s v="04489"/>
    <m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Моделирование и оптимизация технологических процессов"/>
    <s v="Зачет с оценкой"/>
    <s v="Т11О-201М-22"/>
    <n v="4"/>
    <s v="04489"/>
    <m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Моделирование и оптимизация технологических процессов"/>
    <s v="ПЗ"/>
    <s v="Т11О-201М-22"/>
    <n v="62"/>
    <s v="04489"/>
    <n v="62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Моделирование и оптимизация технологических процессов"/>
    <s v="Консультация"/>
    <s v="Т11О-201М-22"/>
    <n v="1"/>
    <s v="04489"/>
    <m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Физико-математическое моделирование процессов обработки металлов давлением"/>
    <s v="ЛК"/>
    <s v="Т11О-201М-22"/>
    <n v="12"/>
    <s v="04489"/>
    <n v="12"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Физико-математическое моделирование процессов обработки металлов давлением"/>
    <s v="ПЗ"/>
    <s v="Т11О-201М-22"/>
    <n v="42"/>
    <s v="04489"/>
    <n v="42"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4"/>
    <s v="04489"/>
    <m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2"/>
    <s v="04489"/>
    <m/>
    <s v="82075"/>
    <x v="5"/>
    <m/>
    <s v="Да"/>
    <m/>
    <m/>
    <n v="14.5"/>
    <n v="78"/>
    <n v="92.5"/>
    <n v="0.1114457831325301"/>
    <n v="18.5"/>
    <n v="0.0891566265060241"/>
    <n v="0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2075"/>
    <x v="5"/>
    <m/>
    <s v="Да"/>
    <m/>
    <m/>
    <n v="14.5"/>
    <n v="78"/>
    <n v="92.5"/>
    <n v="0.1114457831325301"/>
    <n v="18.5"/>
    <n v="0.0891566265060241"/>
    <n v="0"/>
  </r>
  <r>
    <s v="осень"/>
    <s v="Физика и техника высоких давлений"/>
    <s v="ЛК"/>
    <s v="Т11О-201М-22"/>
    <n v="18"/>
    <s v="04489"/>
    <n v="18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ПЗ"/>
    <s v="Т11О-201М-22"/>
    <n v="36"/>
    <s v="04489"/>
    <n v="36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4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2"/>
    <s v="04489"/>
    <m/>
    <s v="82075"/>
    <x v="5"/>
    <m/>
    <s v="Да"/>
    <m/>
    <m/>
    <n v="14.5"/>
    <n v="78"/>
    <n v="92.5"/>
    <n v="0.1114457831325301"/>
    <n v="18.5"/>
    <n v="0.0891566265060241"/>
    <n v="0"/>
  </r>
  <r>
    <s v="осень"/>
    <s v="Физика и техника высоких давлений"/>
    <s v="Консультация"/>
    <s v="Т11О-201М-22"/>
    <n v="1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Консультация"/>
    <s v="Т11О-201М-22"/>
    <n v="1"/>
    <s v="04489"/>
    <m/>
    <s v="82075"/>
    <x v="5"/>
    <m/>
    <s v="Да"/>
    <m/>
    <m/>
    <n v="14.5"/>
    <n v="78"/>
    <n v="92.5"/>
    <n v="0.1114457831325301"/>
    <n v="18.5"/>
    <n v="0.0891566265060241"/>
    <n v="0"/>
  </r>
  <r>
    <s v="осень"/>
    <s v="Основы автоматизации технологических процессов"/>
    <s v="ЛК"/>
    <s v="Т11О-301Б-21, Т11О-303Б-21, Т11О-304Б-21, Т11О-305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1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3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5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1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3Б-21"/>
    <n v="8"/>
    <s v="17358"/>
    <n v="8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Основы автоматизации технологических процессов"/>
    <s v="ПЗ"/>
    <s v="Т11О-304Б-21"/>
    <n v="8"/>
    <s v="17358"/>
    <n v="8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Основы автоматизации технологических процессов"/>
    <s v="ПЗ"/>
    <s v="Т11О-305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1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3Б-21"/>
    <n v="48"/>
    <s v="17358"/>
    <n v="24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Основы автоматизации технологических процессов"/>
    <s v="ЛР"/>
    <s v="Т11О-304Б-21"/>
    <n v="24"/>
    <s v="17358"/>
    <n v="24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Основы автоматизации технологических процессов"/>
    <s v="ЛР"/>
    <s v="Т11О-305Б-21"/>
    <n v="48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Экзамен"/>
    <s v="Т11О-304Б-21"/>
    <n v="7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1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3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4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5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математического и имитационного моделирования"/>
    <s v="ЛК"/>
    <s v="Т11О-302Б-21"/>
    <n v="16"/>
    <s v="14861"/>
    <n v="16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ПЗ"/>
    <s v="Т11О-302Б-21"/>
    <n v="24"/>
    <s v="14861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Зачет"/>
    <s v="Т11О-302Б-21"/>
    <n v="4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Диагностика и надежность автоматизированных систем"/>
    <s v="ЛК"/>
    <s v="Т11О-302Б-21"/>
    <n v="12"/>
    <s v="14861"/>
    <n v="12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Диагностика и надежность автоматизированных систем"/>
    <s v="ПЗ"/>
    <s v="Т11О-302Б-21"/>
    <n v="14"/>
    <s v="14861"/>
    <n v="14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Диагностика и надежность автоматизированных систем"/>
    <s v="ЛР"/>
    <s v="Т11О-302Б-21"/>
    <n v="16"/>
    <s v="14861"/>
    <n v="8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Диагностика и надежность автоматизированных систем"/>
    <s v="Зачет"/>
    <s v="Т11О-302Б-21"/>
    <n v="4"/>
    <s v="14861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Диагностика и надежность автоматизированных систем"/>
    <s v="Консультация"/>
    <s v="Т11О-302Б-21"/>
    <n v="1"/>
    <s v="14861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CALS-технологии в производстве продукции"/>
    <s v="ПЗ"/>
    <s v="Т11О-403Б-20"/>
    <n v="40"/>
    <s v="13288"/>
    <n v="40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CALS-технологии в производстве продукции"/>
    <s v="Экзамен"/>
    <s v="Т11О-403Б-20"/>
    <n v="6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CALS-технологии в производстве продукции"/>
    <s v="Консультация"/>
    <s v="Т11О-403Б-20"/>
    <n v="3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ория и технология композиционных материалов"/>
    <s v="ЛК"/>
    <s v="Т11О-101М-23"/>
    <n v="24"/>
    <s v="18008"/>
    <n v="24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ория и технология композиционных материалов"/>
    <s v="Зачет с оценкой"/>
    <s v="Т11О-101М-23"/>
    <n v="4"/>
    <s v="18008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ория и технология композиционных материалов"/>
    <s v="ПЗ"/>
    <s v="Т11О-101М-23"/>
    <n v="48"/>
    <s v="18008"/>
    <n v="48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ория и технология композиционных материалов"/>
    <s v="Консультация"/>
    <s v="Т11О-101М-23"/>
    <n v="1"/>
    <s v="18008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хнология прокатно-прессового производства"/>
    <s v="ЛК"/>
    <s v="Т11О-401Б-20"/>
    <n v="40"/>
    <s v="11924"/>
    <n v="40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Технология прокатно-прессового производства"/>
    <s v="ПЗ"/>
    <s v="Т11О-401Б-20"/>
    <n v="68"/>
    <s v="11924"/>
    <n v="68"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Технология прокатно-прессового производства"/>
    <s v="Экзамен"/>
    <s v="Т11О-401Б-20"/>
    <n v="6"/>
    <s v="11924"/>
    <m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Технология прокатно-прессового производства"/>
    <s v="Консультация"/>
    <s v="Т11О-401Б-20"/>
    <n v="4"/>
    <s v="11924"/>
    <m/>
    <s v="81722"/>
    <x v="11"/>
    <m/>
    <s v="Нет"/>
    <m/>
    <m/>
    <n v="298"/>
    <n v="310"/>
    <n v="608"/>
    <n v="0.7325301204819277"/>
    <n v="121.6"/>
    <n v="0.5860240963855422"/>
    <n v="0.7"/>
  </r>
  <r>
    <s v="осень"/>
    <s v="Методы прогнозирования в управлении жизненным циклом продукции"/>
    <s v="ЛК"/>
    <s v="Т11О-302Б-21"/>
    <n v="28"/>
    <s v="14861"/>
    <n v="28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Методы прогнозирования в управлении жизненным циклом продукции"/>
    <s v="КР"/>
    <s v="Т11О-302Б-21"/>
    <n v="36"/>
    <s v="14861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Методы прогнозирования в управлении жизненным циклом продукции"/>
    <s v="Зачет с оценкой"/>
    <s v="Т11О-302Б-21"/>
    <n v="5"/>
    <s v="14861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Методы прогнозирования в управлении жизненным циклом продукции"/>
    <s v="ПЗ"/>
    <s v="Т11О-302Б-21"/>
    <n v="40"/>
    <s v="14861"/>
    <n v="40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Методы прогнозирования в управлении жизненным циклом продукции"/>
    <s v="Консультация"/>
    <s v="Т11О-302Б-21"/>
    <n v="1"/>
    <s v="14861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Программирование и алгоритмизация"/>
    <s v="ЛК"/>
    <s v="Т11О-206Б-22"/>
    <n v="12"/>
    <s v="16776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Программирование и алгоритмизация"/>
    <s v="Зачет с оценкой"/>
    <s v="Т11О-206Б-22"/>
    <n v="5"/>
    <s v="16776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Программирование и алгоритмизация"/>
    <s v="ПЗ"/>
    <s v="Т11О-206Б-22"/>
    <n v="24"/>
    <s v="16776"/>
    <n v="24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Программирование и алгоритмизация"/>
    <s v="Консультация"/>
    <s v="Т11О-206Б-22"/>
    <n v="1"/>
    <s v="16776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Средства автоматизации и управления"/>
    <s v="ЛК"/>
    <s v="Т11О-403Б-20"/>
    <n v="16"/>
    <s v="13288"/>
    <n v="16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Средства автоматизации и управления"/>
    <s v="ПЗ"/>
    <s v="Т11О-403Б-20"/>
    <n v="16"/>
    <s v="13288"/>
    <n v="16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Средства автоматизации и управления"/>
    <s v="ЛР"/>
    <s v="Т11О-403Б-20"/>
    <n v="8"/>
    <s v="13288"/>
    <n v="8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Средства автоматизации и управления"/>
    <s v="Зачет"/>
    <s v="Т11О-403Б-20"/>
    <n v="2"/>
    <s v="13288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Средства автоматизации и управления"/>
    <s v="Консультация"/>
    <s v="Т11О-403Б-20"/>
    <n v="1"/>
    <s v="13288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Технологические процессы автоматизированных производств"/>
    <s v="ЛК"/>
    <s v="Т11О-403Б-20"/>
    <n v="16"/>
    <s v="13288"/>
    <n v="16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Зачет с оценкой"/>
    <s v="Т11О-403Б-20"/>
    <n v="4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ПЗ"/>
    <s v="Т11О-403Б-20"/>
    <n v="32"/>
    <s v="13288"/>
    <n v="32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ЛР"/>
    <s v="Т11О-403Б-20"/>
    <n v="8"/>
    <s v="13288"/>
    <n v="8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Консультация"/>
    <s v="Т11О-403Б-20"/>
    <n v="1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Основы технологии и организации получения продукции методами КШП"/>
    <s v="ЛК"/>
    <s v="Т11О-403Б-20"/>
    <n v="24"/>
    <s v="13288"/>
    <n v="24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Основы технологии и организации получения продукции методами КШП"/>
    <s v="Зачет с оценкой"/>
    <s v="Т11О-403Б-20"/>
    <n v="4"/>
    <s v="13288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Основы технологии и организации получения продукции методами КШП"/>
    <s v="ПЗ"/>
    <s v="Т11О-403Б-20"/>
    <n v="40"/>
    <s v="13288"/>
    <n v="40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Основы технологии и организации получения продукции методами КШП"/>
    <s v="Консультация"/>
    <s v="Т11О-403Б-20"/>
    <n v="1"/>
    <s v="13288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Методы управления информационными и материальными потоками"/>
    <s v="ЛК"/>
    <s v="Т11О-403Б-20"/>
    <n v="32"/>
    <s v="13288"/>
    <n v="32"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Методы управления информационными и материальными потоками"/>
    <s v="ПЗ"/>
    <s v="Т11О-403Б-20"/>
    <n v="32"/>
    <s v="13288"/>
    <n v="32"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Методы управления информационными и материальными потоками"/>
    <s v="Экзамен"/>
    <s v="Т11О-403Б-20"/>
    <n v="6"/>
    <s v="13288"/>
    <m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Методы управления информационными и материальными потоками"/>
    <s v="Консультация"/>
    <s v="Т11О-403Б-20"/>
    <n v="3"/>
    <s v="13288"/>
    <m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Основы функционального моделирования"/>
    <s v="ЛК"/>
    <s v="Т11О-206Б-22"/>
    <n v="12"/>
    <s v="16776"/>
    <n v="12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Основы функционального моделирования"/>
    <s v="ПЗ"/>
    <s v="Т11О-206Б-22"/>
    <n v="24"/>
    <s v="16776"/>
    <n v="24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Основы функционального моделирования"/>
    <s v="Зачет"/>
    <s v="Т11О-206Б-22"/>
    <n v="4"/>
    <s v="16776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Основы функционального моделирования"/>
    <s v="Консультация"/>
    <s v="Т11О-206Б-22"/>
    <n v="1"/>
    <s v="16776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TPS-технологии"/>
    <s v="ЛК"/>
    <s v="Т11О-403Б-20"/>
    <n v="24"/>
    <s v="132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ПЗ"/>
    <s v="Т11О-403Б-20"/>
    <n v="40"/>
    <s v="13288"/>
    <n v="4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ЛР"/>
    <s v="Т11О-403Б-20"/>
    <n v="8"/>
    <s v="13288"/>
    <n v="8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Экзамен"/>
    <s v="Т11О-403Б-20"/>
    <n v="6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Консультация"/>
    <s v="Т11О-403Б-20"/>
    <n v="3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Применение вычислительной техники в инженерной деятельности"/>
    <s v="ЛК"/>
    <s v="Т11О-401Б-20"/>
    <n v="18"/>
    <s v="11924"/>
    <n v="18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Применение вычислительной техники в инженерной деятельности"/>
    <s v="ЛР"/>
    <s v="Т11О-401Б-20"/>
    <n v="32"/>
    <s v="11924"/>
    <n v="32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Применение вычислительной техники в инженерной деятельности"/>
    <s v="Зачет"/>
    <s v="Т11О-401Б-20"/>
    <n v="2"/>
    <s v="11924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Применение вычислительной техники в инженерной деятельности"/>
    <s v="Консультация"/>
    <s v="Т11О-401Б-20"/>
    <n v="1"/>
    <s v="11924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Технология кузнечно-штамповочного производства"/>
    <s v="ПЗ"/>
    <s v="Т11О-401Б-20"/>
    <n v="30"/>
    <s v="11924"/>
    <n v="30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Технология кузнечно-штамповочного производ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Технология кузнечно-штамповочного производ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Технологии конструкционных материалов"/>
    <s v="ЛК"/>
    <s v="Т11О-201Б-22, Т11О-202Б-22, Т11О-203Б-22"/>
    <n v="18"/>
    <s v="16107"/>
    <n v="1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ПЗ"/>
    <s v="Т11О-201Б-22"/>
    <n v="18"/>
    <s v="16107"/>
    <n v="1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ПЗ"/>
    <s v="Т11О-203Б-22"/>
    <n v="18"/>
    <s v="16107"/>
    <n v="1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ПЗ"/>
    <s v="Т11О-202Б-22"/>
    <n v="18"/>
    <s v="16107"/>
    <n v="1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Зачет"/>
    <s v="Т11О-201Б-22"/>
    <n v="2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Зачет"/>
    <s v="Т11О-201Б-22"/>
    <n v="1"/>
    <s v="16107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Технологии конструкционных материалов"/>
    <s v="Зачет"/>
    <s v="Т11О-203Б-22"/>
    <n v="3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Зачет"/>
    <s v="Т11О-203Б-22"/>
    <n v="1"/>
    <s v="16107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Технологии конструкционных материалов"/>
    <s v="Зачет"/>
    <s v="Т11О-202Б-22"/>
    <n v="3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Зачет"/>
    <s v="Т11О-202Б-22"/>
    <n v="1"/>
    <s v="16107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Технологии конструкционных материалов"/>
    <s v="Консультация"/>
    <s v="Т11О-201Б-22"/>
    <n v="1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Консультация"/>
    <s v="Т11О-203Б-22"/>
    <n v="1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ехнологии конструкционных материалов"/>
    <s v="Консультация"/>
    <s v="Т11О-202Б-22"/>
    <n v="1"/>
    <s v="16107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ЛК"/>
    <s v="Т11О-202М-22"/>
    <n v="20"/>
    <s v="16103"/>
    <n v="20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КР"/>
    <s v="Т11О-202М-22"/>
    <n v="14"/>
    <s v="16103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Зачет с оценкой"/>
    <s v="Т11О-202М-22"/>
    <n v="2"/>
    <s v="16103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ПЗ"/>
    <s v="Т11О-202М-22"/>
    <n v="12"/>
    <s v="16103"/>
    <n v="12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ЛР"/>
    <s v="Т11О-202М-22"/>
    <n v="24"/>
    <s v="16103"/>
    <n v="24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Производство отливок из легких сплавов"/>
    <s v="Консультация"/>
    <s v="Т11О-202М-22"/>
    <n v="1"/>
    <s v="16103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АПР технологических процессов в литейном производстве"/>
    <s v="ЛК"/>
    <s v="Т11О-202М-22"/>
    <n v="14"/>
    <s v="16103"/>
    <n v="14"/>
    <s v="82061"/>
    <x v="0"/>
    <m/>
    <s v="Да"/>
    <m/>
    <m/>
    <n v="105"/>
    <n v="102"/>
    <n v="207"/>
    <n v="0.2493975903614458"/>
    <n v="41.40000000000001"/>
    <n v="0.1995180722891566"/>
    <n v="0.2"/>
  </r>
  <r>
    <s v="осень"/>
    <s v="САПР технологических процессов в литейном производстве"/>
    <s v="КР"/>
    <s v="Т11О-202М-22"/>
    <n v="14"/>
    <s v="16103"/>
    <m/>
    <s v="82061"/>
    <x v="6"/>
    <m/>
    <s v="Да"/>
    <m/>
    <m/>
    <n v="233"/>
    <n v="200"/>
    <n v="433"/>
    <n v="0.5216867469879518"/>
    <n v="86.60000000000001"/>
    <n v="0.4173493975903615"/>
    <n v="0.5"/>
  </r>
  <r>
    <s v="осень"/>
    <s v="САПР технологических процессов в литейном производстве"/>
    <s v="ПЗ"/>
    <s v="Т11О-202М-22"/>
    <n v="40"/>
    <s v="16103"/>
    <n v="40"/>
    <s v="82061"/>
    <x v="0"/>
    <m/>
    <s v="Да"/>
    <m/>
    <m/>
    <n v="105"/>
    <n v="102"/>
    <n v="207"/>
    <n v="0.2493975903614458"/>
    <n v="41.40000000000001"/>
    <n v="0.1995180722891566"/>
    <n v="0.2"/>
  </r>
  <r>
    <s v="осень"/>
    <s v="САПР технологических процессов в литейном производстве"/>
    <s v="Экзамен"/>
    <s v="Т11О-202М-22"/>
    <n v="4"/>
    <s v="16103"/>
    <m/>
    <s v="82061"/>
    <x v="0"/>
    <m/>
    <s v="Да"/>
    <m/>
    <m/>
    <n v="105"/>
    <n v="102"/>
    <n v="207"/>
    <n v="0.2493975903614458"/>
    <n v="41.40000000000001"/>
    <n v="0.1995180722891566"/>
    <n v="0.2"/>
  </r>
  <r>
    <s v="осень"/>
    <s v="САПР технологических процессов в литейном производстве"/>
    <s v="Консультация"/>
    <s v="Т11О-202М-22"/>
    <n v="2"/>
    <s v="16103"/>
    <m/>
    <s v="82061"/>
    <x v="0"/>
    <m/>
    <s v="Да"/>
    <m/>
    <m/>
    <n v="105"/>
    <n v="102"/>
    <n v="207"/>
    <n v="0.2493975903614458"/>
    <n v="41.40000000000001"/>
    <n v="0.1995180722891566"/>
    <n v="0.2"/>
  </r>
  <r>
    <s v="осень"/>
    <s v="Специальные методы литья"/>
    <s v="ЛК"/>
    <s v="Т11О-101М-23"/>
    <n v="24"/>
    <s v="18008"/>
    <n v="24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пециальные методы литья"/>
    <s v="КР"/>
    <s v="Т11О-101М-23"/>
    <n v="26"/>
    <s v="18008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пециальные методы литья"/>
    <s v="ПЗ"/>
    <s v="Т11О-101М-23"/>
    <n v="26"/>
    <s v="18008"/>
    <n v="26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пециальные методы литья"/>
    <s v="ЛР"/>
    <s v="Т11О-101М-23"/>
    <n v="16"/>
    <s v="18008"/>
    <n v="16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пециальные методы литья"/>
    <s v="Экзамен"/>
    <s v="Т11О-101М-23"/>
    <n v="7"/>
    <s v="18008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Специальные методы литья"/>
    <s v="Консультация"/>
    <s v="Т11О-101М-23"/>
    <n v="3"/>
    <s v="18008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Твердофазные методы получения композиционных материалов"/>
    <s v="ЛК"/>
    <s v="Т11О-402Б-20"/>
    <n v="24"/>
    <s v="11923"/>
    <n v="24"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Твердофазные методы получения композиционных материалов"/>
    <s v="Зачет с оценкой"/>
    <s v="Т11О-402Б-20"/>
    <n v="3"/>
    <s v="11923"/>
    <m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Твердофазные методы получения композиционных материалов"/>
    <s v="ПЗ"/>
    <s v="Т11О-402Б-20"/>
    <n v="28"/>
    <s v="11923"/>
    <n v="28"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Твердофазные методы получения композиционных материалов"/>
    <s v="ЛР"/>
    <s v="Т11О-402Б-20"/>
    <n v="8"/>
    <s v="11923"/>
    <n v="8"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Твердофазные методы получения композиционных материалов"/>
    <s v="Консультация"/>
    <s v="Т11О-402Б-20"/>
    <n v="1"/>
    <s v="11923"/>
    <m/>
    <s v="82090"/>
    <x v="10"/>
    <m/>
    <s v="Да"/>
    <m/>
    <m/>
    <n v="161"/>
    <n v="92"/>
    <n v="253"/>
    <n v="0.3048192771084338"/>
    <n v="50.6"/>
    <n v="0.243855421686747"/>
    <n v="0.25"/>
  </r>
  <r>
    <s v="осень"/>
    <s v="Теория затвердевания отливки"/>
    <s v="ЛК"/>
    <s v="Т11О-402Б-20"/>
    <n v="24"/>
    <s v="11923"/>
    <n v="24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затвердевания отливки"/>
    <s v="Зачет с оценкой"/>
    <s v="Т11О-402Б-20"/>
    <n v="3"/>
    <s v="1192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затвердевания отливки"/>
    <s v="ПЗ"/>
    <s v="Т11О-402Б-20"/>
    <n v="12"/>
    <s v="11923"/>
    <n v="12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затвердевания отливки"/>
    <s v="ЛР"/>
    <s v="Т11О-402Б-20"/>
    <n v="24"/>
    <s v="11923"/>
    <n v="24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ория затвердевания отливки"/>
    <s v="Консультация"/>
    <s v="Т11О-402Б-20"/>
    <n v="1"/>
    <s v="1192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Оборудование и автоматизация литейных цехов"/>
    <s v="ЛК"/>
    <s v="Т11О-402Б-20"/>
    <n v="28"/>
    <s v="11923"/>
    <n v="28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Зачет с оценкой"/>
    <s v="Т11О-402Б-20"/>
    <n v="3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ПЗ"/>
    <s v="Т11О-402Б-20"/>
    <n v="32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Консультация"/>
    <s v="Т11О-402Б-20"/>
    <n v="1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Введение в искусственный интеллект в технологиях материалов, изделий и в системах принятия решений"/>
    <s v="ЛК"/>
    <s v="Т11О-308Б-21"/>
    <n v="30"/>
    <s v="14816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4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1"/>
    <s v="14816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Введение в искусственный интеллект в технологиях материалов, изделий и в системах принятия решений"/>
    <s v="Консультация"/>
    <s v="Т11О-308Б-21"/>
    <n v="2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пецглавы теории литейных процессов"/>
    <s v="ЛК"/>
    <s v="Т11О-202М-22"/>
    <n v="14"/>
    <s v="16103"/>
    <n v="14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пецглавы теории литейных процессов"/>
    <s v="Зачет с оценкой"/>
    <s v="Т11О-202М-22"/>
    <n v="2"/>
    <s v="1610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пецглавы теории литейных процессов"/>
    <s v="ПЗ"/>
    <s v="Т11О-202М-22"/>
    <n v="36"/>
    <s v="16103"/>
    <n v="36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пецглавы теории литейных процессов"/>
    <s v="Консультация"/>
    <s v="Т11О-202М-22"/>
    <n v="1"/>
    <s v="16103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Технология листовой штамповки"/>
    <s v="КП"/>
    <s v="Т11О-401Б-20"/>
    <n v="33"/>
    <s v="11924"/>
    <m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Технология листовой штамповки"/>
    <s v="ЛК"/>
    <s v="Т11О-401Б-20"/>
    <n v="46"/>
    <s v="11924"/>
    <n v="46"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Технология листовой штамповки"/>
    <s v="ПЗ"/>
    <s v="Т11О-401Б-20"/>
    <n v="80"/>
    <s v="11924"/>
    <n v="80"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Технология листовой штамповки"/>
    <s v="Экзамен"/>
    <s v="Т11О-401Б-20"/>
    <n v="6"/>
    <s v="11924"/>
    <m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Технология листовой штамповки"/>
    <s v="Консультация"/>
    <s v="Т11О-401Б-20"/>
    <n v="4"/>
    <s v="11924"/>
    <m/>
    <s v="81716"/>
    <x v="19"/>
    <m/>
    <s v="Нет"/>
    <m/>
    <m/>
    <n v="242"/>
    <n v="0"/>
    <n v="242"/>
    <n v="0.291566265060241"/>
    <n v="48.40000000000001"/>
    <n v="0.2332530120481928"/>
    <n v="0.2"/>
  </r>
  <r>
    <s v="осень"/>
    <s v="Нагревательные печи и устройства"/>
    <s v="ЛК"/>
    <s v="Т11О-401Б-20"/>
    <n v="18"/>
    <s v="11924"/>
    <n v="18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Нагревательные печи и устройства"/>
    <s v="ПЗ"/>
    <s v="Т11О-401Б-20"/>
    <n v="32"/>
    <s v="11924"/>
    <n v="32"/>
    <s v="94921"/>
    <x v="15"/>
    <m/>
    <s v="Нет"/>
    <m/>
    <m/>
    <n v="276"/>
    <n v="323"/>
    <n v="599"/>
    <n v="0.7216867469879518"/>
    <n v="119.8"/>
    <n v="0.5773493975903614"/>
    <n v="0.55"/>
  </r>
  <r>
    <s v="осень"/>
    <s v="Нагревательные печи и устрой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Нагревательные печи и устрой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Процессы порошковой металлургии - 2"/>
    <s v="ЛК"/>
    <s v="Т11О-402Б-20"/>
    <n v="44"/>
    <s v="11923"/>
    <n v="4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Р"/>
    <s v="Т11О-402Б-20"/>
    <n v="18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ПЗ"/>
    <s v="Т11О-402Б-20"/>
    <n v="30"/>
    <s v="11923"/>
    <n v="30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ЛР"/>
    <s v="Т11О-402Б-20"/>
    <n v="16"/>
    <s v="11923"/>
    <n v="16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Экзамен"/>
    <s v="Т11О-402Б-20"/>
    <n v="5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онсультация"/>
    <s v="Т11О-402Б-20"/>
    <n v="4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Теория, технология и оборудование нанесения покрытий"/>
    <s v="ЛК"/>
    <s v="Т11О-402Б-20"/>
    <n v="36"/>
    <s v="11923"/>
    <n v="36"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Теория, технология и оборудование нанесения покрытий"/>
    <s v="Зачет с оценкой"/>
    <s v="Т11О-402Б-20"/>
    <n v="3"/>
    <s v="11923"/>
    <m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Теория, технология и оборудование нанесения покрытий"/>
    <s v="ПЗ"/>
    <s v="Т11О-402Б-20"/>
    <n v="20"/>
    <s v="11923"/>
    <n v="20"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Теория, технология и оборудование нанесения покрытий"/>
    <s v="ЛР"/>
    <s v="Т11О-402Б-20"/>
    <n v="16"/>
    <s v="11923"/>
    <n v="16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Теория, технология и оборудование нанесения покрытий"/>
    <s v="Консультация"/>
    <s v="Т11О-402Б-20"/>
    <n v="2"/>
    <s v="11923"/>
    <m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Сварка, родственные процессы и технологии"/>
    <s v="ЛК"/>
    <s v="Т11О-306А-21"/>
    <n v="68"/>
    <s v="15646"/>
    <n v="68"/>
    <s v="82056"/>
    <x v="4"/>
    <m/>
    <s v="Да"/>
    <m/>
    <s v="Федотов Александр Юрьевич"/>
    <n v="188"/>
    <n v="294"/>
    <n v="482"/>
    <n v="0.5807228915662651"/>
    <n v="96.40000000000001"/>
    <n v="0.4645783132530121"/>
    <n v="0.5"/>
  </r>
  <r>
    <s v="осень"/>
    <s v="Сварка, родственные процессы и технологии"/>
    <s v="ПЗ"/>
    <s v="Т11О-306А-21"/>
    <n v="20"/>
    <s v="15646"/>
    <n v="20"/>
    <s v="82056"/>
    <x v="4"/>
    <m/>
    <s v="Да"/>
    <m/>
    <m/>
    <n v="188"/>
    <n v="294"/>
    <n v="482"/>
    <n v="0.5807228915662651"/>
    <n v="96.40000000000001"/>
    <n v="0.4645783132530121"/>
    <n v="0.5"/>
  </r>
  <r>
    <s v="осень"/>
    <s v="Сварка, родственные процессы и технологии"/>
    <s v="Экзамен"/>
    <s v="Т11О-306А-21"/>
    <n v="1"/>
    <s v="15646"/>
    <m/>
    <s v="82056"/>
    <x v="4"/>
    <m/>
    <s v="Да"/>
    <m/>
    <m/>
    <n v="188"/>
    <n v="294"/>
    <n v="482"/>
    <n v="0.5807228915662651"/>
    <n v="96.40000000000001"/>
    <n v="0.4645783132530121"/>
    <n v="0.5"/>
  </r>
  <r>
    <s v="осень"/>
    <s v="Сварка, родственные процессы и технологии"/>
    <s v="Консультация"/>
    <s v="Т11О-306А-21"/>
    <n v="4"/>
    <s v="15646"/>
    <m/>
    <s v="82056"/>
    <x v="4"/>
    <m/>
    <s v="Да"/>
    <m/>
    <m/>
    <n v="188"/>
    <n v="294"/>
    <n v="482"/>
    <n v="0.5807228915662651"/>
    <n v="96.40000000000001"/>
    <n v="0.4645783132530121"/>
    <n v="0.5"/>
  </r>
  <r>
    <s v="осень"/>
    <s v="Сварка, родственные процессы и технологии"/>
    <s v="Консультация"/>
    <s v="Т11О-306А-21"/>
    <n v="1"/>
    <s v="15646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Спецглавы информатики"/>
    <s v="ЛК"/>
    <s v="Т11О-201Б-22"/>
    <n v="36"/>
    <s v="14668"/>
    <n v="3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Зачет с оценкой"/>
    <s v="Т11О-201Б-22"/>
    <n v="5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ПЗ"/>
    <s v="Т11О-201Б-22"/>
    <n v="46"/>
    <s v="14668"/>
    <n v="4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Консультация"/>
    <s v="Т11О-201Б-22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Проектирование сварных и паянных конструкций"/>
    <s v="ЛК"/>
    <s v="Т11О-401Б-20"/>
    <n v="34"/>
    <s v="11924"/>
    <n v="3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Зачет с оценкой"/>
    <s v="Т11О-401Б-20"/>
    <n v="3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ПЗ"/>
    <s v="Т11О-401Б-20"/>
    <n v="40"/>
    <s v="11924"/>
    <n v="4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ЛР"/>
    <s v="Т11О-401Б-20"/>
    <n v="16"/>
    <s v="11924"/>
    <n v="16"/>
    <s v="89090"/>
    <x v="3"/>
    <m/>
    <s v="Нет"/>
    <m/>
    <m/>
    <n v="169"/>
    <n v="340"/>
    <n v="509"/>
    <n v="0.6132530120481928"/>
    <n v="101.8"/>
    <n v="0.4906024096385543"/>
    <n v="0.4"/>
  </r>
  <r>
    <s v="осень"/>
    <s v="Проектирование сварных и паянных конструкций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акуумные технологии в металлургии"/>
    <s v="ЛК"/>
    <s v="Т11О-402Б-20"/>
    <n v="30"/>
    <s v="11923"/>
    <n v="30"/>
    <s v="95460"/>
    <x v="23"/>
    <m/>
    <s v="Нет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Зачет с оценкой"/>
    <s v="Т11О-402Б-20"/>
    <n v="3"/>
    <s v="11923"/>
    <m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Вакуумные технологии в металлургии"/>
    <s v="ПЗ"/>
    <s v="Т11О-402Б-20"/>
    <n v="18"/>
    <s v="11923"/>
    <n v="18"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Вакуумные технологии в металлургии"/>
    <s v="ЛР"/>
    <s v="Т11О-402Б-20"/>
    <n v="12"/>
    <s v="11923"/>
    <n v="12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Консультация"/>
    <s v="Т11О-402Б-20"/>
    <n v="2"/>
    <s v="11923"/>
    <m/>
    <s v="95460"/>
    <x v="22"/>
    <m/>
    <s v="Нет"/>
    <m/>
    <m/>
    <n v="84"/>
    <n v="62"/>
    <n v="146"/>
    <n v="0.1759036144578313"/>
    <n v="29.2"/>
    <n v="0.1407228915662651"/>
    <n v="0.15"/>
  </r>
  <r>
    <s v="осень"/>
    <s v="Основы предпринимательства и производственной деятельности в области реализации технологий металлургии"/>
    <s v="ЛК"/>
    <s v="Т11О-201М-22, Т11О-202М-22"/>
    <n v="10"/>
    <s v="16104"/>
    <n v="10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1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2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1М-22"/>
    <n v="6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2М-22"/>
    <n v="4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1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2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Современное состояние, перспективы и тенденции развития металлургии"/>
    <s v="ЛК"/>
    <s v="Т11О-201М-22, Т11О-202М-22"/>
    <n v="8"/>
    <s v="16104"/>
    <n v="8"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Современное состояние, перспективы и тенденции развития металлургии"/>
    <s v="ПЗ"/>
    <s v="Т11О-201М-22"/>
    <n v="28"/>
    <s v="16104"/>
    <n v="28"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Современное состояние, перспективы и тенденции развития металлургии"/>
    <s v="ПЗ"/>
    <s v="Т11О-202М-22"/>
    <n v="28"/>
    <s v="16104"/>
    <n v="28"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Современное состояние, перспективы и тенденции развития металлургии"/>
    <s v="Зачет"/>
    <s v="Т11О-201М-22"/>
    <n v="2"/>
    <s v="16104"/>
    <m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Современное состояние, перспективы и тенденции развития металлургии"/>
    <s v="Зачет"/>
    <s v="Т11О-202М-22"/>
    <n v="1"/>
    <s v="16104"/>
    <m/>
    <s v="81732"/>
    <x v="12"/>
    <m/>
    <s v="Да"/>
    <m/>
    <m/>
    <n v="171"/>
    <n v="88"/>
    <n v="259"/>
    <n v="0.3120481927710844"/>
    <n v="51.8"/>
    <n v="0.2496385542168675"/>
    <n v="0.25"/>
  </r>
  <r>
    <s v="осень"/>
    <s v="Основы вакуумной металлургии"/>
    <s v="ЛК"/>
    <s v="Т11О-201М-22, Т11О-202М-22"/>
    <n v="12"/>
    <s v="16104"/>
    <n v="12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1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2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1М-22"/>
    <n v="2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1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Теплотехника и основы теплопередачи"/>
    <s v="ЛК"/>
    <s v="Т11О-301Б-21, Т11О-303Б-21, Т11О-305Б-21, Т11О-306Б-21, 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ПЗ"/>
    <s v="Т11О-301Б-21"/>
    <n v="16"/>
    <s v="17352"/>
    <n v="16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ПЗ"/>
    <s v="Т11О-303Б-21"/>
    <n v="16"/>
    <s v="17352"/>
    <n v="16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ПЗ"/>
    <s v="Т11О-305Б-21"/>
    <n v="16"/>
    <s v="17352"/>
    <n v="16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ПЗ"/>
    <s v="Т11О-306Б-21"/>
    <n v="16"/>
    <s v="17352"/>
    <n v="16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ПЗ"/>
    <s v="Т11О-307Б-21"/>
    <n v="16"/>
    <s v="17352"/>
    <n v="16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ЛР"/>
    <s v="Т11О-301Б-21"/>
    <n v="24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ЛР"/>
    <s v="Т11О-303Б-21"/>
    <n v="48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ЛР"/>
    <s v="Т11О-305Б-21"/>
    <n v="48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ЛР"/>
    <s v="Т11О-306Б-21"/>
    <n v="48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ЛР"/>
    <s v="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Экзамен"/>
    <s v="Т11О-301Б-21"/>
    <n v="5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Экзамен"/>
    <s v="Т11О-303Б-21"/>
    <n v="8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Экзамен"/>
    <s v="Т11О-305Б-21"/>
    <n v="9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Экзамен"/>
    <s v="Т11О-306Б-21"/>
    <n v="9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Экзамен"/>
    <s v="Т11О-307Б-21"/>
    <n v="7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Консультация"/>
    <s v="Т11О-301Б-21"/>
    <n v="3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Консультация"/>
    <s v="Т11О-303Б-21"/>
    <n v="3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Консультация"/>
    <s v="Т11О-305Б-21"/>
    <n v="3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Консультация"/>
    <s v="Т11О-306Б-21"/>
    <n v="3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Теплотехника и основы теплопередачи"/>
    <s v="Консультация"/>
    <s v="Т11О-307Б-21"/>
    <n v="3"/>
    <s v="17352"/>
    <m/>
    <s v="82086"/>
    <x v="24"/>
    <m/>
    <s v="Нет"/>
    <m/>
    <m/>
    <n v="364"/>
    <n v="147"/>
    <n v="511"/>
    <n v="0.6156626506024097"/>
    <n v="102.2"/>
    <n v="0.4925301204819277"/>
    <n v="0.5"/>
  </r>
  <r>
    <s v="осень"/>
    <s v="Порошковая металлургия и композиционные материалы"/>
    <s v="ЛК"/>
    <s v="Т11О-302А-21"/>
    <n v="68"/>
    <s v="15650"/>
    <n v="6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ПЗ"/>
    <s v="Т11О-302А-21"/>
    <n v="20"/>
    <s v="15650"/>
    <n v="2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Экзамен"/>
    <s v="Т11О-302А-21"/>
    <n v="1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Консультация"/>
    <s v="Т11О-302А-21"/>
    <n v="5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Основы технологии и автоматизации производства продукции методами ТЛП"/>
    <s v="ЛК"/>
    <s v="Т11О-302Б-21"/>
    <n v="38"/>
    <s v="14861"/>
    <n v="3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Основы технологии и автоматизации производства продукции методами ТЛП"/>
    <s v="КР"/>
    <s v="Т11О-302Б-21"/>
    <n v="36"/>
    <s v="14861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Основы технологии и автоматизации производства продукции методами ТЛП"/>
    <s v="ПЗ"/>
    <s v="Т11О-302Б-21"/>
    <n v="28"/>
    <s v="14861"/>
    <n v="28"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Основы технологии и автоматизации производства продукции методами ТЛП"/>
    <s v="Экзамен"/>
    <s v="Т11О-302Б-21"/>
    <n v="9"/>
    <s v="14861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Основы технологии и автоматизации производства продукции методами ТЛП"/>
    <s v="Консультация"/>
    <s v="Т11О-302Б-21"/>
    <n v="3"/>
    <s v="14861"/>
    <m/>
    <s v="82020"/>
    <x v="1"/>
    <m/>
    <s v="Нет"/>
    <m/>
    <m/>
    <n v="442"/>
    <n v="269"/>
    <n v="711"/>
    <n v="0.8566265060240964"/>
    <n v="142.2"/>
    <n v="0.6853012048192771"/>
    <n v="0.7"/>
  </r>
  <r>
    <s v="осень"/>
    <s v="Основы технологии и автоматизации производства продукции методами ПМиЗП"/>
    <s v="ЛК"/>
    <s v="Т11О-302Б-21"/>
    <n v="24"/>
    <s v="14861"/>
    <n v="2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Зачет с оценкой"/>
    <s v="Т11О-302Б-21"/>
    <n v="5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ПЗ"/>
    <s v="Т11О-302Б-21"/>
    <n v="8"/>
    <s v="14861"/>
    <n v="8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ЛР"/>
    <s v="Т11О-302Б-21"/>
    <n v="64"/>
    <s v="14861"/>
    <n v="3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Консультация"/>
    <s v="Т11О-302Б-21"/>
    <n v="1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Финишные технологии производства продукции"/>
    <s v="ЛК"/>
    <s v="Т11О-302Б-21"/>
    <n v="20"/>
    <s v="14861"/>
    <n v="20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Финишные технологии производства продукции"/>
    <s v="Зачет с оценкой"/>
    <s v="Т11О-302Б-21"/>
    <n v="5"/>
    <s v="14861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Финишные технологии производства продукции"/>
    <s v="ПЗ"/>
    <s v="Т11О-302Б-21"/>
    <n v="12"/>
    <s v="14861"/>
    <n v="12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Финишные технологии производства продукции"/>
    <s v="ЛР"/>
    <s v="Т11О-302Б-21"/>
    <n v="16"/>
    <s v="14861"/>
    <n v="8"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Финишные технологии производства продукции"/>
    <s v="Консультация"/>
    <s v="Т11О-302Б-21"/>
    <n v="1"/>
    <s v="14861"/>
    <m/>
    <s v="81729"/>
    <x v="15"/>
    <m/>
    <s v="Нет"/>
    <m/>
    <m/>
    <n v="276"/>
    <n v="323"/>
    <n v="599"/>
    <n v="0.7216867469879518"/>
    <n v="119.8"/>
    <n v="0.5773493975903614"/>
    <n v="0.55"/>
  </r>
  <r>
    <s v="осень"/>
    <s v="Искусственный интеллект в технологиях материалов"/>
    <s v="ЛК"/>
    <s v="Т11О-301Б-21, Т11О-302Б-21, Т11О-303Б-21, Т11О-304Б-21, Т11О-305Б-21, Т11О-306Б-21, Т11О-307Б-21"/>
    <n v="30"/>
    <s v="17351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1Б-21"/>
    <n v="3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3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3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4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1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7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ПЗ"/>
    <s v="Т11О-301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1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3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3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5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5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6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ПЗ"/>
    <s v="Т11О-306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82086"/>
    <x v="8"/>
    <m/>
    <s v="Нет"/>
    <m/>
    <m/>
    <n v="78"/>
    <n v="240.5"/>
    <n v="318.5"/>
    <n v="0.3837349397590362"/>
    <n v="63.7"/>
    <n v="0.3069879518072289"/>
    <n v="0.35"/>
  </r>
  <r>
    <s v="осень"/>
    <s v="Искусственный интеллект в технологиях материалов"/>
    <s v="ЛР"/>
    <s v="Т11О-301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1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1Б-21"/>
    <n v="4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2Б-21"/>
    <n v="8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2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2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3Б-21"/>
    <n v="8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4Б-21"/>
    <n v="4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4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4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5Б-21"/>
    <n v="8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6Б-21"/>
    <n v="8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ЛР"/>
    <s v="Т11О-306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6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7Б-21"/>
    <n v="4"/>
    <s v="17351"/>
    <n v="12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Искусственный интеллект в технологиях материалов"/>
    <s v="Консультация"/>
    <s v="Т11О-301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2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3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4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5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6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7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нформатика"/>
    <s v="ЛК"/>
    <s v="Т11О-101Б-23"/>
    <n v="16"/>
    <s v="14668"/>
    <n v="1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ЛК"/>
    <s v="Т11О-104Б-23"/>
    <n v="24"/>
    <s v="18010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Зачет с оценкой"/>
    <s v="Т11О-104Б-23"/>
    <n v="6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ПЗ"/>
    <s v="Т11О-101Б-23"/>
    <n v="38"/>
    <s v="14668"/>
    <n v="3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ПЗ"/>
    <s v="Т11О-104Б-23"/>
    <n v="32"/>
    <s v="18010"/>
    <n v="3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ЛР"/>
    <s v="Т11О-104Б-23"/>
    <n v="24"/>
    <s v="18010"/>
    <n v="1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Экзамен"/>
    <s v="Т11О-101Б-23"/>
    <n v="10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1Б-23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специальность"/>
    <s v="ЛК"/>
    <s v="Т11О-104Б-23"/>
    <n v="18"/>
    <s v="18010"/>
    <n v="18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Введение в специальность"/>
    <s v="ЛР"/>
    <s v="Т11О-104Б-23"/>
    <n v="32"/>
    <s v="18010"/>
    <n v="16"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Введение в специальность"/>
    <s v="Зачет"/>
    <s v="Т11О-104Б-23"/>
    <n v="4"/>
    <s v="18010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Введение в специальность"/>
    <s v="Консультация"/>
    <s v="Т11О-104Б-23"/>
    <n v="1"/>
    <s v="18010"/>
    <m/>
    <s v="81724"/>
    <x v="17"/>
    <m/>
    <s v="Нет"/>
    <m/>
    <m/>
    <n v="456"/>
    <n v="384"/>
    <n v="840"/>
    <n v="1.012048192771084"/>
    <n v="168"/>
    <n v="0.8096385542168675"/>
    <n v="0.8"/>
  </r>
  <r>
    <s v="осень"/>
    <s v="Современное состояние и тенденции развития технологических процессов литейного производства"/>
    <s v="ЛК"/>
    <s v="Т11О-205А-22"/>
    <n v="30"/>
    <s v="16787"/>
    <n v="30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ПЗ"/>
    <s v="Т11О-205А-22"/>
    <n v="24"/>
    <s v="16787"/>
    <n v="24"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Консультация"/>
    <s v="Т11О-205А-22"/>
    <n v="2"/>
    <s v="16787"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ЛК"/>
    <s v="Т11О-206А-22"/>
    <n v="30"/>
    <s v="16788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ПЗ"/>
    <s v="Т11О-206А-22"/>
    <n v="24"/>
    <s v="167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Консультация"/>
    <s v="Т11О-206А-22"/>
    <n v="2"/>
    <s v="167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ЛК"/>
    <s v="Т11О-207А-22"/>
    <n v="30"/>
    <s v="16789"/>
    <n v="30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ПЗ"/>
    <s v="Т11О-207А-22"/>
    <n v="24"/>
    <s v="16789"/>
    <n v="24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Консультация"/>
    <s v="Т11О-207А-22"/>
    <n v="2"/>
    <s v="16789"/>
    <m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81958"/>
    <x v="25"/>
    <m/>
    <s v="Да"/>
    <m/>
    <s v="Максименко Екатерина Игоревна"/>
    <n v="180"/>
    <n v="129"/>
    <n v="309"/>
    <n v="0.372289156626506"/>
    <n v="61.8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Зачет с оценкой"/>
    <s v="Т11О-203А-22"/>
    <n v="1"/>
    <s v="16786"/>
    <m/>
    <s v="81958"/>
    <x v="25"/>
    <m/>
    <s v="Да"/>
    <m/>
    <m/>
    <n v="180"/>
    <n v="129"/>
    <n v="309"/>
    <n v="0.372289156626506"/>
    <n v="61.8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81958"/>
    <x v="25"/>
    <m/>
    <s v="Да"/>
    <m/>
    <m/>
    <n v="180"/>
    <n v="129"/>
    <n v="309"/>
    <n v="0.372289156626506"/>
    <n v="61.8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Консультация"/>
    <s v="Т11О-203А-22"/>
    <n v="2"/>
    <s v="16786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ЛК"/>
    <s v="Т11О-101М-23"/>
    <n v="24"/>
    <s v="18008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3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Жидкофазные технологии соединения материалов"/>
    <s v="ПЗ"/>
    <s v="Т11О-101М-23"/>
    <n v="48"/>
    <s v="18008"/>
    <n v="4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Консультация"/>
    <s v="Т11О-101М-23"/>
    <n v="1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авиационную и ракетно-космическую технику"/>
    <s v="ЛК"/>
    <s v="Т11О-104Б-23"/>
    <n v="18"/>
    <s v="18010"/>
    <n v="1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4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2"/>
    <s v="18010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Введение в авиационную и ракетно-космическую технику"/>
    <s v="ПЗ"/>
    <s v="Т11О-104Б-23"/>
    <n v="16"/>
    <s v="18010"/>
    <n v="16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Теория автоматического управления"/>
    <s v="ЛК"/>
    <s v="Т11О-302Б-21"/>
    <n v="18"/>
    <s v="14861"/>
    <n v="18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Теория автоматического управления"/>
    <s v="ПЗ"/>
    <s v="Т11О-302Б-21"/>
    <n v="16"/>
    <s v="14861"/>
    <n v="16"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"/>
    <n v="59"/>
    <n v="0.2843373493975904"/>
    <n v="0.25"/>
  </r>
  <r>
    <s v="осень"/>
    <s v="Методология научных исследований"/>
    <s v="ЛК"/>
    <s v="Т11О-201М-22, Т11О-202М-22"/>
    <n v="12"/>
    <s v="16104"/>
    <n v="12"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Зачет с оценкой"/>
    <s v="Т11О-201М-22"/>
    <n v="1"/>
    <s v="16104"/>
    <m/>
    <m/>
    <x v="5"/>
    <m/>
    <s v="Нет"/>
    <m/>
    <m/>
    <n v="14.5"/>
    <n v="78"/>
    <n v="92.5"/>
    <n v="0.1114457831325301"/>
    <n v="18.5"/>
    <n v="0.0891566265060241"/>
    <n v="0"/>
  </r>
  <r>
    <s v="осень"/>
    <s v="Методология научных исследований"/>
    <s v="Зачет с оценкой"/>
    <s v="Т11О-201М-22"/>
    <n v="3"/>
    <s v="16104"/>
    <m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Зачет с оценкой"/>
    <s v="Т11О-202М-22"/>
    <n v="2"/>
    <s v="16104"/>
    <m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ПЗ"/>
    <s v="Т11О-201М-22"/>
    <n v="24"/>
    <s v="16104"/>
    <n v="24"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ПЗ"/>
    <s v="Т11О-202М-22"/>
    <n v="24"/>
    <s v="16104"/>
    <n v="24"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Консультация"/>
    <s v="Т11О-201М-22"/>
    <n v="1"/>
    <s v="16104"/>
    <m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Методология научных исследований"/>
    <s v="Консультация"/>
    <s v="Т11О-202М-22"/>
    <n v="1"/>
    <s v="16104"/>
    <m/>
    <s v="81958"/>
    <x v="25"/>
    <m/>
    <s v="Да"/>
    <m/>
    <m/>
    <n v="180"/>
    <n v="129"/>
    <n v="309"/>
    <n v="0.372289156626506"/>
    <n v="61.8"/>
    <n v="0.2978313253012048"/>
    <n v="0.3"/>
  </r>
  <r>
    <s v="осень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Практика аспиранта"/>
    <s v="Практика"/>
    <s v="Т11О-203А-22"/>
    <n v="10"/>
    <m/>
    <m/>
    <s v="81958"/>
    <x v="25"/>
    <m/>
    <s v="Да"/>
    <m/>
    <s v="Максименко Екатерина Игоревна"/>
    <n v="180"/>
    <n v="129"/>
    <n v="309"/>
    <n v="0.372289156626506"/>
    <n v="61.8"/>
    <n v="0.2978313253012048"/>
    <n v="0.3"/>
  </r>
  <r>
    <s v="осень"/>
    <s v="Практика аспиранта"/>
    <s v="Практика"/>
    <s v="Т11О-205А-22"/>
    <n v="20"/>
    <m/>
    <m/>
    <s v="81891"/>
    <x v="7"/>
    <m/>
    <s v="Да"/>
    <m/>
    <s v="Федорцов Руслан Сергеевич"/>
    <n v="381"/>
    <n v="162"/>
    <n v="543"/>
    <n v="0.6542168674698795"/>
    <n v="108.6"/>
    <n v="0.5233734939759036"/>
    <n v="0.5"/>
  </r>
  <r>
    <s v="осень"/>
    <s v="Практика аспиранта"/>
    <s v="Практика"/>
    <s v="Т11О-206А-22"/>
    <n v="20"/>
    <m/>
    <m/>
    <s v="81728"/>
    <x v="16"/>
    <m/>
    <s v="Да"/>
    <m/>
    <s v="Батталов Тагир Хикимьянович"/>
    <n v="438"/>
    <n v="361"/>
    <n v="799"/>
    <n v="0.9626506024096385"/>
    <n v="159.8"/>
    <n v="0.7701204819277109"/>
    <n v="0.75"/>
  </r>
  <r>
    <s v="осень"/>
    <s v="Практика аспиранта"/>
    <s v="Практика"/>
    <s v="Т11О-207А-22"/>
    <n v="2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осень"/>
    <s v="Производственная практика"/>
    <s v="Преддипломная практика"/>
    <s v="Т11О-201М-22"/>
    <n v="13"/>
    <m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Производственная практика"/>
    <s v="Преддипломная практика"/>
    <s v="Т11О-202М-22"/>
    <n v="8"/>
    <m/>
    <m/>
    <s v="81891"/>
    <x v="7"/>
    <m/>
    <s v="Да"/>
    <m/>
    <m/>
    <n v="381"/>
    <n v="162"/>
    <n v="543"/>
    <n v="0.6542168674698795"/>
    <n v="108.6"/>
    <n v="0.5233734939759036"/>
    <n v="0.5"/>
  </r>
  <r>
    <s v="осень"/>
    <s v="Педагогическая практика"/>
    <s v="Преддипломная практика"/>
    <s v="Т11О-201М-22"/>
    <n v="13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Педагогическая практика"/>
    <s v="Преддипломная практика"/>
    <s v="Т11О-202М-22"/>
    <n v="8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15"/>
    <m/>
    <m/>
    <s v="81728"/>
    <x v="16"/>
    <m/>
    <s v="Да"/>
    <m/>
    <s v="Александров Антон Васильевич"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201М-22"/>
    <n v="30"/>
    <m/>
    <m/>
    <s v="81732"/>
    <x v="12"/>
    <m/>
    <s v="Да"/>
    <m/>
    <s v="Барабанкова Дарья Александровна, Чалый Никита Олегович"/>
    <n v="171"/>
    <n v="88"/>
    <n v="259"/>
    <n v="0.3120481927710844"/>
    <n v="51.8"/>
    <n v="0.2496385542168675"/>
    <n v="0.25"/>
  </r>
  <r>
    <s v="осень"/>
    <s v="Руководство магистрами"/>
    <s v="Руководство магистрами"/>
    <s v="Т11О-201М-22"/>
    <n v="15"/>
    <m/>
    <m/>
    <s v="81731"/>
    <x v="26"/>
    <m/>
    <s v="Нет"/>
    <m/>
    <s v="Голубев Константин Михайлович"/>
    <n v="15"/>
    <n v="146"/>
    <n v="161"/>
    <n v="0.1939759036144578"/>
    <n v="32.2"/>
    <n v="0.1551807228915663"/>
    <n v="0.15"/>
  </r>
  <r>
    <s v="осень"/>
    <s v="Руководство магистрами"/>
    <s v="Руководство магистрами"/>
    <s v="Т11О-201М-22"/>
    <n v="30"/>
    <m/>
    <m/>
    <s v="82056"/>
    <x v="4"/>
    <m/>
    <s v="Да"/>
    <m/>
    <s v="Диесперов Сергей Николаевич"/>
    <n v="188"/>
    <n v="294"/>
    <n v="482"/>
    <n v="0.5807228915662651"/>
    <n v="96.40000000000001"/>
    <n v="0.4645783132530121"/>
    <n v="0.5"/>
  </r>
  <r>
    <s v="осень"/>
    <s v="Руководство магистрами"/>
    <s v="Руководство магистрами"/>
    <s v="Т11О-201М-22"/>
    <n v="15"/>
    <m/>
    <m/>
    <s v="92509"/>
    <x v="20"/>
    <m/>
    <s v="Нет"/>
    <m/>
    <s v="Редьков Евгений Алексеевич"/>
    <n v="410"/>
    <n v="260"/>
    <n v="670"/>
    <n v="0.8072289156626506"/>
    <n v="134"/>
    <n v="0.6457831325301205"/>
    <n v="0.55"/>
  </r>
  <r>
    <s v="осень"/>
    <s v="Руководство магистрами"/>
    <s v="Руководство магистрами"/>
    <s v="Т11О-201М-22"/>
    <n v="15"/>
    <m/>
    <m/>
    <s v="89090"/>
    <x v="3"/>
    <m/>
    <s v="Нет"/>
    <m/>
    <s v="Чугункин Никита Игоревич"/>
    <n v="169"/>
    <n v="340"/>
    <n v="509"/>
    <n v="0.6132530120481928"/>
    <n v="101.8"/>
    <n v="0.4906024096385543"/>
    <n v="0.4"/>
  </r>
  <r>
    <s v="осень"/>
    <s v="Руководство магистрами"/>
    <s v="Руководство магистрами"/>
    <s v="Т11О-201М-22"/>
    <n v="15"/>
    <m/>
    <m/>
    <s v="81720"/>
    <x v="14"/>
    <m/>
    <s v="Нет"/>
    <m/>
    <s v="Булатов Асадбек Улугбек угли"/>
    <n v="279"/>
    <n v="431"/>
    <n v="710"/>
    <n v="0.8554216867469879"/>
    <n v="142"/>
    <n v="0.6843373493975904"/>
    <n v="0.65"/>
  </r>
  <r>
    <s v="осень"/>
    <s v="Руководство магистрами"/>
    <s v="Руководство магистрами"/>
    <s v="Т11О-201М-22"/>
    <n v="15"/>
    <m/>
    <m/>
    <s v="0000065837"/>
    <x v="9"/>
    <m/>
    <s v="Нет"/>
    <m/>
    <s v="Лепешкин Георгий Игоревич, Мардеев Эмиль Ренатович, Прунский Дмитрий Евгеньевич"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30"/>
    <m/>
    <m/>
    <s v="0000065837"/>
    <x v="27"/>
    <m/>
    <s v="Нет"/>
    <m/>
    <s v="Лепешкин Георгий Игоревич, Мардеев Эмиль Ренатович, Прунский Дмитрий Евгеньевич"/>
    <n v="30"/>
    <n v="79"/>
    <n v="109"/>
    <n v="0.1313253012048193"/>
    <n v="21.8"/>
    <n v="0.1050602409638554"/>
    <n v="0"/>
  </r>
  <r>
    <s v="осень"/>
    <s v="Руководство магистрами"/>
    <s v="Руководство магистрами"/>
    <s v="Т11О-202М-22"/>
    <n v="15"/>
    <m/>
    <m/>
    <s v="81891"/>
    <x v="7"/>
    <m/>
    <s v="Да"/>
    <m/>
    <s v="Акулов Михаил Андреевич"/>
    <n v="381"/>
    <n v="162"/>
    <n v="543"/>
    <n v="0.6542168674698795"/>
    <n v="108.6"/>
    <n v="0.5233734939759036"/>
    <n v="0.5"/>
  </r>
  <r>
    <s v="осень"/>
    <s v="Руководство магистрами"/>
    <s v="Руководство магистрами"/>
    <s v="Т11О-202М-22"/>
    <n v="15"/>
    <m/>
    <m/>
    <s v="82086"/>
    <x v="24"/>
    <m/>
    <s v="Нет"/>
    <m/>
    <s v="Вилонов Андрей Сергеевич"/>
    <n v="364"/>
    <n v="147"/>
    <n v="511"/>
    <n v="0.6156626506024097"/>
    <n v="102.2"/>
    <n v="0.4925301204819277"/>
    <n v="0.5"/>
  </r>
  <r>
    <s v="осень"/>
    <s v="Руководство магистрами"/>
    <s v="Руководство магистрами"/>
    <s v="Т11О-202М-22"/>
    <n v="15"/>
    <m/>
    <m/>
    <s v="82027"/>
    <x v="8"/>
    <m/>
    <s v="Нет"/>
    <m/>
    <s v="Майоров Дмитрий Игоревич"/>
    <n v="78"/>
    <n v="240.5"/>
    <n v="318.5"/>
    <n v="0.3837349397590362"/>
    <n v="63.7"/>
    <n v="0.3069879518072289"/>
    <n v="0.35"/>
  </r>
  <r>
    <s v="осень"/>
    <s v="Руководство магистрами"/>
    <s v="Руководство магистрами"/>
    <s v="Т11О-202М-22"/>
    <n v="15"/>
    <m/>
    <m/>
    <s v="82018"/>
    <x v="6"/>
    <m/>
    <s v="Нет"/>
    <m/>
    <s v="Мамаева Дарья Генадьевна"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202М-22"/>
    <n v="15"/>
    <m/>
    <m/>
    <s v="82020"/>
    <x v="1"/>
    <m/>
    <s v="Нет"/>
    <m/>
    <s v="Овчинников Алексей Денисович"/>
    <n v="442"/>
    <n v="269"/>
    <n v="711"/>
    <n v="0.8566265060240964"/>
    <n v="142.2"/>
    <n v="0.6853012048192771"/>
    <n v="0.7"/>
  </r>
  <r>
    <s v="осень"/>
    <s v="Руководство магистрами"/>
    <s v="Руководство магистрами"/>
    <s v="Т11О-202М-22"/>
    <n v="15"/>
    <m/>
    <m/>
    <s v="82066"/>
    <x v="21"/>
    <m/>
    <s v="Да"/>
    <m/>
    <s v="Скрыпченко Егор Николаевич"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202М-22"/>
    <n v="15"/>
    <m/>
    <m/>
    <s v="94221"/>
    <x v="2"/>
    <m/>
    <s v="Нет"/>
    <m/>
    <s v="Солдатов Павел Александрович"/>
    <n v="111"/>
    <n v="265"/>
    <n v="376"/>
    <n v="0.4530120481927711"/>
    <n v="75.2"/>
    <n v="0.3624096385542169"/>
    <n v="0.45"/>
  </r>
  <r>
    <s v="осень"/>
    <s v="Руководство магистрами"/>
    <s v="Руководство магистрами"/>
    <s v="Т11О-101М-23"/>
    <n v="15"/>
    <m/>
    <m/>
    <m/>
    <x v="0"/>
    <m/>
    <s v="Нет"/>
    <m/>
    <s v="Журавлев"/>
    <n v="105"/>
    <n v="102"/>
    <n v="207"/>
    <n v="0.2493975903614458"/>
    <n v="41.40000000000001"/>
    <n v="0.1995180722891566"/>
    <n v="0.2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s v="Пачковский"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"/>
    <m/>
    <s v="Нет"/>
    <m/>
    <s v="Рябова"/>
    <n v="442"/>
    <n v="269"/>
    <n v="711"/>
    <n v="0.8566265060240964"/>
    <n v="142.2"/>
    <n v="0.6853012048192771"/>
    <n v="0.7"/>
  </r>
  <r>
    <s v="осень"/>
    <s v="Руководство магистрами"/>
    <s v="Руководство магистрами"/>
    <s v="Т11О-101М-23"/>
    <n v="15"/>
    <m/>
    <m/>
    <m/>
    <x v="6"/>
    <m/>
    <s v="Нет"/>
    <m/>
    <m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101М-23"/>
    <n v="15"/>
    <m/>
    <m/>
    <m/>
    <x v="21"/>
    <m/>
    <s v="Нет"/>
    <m/>
    <m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101М-23"/>
    <n v="15"/>
    <m/>
    <m/>
    <m/>
    <x v="4"/>
    <m/>
    <s v="Нет"/>
    <m/>
    <m/>
    <n v="188"/>
    <n v="294"/>
    <n v="482"/>
    <n v="0.5807228915662651"/>
    <n v="96.40000000000001"/>
    <n v="0.4645783132530121"/>
    <n v="0.5"/>
  </r>
  <r>
    <s v="осень"/>
    <s v="Руководство магистрами"/>
    <s v="Руководство магистрами"/>
    <s v="Т11О-101М-23"/>
    <n v="15"/>
    <m/>
    <m/>
    <m/>
    <x v="12"/>
    <m/>
    <s v="Нет"/>
    <m/>
    <m/>
    <n v="171"/>
    <n v="88"/>
    <n v="259"/>
    <n v="0.3120481927710844"/>
    <n v="51.8"/>
    <n v="0.2496385542168675"/>
    <n v="0.25"/>
  </r>
  <r>
    <s v="осень"/>
    <s v="Руководство магистрами"/>
    <s v="Руководство магистрами"/>
    <s v="Т11О-101М-23"/>
    <n v="15"/>
    <m/>
    <m/>
    <m/>
    <x v="13"/>
    <m/>
    <s v="Нет"/>
    <m/>
    <m/>
    <n v="186"/>
    <n v="42"/>
    <n v="228"/>
    <n v="0.2746987951807229"/>
    <n v="45.6"/>
    <n v="0.2197590361445783"/>
    <n v="0.2"/>
  </r>
  <r>
    <s v="осень"/>
    <s v="Руководство магистрами"/>
    <s v="Руководство магистрами"/>
    <s v="Т11О-101М-23"/>
    <n v="15"/>
    <m/>
    <m/>
    <m/>
    <x v="8"/>
    <m/>
    <s v="Нет"/>
    <m/>
    <m/>
    <n v="78"/>
    <n v="240.5"/>
    <n v="318.5"/>
    <n v="0.3837349397590362"/>
    <n v="63.7"/>
    <n v="0.3069879518072289"/>
    <n v="0.35"/>
  </r>
  <r>
    <s v="осень"/>
    <s v="Руководство магистрами"/>
    <s v="Руководство магистрами"/>
    <s v="Т11О-101М-23"/>
    <n v="15"/>
    <m/>
    <m/>
    <m/>
    <x v="15"/>
    <m/>
    <s v="Нет"/>
    <m/>
    <m/>
    <n v="276"/>
    <n v="323"/>
    <n v="599"/>
    <n v="0.7216867469879518"/>
    <n v="119.8"/>
    <n v="0.5773493975903614"/>
    <n v="0.55"/>
  </r>
  <r>
    <s v="осень"/>
    <s v="Руководство магистрами"/>
    <s v="Руководство магистрами"/>
    <s v="Т11О-101М-23"/>
    <n v="15"/>
    <m/>
    <m/>
    <m/>
    <x v="16"/>
    <m/>
    <s v="Нет"/>
    <m/>
    <m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m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"/>
    <n v="0.5860240963855422"/>
    <n v="0.7"/>
  </r>
  <r>
    <s v="осень"/>
    <s v="Руководство аспирантами"/>
    <s v="Руководство аспирантами"/>
    <s v="Т11О-407А-20"/>
    <n v="25"/>
    <m/>
    <m/>
    <s v="81958"/>
    <x v="25"/>
    <m/>
    <s v="Да"/>
    <m/>
    <s v="Прокопенко Денис Алексеевич"/>
    <n v="180"/>
    <n v="129"/>
    <n v="309"/>
    <n v="0.372289156626506"/>
    <n v="61.8"/>
    <n v="0.2978313253012048"/>
    <n v="0.3"/>
  </r>
  <r>
    <s v="осень"/>
    <s v="Руководство аспирантами"/>
    <s v="Руководство аспирантами"/>
    <s v="Т11О-407А-20"/>
    <n v="25"/>
    <m/>
    <m/>
    <s v="82060"/>
    <x v="23"/>
    <m/>
    <s v="Да"/>
    <m/>
    <s v="Митрофанов Андрей Леонидович"/>
    <n v="239"/>
    <n v="313"/>
    <n v="552"/>
    <n v="0.6650602409638554"/>
    <n v="110.4"/>
    <n v="0.5320481927710844"/>
    <n v="0.55"/>
  </r>
  <r>
    <s v="осень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306А-21"/>
    <n v="25"/>
    <m/>
    <m/>
    <s v="82056"/>
    <x v="9"/>
    <m/>
    <s v="Да"/>
    <m/>
    <s v="Федотов Александр Юрьевич а/о"/>
    <n v="337"/>
    <n v="205"/>
    <n v="542"/>
    <n v="0.653012048192771"/>
    <n v="108.4"/>
    <n v="0.5224096385542168"/>
    <n v="0.65"/>
  </r>
  <r>
    <s v="осень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203А-22"/>
    <n v="50"/>
    <m/>
    <m/>
    <s v="81958"/>
    <x v="25"/>
    <m/>
    <s v="Да"/>
    <m/>
    <s v="Максименко Екатерина Игоревна"/>
    <n v="180"/>
    <n v="129"/>
    <n v="309"/>
    <n v="0.372289156626506"/>
    <n v="61.8"/>
    <n v="0.2978313253012048"/>
    <n v="0.3"/>
  </r>
  <r>
    <s v="осень"/>
    <s v="Руководство аспирантами"/>
    <s v="Руководство аспирантами"/>
    <s v="Т11О-205А-22"/>
    <n v="50"/>
    <m/>
    <m/>
    <s v="81891"/>
    <x v="7"/>
    <m/>
    <s v="Да"/>
    <m/>
    <s v="Федорцов Руслан Сергеевич"/>
    <n v="381"/>
    <n v="162"/>
    <n v="543"/>
    <n v="0.6542168674698795"/>
    <n v="108.6"/>
    <n v="0.5233734939759036"/>
    <n v="0.5"/>
  </r>
  <r>
    <s v="осень"/>
    <s v="Руководство аспирантами"/>
    <s v="Руководство аспирантами"/>
    <s v="Т11О-206А-22"/>
    <n v="50"/>
    <m/>
    <m/>
    <s v="81728"/>
    <x v="16"/>
    <m/>
    <s v="Да"/>
    <m/>
    <s v="Батталов Тагир Хакимьянович"/>
    <n v="438"/>
    <n v="361"/>
    <n v="799"/>
    <n v="0.9626506024096385"/>
    <n v="159.8"/>
    <n v="0.7701204819277109"/>
    <n v="0.75"/>
  </r>
  <r>
    <s v="осень"/>
    <s v="Руководство аспирантами"/>
    <s v="Руководство аспирантами"/>
    <s v="Т11О-207А-22"/>
    <n v="5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весна"/>
    <s v="Руководство кафедрой"/>
    <s v="Руководство кафедрой"/>
    <m/>
    <n v="30"/>
    <m/>
    <m/>
    <s v="82061"/>
    <x v="0"/>
    <m/>
    <s v="Нет"/>
    <m/>
    <m/>
    <n v="105"/>
    <n v="102"/>
    <n v="207"/>
    <n v="0.2493975903614458"/>
    <n v="41.40000000000001"/>
    <n v="0.1995180722891566"/>
    <n v="0.2"/>
  </r>
  <r>
    <s v="весна"/>
    <s v="Информационные технологии в ОМД"/>
    <s v="ЛК"/>
    <s v="Т11О-401Б-20"/>
    <n v="16"/>
    <s v="11924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ЛР"/>
    <s v="Т11О-401Б-20"/>
    <n v="32"/>
    <s v="11924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Зачет"/>
    <s v="Т11О-401Б-20"/>
    <n v="2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Консультация"/>
    <s v="Т11О-401Б-20"/>
    <n v="1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Р"/>
    <s v="Т11О-201М-22"/>
    <n v="24"/>
    <s v="16104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КР"/>
    <s v="Т11О-202М-22"/>
    <n v="14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Автоматизация управления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Автоматизация управления жизненным циклом продукции"/>
    <s v="ПЗ"/>
    <s v="Т11О-403Б-20"/>
    <n v="16"/>
    <s v="13288"/>
    <n v="16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Автоматизация управления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Вычислительные машины и сети"/>
    <s v="ЛК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ПЗ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3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1"/>
    <s v="16776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Процессы порошковой металлургии"/>
    <s v="ЛК"/>
    <s v="Т11О-301Б-21"/>
    <n v="32"/>
    <s v="14668"/>
    <n v="3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ПЗ"/>
    <s v="Т11О-301Б-21"/>
    <n v="20"/>
    <s v="14668"/>
    <n v="20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ЛР"/>
    <s v="Т11О-301Б-21"/>
    <n v="16"/>
    <s v="14668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3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2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Процессы порошковой металлургии"/>
    <s v="Консультация"/>
    <s v="Т11О-301Б-21"/>
    <n v="2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Консультация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и оборудование сварки давлением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Технология и оборудование сварки давлением"/>
    <s v="ПЗ"/>
    <s v="Т11О-401Б-20"/>
    <n v="12"/>
    <s v="11924"/>
    <n v="12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Технология и оборудование сварки давлением"/>
    <s v="ЛР"/>
    <s v="Т11О-401Б-20"/>
    <n v="28"/>
    <s v="11924"/>
    <n v="28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Технология и оборудование сварки д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Технология и оборудование сварки давлением"/>
    <s v="Экзамен"/>
    <s v="Т11О-401Б-20"/>
    <n v="2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и оборудование сварки давлением"/>
    <s v="Консультация"/>
    <s v="Т11О-401Б-20"/>
    <n v="2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Технология и оборудование сварки давлением"/>
    <s v="Консультация"/>
    <s v="Т11О-401Б-20"/>
    <n v="1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ия металлургических процессов"/>
    <s v="ЛК"/>
    <s v="Т11О-201Б-22"/>
    <n v="32"/>
    <s v="14668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3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2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ия металлургических процессов"/>
    <s v="ПЗ"/>
    <s v="Т11О-201Б-22"/>
    <n v="16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ЛР"/>
    <s v="Т11О-201Б-22"/>
    <n v="32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литейного производства"/>
    <s v="ЛК"/>
    <s v="Т11О-301Б-21"/>
    <n v="32"/>
    <s v="14668"/>
    <n v="32"/>
    <s v="82061"/>
    <x v="0"/>
    <m/>
    <s v="Нет"/>
    <m/>
    <m/>
    <n v="105"/>
    <n v="102"/>
    <n v="207"/>
    <n v="0.2493975903614458"/>
    <n v="41.40000000000001"/>
    <n v="0.1995180722891566"/>
    <n v="0.2"/>
  </r>
  <r>
    <s v="весна"/>
    <s v="Технология литейного производства"/>
    <s v="ПЗ"/>
    <s v="Т11О-301Б-21"/>
    <n v="20"/>
    <s v="14668"/>
    <n v="20"/>
    <s v="82061"/>
    <x v="0"/>
    <m/>
    <s v="Нет"/>
    <m/>
    <m/>
    <n v="105"/>
    <n v="102"/>
    <n v="207"/>
    <n v="0.2493975903614458"/>
    <n v="41.40000000000001"/>
    <n v="0.1995180722891566"/>
    <n v="0.2"/>
  </r>
  <r>
    <s v="весна"/>
    <s v="Технология литейного производства"/>
    <s v="ЛР"/>
    <s v="Т11О-301Б-21"/>
    <n v="16"/>
    <s v="14668"/>
    <n v="16"/>
    <s v="82061"/>
    <x v="8"/>
    <m/>
    <s v="Нет"/>
    <m/>
    <m/>
    <n v="78"/>
    <n v="240.5"/>
    <n v="318.5"/>
    <n v="0.3837349397590362"/>
    <n v="63.7"/>
    <n v="0.3069879518072289"/>
    <n v="0.35"/>
  </r>
  <r>
    <s v="весна"/>
    <s v="Технология литейного производства"/>
    <s v="Экзамен"/>
    <s v="Т11О-301Б-21"/>
    <n v="3"/>
    <s v="14668"/>
    <m/>
    <s v="82061"/>
    <x v="0"/>
    <m/>
    <s v="Нет"/>
    <m/>
    <m/>
    <n v="105"/>
    <n v="102"/>
    <n v="207"/>
    <n v="0.2493975903614458"/>
    <n v="41.40000000000001"/>
    <n v="0.1995180722891566"/>
    <n v="0.2"/>
  </r>
  <r>
    <s v="весна"/>
    <s v="Технология литейного производства"/>
    <s v="Экзамен"/>
    <s v="Т11О-301Б-21"/>
    <n v="2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литейного производства"/>
    <s v="Консультация"/>
    <s v="Т11О-301Б-21"/>
    <n v="2"/>
    <s v="14668"/>
    <m/>
    <s v="82061"/>
    <x v="0"/>
    <m/>
    <s v="Нет"/>
    <m/>
    <m/>
    <n v="105"/>
    <n v="102"/>
    <n v="207"/>
    <n v="0.2493975903614458"/>
    <n v="41.40000000000001"/>
    <n v="0.1995180722891566"/>
    <n v="0.2"/>
  </r>
  <r>
    <s v="весна"/>
    <s v="Технология литейного производства"/>
    <s v="Консультация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етические основы, технология и оборудование пайки"/>
    <s v="ЛК"/>
    <s v="Т11О-401Б-20"/>
    <n v="24"/>
    <s v="11924"/>
    <n v="24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ПЗ"/>
    <s v="Т11О-401Б-20"/>
    <n v="12"/>
    <s v="11924"/>
    <n v="12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ЛР"/>
    <s v="Т11О-401Б-20"/>
    <n v="28"/>
    <s v="11924"/>
    <n v="2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4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2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етические основы, технология и оборудование пайки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Консультация"/>
    <s v="Т11О-401Б-20"/>
    <n v="1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етоды и средства подготовки научно-технической и конструкторской документации"/>
    <s v="ЛК"/>
    <s v="Т11О-403Б-20"/>
    <n v="24"/>
    <s v="13288"/>
    <n v="24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3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1"/>
    <s v="1328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етоды и средства подготовки научно-технической и конструкторской документации"/>
    <s v="ПЗ"/>
    <s v="Т11О-403Б-20"/>
    <n v="16"/>
    <s v="13288"/>
    <n v="16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ЛР"/>
    <s v="Т11О-403Б-20"/>
    <n v="16"/>
    <s v="13288"/>
    <n v="16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Консультация"/>
    <s v="Т11О-403Б-20"/>
    <n v="1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Производство отливок из титановых сплавов"/>
    <s v="ЛК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3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Производство отливок из титановых сплавов"/>
    <s v="ПЗ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Современные технологии сварки плавлением"/>
    <s v="ЛК"/>
    <s v="Т11О-101М-23"/>
    <n v="24"/>
    <s v="18008"/>
    <n v="24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овременные технологии сварки плавлением"/>
    <s v="КР"/>
    <s v="Т11О-101М-23"/>
    <n v="26"/>
    <s v="18008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овременные технологии сварки плавлением"/>
    <s v="Зачет с оценкой"/>
    <s v="Т11О-101М-23"/>
    <n v="3"/>
    <s v="18008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овременные технологии сварки плавлением"/>
    <s v="Зачет с оценкой"/>
    <s v="Т11О-101М-23"/>
    <n v="1"/>
    <s v="18008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овременные технологии сварки плавлением"/>
    <s v="ПЗ"/>
    <s v="Т11О-101М-23"/>
    <n v="40"/>
    <s v="18008"/>
    <n v="40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овременные технологии сварки плавлением"/>
    <s v="Консультация"/>
    <s v="Т11О-101М-23"/>
    <n v="1"/>
    <s v="18008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Системы компьютерного моделирования литейных процессов"/>
    <s v="ЛК"/>
    <s v="Т11О-402Б-20"/>
    <n v="16"/>
    <s v="11923"/>
    <n v="16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2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Системы компьютерного моделирования литейных процессов"/>
    <s v="ПЗ"/>
    <s v="Т11О-402Б-20"/>
    <n v="40"/>
    <s v="11923"/>
    <n v="40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Основы технологической подготовки производства сварных и паяных конструкций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ческой подготовки производства сварных и паяных конструкций"/>
    <s v="КР"/>
    <s v="Т11О-401Б-20"/>
    <n v="24"/>
    <s v="11924"/>
    <m/>
    <s v="89090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технологической подготовки производства сварных и паяных конструкций"/>
    <s v="Зачет с оценкой"/>
    <s v="Т11О-401Б-20"/>
    <n v="3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ческой подготовки производства сварных и паяных конструкций"/>
    <s v="Зачет с оценкой"/>
    <s v="Т11О-401Б-20"/>
    <n v="1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технологической подготовки производства сварных и паяных конструкций"/>
    <s v="ПЗ"/>
    <s v="Т11О-401Б-20"/>
    <n v="40"/>
    <s v="11924"/>
    <n v="40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ческой подготовки производства сварных и паяных конструкций"/>
    <s v="Консультация"/>
    <s v="Т11О-401Б-20"/>
    <n v="1"/>
    <s v="11924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Материаловедение и технологии композиционных материалов"/>
    <s v="ЛК"/>
    <s v="Т11О-402Б-20"/>
    <n v="34"/>
    <s v="11923"/>
    <n v="34"/>
    <s v="90549"/>
    <x v="22"/>
    <m/>
    <s v="Нет"/>
    <m/>
    <m/>
    <n v="84"/>
    <n v="62"/>
    <n v="146"/>
    <n v="0.1759036144578313"/>
    <n v="29.2"/>
    <n v="0.1407228915662651"/>
    <n v="0.15"/>
  </r>
  <r>
    <s v="весна"/>
    <s v="Материаловедение и технологии композиционных материалов"/>
    <s v="ПЗ"/>
    <s v="Т11О-402Б-20"/>
    <n v="22"/>
    <s v="11923"/>
    <n v="22"/>
    <s v="90549"/>
    <x v="22"/>
    <m/>
    <s v="Нет"/>
    <m/>
    <m/>
    <n v="84"/>
    <n v="62"/>
    <n v="146"/>
    <n v="0.1759036144578313"/>
    <n v="29.2"/>
    <n v="0.1407228915662651"/>
    <n v="0.15"/>
  </r>
  <r>
    <s v="весна"/>
    <s v="Материаловедение и технологии композиционных материалов"/>
    <s v="Экзамен"/>
    <s v="Т11О-402Б-20"/>
    <n v="4"/>
    <s v="11923"/>
    <m/>
    <s v="90549"/>
    <x v="22"/>
    <m/>
    <s v="Нет"/>
    <m/>
    <m/>
    <n v="84"/>
    <n v="62"/>
    <n v="146"/>
    <n v="0.1759036144578313"/>
    <n v="29.2"/>
    <n v="0.1407228915662651"/>
    <n v="0.15"/>
  </r>
  <r>
    <s v="весна"/>
    <s v="Материаловедение и технологии композиционных материалов"/>
    <s v="Экзамен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атериаловедение и технологии композиционных материалов"/>
    <s v="Консультация"/>
    <s v="Т11О-402Б-20"/>
    <n v="2"/>
    <s v="11923"/>
    <m/>
    <s v="90549"/>
    <x v="22"/>
    <m/>
    <s v="Нет"/>
    <m/>
    <m/>
    <n v="84"/>
    <n v="62"/>
    <n v="146"/>
    <n v="0.1759036144578313"/>
    <n v="29.2"/>
    <n v="0.1407228915662651"/>
    <n v="0.15"/>
  </r>
  <r>
    <s v="весна"/>
    <s v="Материаловедение и технологии композиционных 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митационное моделирование технологических процессов"/>
    <s v="ЛК"/>
    <s v="Т11О-101М-23"/>
    <n v="12"/>
    <s v="18008"/>
    <n v="12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митационное моделирование технологических процессов"/>
    <s v="ПЗ"/>
    <s v="Т11О-101М-23"/>
    <n v="40"/>
    <s v="18008"/>
    <n v="4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ЛК"/>
    <s v="Т11О-302Б-21"/>
    <n v="18"/>
    <s v="14861"/>
    <n v="18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Р"/>
    <s v="Т11О-302Б-21"/>
    <n v="36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4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1"/>
    <s v="14861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математического и имитационного моделирования"/>
    <s v="ПЗ"/>
    <s v="Т11О-302Б-21"/>
    <n v="24"/>
    <s v="14861"/>
    <n v="24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рганизация и планирование автоматизированных производств"/>
    <s v="ЛК"/>
    <s v="Т11О-403Б-20"/>
    <n v="16"/>
    <s v="13288"/>
    <n v="16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Организация и планирование автоматизированных производств"/>
    <s v="ПЗ"/>
    <s v="Т11О-403Б-20"/>
    <n v="8"/>
    <s v="13288"/>
    <n v="8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Организация и планирование автоматизированных производств"/>
    <s v="Зачет"/>
    <s v="Т11О-403Б-20"/>
    <n v="2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Организация и планирование автоматизированных производств"/>
    <s v="Консультация"/>
    <s v="Т11О-403Б-20"/>
    <n v="1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CALS-технологии в производстве продукции"/>
    <s v="ПЗ"/>
    <s v="Т11О-403Б-20"/>
    <n v="32"/>
    <s v="13288"/>
    <n v="32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CALS-технологии в производстве продукции"/>
    <s v="Экзамен"/>
    <s v="Т11О-403Б-20"/>
    <n v="4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CALS-технологии в производстве продукции"/>
    <s v="Экзамен"/>
    <s v="Т11О-403Б-20"/>
    <n v="2"/>
    <s v="1328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CALS-технологии в производстве продукции"/>
    <s v="Консультация"/>
    <s v="Т11О-403Б-20"/>
    <n v="2"/>
    <s v="13288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CALS-технологии в производстве продукции"/>
    <s v="Консультация"/>
    <s v="Т11О-403Б-20"/>
    <n v="1"/>
    <s v="1328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ESS-технологии в управлении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ESS-технологии в управлении жизненным циклом продукции"/>
    <s v="ПЗ"/>
    <s v="Т11О-403Б-20"/>
    <n v="24"/>
    <s v="13288"/>
    <n v="24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ESS-технологии в управлении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Системный подход в управлении жизненным циклом продукции"/>
    <s v="ЛК"/>
    <s v="Т11О-206Б-22"/>
    <n v="24"/>
    <s v="16776"/>
    <n v="24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4"/>
    <s v="16776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1"/>
    <s v="16776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Системный подход в управлении жизненным циклом продукции"/>
    <s v="ПЗ"/>
    <s v="Т11О-206Б-22"/>
    <n v="34"/>
    <s v="16776"/>
    <n v="34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Системный подход в управлении жизненным циклом продукции"/>
    <s v="ЛР"/>
    <s v="Т11О-206Б-22"/>
    <n v="64"/>
    <s v="16776"/>
    <n v="32"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Системный подход в управлении жизненным циклом продукции"/>
    <s v="Консультация"/>
    <s v="Т11О-206Б-22"/>
    <n v="1"/>
    <s v="16776"/>
    <m/>
    <s v="81722"/>
    <x v="11"/>
    <m/>
    <s v="Нет"/>
    <m/>
    <m/>
    <n v="298"/>
    <n v="310"/>
    <n v="608"/>
    <n v="0.7325301204819277"/>
    <n v="121.6"/>
    <n v="0.5860240963855422"/>
    <n v="0.7"/>
  </r>
  <r>
    <s v="весна"/>
    <s v="Теория обработки металлов давлением"/>
    <s v="ЛК"/>
    <s v="Т11О-301Б-21"/>
    <n v="32"/>
    <s v="14668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ПЗ"/>
    <s v="Т11О-301Б-21"/>
    <n v="20"/>
    <s v="14668"/>
    <n v="20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ЛР"/>
    <s v="Т11О-301Б-21"/>
    <n v="16"/>
    <s v="14668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4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ия обработки металлов давлением"/>
    <s v="Консультация"/>
    <s v="Т11О-301Б-21"/>
    <n v="2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Консультация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кузнечно-штамповочного производства"/>
    <s v="КП"/>
    <s v="Т11О-401Б-20"/>
    <n v="36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Технология кузнечно-штамповочного производства"/>
    <s v="ПЗ"/>
    <s v="Т11О-401Б-20"/>
    <n v="32"/>
    <s v="11924"/>
    <n v="32"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Технология кузнечно-штамповочного производства"/>
    <s v="Экзамен"/>
    <s v="Т11О-401Б-20"/>
    <n v="4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Технология кузнечно-штамповочного производства"/>
    <s v="Экзамен"/>
    <s v="Т11О-401Б-20"/>
    <n v="2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кузнечно-штамповочного производства"/>
    <s v="Консультация"/>
    <s v="Т11О-401Б-20"/>
    <n v="2"/>
    <s v="11924"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Технология кузнечно-штамповочного производства"/>
    <s v="Консультация"/>
    <s v="Т11О-401Б-20"/>
    <n v="1"/>
    <s v="1192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ческие процессы производства наноматериалов"/>
    <s v="ЛК"/>
    <s v="Т11О-402Б-20"/>
    <n v="34"/>
    <s v="11923"/>
    <n v="3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Р"/>
    <s v="Т11О-402Б-20"/>
    <n v="18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2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ческие процессы производства наноматериалов"/>
    <s v="ПЗ"/>
    <s v="Т11О-402Б-20"/>
    <n v="14"/>
    <s v="11923"/>
    <n v="1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ЛР"/>
    <s v="Т11О-402Б-20"/>
    <n v="8"/>
    <s v="11923"/>
    <n v="8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Плавка и литье цветных металлов и сплавов"/>
    <s v="ЛК"/>
    <s v="Т11О-402Б-20"/>
    <n v="24"/>
    <s v="11923"/>
    <n v="24"/>
    <s v="81891"/>
    <x v="7"/>
    <m/>
    <s v="Нет"/>
    <m/>
    <m/>
    <n v="381"/>
    <n v="162"/>
    <n v="543"/>
    <n v="0.6542168674698795"/>
    <n v="108.6"/>
    <n v="0.5233734939759036"/>
    <n v="0.5"/>
  </r>
  <r>
    <s v="весна"/>
    <s v="Плавка и литье цветных металлов и сплавов"/>
    <s v="КР"/>
    <s v="Т11О-402Б-20"/>
    <n v="18"/>
    <s v="11923"/>
    <m/>
    <s v="81891"/>
    <x v="7"/>
    <m/>
    <s v="Нет"/>
    <m/>
    <m/>
    <n v="381"/>
    <n v="162"/>
    <n v="543"/>
    <n v="0.6542168674698795"/>
    <n v="108.6"/>
    <n v="0.5233734939759036"/>
    <n v="0.5"/>
  </r>
  <r>
    <s v="весна"/>
    <s v="Плавка и литье цветных металлов и сплавов"/>
    <s v="Зачет с оценкой"/>
    <s v="Т11О-402Б-20"/>
    <n v="3"/>
    <s v="11923"/>
    <m/>
    <s v="81891"/>
    <x v="7"/>
    <m/>
    <s v="Нет"/>
    <m/>
    <m/>
    <n v="381"/>
    <n v="162"/>
    <n v="543"/>
    <n v="0.6542168674698795"/>
    <n v="108.6"/>
    <n v="0.5233734939759036"/>
    <n v="0.5"/>
  </r>
  <r>
    <s v="весна"/>
    <s v="Плавка и литье цветных металлов и сплавов"/>
    <s v="ЛР"/>
    <s v="Т11О-402Б-20"/>
    <n v="16"/>
    <s v="11923"/>
    <n v="32"/>
    <s v="89068"/>
    <x v="8"/>
    <m/>
    <s v="Нет"/>
    <m/>
    <m/>
    <n v="78"/>
    <n v="240.5"/>
    <n v="318.5"/>
    <n v="0.3837349397590362"/>
    <n v="63.7"/>
    <n v="0.3069879518072289"/>
    <n v="0.35"/>
  </r>
  <r>
    <s v="весна"/>
    <s v="Плавка и литье цветных металлов и сплав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лавка и литье цветных металлов и сплавов"/>
    <s v="Консультация"/>
    <s v="Т11О-402Б-20"/>
    <n v="1"/>
    <s v="11923"/>
    <m/>
    <s v="81891"/>
    <x v="7"/>
    <m/>
    <s v="Нет"/>
    <m/>
    <m/>
    <n v="381"/>
    <n v="162"/>
    <n v="543"/>
    <n v="0.6542168674698795"/>
    <n v="108.6"/>
    <n v="0.5233734939759036"/>
    <n v="0.5"/>
  </r>
  <r>
    <s v="весна"/>
    <s v="Плавка и литье чугунов, стали и сплавов со специальными свойствами"/>
    <s v="ЛК"/>
    <s v="Т11О-402Б-20"/>
    <n v="32"/>
    <s v="11923"/>
    <n v="32"/>
    <s v="89068"/>
    <x v="8"/>
    <m/>
    <s v="Нет"/>
    <m/>
    <m/>
    <n v="78"/>
    <n v="240.5"/>
    <n v="318.5"/>
    <n v="0.3837349397590362"/>
    <n v="63.7"/>
    <n v="0.3069879518072289"/>
    <n v="0.35"/>
  </r>
  <r>
    <s v="весна"/>
    <s v="Плавка и литье чугунов, стали и сплавов со специальными свойствами"/>
    <s v="ЛР"/>
    <s v="Т11О-402Б-20"/>
    <n v="24"/>
    <s v="11923"/>
    <n v="24"/>
    <s v="89068"/>
    <x v="8"/>
    <m/>
    <s v="Нет"/>
    <m/>
    <m/>
    <n v="78"/>
    <n v="240.5"/>
    <n v="318.5"/>
    <n v="0.3837349397590362"/>
    <n v="63.7"/>
    <n v="0.3069879518072289"/>
    <n v="0.35"/>
  </r>
  <r>
    <s v="весна"/>
    <s v="Плавка и литье чугунов, стали и сплавов со специальными свойствами"/>
    <s v="Экзамен"/>
    <s v="Т11О-402Б-20"/>
    <n v="4"/>
    <s v="11923"/>
    <m/>
    <s v="89068"/>
    <x v="8"/>
    <m/>
    <s v="Нет"/>
    <m/>
    <m/>
    <n v="78"/>
    <n v="240.5"/>
    <n v="318.5"/>
    <n v="0.3837349397590362"/>
    <n v="63.7"/>
    <n v="0.3069879518072289"/>
    <n v="0.35"/>
  </r>
  <r>
    <s v="весна"/>
    <s v="Плавка и литье чугунов, стали и сплавов со специальными свойствами"/>
    <s v="Экзамен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Плавка и литье чугунов, стали и сплавов со специальными свойствами"/>
    <s v="Консультация"/>
    <s v="Т11О-402Б-20"/>
    <n v="2"/>
    <s v="11923"/>
    <m/>
    <s v="89068"/>
    <x v="8"/>
    <m/>
    <s v="Нет"/>
    <m/>
    <m/>
    <n v="78"/>
    <n v="240.5"/>
    <n v="318.5"/>
    <n v="0.3837349397590362"/>
    <n v="63.7"/>
    <n v="0.3069879518072289"/>
    <n v="0.35"/>
  </r>
  <r>
    <s v="весна"/>
    <s v="Плавка и литье чугунов, стали и сплавов со специальными свойствами"/>
    <s v="Консультация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сварки и пайки"/>
    <s v="ЛК"/>
    <s v="Т11О-301Б-21"/>
    <n v="32"/>
    <s v="14668"/>
    <n v="32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сварки и пайки"/>
    <s v="ПЗ"/>
    <s v="Т11О-301Б-21"/>
    <n v="20"/>
    <s v="14668"/>
    <n v="20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сварки и пайки"/>
    <s v="ЛР"/>
    <s v="Т11О-301Б-21"/>
    <n v="16"/>
    <s v="14668"/>
    <n v="16"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сварки и пайки"/>
    <s v="Экзамен"/>
    <s v="Т11О-301Б-21"/>
    <n v="4"/>
    <s v="14668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сварки и пайки"/>
    <s v="Экзамен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сварки и пайки"/>
    <s v="Консультация"/>
    <s v="Т11О-301Б-21"/>
    <n v="2"/>
    <s v="14668"/>
    <m/>
    <s v="82056"/>
    <x v="4"/>
    <m/>
    <s v="Нет"/>
    <m/>
    <m/>
    <n v="188"/>
    <n v="294"/>
    <n v="482"/>
    <n v="0.5807228915662651"/>
    <n v="96.40000000000001"/>
    <n v="0.4645783132530121"/>
    <n v="0.5"/>
  </r>
  <r>
    <s v="весна"/>
    <s v="Основы сварки и пайки"/>
    <s v="Консультация"/>
    <s v="Т11О-301Б-21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нанесения газотермических покрытий"/>
    <s v="ЛК"/>
    <s v="Т11О-402Б-20"/>
    <n v="34"/>
    <s v="11923"/>
    <n v="34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2"/>
    <s v="11923"/>
    <m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нанесения газотермических покрытий"/>
    <s v="ПЗ"/>
    <s v="Т11О-402Б-20"/>
    <n v="22"/>
    <s v="11923"/>
    <n v="22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Консультация"/>
    <s v="Т11О-402Б-20"/>
    <n v="1"/>
    <s v="11923"/>
    <m/>
    <s v="93689"/>
    <x v="28"/>
    <m/>
    <s v="Нет"/>
    <m/>
    <m/>
    <n v="0"/>
    <n v="1"/>
    <n v="1"/>
    <n v="0.001204819277108434"/>
    <n v="0.2"/>
    <n v="0.0009638554216867472"/>
    <n v="0"/>
  </r>
  <r>
    <s v="весна"/>
    <s v="Технология нанесения газотермических покрытий"/>
    <s v="Консультация"/>
    <s v="Т11О-402Б-20"/>
    <n v="1"/>
    <s v="11923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Современные методы изготовления технологической оснастки в металлургии"/>
    <s v="ЛК"/>
    <s v="Т11О-201М-22, Т11О-202М-22"/>
    <n v="20"/>
    <s v="16104"/>
    <n v="20"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КР"/>
    <s v="Т11О-201М-22"/>
    <n v="24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КР"/>
    <s v="Т11О-202М-22"/>
    <n v="14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3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1"/>
    <s v="1610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Современные методы изготовления технологической оснастки в металлургии"/>
    <s v="Зачет с оценкой"/>
    <s v="Т11О-202М-22"/>
    <n v="2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ПЗ"/>
    <s v="Т11О-201М-22"/>
    <n v="44"/>
    <s v="16104"/>
    <n v="44"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ПЗ"/>
    <s v="Т11О-202М-22"/>
    <n v="44"/>
    <s v="16104"/>
    <n v="44"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ЛР"/>
    <s v="Т11О-201М-22"/>
    <n v="8"/>
    <s v="16104"/>
    <n v="8"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ЛР"/>
    <s v="Т11О-202М-22"/>
    <n v="8"/>
    <s v="16104"/>
    <n v="8"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1М-22"/>
    <n v="1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2М-22"/>
    <n v="1"/>
    <s v="16104"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Основы статистического управления технологическими процессами"/>
    <s v="ЛК"/>
    <s v="Т11О-201М-22, Т11О-202М-22"/>
    <n v="22"/>
    <s v="16104"/>
    <n v="22"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3"/>
    <s v="16104"/>
    <m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1"/>
    <s v="1610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статистического управления технологическими процессами"/>
    <s v="ПЗ"/>
    <s v="Т11О-201М-22"/>
    <n v="32"/>
    <s v="16104"/>
    <n v="32"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ПЗ"/>
    <s v="Т11О-202М-22"/>
    <n v="32"/>
    <s v="16104"/>
    <n v="32"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1М-22"/>
    <n v="1"/>
    <s v="16104"/>
    <m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2М-22"/>
    <n v="1"/>
    <s v="16104"/>
    <m/>
    <s v="82090"/>
    <x v="10"/>
    <m/>
    <s v="Нет"/>
    <m/>
    <m/>
    <n v="161"/>
    <n v="92"/>
    <n v="253"/>
    <n v="0.3048192771084338"/>
    <n v="50.6"/>
    <n v="0.243855421686747"/>
    <n v="0.25"/>
  </r>
  <r>
    <s v="весна"/>
    <s v="Теплотехника и основы теплопередачи"/>
    <s v="ЛК"/>
    <s v="Т11О-201Б-22, 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ПЗ"/>
    <s v="Т11О-201Б-22"/>
    <n v="16"/>
    <s v="16442"/>
    <n v="16"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ПЗ"/>
    <s v="Т11О-202Б-22"/>
    <n v="16"/>
    <s v="16442"/>
    <n v="16"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ЛР"/>
    <s v="Т11О-201Б-22"/>
    <n v="24"/>
    <s v="16442"/>
    <n v="24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Теплотехника и основы теплопередачи"/>
    <s v="ЛР"/>
    <s v="Т11О-201Б-22"/>
    <n v="24"/>
    <s v="16442"/>
    <n v="24"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ЛР"/>
    <s v="Т11О-202Б-22"/>
    <n v="24"/>
    <s v="16442"/>
    <n v="24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Теплотехника и основы теплопередачи"/>
    <s v="ЛР"/>
    <s v="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Экзамен"/>
    <s v="Т11О-201Б-22"/>
    <n v="6"/>
    <s v="16442"/>
    <m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Экзамен"/>
    <s v="Т11О-201Б-22"/>
    <n v="3"/>
    <s v="16442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плотехника и основы теплопередачи"/>
    <s v="Экзамен"/>
    <s v="Т11О-202Б-22"/>
    <n v="7"/>
    <s v="16442"/>
    <m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Экзамен"/>
    <s v="Т11О-202Б-22"/>
    <n v="3"/>
    <s v="16442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плотехника и основы теплопередачи"/>
    <s v="Консультация"/>
    <s v="Т11О-201Б-22"/>
    <n v="2"/>
    <s v="16442"/>
    <m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Консультация"/>
    <s v="Т11О-201Б-22"/>
    <n v="1"/>
    <s v="16442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плотехника и основы теплопередачи"/>
    <s v="Консультация"/>
    <s v="Т11О-202Б-22"/>
    <n v="2"/>
    <s v="16442"/>
    <m/>
    <s v="82086"/>
    <x v="24"/>
    <m/>
    <s v="Нет"/>
    <m/>
    <m/>
    <n v="364"/>
    <n v="147"/>
    <n v="511"/>
    <n v="0.6156626506024097"/>
    <n v="102.2"/>
    <n v="0.4925301204819277"/>
    <n v="0.5"/>
  </r>
  <r>
    <s v="весна"/>
    <s v="Теплотехника и основы теплопередачи"/>
    <s v="Консультация"/>
    <s v="Т11О-202Б-22"/>
    <n v="1"/>
    <s v="16442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технологии и автоматизации производства продукции методами ОМД"/>
    <s v="ЛК"/>
    <s v="Т11О-302Б-21"/>
    <n v="26"/>
    <s v="14861"/>
    <n v="2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Р"/>
    <s v="Т11О-302Б-21"/>
    <n v="36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4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1"/>
    <s v="14861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технологии и автоматизации производства продукции методами ОМД"/>
    <s v="ПЗ"/>
    <s v="Т11О-302Б-21"/>
    <n v="32"/>
    <s v="14861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ЛР"/>
    <s v="Т11О-302Б-21"/>
    <n v="16"/>
    <s v="14861"/>
    <n v="8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онсультация"/>
    <s v="Т11О-302Б-21"/>
    <n v="1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ТСП"/>
    <s v="ЛК"/>
    <s v="Т11О-302Б-21"/>
    <n v="36"/>
    <s v="14861"/>
    <n v="36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и и автоматизации производства продукции методами ТСП"/>
    <s v="ПЗ"/>
    <s v="Т11О-302Б-21"/>
    <n v="24"/>
    <s v="14861"/>
    <n v="24"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6"/>
    <s v="14861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3"/>
    <s v="14861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Основы технологии и автоматизации производства продукции методами ТСП"/>
    <s v="Консультация"/>
    <s v="Т11О-302Б-21"/>
    <n v="2"/>
    <s v="14861"/>
    <m/>
    <s v="89090"/>
    <x v="3"/>
    <m/>
    <s v="Нет"/>
    <m/>
    <m/>
    <n v="169"/>
    <n v="340"/>
    <n v="509"/>
    <n v="0.6132530120481928"/>
    <n v="101.8"/>
    <n v="0.4906024096385543"/>
    <n v="0.4"/>
  </r>
  <r>
    <s v="весна"/>
    <s v="Основы технологии и автоматизации производства продукции методами ТСП"/>
    <s v="Консультация"/>
    <s v="Т11О-302Б-21"/>
    <n v="1"/>
    <s v="14861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ЛК"/>
    <s v="Т11О-101М-23"/>
    <n v="30"/>
    <s v="18008"/>
    <n v="3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Зачет с оценкой"/>
    <s v="Т11О-102М-23"/>
    <n v="3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2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Зачет с оценкой"/>
    <s v="Т11О-104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4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Зачет с оценкой"/>
    <s v="Т11О-105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5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ПЗ"/>
    <s v="Т11О-101М-23"/>
    <n v="2"/>
    <s v="18008"/>
    <n v="8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ПЗ"/>
    <s v="Т11О-101М-23"/>
    <n v="2"/>
    <s v="18008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1М-23"/>
    <n v="2"/>
    <s v="18008"/>
    <n v="8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ПЗ"/>
    <s v="Т11О-101М-23"/>
    <n v="2"/>
    <s v="18008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ПЗ"/>
    <s v="Т11О-102М-23"/>
    <n v="2"/>
    <s v="18009"/>
    <n v="8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ПЗ"/>
    <s v="Т11О-102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ПЗ"/>
    <s v="Т11О-104М-23"/>
    <n v="2"/>
    <s v="18009"/>
    <n v="8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ПЗ"/>
    <s v="Т11О-104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ПЗ"/>
    <s v="Т11О-105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5М-23"/>
    <n v="2"/>
    <s v="18009"/>
    <n v="8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ЛР"/>
    <s v="Т11О-101М-23"/>
    <n v="4"/>
    <s v="18008"/>
    <n v="12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ЛР"/>
    <s v="Т11О-101М-23"/>
    <n v="4"/>
    <s v="18008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1М-23"/>
    <n v="4"/>
    <s v="18008"/>
    <n v="12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ЛР"/>
    <s v="Т11О-102М-23"/>
    <n v="4"/>
    <s v="18009"/>
    <n v="12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ЛР"/>
    <s v="Т11О-102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2М-23"/>
    <n v="4"/>
    <s v="18009"/>
    <n v="12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ЛР"/>
    <s v="Т11О-104М-23"/>
    <n v="4"/>
    <s v="18009"/>
    <n v="12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ЛР"/>
    <s v="Т11О-104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4М-23"/>
    <n v="4"/>
    <s v="18009"/>
    <n v="12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ЛР"/>
    <s v="Т11О-105М-23"/>
    <n v="4"/>
    <s v="18009"/>
    <n v="12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Искусственный интеллект в технологиях материалов"/>
    <s v="ЛР"/>
    <s v="Т11О-105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5М-23"/>
    <n v="4"/>
    <s v="18009"/>
    <n v="12"/>
    <s v="82086"/>
    <x v="8"/>
    <m/>
    <s v="Нет"/>
    <m/>
    <m/>
    <n v="78"/>
    <n v="240.5"/>
    <n v="318.5"/>
    <n v="0.3837349397590362"/>
    <n v="63.7"/>
    <n v="0.3069879518072289"/>
    <n v="0.35"/>
  </r>
  <r>
    <s v="весна"/>
    <s v="Искусственный интеллект в технологиях материал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Консультация"/>
    <s v="Т11О-102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2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Консультация"/>
    <s v="Т11О-104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4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скусственный интеллект в технологиях материалов"/>
    <s v="Консультация"/>
    <s v="Т11О-105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5М-23"/>
    <n v="1"/>
    <s v="18009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Численные методы"/>
    <s v="ЛК"/>
    <s v="Т11О-206Б-22"/>
    <n v="28"/>
    <s v="16776"/>
    <n v="28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Зачет с оценкой"/>
    <s v="Т11О-206Б-22"/>
    <n v="5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ПЗ"/>
    <s v="Т11О-206Б-22"/>
    <n v="26"/>
    <s v="16776"/>
    <n v="2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ведение в специальность"/>
    <s v="ЛК"/>
    <s v="Т11О-101Б-23"/>
    <n v="18"/>
    <s v="14668"/>
    <n v="18"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Введение в специальность"/>
    <s v="ЛР"/>
    <s v="Т11О-101Б-23"/>
    <n v="32"/>
    <s v="14668"/>
    <n v="16"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Введение в специальность"/>
    <s v="Зачет"/>
    <s v="Т11О-101Б-23"/>
    <n v="3"/>
    <s v="14668"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Введение в специальность"/>
    <s v="Зачет"/>
    <s v="Т11О-101Б-23"/>
    <n v="1"/>
    <s v="1466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Введение в специальность"/>
    <s v="Консультация"/>
    <s v="Т11О-101Б-23"/>
    <n v="1"/>
    <s v="14668"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Микрокристаллические и аморфные материалы"/>
    <s v="ЛК"/>
    <s v="Т11О-101М-23"/>
    <n v="24"/>
    <s v="18008"/>
    <n v="2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3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икрокристаллические и аморфные материалы"/>
    <s v="ПЗ"/>
    <s v="Т11О-101М-23"/>
    <n v="44"/>
    <s v="18008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Консультация"/>
    <s v="Т11О-101М-23"/>
    <n v="1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Технология прессования легких сплавов"/>
    <s v="ЛК"/>
    <s v="Т11О-101М-23"/>
    <n v="24"/>
    <s v="18008"/>
    <n v="24"/>
    <s v="81731"/>
    <x v="26"/>
    <m/>
    <s v="Нет"/>
    <m/>
    <m/>
    <n v="15"/>
    <n v="146"/>
    <n v="161"/>
    <n v="0.1939759036144578"/>
    <n v="32.2"/>
    <n v="0.1551807228915663"/>
    <n v="0.15"/>
  </r>
  <r>
    <s v="весна"/>
    <s v="Технология прессования легких сплавов"/>
    <s v="КР"/>
    <s v="Т11О-101М-23"/>
    <n v="26"/>
    <s v="18008"/>
    <m/>
    <s v="81731"/>
    <x v="26"/>
    <m/>
    <s v="Нет"/>
    <m/>
    <m/>
    <n v="15"/>
    <n v="146"/>
    <n v="161"/>
    <n v="0.1939759036144578"/>
    <n v="32.2"/>
    <n v="0.1551807228915663"/>
    <n v="0.15"/>
  </r>
  <r>
    <s v="весна"/>
    <s v="Технология прессования легких сплавов"/>
    <s v="ПЗ"/>
    <s v="Т11О-101М-23"/>
    <n v="42"/>
    <s v="18008"/>
    <n v="42"/>
    <s v="81731"/>
    <x v="26"/>
    <m/>
    <s v="Нет"/>
    <m/>
    <m/>
    <n v="15"/>
    <n v="146"/>
    <n v="161"/>
    <n v="0.1939759036144578"/>
    <n v="32.2"/>
    <n v="0.1551807228915663"/>
    <n v="0.15"/>
  </r>
  <r>
    <s v="весна"/>
    <s v="Технология прессования легких сплавов"/>
    <s v="Экзамен"/>
    <s v="Т11О-101М-23"/>
    <n v="5"/>
    <s v="18008"/>
    <m/>
    <s v="81731"/>
    <x v="26"/>
    <m/>
    <s v="Нет"/>
    <m/>
    <m/>
    <n v="15"/>
    <n v="146"/>
    <n v="161"/>
    <n v="0.1939759036144578"/>
    <n v="32.2"/>
    <n v="0.1551807228915663"/>
    <n v="0.15"/>
  </r>
  <r>
    <s v="весна"/>
    <s v="Технология прессования легких сплавов"/>
    <s v="Экзамен"/>
    <s v="Т11О-101М-23"/>
    <n v="2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хнология прессования легких сплавов"/>
    <s v="Консультация"/>
    <s v="Т11О-101М-23"/>
    <n v="2"/>
    <s v="18008"/>
    <m/>
    <s v="81731"/>
    <x v="26"/>
    <m/>
    <s v="Нет"/>
    <m/>
    <m/>
    <n v="15"/>
    <n v="146"/>
    <n v="161"/>
    <n v="0.1939759036144578"/>
    <n v="32.2"/>
    <n v="0.1551807228915663"/>
    <n v="0.15"/>
  </r>
  <r>
    <s v="весна"/>
    <s v="Технология прессования легки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Теория автоматического управления"/>
    <s v="ЛК"/>
    <s v="Т11О-302Б-21"/>
    <n v="20"/>
    <s v="14861"/>
    <n v="20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Теория автоматического управления"/>
    <s v="ПЗ"/>
    <s v="Т11О-302Б-21"/>
    <n v="48"/>
    <s v="14861"/>
    <n v="48"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"/>
    <n v="59"/>
    <n v="0.2843373493975904"/>
    <n v="0.25"/>
  </r>
  <r>
    <s v="весна"/>
    <s v="Теория автоматического управления"/>
    <s v="Консультация"/>
    <s v="Т11О-302Б-21"/>
    <n v="1"/>
    <s v="14861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нформационные системы и технологии"/>
    <s v="ЛК"/>
    <s v="Т11О-104Б-23"/>
    <n v="24"/>
    <s v="18010"/>
    <n v="24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Информационные системы и технологии"/>
    <s v="Зачет с оценкой"/>
    <s v="Т11О-104Б-23"/>
    <n v="4"/>
    <s v="18010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Информационные системы и технологии"/>
    <s v="Зачет с оценкой"/>
    <s v="Т11О-104Б-23"/>
    <n v="2"/>
    <s v="18010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Информационные системы и технологии"/>
    <s v="ПЗ"/>
    <s v="Т11О-104Б-23"/>
    <n v="40"/>
    <s v="18010"/>
    <n v="40"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Информационные системы и технологии"/>
    <s v="Консультация"/>
    <s v="Т11О-104Б-23"/>
    <n v="1"/>
    <s v="18010"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Методология научных исследований"/>
    <s v="ЛК"/>
    <s v="Т11О-101М-23"/>
    <n v="12"/>
    <s v="18008"/>
    <n v="12"/>
    <s v="81958"/>
    <x v="25"/>
    <m/>
    <s v="Нет"/>
    <m/>
    <m/>
    <n v="180"/>
    <n v="129"/>
    <n v="309"/>
    <n v="0.372289156626506"/>
    <n v="61.8"/>
    <n v="0.2978313253012048"/>
    <n v="0.3"/>
  </r>
  <r>
    <s v="весна"/>
    <s v="Методология научных исследований"/>
    <s v="ПЗ"/>
    <s v="Т11О-101М-23"/>
    <n v="24"/>
    <s v="18008"/>
    <n v="24"/>
    <s v="81958"/>
    <x v="25"/>
    <m/>
    <s v="Нет"/>
    <m/>
    <m/>
    <n v="180"/>
    <n v="129"/>
    <n v="309"/>
    <n v="0.372289156626506"/>
    <n v="61.8"/>
    <n v="0.2978313253012048"/>
    <n v="0.3"/>
  </r>
  <r>
    <s v="весна"/>
    <s v="Методология научных исследований"/>
    <s v="Зачет"/>
    <s v="Т11О-101М-23"/>
    <n v="2"/>
    <s v="18008"/>
    <m/>
    <s v="81958"/>
    <x v="25"/>
    <m/>
    <s v="Нет"/>
    <m/>
    <m/>
    <n v="180"/>
    <n v="129"/>
    <n v="309"/>
    <n v="0.372289156626506"/>
    <n v="61.8"/>
    <n v="0.2978313253012048"/>
    <n v="0.3"/>
  </r>
  <r>
    <s v="весна"/>
    <s v="Методология научных исследований"/>
    <s v="Зачет"/>
    <s v="Т11О-101М-23"/>
    <n v="1"/>
    <s v="18008"/>
    <m/>
    <m/>
    <x v="5"/>
    <m/>
    <s v="Нет"/>
    <m/>
    <m/>
    <n v="14.5"/>
    <n v="78"/>
    <n v="92.5"/>
    <n v="0.1114457831325301"/>
    <n v="18.5"/>
    <n v="0.0891566265060241"/>
    <n v="0"/>
  </r>
  <r>
    <s v="весна"/>
    <s v="Методология научных исследований"/>
    <s v="Консультация"/>
    <s v="Т11О-101М-23"/>
    <n v="1"/>
    <s v="18008"/>
    <m/>
    <s v="81958"/>
    <x v="25"/>
    <m/>
    <s v="Нет"/>
    <m/>
    <m/>
    <n v="180"/>
    <n v="129"/>
    <n v="309"/>
    <n v="0.372289156626506"/>
    <n v="61.8"/>
    <n v="0.2978313253012048"/>
    <n v="0.3"/>
  </r>
  <r>
    <s v="весна"/>
    <s v="Итоговая гос. аттестация"/>
    <s v="ИГА"/>
    <s v="Т11О-401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2Б-20"/>
    <n v="14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3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Практика аспиранта"/>
    <s v="Практика"/>
    <s v="Т11О-203А-22"/>
    <n v="10"/>
    <m/>
    <m/>
    <s v="81958"/>
    <x v="25"/>
    <m/>
    <s v="Нет"/>
    <m/>
    <s v="Максименко Екатерина Игоревна"/>
    <n v="180"/>
    <n v="129"/>
    <n v="309"/>
    <n v="0.372289156626506"/>
    <n v="61.8"/>
    <n v="0.2978313253012048"/>
    <n v="0.3"/>
  </r>
  <r>
    <s v="весна"/>
    <s v="Практика аспиранта"/>
    <s v="Практика"/>
    <s v="Т11О-205А-22"/>
    <n v="20"/>
    <m/>
    <m/>
    <s v="81891"/>
    <x v="7"/>
    <m/>
    <s v="Нет"/>
    <m/>
    <s v="Федорцов Руслан Сергеевич"/>
    <n v="381"/>
    <n v="162"/>
    <n v="543"/>
    <n v="0.6542168674698795"/>
    <n v="108.6"/>
    <n v="0.5233734939759036"/>
    <n v="0.5"/>
  </r>
  <r>
    <s v="весна"/>
    <s v="Практика аспиранта"/>
    <s v="Практика"/>
    <s v="Т11О-206А-22"/>
    <n v="20"/>
    <m/>
    <m/>
    <s v="81728"/>
    <x v="16"/>
    <m/>
    <s v="Нет"/>
    <m/>
    <s v="Батталов Тагир Хакимьянович"/>
    <n v="438"/>
    <n v="361"/>
    <n v="799"/>
    <n v="0.9626506024096385"/>
    <n v="159.8"/>
    <n v="0.7701204819277109"/>
    <n v="0.75"/>
  </r>
  <r>
    <s v="весна"/>
    <s v="Практика аспиранта"/>
    <s v="Практика"/>
    <s v="Т11О-207А-22"/>
    <n v="2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Производственная практика"/>
    <s v="Практика"/>
    <s v="Т11О-301Б-21"/>
    <n v="30"/>
    <m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Производственная практика"/>
    <s v="Практика"/>
    <s v="Т11О-302Б-21"/>
    <n v="30"/>
    <m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Ознакомительная практика"/>
    <s v="Практика"/>
    <s v="Т11О-104Б-23"/>
    <n v="60"/>
    <m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Научно-исследовательская работа"/>
    <s v="Практика"/>
    <s v="Т11О-302Б-21"/>
    <n v="30"/>
    <m/>
    <m/>
    <s v="81724"/>
    <x v="17"/>
    <m/>
    <s v="Нет"/>
    <m/>
    <m/>
    <n v="456"/>
    <n v="384"/>
    <n v="840"/>
    <n v="1.012048192771084"/>
    <n v="168"/>
    <n v="0.8096385542168675"/>
    <n v="0.8"/>
  </r>
  <r>
    <s v="весна"/>
    <s v="Научно-исследовательская работа"/>
    <s v="Практика"/>
    <s v="Т11О-206Б-22"/>
    <n v="60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Учебная практика"/>
    <s v="Практика"/>
    <s v="Т11О-201Б-22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едагогическая практика"/>
    <s v="Практика"/>
    <s v="Т11О-302А-21"/>
    <n v="30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Педагогическая практика"/>
    <s v="Практика"/>
    <s v="Т11О-306А-21"/>
    <n v="30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Педагогиче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"/>
    <n v="0.2978313253012048"/>
    <n v="0.3"/>
  </r>
  <r>
    <s v="весна"/>
    <s v="Педагогиче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Учебно-ознакомительная практика"/>
    <s v="Практика"/>
    <s v="Т11О-101Б-23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Государственный экзамен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"/>
    <n v="0.2978313253012048"/>
    <n v="0.3"/>
  </r>
  <r>
    <s v="весна"/>
    <s v="Государственный экзамен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1958"/>
    <x v="25"/>
    <m/>
    <s v="Нет"/>
    <m/>
    <s v="Прокопенко Денис Алексеевич"/>
    <n v="180"/>
    <n v="129"/>
    <n v="309"/>
    <n v="0.372289156626506"/>
    <n v="61.8"/>
    <n v="0.2978313253012048"/>
    <n v="0.3"/>
  </r>
  <r>
    <s v="весна"/>
    <s v="Преддипломная практика"/>
    <s v="Преддипломная практика"/>
    <s v="Т11О-201М-22"/>
    <n v="2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Преддипломная практика"/>
    <s v="Преддипломная практика"/>
    <s v="Т11О-201М-22"/>
    <n v="3"/>
    <m/>
    <m/>
    <s v="81732"/>
    <x v="12"/>
    <m/>
    <s v="Нет"/>
    <m/>
    <s v="    2 чел Барбанакова Чалый"/>
    <n v="171"/>
    <n v="88"/>
    <n v="259"/>
    <n v="0.3120481927710844"/>
    <n v="51.8"/>
    <n v="0.2496385542168675"/>
    <n v="0.25"/>
  </r>
  <r>
    <s v="весна"/>
    <s v="Преддипломная практика"/>
    <s v="Преддипломная практика"/>
    <s v="Т11О-201М-22"/>
    <n v="2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Преддипломная практика"/>
    <s v="Преддипломная практика"/>
    <s v="Т11О-201М-22"/>
    <n v="2"/>
    <m/>
    <m/>
    <s v="81731"/>
    <x v="26"/>
    <m/>
    <s v="Нет"/>
    <m/>
    <s v="1 чел Голубев Константин Михайлович"/>
    <n v="15"/>
    <n v="146"/>
    <n v="161"/>
    <n v="0.1939759036144578"/>
    <n v="32.2"/>
    <n v="0.1551807228915663"/>
    <n v="0.15"/>
  </r>
  <r>
    <s v="весна"/>
    <s v="Преддипломная практика"/>
    <s v="Преддипломная практика"/>
    <s v="Т11О-201М-22"/>
    <n v="2"/>
    <m/>
    <m/>
    <s v="82056"/>
    <x v="4"/>
    <m/>
    <s v="Нет"/>
    <m/>
    <s v="1 чел Диесперов Сергей Николаевич"/>
    <n v="188"/>
    <n v="294"/>
    <n v="482"/>
    <n v="0.5807228915662651"/>
    <n v="96.40000000000001"/>
    <n v="0.4645783132530121"/>
    <n v="0.5"/>
  </r>
  <r>
    <s v="весна"/>
    <s v="Преддипломная практика"/>
    <s v="Преддипломная практика"/>
    <s v="Т11О-201М-22"/>
    <n v="2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Преддипломная практика"/>
    <s v="Преддипломная практика"/>
    <s v="Т11О-201М-22"/>
    <n v="2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Преддипломная практика"/>
    <s v="Преддипломная практика"/>
    <s v="Т11О-201М-22"/>
    <n v="2"/>
    <m/>
    <m/>
    <s v="89090"/>
    <x v="3"/>
    <m/>
    <s v="Нет"/>
    <m/>
    <s v="1 чел Чугункин Никита Игоревич"/>
    <n v="169"/>
    <n v="340"/>
    <n v="509"/>
    <n v="0.6132530120481928"/>
    <n v="101.8"/>
    <n v="0.4906024096385543"/>
    <n v="0.4"/>
  </r>
  <r>
    <s v="весна"/>
    <s v="Преддипломная практика"/>
    <s v="Преддипломная практика"/>
    <s v="Т11О-201М-22"/>
    <n v="4"/>
    <m/>
    <m/>
    <s v="0000065837"/>
    <x v="27"/>
    <m/>
    <s v="Нет"/>
    <m/>
    <s v="3 чел  Лепешкин Мардеев Прунский"/>
    <n v="30"/>
    <n v="79"/>
    <n v="109"/>
    <n v="0.1313253012048193"/>
    <n v="21.8"/>
    <n v="0.1050602409638554"/>
    <n v="0"/>
  </r>
  <r>
    <s v="весна"/>
    <s v="Преддипломная практика"/>
    <s v="Преддипломная практика"/>
    <s v="Т11О-202М-22"/>
    <n v="1"/>
    <m/>
    <m/>
    <s v="81891"/>
    <x v="7"/>
    <m/>
    <s v="Нет"/>
    <m/>
    <s v="1 чел Акулов Михаил Андреевич"/>
    <n v="381"/>
    <n v="162"/>
    <n v="543"/>
    <n v="0.6542168674698795"/>
    <n v="108.6"/>
    <n v="0.5233734939759036"/>
    <n v="0.5"/>
  </r>
  <r>
    <s v="весна"/>
    <s v="Преддипломная практика"/>
    <s v="Преддипломная практика"/>
    <s v="Т11О-202М-22"/>
    <n v="1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"/>
    <n v="0.5"/>
  </r>
  <r>
    <s v="весна"/>
    <s v="Преддипломная практика"/>
    <s v="Преддипломная практика"/>
    <s v="Т11О-202М-22"/>
    <n v="3"/>
    <m/>
    <m/>
    <s v="89068"/>
    <x v="8"/>
    <m/>
    <s v="Нет"/>
    <m/>
    <s v="1 чел Майоров Дмитрий Игоревич"/>
    <n v="78"/>
    <n v="240.5"/>
    <n v="318.5"/>
    <n v="0.3837349397590362"/>
    <n v="63.7"/>
    <n v="0.3069879518072289"/>
    <n v="0.35"/>
  </r>
  <r>
    <s v="весна"/>
    <s v="Преддипломная практика"/>
    <s v="Преддипломная практика"/>
    <s v="Т11О-202М-22"/>
    <n v="1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Преддипломная практика"/>
    <s v="Преддипломная практика"/>
    <s v="Т11О-202М-22"/>
    <n v="1"/>
    <m/>
    <m/>
    <s v="82020"/>
    <x v="1"/>
    <m/>
    <s v="Нет"/>
    <m/>
    <s v="1 чел Овчинников Алексей Денисович"/>
    <n v="442"/>
    <n v="269"/>
    <n v="711"/>
    <n v="0.8566265060240964"/>
    <n v="142.2"/>
    <n v="0.6853012048192771"/>
    <n v="0.7"/>
  </r>
  <r>
    <s v="весна"/>
    <s v="Преддипломная практика"/>
    <s v="Преддипломная практика"/>
    <s v="Т11О-202М-22"/>
    <n v="1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Преддипломная практика"/>
    <s v="Преддипломная практика"/>
    <s v="Т11О-202М-22"/>
    <n v="4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Преддипломная практика"/>
    <s v="Преддипломная практика"/>
    <s v="Т11О-401Б-20"/>
    <n v="12"/>
    <m/>
    <m/>
    <s v="81729"/>
    <x v="15"/>
    <m/>
    <s v="Нет"/>
    <m/>
    <m/>
    <n v="276"/>
    <n v="323"/>
    <n v="599"/>
    <n v="0.7216867469879518"/>
    <n v="119.8"/>
    <n v="0.5773493975903614"/>
    <n v="0.55"/>
  </r>
  <r>
    <s v="весна"/>
    <s v="Преддипломная практика"/>
    <s v="Преддипломная практика"/>
    <s v="Т11О-402Б-20"/>
    <n v="9"/>
    <m/>
    <m/>
    <s v="82020"/>
    <x v="1"/>
    <m/>
    <s v="Нет"/>
    <m/>
    <m/>
    <n v="442"/>
    <n v="269"/>
    <n v="711"/>
    <n v="0.8566265060240964"/>
    <n v="142.2"/>
    <n v="0.6853012048192771"/>
    <n v="0.7"/>
  </r>
  <r>
    <s v="весна"/>
    <s v="Преддипломная практика"/>
    <s v="Преддипломная практика"/>
    <s v="Т11О-403Б-20"/>
    <n v="12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Научно-исследователь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"/>
    <n v="0.2978313253012048"/>
    <n v="0.3"/>
  </r>
  <r>
    <s v="весна"/>
    <s v="Научно-исследователь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0"/>
    <m/>
    <m/>
    <m/>
    <m/>
    <n v="105"/>
    <n v="102"/>
    <n v="207"/>
    <n v="0.2493975903614458"/>
    <n v="41.40000000000001"/>
    <n v="0.1995180722891566"/>
    <n v="0.2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"/>
    <m/>
    <m/>
    <m/>
    <m/>
    <n v="442"/>
    <n v="269"/>
    <n v="711"/>
    <n v="0.8566265060240964"/>
    <n v="142.2"/>
    <n v="0.6853012048192771"/>
    <n v="0.7"/>
  </r>
  <r>
    <s v="весна"/>
    <s v="Руководство магистрами"/>
    <s v="Руководство магистрами"/>
    <s v="Т11О-101М-23"/>
    <n v="15"/>
    <m/>
    <m/>
    <m/>
    <x v="6"/>
    <m/>
    <m/>
    <m/>
    <m/>
    <n v="233"/>
    <n v="200"/>
    <n v="433"/>
    <n v="0.5216867469879518"/>
    <n v="86.60000000000001"/>
    <n v="0.4173493975903615"/>
    <n v="0.5"/>
  </r>
  <r>
    <s v="весна"/>
    <s v="Руководство магистрами"/>
    <s v="Руководство магистрами"/>
    <s v="Т11О-101М-23"/>
    <n v="15"/>
    <m/>
    <m/>
    <m/>
    <x v="21"/>
    <m/>
    <m/>
    <m/>
    <m/>
    <n v="297"/>
    <n v="310"/>
    <n v="607"/>
    <n v="0.7313253012048193"/>
    <n v="121.4"/>
    <n v="0.5850602409638554"/>
    <n v="0.6"/>
  </r>
  <r>
    <s v="весна"/>
    <s v="Руководство магистрами"/>
    <s v="Руководство магистрами"/>
    <s v="Т11О-101М-23"/>
    <n v="15"/>
    <m/>
    <m/>
    <m/>
    <x v="4"/>
    <m/>
    <m/>
    <m/>
    <m/>
    <n v="188"/>
    <n v="294"/>
    <n v="482"/>
    <n v="0.5807228915662651"/>
    <n v="96.40000000000001"/>
    <n v="0.4645783132530121"/>
    <n v="0.5"/>
  </r>
  <r>
    <s v="весна"/>
    <s v="Руководство магистрами"/>
    <s v="Руководство магистрами"/>
    <s v="Т11О-101М-23"/>
    <n v="15"/>
    <m/>
    <m/>
    <m/>
    <x v="12"/>
    <m/>
    <m/>
    <m/>
    <m/>
    <n v="171"/>
    <n v="88"/>
    <n v="259"/>
    <n v="0.3120481927710844"/>
    <n v="51.8"/>
    <n v="0.2496385542168675"/>
    <n v="0.25"/>
  </r>
  <r>
    <s v="весна"/>
    <s v="Руководство магистрами"/>
    <s v="Руководство магистрами"/>
    <s v="Т11О-101М-23"/>
    <n v="15"/>
    <m/>
    <m/>
    <m/>
    <x v="13"/>
    <m/>
    <m/>
    <m/>
    <m/>
    <n v="186"/>
    <n v="42"/>
    <n v="228"/>
    <n v="0.2746987951807229"/>
    <n v="45.6"/>
    <n v="0.2197590361445783"/>
    <n v="0.2"/>
  </r>
  <r>
    <s v="весна"/>
    <s v="Руководство магистрами"/>
    <s v="Руководство магистрами"/>
    <s v="Т11О-101М-23"/>
    <n v="15"/>
    <m/>
    <m/>
    <m/>
    <x v="8"/>
    <m/>
    <m/>
    <m/>
    <m/>
    <n v="78"/>
    <n v="240.5"/>
    <n v="318.5"/>
    <n v="0.3837349397590362"/>
    <n v="63.7"/>
    <n v="0.3069879518072289"/>
    <n v="0.35"/>
  </r>
  <r>
    <s v="весна"/>
    <s v="Руководство магистрами"/>
    <s v="Руководство магистрами"/>
    <s v="Т11О-101М-23"/>
    <n v="15"/>
    <m/>
    <m/>
    <m/>
    <x v="15"/>
    <m/>
    <m/>
    <m/>
    <m/>
    <n v="276"/>
    <n v="323"/>
    <n v="599"/>
    <n v="0.7216867469879518"/>
    <n v="119.8"/>
    <n v="0.5773493975903614"/>
    <n v="0.55"/>
  </r>
  <r>
    <s v="весна"/>
    <s v="Руководство магистрами"/>
    <s v="Руководство магистрами"/>
    <s v="Т11О-101М-23"/>
    <n v="15"/>
    <m/>
    <m/>
    <m/>
    <x v="16"/>
    <m/>
    <m/>
    <m/>
    <m/>
    <n v="438"/>
    <n v="361"/>
    <n v="799"/>
    <n v="0.9626506024096385"/>
    <n v="159.8"/>
    <n v="0.7701204819277109"/>
    <n v="0.75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"/>
    <n v="0.5860240963855422"/>
    <n v="0.7"/>
  </r>
  <r>
    <s v="весна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306А-21"/>
    <n v="25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203А-22"/>
    <n v="50"/>
    <m/>
    <m/>
    <s v="81958"/>
    <x v="25"/>
    <m/>
    <s v="Нет"/>
    <m/>
    <s v="Максименко Екатерина Игоревна"/>
    <n v="180"/>
    <n v="129"/>
    <n v="309"/>
    <n v="0.372289156626506"/>
    <n v="61.8"/>
    <n v="0.2978313253012048"/>
    <n v="0.3"/>
  </r>
  <r>
    <s v="весна"/>
    <s v="Руководство аспирантами"/>
    <s v="Руководство аспирантами"/>
    <s v="Т11О-205А-22"/>
    <n v="50"/>
    <m/>
    <m/>
    <s v="81891"/>
    <x v="7"/>
    <m/>
    <s v="Нет"/>
    <m/>
    <s v="Федорцов Руслан Сергеевич"/>
    <n v="381"/>
    <n v="162"/>
    <n v="543"/>
    <n v="0.6542168674698795"/>
    <n v="108.6"/>
    <n v="0.5233734939759036"/>
    <n v="0.5"/>
  </r>
  <r>
    <s v="весна"/>
    <s v="Руководство аспирантами"/>
    <s v="Руководство аспирантами"/>
    <s v="Т11О-206А-22"/>
    <n v="50"/>
    <m/>
    <m/>
    <s v="81728"/>
    <x v="16"/>
    <m/>
    <s v="Нет"/>
    <m/>
    <s v="Батталов Тагир Хакимовия"/>
    <n v="438"/>
    <n v="361"/>
    <n v="799"/>
    <n v="0.9626506024096385"/>
    <n v="159.8"/>
    <n v="0.7701204819277109"/>
    <n v="0.75"/>
  </r>
  <r>
    <s v="весна"/>
    <s v="Руководство аспирантами"/>
    <s v="Руководство аспирантами"/>
    <s v="Т11О-207А-22"/>
    <n v="5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Диплом"/>
    <s v="Диплом"/>
    <s v="Т11О-201М-22"/>
    <n v="25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Диплом"/>
    <s v="Диплом"/>
    <s v="Т11О-201М-22"/>
    <n v="50"/>
    <m/>
    <m/>
    <s v="81732"/>
    <x v="12"/>
    <m/>
    <s v="Нет"/>
    <m/>
    <s v="2 чел Барбанакова Чалый"/>
    <n v="171"/>
    <n v="88"/>
    <n v="259"/>
    <n v="0.3120481927710844"/>
    <n v="51.8"/>
    <n v="0.2496385542168675"/>
    <n v="0.25"/>
  </r>
  <r>
    <s v="весна"/>
    <s v="Диплом"/>
    <s v="Диплом"/>
    <s v="Т11О-201М-22"/>
    <n v="25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Диплом"/>
    <s v="Диплом"/>
    <s v="Т11О-201М-22"/>
    <n v="25"/>
    <m/>
    <m/>
    <s v="81731"/>
    <x v="26"/>
    <m/>
    <s v="Нет"/>
    <m/>
    <s v="1 чел Голубев Константин Михайлович"/>
    <n v="15"/>
    <n v="146"/>
    <n v="161"/>
    <n v="0.1939759036144578"/>
    <n v="32.2"/>
    <n v="0.1551807228915663"/>
    <n v="0.15"/>
  </r>
  <r>
    <s v="весна"/>
    <s v="Диплом"/>
    <s v="Диплом"/>
    <s v="Т11О-201М-22"/>
    <n v="25"/>
    <m/>
    <m/>
    <s v="82056"/>
    <x v="4"/>
    <m/>
    <s v="Нет"/>
    <m/>
    <s v="1 чел Диесперов Сергей Николаевич"/>
    <n v="188"/>
    <n v="294"/>
    <n v="482"/>
    <n v="0.5807228915662651"/>
    <n v="96.40000000000001"/>
    <n v="0.4645783132530121"/>
    <n v="0.5"/>
  </r>
  <r>
    <s v="весна"/>
    <s v="Диплом"/>
    <s v="Диплом"/>
    <s v="Т11О-201М-22"/>
    <n v="25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Диплом"/>
    <s v="Диплом"/>
    <s v="Т11О-201М-22"/>
    <n v="25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Диплом"/>
    <s v="Диплом"/>
    <s v="Т11О-201М-22"/>
    <n v="25"/>
    <m/>
    <m/>
    <s v="89090"/>
    <x v="3"/>
    <m/>
    <s v="Нет"/>
    <m/>
    <s v="1 чел Чугункин Никита Игоревич"/>
    <n v="169"/>
    <n v="340"/>
    <n v="509"/>
    <n v="0.6132530120481928"/>
    <n v="101.8"/>
    <n v="0.4906024096385543"/>
    <n v="0.4"/>
  </r>
  <r>
    <s v="весна"/>
    <s v="Диплом"/>
    <s v="Диплом"/>
    <s v="Т11О-201М-22"/>
    <n v="24"/>
    <m/>
    <m/>
    <m/>
    <x v="29"/>
    <m/>
    <s v="Нет"/>
    <m/>
    <s v="комиссия внешняя"/>
    <n v="0"/>
    <n v="104"/>
    <n v="104"/>
    <n v="0.1253012048192771"/>
    <n v="20.8"/>
    <n v="0.1002409638554217"/>
    <n v="0"/>
  </r>
  <r>
    <s v="весна"/>
    <s v="Диплом"/>
    <s v="Диплом"/>
    <s v="Т11О-201М-22"/>
    <n v="18"/>
    <m/>
    <m/>
    <m/>
    <x v="15"/>
    <m/>
    <s v="Нет"/>
    <m/>
    <s v="комиссия нормоконтроль + секретарь"/>
    <n v="276"/>
    <n v="323"/>
    <n v="599"/>
    <n v="0.7216867469879518"/>
    <n v="119.8"/>
    <n v="0.5773493975903614"/>
    <n v="0.55"/>
  </r>
  <r>
    <s v="весна"/>
    <s v="Диплом"/>
    <s v="Диплом"/>
    <s v="Т11О-201М-22"/>
    <n v="6"/>
    <m/>
    <m/>
    <m/>
    <x v="11"/>
    <m/>
    <s v="Нет"/>
    <m/>
    <s v="комиссия наша"/>
    <n v="298"/>
    <n v="310"/>
    <n v="608"/>
    <n v="0.7325301204819277"/>
    <n v="121.6"/>
    <n v="0.5860240963855422"/>
    <n v="0.7"/>
  </r>
  <r>
    <s v="весна"/>
    <s v="Диплом"/>
    <s v="Диплом"/>
    <s v="Т11О-201М-22"/>
    <n v="6"/>
    <m/>
    <m/>
    <m/>
    <x v="4"/>
    <m/>
    <s v="Нет"/>
    <m/>
    <s v="комиссия наша"/>
    <n v="188"/>
    <n v="294"/>
    <n v="482"/>
    <n v="0.5807228915662651"/>
    <n v="96.40000000000001"/>
    <n v="0.4645783132530121"/>
    <n v="0.5"/>
  </r>
  <r>
    <s v="весна"/>
    <s v="Диплом"/>
    <s v="Диплом"/>
    <s v="Т11О-201М-22"/>
    <n v="6"/>
    <m/>
    <m/>
    <m/>
    <x v="3"/>
    <m/>
    <s v="Нет"/>
    <m/>
    <s v="комиссия наша"/>
    <n v="169"/>
    <n v="340"/>
    <n v="509"/>
    <n v="0.6132530120481928"/>
    <n v="101.8"/>
    <n v="0.4906024096385543"/>
    <n v="0.4"/>
  </r>
  <r>
    <s v="весна"/>
    <s v="Диплом"/>
    <s v="Диплом"/>
    <s v="Т11О-201М-22"/>
    <n v="75"/>
    <m/>
    <m/>
    <s v="0000065837"/>
    <x v="27"/>
    <m/>
    <s v="Нет"/>
    <m/>
    <s v="3 чел  Лепешкин Мардеев Прунский"/>
    <n v="30"/>
    <n v="79"/>
    <n v="109"/>
    <n v="0.1313253012048193"/>
    <n v="21.8"/>
    <n v="0.1050602409638554"/>
    <n v="0"/>
  </r>
  <r>
    <s v="весна"/>
    <s v="Диплом"/>
    <s v="Диплом"/>
    <s v="Т11О-202М-22"/>
    <n v="25"/>
    <m/>
    <m/>
    <s v="81891"/>
    <x v="7"/>
    <m/>
    <s v="Нет"/>
    <m/>
    <s v="1 чел Акулов Михаил Андреевич"/>
    <n v="381"/>
    <n v="162"/>
    <n v="543"/>
    <n v="0.6542168674698795"/>
    <n v="108.6"/>
    <n v="0.5233734939759036"/>
    <n v="0.5"/>
  </r>
  <r>
    <s v="весна"/>
    <s v="Диплом"/>
    <s v="Диплом"/>
    <s v="Т11О-202М-22"/>
    <n v="25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"/>
    <n v="0.5"/>
  </r>
  <r>
    <s v="весна"/>
    <s v="Диплом"/>
    <s v="Диплом"/>
    <s v="Т11О-202М-22"/>
    <n v="25"/>
    <m/>
    <m/>
    <s v="82027"/>
    <x v="8"/>
    <m/>
    <s v="Нет"/>
    <m/>
    <s v="    1 чел Майоров Дмитрий Игоревич"/>
    <n v="78"/>
    <n v="240.5"/>
    <n v="318.5"/>
    <n v="0.3837349397590362"/>
    <n v="63.7"/>
    <n v="0.3069879518072289"/>
    <n v="0.35"/>
  </r>
  <r>
    <s v="весна"/>
    <s v="Диплом"/>
    <s v="Диплом"/>
    <s v="Т11О-202М-22"/>
    <n v="25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25"/>
    <m/>
    <m/>
    <s v="82020"/>
    <x v="1"/>
    <m/>
    <s v="Нет"/>
    <m/>
    <s v="1 чел Овчинников Алексей Денисович"/>
    <n v="442"/>
    <n v="269"/>
    <n v="711"/>
    <n v="0.8566265060240964"/>
    <n v="142.2"/>
    <n v="0.6853012048192771"/>
    <n v="0.7"/>
  </r>
  <r>
    <s v="весна"/>
    <s v="Диплом"/>
    <s v="Диплом"/>
    <s v="Т11О-202М-22"/>
    <n v="25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25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14"/>
    <m/>
    <m/>
    <m/>
    <x v="29"/>
    <m/>
    <s v="Нет"/>
    <m/>
    <s v="комиссия внешн"/>
    <n v="0"/>
    <n v="104"/>
    <n v="104"/>
    <n v="0.1253012048192771"/>
    <n v="20.8"/>
    <n v="0.1002409638554217"/>
    <n v="0"/>
  </r>
  <r>
    <s v="весна"/>
    <s v="Диплом"/>
    <s v="Диплом"/>
    <s v="Т11О-202М-22"/>
    <n v="7"/>
    <m/>
    <m/>
    <m/>
    <x v="2"/>
    <m/>
    <s v="Нет"/>
    <m/>
    <s v="комиссия Нормаконтролер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7"/>
    <m/>
    <m/>
    <m/>
    <x v="8"/>
    <m/>
    <s v="Нет"/>
    <m/>
    <s v="комиссия секретарь"/>
    <n v="78"/>
    <n v="240.5"/>
    <n v="318.5"/>
    <n v="0.3837349397590362"/>
    <n v="63.7"/>
    <n v="0.3069879518072289"/>
    <n v="0.35"/>
  </r>
  <r>
    <s v="весна"/>
    <s v="Диплом"/>
    <s v="Диплом"/>
    <s v="Т11О-202М-22"/>
    <n v="3.5"/>
    <m/>
    <m/>
    <m/>
    <x v="6"/>
    <m/>
    <s v="Нет"/>
    <m/>
    <s v="комиссия наш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3.5"/>
    <m/>
    <m/>
    <m/>
    <x v="21"/>
    <m/>
    <s v="Нет"/>
    <m/>
    <s v="комиссия наша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3.5"/>
    <m/>
    <m/>
    <m/>
    <x v="23"/>
    <m/>
    <s v="Нет"/>
    <m/>
    <s v="комиссия наша"/>
    <n v="239"/>
    <n v="313"/>
    <n v="552"/>
    <n v="0.6650602409638554"/>
    <n v="110.4"/>
    <n v="0.5320481927710844"/>
    <n v="0.55"/>
  </r>
  <r>
    <s v="весна"/>
    <s v="Диплом"/>
    <s v="Диплом"/>
    <s v="Т11О-401Б-20"/>
    <n v="20"/>
    <m/>
    <m/>
    <s v="81731"/>
    <x v="26"/>
    <m/>
    <s v="Нет"/>
    <m/>
    <s v="Стариннова"/>
    <n v="15"/>
    <n v="146"/>
    <n v="161"/>
    <n v="0.1939759036144578"/>
    <n v="32.2"/>
    <n v="0.1551807228915663"/>
    <n v="0.15"/>
  </r>
  <r>
    <s v="весна"/>
    <s v="Диплом"/>
    <s v="Диплом"/>
    <s v="Т11О-401Б-20"/>
    <n v="20"/>
    <m/>
    <m/>
    <s v="81728"/>
    <x v="16"/>
    <m/>
    <s v="Нет"/>
    <m/>
    <s v="Филинов"/>
    <n v="438"/>
    <n v="361"/>
    <n v="799"/>
    <n v="0.9626506024096385"/>
    <n v="159.8"/>
    <n v="0.7701204819277109"/>
    <n v="0.75"/>
  </r>
  <r>
    <s v="весна"/>
    <s v="Диплом"/>
    <s v="Диплом"/>
    <s v="Т11О-401Б-20"/>
    <n v="40"/>
    <m/>
    <m/>
    <s v="82056"/>
    <x v="4"/>
    <m/>
    <s v="Нет"/>
    <m/>
    <s v="Андреева, Разговоров"/>
    <n v="188"/>
    <n v="294"/>
    <n v="482"/>
    <n v="0.5807228915662651"/>
    <n v="96.40000000000001"/>
    <n v="0.4645783132530121"/>
    <n v="0.5"/>
  </r>
  <r>
    <s v="весна"/>
    <s v="Диплом"/>
    <s v="Диплом"/>
    <s v="Т11О-401Б-20"/>
    <n v="60"/>
    <m/>
    <m/>
    <s v="81720"/>
    <x v="14"/>
    <m/>
    <s v="Нет"/>
    <m/>
    <s v="Емельянов, Попова, Ческидов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20"/>
    <m/>
    <m/>
    <s v="81732"/>
    <x v="12"/>
    <m/>
    <s v="Нет"/>
    <m/>
    <s v="Лукашин"/>
    <n v="171"/>
    <n v="88"/>
    <n v="259"/>
    <n v="0.3120481927710844"/>
    <n v="51.8"/>
    <n v="0.2496385542168675"/>
    <n v="0.25"/>
  </r>
  <r>
    <s v="весна"/>
    <s v="Диплом"/>
    <s v="Диплом"/>
    <s v="Т11О-401Б-20"/>
    <n v="20"/>
    <m/>
    <m/>
    <s v="81729"/>
    <x v="15"/>
    <m/>
    <s v="Нет"/>
    <m/>
    <s v="Дыбашев"/>
    <n v="276"/>
    <n v="323"/>
    <n v="599"/>
    <n v="0.7216867469879518"/>
    <n v="119.8"/>
    <n v="0.5773493975903614"/>
    <n v="0.55"/>
  </r>
  <r>
    <s v="весна"/>
    <s v="Диплом"/>
    <s v="Диплом"/>
    <s v="Т11О-401Б-20"/>
    <n v="20"/>
    <m/>
    <m/>
    <s v="89090"/>
    <x v="4"/>
    <m/>
    <s v="Нет"/>
    <m/>
    <s v="Шадрунов"/>
    <n v="188"/>
    <n v="294"/>
    <n v="482"/>
    <n v="0.5807228915662651"/>
    <n v="96.40000000000001"/>
    <n v="0.4645783132530121"/>
    <n v="0.5"/>
  </r>
  <r>
    <s v="весна"/>
    <s v="Диплом"/>
    <s v="Диплом"/>
    <s v="Т11О-401Б-20"/>
    <n v="20"/>
    <m/>
    <m/>
    <s v="81722"/>
    <x v="11"/>
    <m/>
    <s v="Нет"/>
    <m/>
    <s v="Александров"/>
    <n v="298"/>
    <n v="310"/>
    <n v="608"/>
    <n v="0.7325301204819277"/>
    <n v="121.6"/>
    <n v="0.5860240963855422"/>
    <n v="0.7"/>
  </r>
  <r>
    <s v="весна"/>
    <s v="Диплом"/>
    <s v="Диплом"/>
    <s v="Т11О-401Б-20"/>
    <n v="20"/>
    <m/>
    <m/>
    <s v="92509"/>
    <x v="15"/>
    <m/>
    <s v="Нет"/>
    <m/>
    <s v="Жумабоев"/>
    <n v="276"/>
    <n v="323"/>
    <n v="599"/>
    <n v="0.7216867469879518"/>
    <n v="119.8"/>
    <n v="0.5773493975903614"/>
    <n v="0.55"/>
  </r>
  <r>
    <s v="весна"/>
    <s v="Диплом"/>
    <s v="Диплом"/>
    <s v="Т11О-401Б-20"/>
    <n v="24"/>
    <m/>
    <m/>
    <m/>
    <x v="29"/>
    <m/>
    <s v="Нет"/>
    <m/>
    <s v="комиссия внешн"/>
    <n v="0"/>
    <n v="104"/>
    <n v="104"/>
    <n v="0.1253012048192771"/>
    <n v="20.8"/>
    <n v="0.1002409638554217"/>
    <n v="0"/>
  </r>
  <r>
    <s v="весна"/>
    <s v="Диплом"/>
    <s v="Диплом"/>
    <s v="Т11О-401Б-20"/>
    <n v="12"/>
    <m/>
    <m/>
    <m/>
    <x v="15"/>
    <m/>
    <s v="Нет"/>
    <m/>
    <s v="комиссия Нормаконтролер"/>
    <n v="276"/>
    <n v="323"/>
    <n v="599"/>
    <n v="0.7216867469879518"/>
    <n v="119.8"/>
    <n v="0.5773493975903614"/>
    <n v="0.55"/>
  </r>
  <r>
    <s v="весна"/>
    <s v="Диплом"/>
    <s v="Диплом"/>
    <s v="Т11О-401Б-20"/>
    <n v="6"/>
    <m/>
    <m/>
    <m/>
    <x v="15"/>
    <m/>
    <s v="Нет"/>
    <m/>
    <s v="комиссия секр"/>
    <n v="276"/>
    <n v="323"/>
    <n v="599"/>
    <n v="0.7216867469879518"/>
    <n v="119.8"/>
    <n v="0.5773493975903614"/>
    <n v="0.55"/>
  </r>
  <r>
    <s v="весна"/>
    <s v="Диплом"/>
    <s v="Диплом"/>
    <s v="Т11О-401Б-20"/>
    <n v="6"/>
    <m/>
    <m/>
    <m/>
    <x v="14"/>
    <m/>
    <s v="Нет"/>
    <m/>
    <s v="комиссия наша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6"/>
    <m/>
    <m/>
    <m/>
    <x v="4"/>
    <m/>
    <s v="Нет"/>
    <m/>
    <s v="комиссия наша"/>
    <n v="188"/>
    <n v="294"/>
    <n v="482"/>
    <n v="0.5807228915662651"/>
    <n v="96.40000000000001"/>
    <n v="0.4645783132530121"/>
    <n v="0.5"/>
  </r>
  <r>
    <s v="весна"/>
    <s v="Диплом"/>
    <s v="Диплом"/>
    <s v="Т11О-401Б-20"/>
    <n v="6"/>
    <m/>
    <m/>
    <m/>
    <x v="3"/>
    <m/>
    <s v="Нет"/>
    <m/>
    <s v="комиссия наша"/>
    <n v="169"/>
    <n v="340"/>
    <n v="509"/>
    <n v="0.6132530120481928"/>
    <n v="101.8"/>
    <n v="0.4906024096385543"/>
    <n v="0.4"/>
  </r>
  <r>
    <s v="весна"/>
    <s v="Диплом"/>
    <s v="Диплом"/>
    <s v="Т11О-402Б-20"/>
    <n v="20"/>
    <m/>
    <m/>
    <s v="82020"/>
    <x v="1"/>
    <m/>
    <s v="Нет"/>
    <m/>
    <s v="Алексеев"/>
    <n v="442"/>
    <n v="269"/>
    <n v="711"/>
    <n v="0.8566265060240964"/>
    <n v="142.2"/>
    <n v="0.6853012048192771"/>
    <n v="0.7"/>
  </r>
  <r>
    <s v="весна"/>
    <s v="Диплом"/>
    <s v="Диплом"/>
    <s v="Т11О-402Б-20"/>
    <n v="20"/>
    <m/>
    <m/>
    <s v="82066"/>
    <x v="21"/>
    <m/>
    <s v="Нет"/>
    <m/>
    <s v="Серов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0"/>
    <m/>
    <m/>
    <s v="92509"/>
    <x v="20"/>
    <m/>
    <s v="Нет"/>
    <m/>
    <s v="Наурзалинов, Закареева"/>
    <n v="410"/>
    <n v="260"/>
    <n v="670"/>
    <n v="0.8072289156626506"/>
    <n v="134"/>
    <n v="0.6457831325301205"/>
    <n v="0.55"/>
  </r>
  <r>
    <s v="весна"/>
    <s v="Диплом"/>
    <s v="Диплом"/>
    <s v="Т11О-402Б-20"/>
    <n v="20"/>
    <m/>
    <m/>
    <s v="82061"/>
    <x v="7"/>
    <m/>
    <s v="Нет"/>
    <m/>
    <s v="Лобачев"/>
    <n v="381"/>
    <n v="162"/>
    <n v="543"/>
    <n v="0.6542168674698795"/>
    <n v="108.6"/>
    <n v="0.5233734939759036"/>
    <n v="0.5"/>
  </r>
  <r>
    <s v="весна"/>
    <s v="Диплом"/>
    <s v="Диплом"/>
    <s v="Т11О-402Б-20"/>
    <n v="20"/>
    <m/>
    <m/>
    <s v="82060"/>
    <x v="23"/>
    <m/>
    <s v="Нет"/>
    <m/>
    <s v="Насон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90"/>
    <x v="23"/>
    <m/>
    <s v="Нет"/>
    <m/>
    <s v="Печник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86"/>
    <x v="8"/>
    <m/>
    <s v="Нет"/>
    <m/>
    <s v="Сметанин"/>
    <n v="78"/>
    <n v="240.5"/>
    <n v="318.5"/>
    <n v="0.3837349397590362"/>
    <n v="63.7"/>
    <n v="0.3069879518072289"/>
    <n v="0.35"/>
  </r>
  <r>
    <s v="весна"/>
    <s v="Диплом"/>
    <s v="Диплом"/>
    <s v="Т11О-402Б-20"/>
    <n v="20"/>
    <m/>
    <m/>
    <s v="82018"/>
    <x v="6"/>
    <m/>
    <s v="Нет"/>
    <m/>
    <s v="Федорова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18"/>
    <m/>
    <m/>
    <m/>
    <x v="29"/>
    <m/>
    <s v="Нет"/>
    <m/>
    <s v="комиссия внеш"/>
    <n v="0"/>
    <n v="104"/>
    <n v="104"/>
    <n v="0.1253012048192771"/>
    <n v="20.8"/>
    <n v="0.1002409638554217"/>
    <n v="0"/>
  </r>
  <r>
    <s v="весна"/>
    <s v="Диплом"/>
    <s v="Диплом"/>
    <s v="Т11О-402Б-20"/>
    <n v="9"/>
    <m/>
    <m/>
    <m/>
    <x v="2"/>
    <m/>
    <s v="Нет"/>
    <m/>
    <s v="комиссия Нормо"/>
    <n v="111"/>
    <n v="265"/>
    <n v="376"/>
    <n v="0.4530120481927711"/>
    <n v="75.2"/>
    <n v="0.3624096385542169"/>
    <n v="0.45"/>
  </r>
  <r>
    <s v="весна"/>
    <s v="Диплом"/>
    <s v="Диплом"/>
    <s v="Т11О-402Б-20"/>
    <n v="4.5"/>
    <m/>
    <m/>
    <m/>
    <x v="8"/>
    <m/>
    <s v="Нет"/>
    <m/>
    <s v="комиссия вся"/>
    <n v="78"/>
    <n v="240.5"/>
    <n v="318.5"/>
    <n v="0.3837349397590362"/>
    <n v="63.7"/>
    <n v="0.3069879518072289"/>
    <n v="0.35"/>
  </r>
  <r>
    <s v="весна"/>
    <s v="Диплом"/>
    <s v="Диплом"/>
    <s v="Т11О-402Б-20"/>
    <n v="4.5"/>
    <m/>
    <m/>
    <m/>
    <x v="6"/>
    <m/>
    <s v="Нет"/>
    <m/>
    <s v="комиссия вся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4.5"/>
    <m/>
    <m/>
    <m/>
    <x v="21"/>
    <m/>
    <s v="Нет"/>
    <m/>
    <s v="комиссия вся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.5"/>
    <m/>
    <m/>
    <m/>
    <x v="23"/>
    <m/>
    <s v="Нет"/>
    <m/>
    <s v="комиссия вся"/>
    <n v="239"/>
    <n v="313"/>
    <n v="552"/>
    <n v="0.6650602409638554"/>
    <n v="110.4"/>
    <n v="0.5320481927710844"/>
    <n v="0.55"/>
  </r>
  <r>
    <s v="весна"/>
    <s v="Диплом"/>
    <s v="Диплом"/>
    <s v="Т11О-403Б-20"/>
    <n v="40"/>
    <m/>
    <m/>
    <s v="81728"/>
    <x v="16"/>
    <m/>
    <s v="Нет"/>
    <m/>
    <s v="Слезнев, Юхнин"/>
    <n v="438"/>
    <n v="361"/>
    <n v="799"/>
    <n v="0.9626506024096385"/>
    <n v="159.8"/>
    <n v="0.7701204819277109"/>
    <n v="0.75"/>
  </r>
  <r>
    <s v="весна"/>
    <s v="Диплом"/>
    <s v="Диплом"/>
    <s v="Т11О-403Б-20"/>
    <n v="40"/>
    <m/>
    <m/>
    <s v="81724"/>
    <x v="17"/>
    <m/>
    <s v="Нет"/>
    <m/>
    <s v="Вологдин, Епанишников"/>
    <n v="456"/>
    <n v="384"/>
    <n v="840"/>
    <n v="1.012048192771084"/>
    <n v="168"/>
    <n v="0.8096385542168675"/>
    <n v="0.8"/>
  </r>
  <r>
    <s v="весна"/>
    <s v="Диплом"/>
    <s v="Диплом"/>
    <s v="Т11О-403Б-20"/>
    <n v="20"/>
    <m/>
    <m/>
    <s v="81720"/>
    <x v="14"/>
    <m/>
    <s v="Нет"/>
    <m/>
    <s v="Козырин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20"/>
    <m/>
    <m/>
    <s v="81721"/>
    <x v="18"/>
    <m/>
    <s v="Нет"/>
    <m/>
    <s v="Ушакова"/>
    <n v="175"/>
    <n v="120"/>
    <n v="295"/>
    <n v="0.3554216867469879"/>
    <n v="59"/>
    <n v="0.2843373493975904"/>
    <n v="0.25"/>
  </r>
  <r>
    <s v="весна"/>
    <s v="Диплом"/>
    <s v="Диплом"/>
    <s v="Т11О-403Б-20"/>
    <n v="20"/>
    <m/>
    <m/>
    <s v="81721"/>
    <x v="11"/>
    <m/>
    <s v="Нет"/>
    <m/>
    <s v="Ермоленко"/>
    <n v="298"/>
    <n v="310"/>
    <n v="608"/>
    <n v="0.7325301204819277"/>
    <n v="121.6"/>
    <n v="0.5860240963855422"/>
    <n v="0.7"/>
  </r>
  <r>
    <s v="весна"/>
    <s v="Диплом"/>
    <s v="Диплом"/>
    <s v="Т11О-403Б-20"/>
    <n v="60"/>
    <m/>
    <m/>
    <s v="81729"/>
    <x v="15"/>
    <m/>
    <s v="Нет"/>
    <m/>
    <s v="Варфоломеев, Воронина, Шаповал"/>
    <n v="276"/>
    <n v="323"/>
    <n v="599"/>
    <n v="0.7216867469879518"/>
    <n v="119.8"/>
    <n v="0.5773493975903614"/>
    <n v="0.55"/>
  </r>
  <r>
    <s v="весна"/>
    <s v="Диплом"/>
    <s v="Диплом"/>
    <s v="Т11О-403Б-20"/>
    <n v="40"/>
    <m/>
    <m/>
    <s v="81722"/>
    <x v="11"/>
    <m/>
    <s v="Нет"/>
    <m/>
    <s v="Альсаад, Цвиклич"/>
    <n v="298"/>
    <n v="310"/>
    <n v="608"/>
    <n v="0.7325301204819277"/>
    <n v="121.6"/>
    <n v="0.5860240963855422"/>
    <n v="0.7"/>
  </r>
  <r>
    <s v="весна"/>
    <s v="Диплом"/>
    <s v="Диплом"/>
    <s v="Т11О-403Б-20"/>
    <n v="24"/>
    <m/>
    <m/>
    <m/>
    <x v="29"/>
    <m/>
    <s v="Нет"/>
    <m/>
    <s v="комиссия внеш"/>
    <n v="0"/>
    <n v="104"/>
    <n v="104"/>
    <n v="0.1253012048192771"/>
    <n v="20.8"/>
    <n v="0.1002409638554217"/>
    <n v="0"/>
  </r>
  <r>
    <s v="весна"/>
    <s v="Диплом"/>
    <s v="Диплом"/>
    <s v="Т11О-403Б-20"/>
    <n v="6"/>
    <m/>
    <m/>
    <m/>
    <x v="14"/>
    <m/>
    <s v="Нет"/>
    <m/>
    <s v="секр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12"/>
    <m/>
    <m/>
    <m/>
    <x v="15"/>
    <m/>
    <s v="Нет"/>
    <m/>
    <s v="норма"/>
    <n v="276"/>
    <n v="323"/>
    <n v="599"/>
    <n v="0.7216867469879518"/>
    <n v="119.8"/>
    <n v="0.5773493975903614"/>
    <n v="0.55"/>
  </r>
  <r>
    <s v="весна"/>
    <s v="Диплом"/>
    <s v="Диплом"/>
    <s v="Т11О-403Б-20"/>
    <n v="6"/>
    <m/>
    <m/>
    <m/>
    <x v="17"/>
    <m/>
    <s v="Нет"/>
    <m/>
    <s v="комиссия вся"/>
    <n v="456"/>
    <n v="384"/>
    <n v="840"/>
    <n v="1.012048192771084"/>
    <n v="168"/>
    <n v="0.8096385542168675"/>
    <n v="0.8"/>
  </r>
  <r>
    <s v="весна"/>
    <s v="Диплом"/>
    <s v="Диплом"/>
    <s v="Т11О-403Б-20"/>
    <n v="6"/>
    <m/>
    <m/>
    <m/>
    <x v="11"/>
    <m/>
    <s v="Нет"/>
    <m/>
    <s v="комиссия вся"/>
    <n v="298"/>
    <n v="310"/>
    <n v="608"/>
    <n v="0.7325301204819277"/>
    <n v="121.6"/>
    <n v="0.5860240963855422"/>
    <n v="0.7"/>
  </r>
  <r>
    <s v="весна"/>
    <s v="Диплом"/>
    <s v="Диплом"/>
    <s v="Т11О-403Б-20"/>
    <n v="6"/>
    <m/>
    <m/>
    <m/>
    <x v="16"/>
    <m/>
    <s v="Нет"/>
    <m/>
    <s v="комиссия вся"/>
    <n v="438"/>
    <n v="361"/>
    <n v="799"/>
    <n v="0.9626506024096385"/>
    <n v="159.8"/>
    <n v="0.7701204819277109"/>
    <n v="0.75"/>
  </r>
  <r>
    <s v="весна"/>
    <s v="Диплом"/>
    <s v="Диплом"/>
    <s v="Т11О-407А-20"/>
    <n v="25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Диплом"/>
    <s v="Диплом"/>
    <s v="Т11О-407А-20"/>
    <n v="25"/>
    <m/>
    <m/>
    <s v="81958"/>
    <x v="25"/>
    <m/>
    <s v="Нет"/>
    <m/>
    <s v="Прокопенко Денис Алексеевич"/>
    <n v="180"/>
    <n v="129"/>
    <n v="309"/>
    <n v="0.372289156626506"/>
    <n v="61.8"/>
    <n v="0.2978313253012048"/>
    <n v="0.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24" firstHeaderRow="0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0">
        <item t="data" sd="1" x="4"/>
        <item t="data" sd="1" m="1" x="22"/>
        <item t="data" sd="1" m="1" x="26"/>
        <item t="data" sd="1" m="1" x="20"/>
        <item t="data" sd="1" m="1" x="24"/>
        <item t="data" sd="1" m="1" x="25"/>
        <item t="data" sd="1" x="1"/>
        <item t="data" sd="1" x="2"/>
        <item t="data" sd="1" x="6"/>
        <item t="data" sd="1" x="7"/>
        <item t="data" sd="1" x="8"/>
        <item t="data" sd="1" m="1" x="27"/>
        <item t="data" sd="1" x="10"/>
        <item t="data" sd="1" x="11"/>
        <item t="data" sd="1" m="1" x="28"/>
        <item t="data" sd="1" x="3"/>
        <item t="data" sd="1" x="13"/>
        <item t="data" sd="1" m="1" x="23"/>
        <item t="data" sd="1" x="15"/>
        <item t="data" sd="1" x="16"/>
        <item t="data" sd="1" m="1" x="21"/>
        <item t="data" sd="1" x="18"/>
        <item t="data" sd="1" x="19"/>
        <item t="data" sd="1" x="0"/>
        <item t="data" sd="1" x="5"/>
        <item t="data" sd="1" x="9"/>
        <item t="data" sd="1" x="12"/>
        <item t="data" sd="1" x="14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21">
    <i t="data" r="0" i="0">
      <x v="0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2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Среднее по полю осень" fld="13" subtotal="average" showDataAs="normal" baseField="8" baseItem="0"/>
    <dataField name="Среднее по полю весна" fld="14" subtotal="average" showDataAs="normal" baseField="8" baseItem="0"/>
    <dataField name="Среднее по полю всего" fld="15" subtotal="average" showDataAs="normal" baseField="8" baseItem="0"/>
    <dataField name="Среднее по полю 830" fld="16" subtotal="average" showDataAs="normal" baseField="8" baseItem="0" numFmtId="2"/>
  </dataFields>
  <formats count="1">
    <format action="formatting">
      <pivotArea type="normal" dataOnly="1" outline="0" collapsedLevelsAreSubtotals="1" fieldPosition="0">
        <references count="1">
          <reference field="4294967294" selected="0"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СводнаяТаблица3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23" firstHeaderRow="0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0">
        <item t="data" sd="1" m="1" x="24"/>
        <item t="data" sd="1" x="4"/>
        <item t="data" sd="1" x="13"/>
        <item t="data" sd="1" x="11"/>
        <item t="data" sd="1" m="1" x="22"/>
        <item t="data" sd="1" m="1" x="25"/>
        <item t="data" sd="1" x="0"/>
        <item t="data" sd="1" x="2"/>
        <item t="data" sd="1" m="1" x="26"/>
        <item t="data" sd="1" x="5"/>
        <item t="data" sd="1" x="16"/>
        <item t="data" sd="1" x="8"/>
        <item t="data" sd="1" x="7"/>
        <item t="data" sd="1" x="3"/>
        <item t="data" sd="1" m="1" x="21"/>
        <item t="data" sd="1" x="17"/>
        <item t="data" sd="1" x="10"/>
        <item t="data" sd="1" x="1"/>
        <item t="data" sd="1" m="1" x="27"/>
        <item t="data" sd="1" x="9"/>
        <item t="data" sd="1" m="1" x="28"/>
        <item t="data" sd="1" x="12"/>
        <item t="data" sd="1" x="19"/>
        <item t="data" sd="1" x="6"/>
        <item t="data" sd="1" x="15"/>
        <item t="data" sd="1" m="1" x="23"/>
        <item t="data" sd="1" x="14"/>
        <item t="data" sd="1" x="18"/>
        <item t="data" sd="1" m="1" x="2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20">
    <i t="data" r="0" i="0">
      <x v="1"/>
    </i>
    <i t="data" r="0" i="0">
      <x v="2"/>
    </i>
    <i t="data" r="0" i="0">
      <x v="3"/>
    </i>
    <i t="data" r="0" i="0">
      <x v="6"/>
    </i>
    <i t="data" r="0" i="0">
      <x v="7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5"/>
    </i>
    <i t="data" r="0" i="0">
      <x v="16"/>
    </i>
    <i t="data" r="0" i="0">
      <x v="17"/>
    </i>
    <i t="data" r="0" i="0">
      <x v="19"/>
    </i>
    <i t="data" r="0" i="0">
      <x v="21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ч.Осень" fld="13" subtotal="average" showDataAs="normal" baseField="8" baseItem="1"/>
    <dataField name="ч.Весна" fld="14" subtotal="average" showDataAs="normal" baseField="8" baseItem="1"/>
    <dataField name="ч.Итого" fld="15" subtotal="average" showDataAs="normal" baseField="8" baseItem="1"/>
    <dataField name="Ставка расчет" fld="16" subtotal="average" showDataAs="normal" baseField="8" baseItem="1" numFmtId="161"/>
  </dataFields>
  <formats count="2">
    <format action="formatting">
      <pivotArea type="normal" dataOnly="1" outline="0" collapsedLevelsAreSubtotals="1" fieldPosition="0">
        <references count="1">
          <reference field="4294967294" selected="0">
            <x v="3"/>
          </reference>
        </references>
      </pivotArea>
    </format>
    <format action="formatting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Сводная таблица1" cacheId="1" dataOnRows="0" dataCaption="Значения" showError="0" missingCaption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34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31">
        <item t="data" sd="1" x="9"/>
        <item t="data" sd="1" x="10"/>
        <item t="data" sd="1" x="6"/>
        <item t="data" sd="1" x="26"/>
        <item t="data" sd="1" x="25"/>
        <item t="data" sd="1" x="1"/>
        <item t="data" sd="1" x="16"/>
        <item t="data" sd="1" x="17"/>
        <item t="data" sd="1" x="19"/>
        <item t="data" sd="1" x="22"/>
        <item t="data" sd="1" x="28"/>
        <item t="data" sd="1" x="23"/>
        <item t="data" sd="1" x="0"/>
        <item t="data" sd="1" x="4"/>
        <item t="data" sd="1" x="14"/>
        <item t="data" sd="1" x="20"/>
        <item t="data" sd="1" x="12"/>
        <item t="data" sd="1" x="8"/>
        <item t="data" sd="1" x="18"/>
        <item t="data" sd="1" x="27"/>
        <item t="data" sd="1" x="7"/>
        <item t="data" sd="1" x="21"/>
        <item t="data" sd="1" x="24"/>
        <item t="data" sd="1" x="15"/>
        <item t="data" sd="1" x="3"/>
        <item t="data" sd="1" x="13"/>
        <item t="data" sd="1" x="11"/>
        <item t="data" sd="1" x="2"/>
        <item t="data" sd="1" x="29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Час Итого" fld="15" subtotal="average" showDataAs="normal" baseField="8" baseItem="0"/>
    <dataField name="Ставка итого" fld="16" subtotal="average" showDataAs="normal" baseField="8" baseItem="0"/>
    <dataField name="ПЧ20" fld="17" subtotal="average" showDataAs="normal" baseField="8" baseItem="0"/>
    <dataField name="Ставка-ПЧ20" fld="18" subtotal="average" showDataAs="normal" baseField="8" baseItem="0"/>
    <dataField name="вПриказ" fld="19" subtotal="average" showDataAs="normal" baseField="8" baseItem="0"/>
  </dataFields>
  <formats count="21"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1"/>
          </reference>
          <reference field="8"/>
        </references>
      </pivotArea>
    </format>
    <format action="formatting">
      <pivotArea type="normal" dataOnly="1" outline="0" collapsedLevelsAreSubtotals="1" fieldPosition="0"/>
    </format>
    <format action="formatting">
      <pivotArea type="normal" dataOnly="1" outline="0" collapsedLevelsAreSubtotals="1" fieldPosition="0"/>
    </format>
    <format action="formatting">
      <pivotArea type="normal" dataOnly="1" outline="0" collapsedLevelsAreSubtotals="1" fieldPosition="0"/>
    </format>
    <format action="formatting">
      <pivotArea type="normal" dataOnly="1" outline="0" collapsedLevelsAreSubtotals="1" fieldPosition="0"/>
    </format>
    <format action="formatting">
      <pivotArea type="normal" dataOnly="1" outline="0" collapsedLevelsAreSubtotals="1" fieldPosition="0"/>
    </format>
    <format action="formatting">
      <pivotArea type="normal" dataOnly="1" outline="0" collapsedLevelsAreSubtotals="1" fieldPosition="0"/>
    </format>
    <format action="formatting">
      <pivotArea type="normal" dataOnly="0" outline="1" fieldPosition="0">
        <references count="1">
          <reference field="8"/>
        </references>
      </pivotArea>
    </format>
    <format action="formatting">
      <pivotArea type="normal" dataOnly="1" outline="1" collapsedLevelsAreSubtotals="1" fieldPosition="0">
        <references count="1">
          <reference field="8"/>
        </references>
      </pivotArea>
    </format>
    <format action="formatting">
      <pivotArea type="normal" dataOnly="0" labelOnly="1" outline="0" fieldPosition="0">
        <references count="1">
          <reference field="4294967294">
            <x v="0"/>
            <x v="1"/>
            <x v="2"/>
            <x v="3"/>
          </reference>
        </references>
      </pivotArea>
    </format>
    <format action="formatting">
      <pivotArea type="normal" dataOnly="1" grandRow="1" outline="0" collapsedLevelsAreSubtotals="1" fieldPosition="0"/>
    </format>
    <format action="formatting">
      <pivotArea type="normal" dataOnly="1" outline="1" collapsedLevelsAreSubtotals="1" fieldPosition="0">
        <references count="1">
          <reference field="8"/>
        </references>
      </pivotArea>
    </format>
    <format action="formatting">
      <pivotArea type="normal" dataOnly="0" labelOnly="1" outline="1" fieldPosition="0">
        <references count="1">
          <reference field="8"/>
        </references>
      </pivotArea>
    </format>
  </formats>
  <pivotTableStyleInfo name="PivotStyleDark13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21.85546875" customWidth="1" style="2" min="1" max="1"/>
    <col width="8" customWidth="1" style="2" min="2" max="2"/>
    <col width="11.5703125" customWidth="1" style="2" min="3" max="3"/>
    <col width="8" customWidth="1" style="2" min="4" max="26"/>
  </cols>
  <sheetData>
    <row r="1">
      <c r="A1" s="1" t="inlineStr">
        <is>
          <t>фио</t>
        </is>
      </c>
      <c r="B1" s="1" t="inlineStr">
        <is>
          <t>19-20</t>
        </is>
      </c>
      <c r="C1" s="1" t="inlineStr">
        <is>
          <t>должность</t>
        </is>
      </c>
    </row>
    <row r="2">
      <c r="A2" t="inlineStr">
        <is>
          <t>АЛЕКСАНДРОВА</t>
        </is>
      </c>
      <c r="B2" t="n">
        <v>0.8</v>
      </c>
      <c r="C2" t="inlineStr">
        <is>
          <t>доцент</t>
        </is>
      </c>
    </row>
    <row r="3">
      <c r="A3" t="inlineStr">
        <is>
          <t>БАБЕРЦЯН С. А</t>
        </is>
      </c>
      <c r="B3" t="n">
        <v>0.25</v>
      </c>
      <c r="C3" t="inlineStr">
        <is>
          <t>ст.</t>
        </is>
      </c>
    </row>
    <row r="4">
      <c r="A4" t="inlineStr">
        <is>
          <t>БАБЕРЦЯН С. А</t>
        </is>
      </c>
      <c r="B4" t="n">
        <v>0.55</v>
      </c>
      <c r="C4" t="inlineStr">
        <is>
          <t>ст.</t>
        </is>
      </c>
    </row>
    <row r="5">
      <c r="A5" t="inlineStr">
        <is>
          <t>БАНИШЕВ А. Ф.,</t>
        </is>
      </c>
      <c r="B5" t="n">
        <v>0.5</v>
      </c>
      <c r="C5" t="inlineStr">
        <is>
          <t>профессор</t>
        </is>
      </c>
    </row>
    <row r="6">
      <c r="A6" t="inlineStr">
        <is>
          <t>БАРАБАНОВА О. А.</t>
        </is>
      </c>
      <c r="B6" t="n">
        <v>0.5</v>
      </c>
      <c r="C6" t="inlineStr">
        <is>
          <t>профессор</t>
        </is>
      </c>
    </row>
    <row r="7">
      <c r="A7" t="inlineStr">
        <is>
          <t>БЕРЕЖНОЙ Д. В.</t>
        </is>
      </c>
      <c r="B7" t="n">
        <v>0.95</v>
      </c>
      <c r="C7" t="inlineStr">
        <is>
          <t>доцент</t>
        </is>
      </c>
    </row>
    <row r="8">
      <c r="A8" t="inlineStr">
        <is>
          <t>БЕСПАЛОВ А. В.,</t>
        </is>
      </c>
      <c r="B8" t="n">
        <v>0.3</v>
      </c>
      <c r="C8" t="inlineStr">
        <is>
          <t>доцент</t>
        </is>
      </c>
    </row>
    <row r="9">
      <c r="A9" t="inlineStr">
        <is>
          <t>БОБРЫШЕВ Б. Л.</t>
        </is>
      </c>
      <c r="B9" t="n">
        <v>0.5</v>
      </c>
      <c r="C9" t="inlineStr">
        <is>
          <t>доцент</t>
        </is>
      </c>
    </row>
    <row r="10">
      <c r="A10" t="inlineStr">
        <is>
          <t>ВАРФОЛОМЕЕВ М. С.,</t>
        </is>
      </c>
      <c r="B10" t="n">
        <v>1</v>
      </c>
      <c r="C10" t="inlineStr">
        <is>
          <t>доцент</t>
        </is>
      </c>
    </row>
    <row r="11">
      <c r="A11" t="inlineStr">
        <is>
          <t>ВЛАСЕНКО А. Н.</t>
        </is>
      </c>
      <c r="B11" t="n">
        <v>0.5</v>
      </c>
      <c r="C11" t="inlineStr">
        <is>
          <t>ст.</t>
        </is>
      </c>
    </row>
    <row r="12">
      <c r="A12" t="inlineStr">
        <is>
          <t>ГАЛКИН В. И.</t>
        </is>
      </c>
      <c r="B12" t="n">
        <v>1</v>
      </c>
      <c r="C12" t="inlineStr">
        <is>
          <t>профессор</t>
        </is>
      </c>
    </row>
    <row r="13">
      <c r="A13" t="inlineStr">
        <is>
          <t>ГАЛКИН Е. В.</t>
        </is>
      </c>
      <c r="B13" t="n">
        <v>1</v>
      </c>
      <c r="C13" t="inlineStr">
        <is>
          <t>доцент</t>
        </is>
      </c>
    </row>
    <row r="14">
      <c r="A14" t="inlineStr">
        <is>
          <t>ЕРЕМЕЕВ В. В.,</t>
        </is>
      </c>
      <c r="B14" t="n">
        <v>0.1</v>
      </c>
      <c r="C14" t="inlineStr">
        <is>
          <t>доцент</t>
        </is>
      </c>
    </row>
    <row r="15">
      <c r="A15" t="inlineStr">
        <is>
          <t>ЕРЕМЕЕВ Н. В.,</t>
        </is>
      </c>
      <c r="B15" t="n">
        <v>0.15</v>
      </c>
      <c r="C15" t="inlineStr">
        <is>
          <t>доцент</t>
        </is>
      </c>
    </row>
    <row r="16">
      <c r="A16" t="inlineStr">
        <is>
          <t>ЖАРОВ М. В.</t>
        </is>
      </c>
      <c r="B16" t="n">
        <v>1</v>
      </c>
      <c r="C16" t="inlineStr">
        <is>
          <t>доцент</t>
        </is>
      </c>
    </row>
    <row r="17">
      <c r="A17" t="inlineStr">
        <is>
          <t>КОМАРОВ Р. С.</t>
        </is>
      </c>
      <c r="B17" t="n">
        <v>0.25</v>
      </c>
      <c r="C17" t="inlineStr">
        <is>
          <t>ассистент</t>
        </is>
      </c>
    </row>
    <row r="18">
      <c r="A18" t="inlineStr">
        <is>
          <t>КОНКЕВИЧ В. Ю.</t>
        </is>
      </c>
      <c r="B18" t="n">
        <v>0.7</v>
      </c>
      <c r="C18" t="inlineStr">
        <is>
          <t>профессор</t>
        </is>
      </c>
    </row>
    <row r="19">
      <c r="A19" t="inlineStr">
        <is>
          <t>Кубатина Е. П.</t>
        </is>
      </c>
      <c r="B19" t="n">
        <v>0.45</v>
      </c>
      <c r="C19" t="inlineStr">
        <is>
          <t>ассистент</t>
        </is>
      </c>
    </row>
    <row r="20">
      <c r="A20" t="inlineStr">
        <is>
          <t>ЛЕНКОВЕЦ А. С.</t>
        </is>
      </c>
      <c r="B20" t="n">
        <v>0.1</v>
      </c>
      <c r="C20" t="inlineStr">
        <is>
          <t>ассистент</t>
        </is>
      </c>
    </row>
    <row r="21" ht="15.75" customHeight="1" s="2">
      <c r="A21" t="inlineStr">
        <is>
          <t>ЛОЗОВАН А. А.,</t>
        </is>
      </c>
      <c r="B21" t="n">
        <v>1</v>
      </c>
      <c r="C21" t="inlineStr">
        <is>
          <t>профессор</t>
        </is>
      </c>
    </row>
    <row r="22" ht="15.75" customHeight="1" s="2">
      <c r="A22" t="inlineStr">
        <is>
          <t>МОИСЕЕВ В. С.,</t>
        </is>
      </c>
      <c r="B22" t="n">
        <v>1</v>
      </c>
      <c r="C22" t="inlineStr">
        <is>
          <t>профессор</t>
        </is>
      </c>
    </row>
    <row r="23" ht="15.75" customHeight="1" s="2">
      <c r="A23" t="inlineStr">
        <is>
          <t>МОНАСТЫРСКИЙ А. В.,</t>
        </is>
      </c>
      <c r="B23" t="n">
        <v>0.1</v>
      </c>
      <c r="C23" t="inlineStr">
        <is>
          <t>ст.</t>
        </is>
      </c>
    </row>
    <row r="24" ht="15.75" customHeight="1" s="2">
      <c r="A24" t="inlineStr">
        <is>
          <t>НИКИТИНА Е. В.,</t>
        </is>
      </c>
      <c r="B24" t="n">
        <v>0.9</v>
      </c>
      <c r="C24" t="inlineStr">
        <is>
          <t>профессор</t>
        </is>
      </c>
    </row>
    <row r="25" ht="15.75" customHeight="1" s="2">
      <c r="A25" t="inlineStr">
        <is>
          <t>ПАЛТИЕВИЧ А. Р.,</t>
        </is>
      </c>
      <c r="B25" t="n">
        <v>1</v>
      </c>
      <c r="C25" t="inlineStr">
        <is>
          <t>доцент</t>
        </is>
      </c>
    </row>
    <row r="26" ht="15.75" customHeight="1" s="2">
      <c r="A26" t="inlineStr">
        <is>
          <t>ПАШКОВ И. Н.,</t>
        </is>
      </c>
      <c r="B26" t="n">
        <v>0.65</v>
      </c>
      <c r="C26" t="inlineStr">
        <is>
          <t>профессор</t>
        </is>
      </c>
    </row>
    <row r="27" ht="15.75" customHeight="1" s="2">
      <c r="A27" t="inlineStr">
        <is>
          <t>ПЕТРОВ А. П.</t>
        </is>
      </c>
      <c r="B27" t="n">
        <v>0.9</v>
      </c>
      <c r="C27" t="inlineStr">
        <is>
          <t>профессор</t>
        </is>
      </c>
    </row>
    <row r="28" ht="15.75" customHeight="1" s="2">
      <c r="A28" t="inlineStr">
        <is>
          <t>ПЕТРОВ И. А.</t>
        </is>
      </c>
      <c r="B28" t="n">
        <v>0.45</v>
      </c>
      <c r="C28" t="inlineStr">
        <is>
          <t>доцент</t>
        </is>
      </c>
    </row>
    <row r="29" ht="15.75" customHeight="1" s="2">
      <c r="A29" t="inlineStr">
        <is>
          <t>ПРЕОБРАЖЕНСКИ Й Е. В</t>
        </is>
      </c>
      <c r="B29" t="n">
        <v>0.75</v>
      </c>
      <c r="C29" t="inlineStr">
        <is>
          <t>доцент</t>
        </is>
      </c>
    </row>
    <row r="30" ht="15.75" customHeight="1" s="2">
      <c r="A30" t="inlineStr">
        <is>
          <t>РЯХОВСКИЙ А. П.,</t>
        </is>
      </c>
      <c r="B30" t="n">
        <v>0.45</v>
      </c>
      <c r="C30" t="inlineStr">
        <is>
          <t>доцент</t>
        </is>
      </c>
    </row>
    <row r="31" ht="15.75" customHeight="1" s="2">
      <c r="A31" t="inlineStr">
        <is>
          <t>СЕРОВ М. М.</t>
        </is>
      </c>
      <c r="B31" t="n">
        <v>1</v>
      </c>
      <c r="C31" t="inlineStr">
        <is>
          <t>профессор</t>
        </is>
      </c>
    </row>
    <row r="32" ht="15.75" customHeight="1" s="2">
      <c r="A32" t="inlineStr">
        <is>
          <t>СИДЯКИН В. А</t>
        </is>
      </c>
      <c r="B32" t="n">
        <v>0.2</v>
      </c>
      <c r="C32" t="inlineStr">
        <is>
          <t>профессор</t>
        </is>
      </c>
    </row>
    <row r="33" ht="15.75" customHeight="1" s="2">
      <c r="A33" t="inlineStr">
        <is>
          <t>СМЫКОВ А. Ф.,</t>
        </is>
      </c>
      <c r="B33" t="n">
        <v>1</v>
      </c>
      <c r="C33" t="inlineStr">
        <is>
          <t>профессор</t>
        </is>
      </c>
    </row>
    <row r="34" ht="15.75" customHeight="1" s="2">
      <c r="A34" t="inlineStr">
        <is>
          <t>СОКОЛОВ А. В.</t>
        </is>
      </c>
      <c r="B34" t="n">
        <v>1</v>
      </c>
      <c r="C34" t="inlineStr">
        <is>
          <t>доцент</t>
        </is>
      </c>
    </row>
    <row r="35" ht="15.75" customHeight="1" s="2">
      <c r="A35" t="inlineStr">
        <is>
          <t>СТЕПАНОВ В. В.,</t>
        </is>
      </c>
      <c r="B35" t="n">
        <v>0.45</v>
      </c>
      <c r="C35" t="inlineStr">
        <is>
          <t>доцент</t>
        </is>
      </c>
    </row>
    <row r="36" ht="15.75" customHeight="1" s="2">
      <c r="A36" t="inlineStr">
        <is>
          <t>ТЕЛИЦЫНА О. В.,</t>
        </is>
      </c>
      <c r="B36" t="n">
        <v>0.25</v>
      </c>
      <c r="C36" t="inlineStr">
        <is>
          <t>доцент</t>
        </is>
      </c>
    </row>
    <row r="37" ht="15.75" customHeight="1" s="2">
      <c r="A37" t="inlineStr">
        <is>
          <t>ФЕДОРОВ А. А.</t>
        </is>
      </c>
      <c r="B37" t="n">
        <v>0.25</v>
      </c>
      <c r="C37" t="inlineStr">
        <is>
          <t>профессор</t>
        </is>
      </c>
    </row>
    <row r="38" ht="15.75" customHeight="1" s="2">
      <c r="A38" t="inlineStr">
        <is>
          <t>ФЕДОРОВ С. А.,</t>
        </is>
      </c>
      <c r="B38" t="n">
        <v>0.65</v>
      </c>
      <c r="C38" t="inlineStr">
        <is>
          <t>доцент</t>
        </is>
      </c>
    </row>
    <row r="39" ht="15.75" customHeight="1" s="2">
      <c r="A39" t="inlineStr">
        <is>
          <t>ФРОЛОВ В.А.</t>
        </is>
      </c>
      <c r="B39" t="n">
        <v>0.1</v>
      </c>
      <c r="C39" t="inlineStr">
        <is>
          <t>профессор</t>
        </is>
      </c>
    </row>
    <row r="40" ht="15.75" customHeight="1" s="2">
      <c r="A40" t="inlineStr">
        <is>
          <t>ШЛЕНСКИЙ А. Г.</t>
        </is>
      </c>
      <c r="B40" t="n">
        <v>0.75</v>
      </c>
      <c r="C40" t="inlineStr">
        <is>
          <t>доцент</t>
        </is>
      </c>
    </row>
    <row r="41" ht="15.75" customHeight="1" s="2">
      <c r="A41" t="inlineStr">
        <is>
          <t>ШЛЯПЦЕВА А. Д.</t>
        </is>
      </c>
      <c r="B41" t="n">
        <v>0.35</v>
      </c>
      <c r="C41" t="inlineStr">
        <is>
          <t>ассистент</t>
        </is>
      </c>
    </row>
    <row r="42" ht="15.75" customHeight="1" s="2">
      <c r="B42">
        <f>SUM(B2:B41)</f>
        <v/>
      </c>
    </row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 filterMode="1">
    <outlinePr applyStyles="0" summaryBelow="1" summaryRight="1" showOutlineSymbols="1"/>
    <pageSetUpPr autoPageBreaks="1" fitToPage="0"/>
  </sheetPr>
  <dimension ref="A1:AJ1174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7.7109375" customWidth="1" style="2" min="1" max="1"/>
    <col width="34.5703125" customWidth="1" style="2" min="2" max="2"/>
    <col width="11.7109375" customWidth="1" style="2" min="3" max="3"/>
    <col width="28.28515625" customWidth="1" style="2" min="4" max="4"/>
    <col width="12.42578125" customWidth="1" style="2" min="5" max="5"/>
    <col width="10.85546875" customWidth="1" style="2" min="6" max="6"/>
    <col width="10" customWidth="1" style="2" min="7" max="7"/>
    <col width="9.42578125" customWidth="1" style="2" min="8" max="8"/>
    <col width="36" customWidth="1" style="2" min="9" max="9"/>
    <col width="13.28515625" customWidth="1" style="2" min="10" max="10"/>
    <col width="16.42578125" customWidth="1" style="2" min="11" max="11"/>
    <col width="23.5703125" customWidth="1" style="2" min="12" max="12"/>
    <col width="6.28515625" customWidth="1" style="2" min="13" max="13"/>
    <col width="7.42578125" customWidth="1" style="2" min="14" max="14"/>
    <col width="6.140625" customWidth="1" style="2" min="15" max="15"/>
    <col width="6.7109375" customWidth="1" style="2" min="16" max="16"/>
    <col width="11.42578125" customWidth="1" style="2" min="17" max="17"/>
    <col width="9.140625" customWidth="1" style="2" min="18" max="36"/>
  </cols>
  <sheetData>
    <row r="1">
      <c r="A1" s="3" t="inlineStr">
        <is>
          <t>семестр</t>
        </is>
      </c>
      <c r="B1" s="4" t="inlineStr">
        <is>
          <t>Дисциплина</t>
        </is>
      </c>
      <c r="C1" s="4" t="inlineStr">
        <is>
          <t>Вид нагрузки</t>
        </is>
      </c>
      <c r="D1" s="4" t="inlineStr">
        <is>
          <t>Группы</t>
        </is>
      </c>
      <c r="E1" s="5" t="inlineStr">
        <is>
          <t>Нагрузка</t>
        </is>
      </c>
      <c r="F1" s="4" t="inlineStr">
        <is>
          <t>Поток</t>
        </is>
      </c>
      <c r="G1" s="4" t="inlineStr">
        <is>
          <t>Количества часов по УП</t>
        </is>
      </c>
      <c r="H1" s="4" t="inlineStr">
        <is>
          <t>Табельный №</t>
        </is>
      </c>
      <c r="I1" s="4" t="inlineStr">
        <is>
          <t>ФИО</t>
        </is>
      </c>
      <c r="J1" s="6" t="inlineStr">
        <is>
          <t>Должность</t>
        </is>
      </c>
      <c r="K1" s="4" t="inlineStr">
        <is>
          <t>Желаемая аудитория</t>
        </is>
      </c>
      <c r="L1" s="4" t="inlineStr">
        <is>
          <t>Описание (пожелания по дням недели, времени, требования по техническому обеспечению аудитории)</t>
        </is>
      </c>
      <c r="M1" s="7" t="inlineStr">
        <is>
          <t>осень</t>
        </is>
      </c>
      <c r="N1" s="7" t="inlineStr">
        <is>
          <t>весна</t>
        </is>
      </c>
      <c r="O1" s="7" t="inlineStr">
        <is>
          <t>всего</t>
        </is>
      </c>
      <c r="P1" s="7" t="n">
        <v>830</v>
      </c>
      <c r="Q1" s="7" t="inlineStr">
        <is>
          <t>ПР</t>
        </is>
      </c>
    </row>
    <row r="2" hidden="1" s="2">
      <c r="A2" s="8" t="inlineStr">
        <is>
          <t>осень</t>
        </is>
      </c>
      <c r="B2" s="9" t="inlineStr">
        <is>
          <t>ИДПО</t>
        </is>
      </c>
      <c r="C2" s="9" t="inlineStr">
        <is>
          <t>ИДПО</t>
        </is>
      </c>
      <c r="D2" s="9" t="n"/>
      <c r="E2" s="10" t="n">
        <v>75</v>
      </c>
      <c r="F2" s="9" t="n"/>
      <c r="G2" s="11" t="n">
        <v>0</v>
      </c>
      <c r="H2" s="9" t="inlineStr">
        <is>
          <t xml:space="preserve">89067     </t>
        </is>
      </c>
      <c r="I2" s="9" t="inlineStr">
        <is>
          <t xml:space="preserve">Ряховский Александр Павлович </t>
        </is>
      </c>
      <c r="J2" s="9" t="inlineStr">
        <is>
          <t>доцент</t>
        </is>
      </c>
      <c r="K2" s="9" t="n"/>
      <c r="L2" s="9" t="n"/>
      <c r="M2" s="12">
        <f>SUMIFS($E$2:$E$1130,$A$2:$A$1130,"осень",$I$2:$I$1130,I2)</f>
        <v/>
      </c>
      <c r="N2" s="13">
        <f>SUMIFS($E$2:$E$1130,$A$2:$A$1130,"весна",$I$2:$I$1130,I2)</f>
        <v/>
      </c>
      <c r="O2" s="14">
        <f>M2+N2</f>
        <v/>
      </c>
      <c r="P2" s="15">
        <f>O2/$P$1</f>
        <v/>
      </c>
    </row>
    <row r="3" hidden="1" s="2">
      <c r="A3" s="8" t="inlineStr">
        <is>
          <t>осень</t>
        </is>
      </c>
      <c r="B3" s="9" t="inlineStr">
        <is>
          <t>ИДПО</t>
        </is>
      </c>
      <c r="C3" s="9" t="inlineStr">
        <is>
          <t>ИДПО</t>
        </is>
      </c>
      <c r="D3" s="9" t="n"/>
      <c r="E3" s="10" t="n">
        <v>50</v>
      </c>
      <c r="F3" s="9" t="n"/>
      <c r="G3" s="11" t="n">
        <v>0</v>
      </c>
      <c r="H3" s="9" t="inlineStr">
        <is>
          <t xml:space="preserve">82020     </t>
        </is>
      </c>
      <c r="I3" s="9" t="inlineStr">
        <is>
          <t xml:space="preserve">Варфоломеев Максим Сергеевич </t>
        </is>
      </c>
      <c r="J3" s="9" t="inlineStr">
        <is>
          <t>доцент</t>
        </is>
      </c>
      <c r="K3" s="9" t="n"/>
      <c r="L3" s="9" t="n"/>
      <c r="M3" s="12">
        <f>SUMIFS($E$2:$E$1130,$A$2:$A$1130,"осень",$I$2:$I$1130,I3)</f>
        <v/>
      </c>
      <c r="N3" s="13">
        <f>SUMIFS($E$2:$E$1130,$A$2:$A$1130,"весна",$I$2:$I$1130,I3)</f>
        <v/>
      </c>
      <c r="O3" s="14">
        <f>M3+N3</f>
        <v/>
      </c>
      <c r="P3" s="15">
        <f>O3/$P$1</f>
        <v/>
      </c>
    </row>
    <row r="4" hidden="1" s="2">
      <c r="A4" s="8" t="inlineStr">
        <is>
          <t>осень</t>
        </is>
      </c>
      <c r="B4" s="9" t="inlineStr">
        <is>
          <t>ИДПО</t>
        </is>
      </c>
      <c r="C4" s="9" t="inlineStr">
        <is>
          <t>ИДПО</t>
        </is>
      </c>
      <c r="D4" s="9" t="n"/>
      <c r="E4" s="10" t="n">
        <v>25</v>
      </c>
      <c r="F4" s="9" t="n"/>
      <c r="G4" s="11" t="n">
        <v>0</v>
      </c>
      <c r="H4" s="9" t="inlineStr">
        <is>
          <t xml:space="preserve">82026     </t>
        </is>
      </c>
      <c r="I4" s="9" t="inlineStr">
        <is>
          <t xml:space="preserve">Александрова Светлана Сергеевна </t>
        </is>
      </c>
      <c r="J4" s="9" t="inlineStr">
        <is>
          <t>доцент</t>
        </is>
      </c>
      <c r="K4" s="9" t="n"/>
      <c r="L4" s="9" t="n"/>
      <c r="M4" s="12">
        <f>SUMIFS($E$2:$E$1130,$A$2:$A$1130,"осень",$I$2:$I$1130,I4)</f>
        <v/>
      </c>
      <c r="N4" s="13">
        <f>SUMIFS($E$2:$E$1130,$A$2:$A$1130,"весна",$I$2:$I$1130,I4)</f>
        <v/>
      </c>
      <c r="O4" s="14">
        <f>M4+N4</f>
        <v/>
      </c>
      <c r="P4" s="15">
        <f>O4/$P$1</f>
        <v/>
      </c>
    </row>
    <row r="5" hidden="1" s="2">
      <c r="A5" s="8" t="inlineStr">
        <is>
          <t>осень</t>
        </is>
      </c>
      <c r="B5" s="9" t="inlineStr">
        <is>
          <t>Руководство кафедрой</t>
        </is>
      </c>
      <c r="C5" s="9" t="inlineStr">
        <is>
          <t>Руководство кафедрой</t>
        </is>
      </c>
      <c r="D5" s="9" t="n"/>
      <c r="E5" s="10" t="n">
        <v>30</v>
      </c>
      <c r="F5" s="9" t="n"/>
      <c r="G5" s="11" t="n">
        <v>0</v>
      </c>
      <c r="H5" s="9" t="inlineStr">
        <is>
          <t xml:space="preserve">82061     </t>
        </is>
      </c>
      <c r="I5" s="9" t="inlineStr">
        <is>
          <t xml:space="preserve">Моисеев Виктор Сергеевич </t>
        </is>
      </c>
      <c r="J5" s="9" t="n"/>
      <c r="K5" s="9" t="n"/>
      <c r="L5" s="9" t="n"/>
      <c r="M5" s="12">
        <f>SUMIFS($E$2:$E$1130,$A$2:$A$1130,"осень",$I$2:$I$1130,I5)</f>
        <v/>
      </c>
      <c r="N5" s="13">
        <f>SUMIFS($E$2:$E$1130,$A$2:$A$1130,"весна",$I$2:$I$1130,I5)</f>
        <v/>
      </c>
      <c r="O5" s="14">
        <f>M5+N5</f>
        <v/>
      </c>
      <c r="P5" s="15">
        <f>O5/$P$1</f>
        <v/>
      </c>
    </row>
    <row r="6" hidden="1" s="2">
      <c r="A6" s="8" t="inlineStr">
        <is>
          <t>осень</t>
        </is>
      </c>
      <c r="B6" s="9" t="inlineStr">
        <is>
          <t>Спецглавы технологий пайки</t>
        </is>
      </c>
      <c r="C6" s="9" t="inlineStr">
        <is>
          <t>ЛК</t>
        </is>
      </c>
      <c r="D6" s="9" t="inlineStr">
        <is>
          <t>Т11О-202А-19</t>
        </is>
      </c>
      <c r="E6" s="10" t="n">
        <v>24</v>
      </c>
      <c r="F6" s="9" t="inlineStr">
        <is>
          <t>10740</t>
        </is>
      </c>
      <c r="G6" s="10" t="n">
        <v>24</v>
      </c>
      <c r="H6" s="9" t="inlineStr">
        <is>
          <t xml:space="preserve">92509     </t>
        </is>
      </c>
      <c r="I6" s="9" t="inlineStr">
        <is>
          <t xml:space="preserve">Пашков Игорь Николаевич </t>
        </is>
      </c>
      <c r="J6" s="9" t="n"/>
      <c r="K6" s="9" t="n"/>
      <c r="L6" s="9" t="inlineStr">
        <is>
          <t>Степанов Максим Александрович</t>
        </is>
      </c>
      <c r="M6" s="12">
        <f>SUMIFS($E$2:$E$1130,$A$2:$A$1130,"осень",$I$2:$I$1130,I6)</f>
        <v/>
      </c>
      <c r="N6" s="13">
        <f>SUMIFS($E$2:$E$1130,$A$2:$A$1130,"весна",$I$2:$I$1130,I6)</f>
        <v/>
      </c>
      <c r="O6" s="14">
        <f>M6+N6</f>
        <v/>
      </c>
      <c r="P6" s="15">
        <f>O6/$P$1</f>
        <v/>
      </c>
    </row>
    <row r="7" hidden="1" s="2">
      <c r="A7" s="8" t="inlineStr">
        <is>
          <t>осень</t>
        </is>
      </c>
      <c r="B7" s="9" t="inlineStr">
        <is>
          <t>Спецглавы технологий пайки</t>
        </is>
      </c>
      <c r="C7" s="9" t="inlineStr">
        <is>
          <t>ПЗ</t>
        </is>
      </c>
      <c r="D7" s="9" t="inlineStr">
        <is>
          <t>Т11О-202А-19</t>
        </is>
      </c>
      <c r="E7" s="10" t="n">
        <v>8</v>
      </c>
      <c r="F7" s="9" t="inlineStr">
        <is>
          <t>10740</t>
        </is>
      </c>
      <c r="G7" s="10" t="n">
        <v>8</v>
      </c>
      <c r="H7" s="9" t="inlineStr">
        <is>
          <t xml:space="preserve">92509     </t>
        </is>
      </c>
      <c r="I7" s="9" t="inlineStr">
        <is>
          <t xml:space="preserve">Пашков Игорь Николаевич </t>
        </is>
      </c>
      <c r="J7" s="9" t="n"/>
      <c r="K7" s="9" t="n"/>
      <c r="L7" s="9" t="inlineStr">
        <is>
          <t>Степанов Максим Александрович</t>
        </is>
      </c>
      <c r="M7" s="12">
        <f>SUMIFS($E$2:$E$1130,$A$2:$A$1130,"осень",$I$2:$I$1130,I7)</f>
        <v/>
      </c>
      <c r="N7" s="13">
        <f>SUMIFS($E$2:$E$1130,$A$2:$A$1130,"весна",$I$2:$I$1130,I7)</f>
        <v/>
      </c>
      <c r="O7" s="14">
        <f>M7+N7</f>
        <v/>
      </c>
      <c r="P7" s="15">
        <f>O7/$P$1</f>
        <v/>
      </c>
    </row>
    <row r="8" hidden="1" s="2">
      <c r="A8" s="8" t="inlineStr">
        <is>
          <t>осень</t>
        </is>
      </c>
      <c r="B8" s="9" t="inlineStr">
        <is>
          <t>Спецглавы технологий пайки</t>
        </is>
      </c>
      <c r="C8" s="9" t="inlineStr">
        <is>
          <t>Консультация</t>
        </is>
      </c>
      <c r="D8" s="9" t="inlineStr">
        <is>
          <t>Т11О-202А-19</t>
        </is>
      </c>
      <c r="E8" s="10" t="n">
        <v>1</v>
      </c>
      <c r="F8" s="9" t="inlineStr">
        <is>
          <t>10740</t>
        </is>
      </c>
      <c r="G8" s="11" t="n">
        <v>0</v>
      </c>
      <c r="H8" s="9" t="inlineStr">
        <is>
          <t xml:space="preserve">92509     </t>
        </is>
      </c>
      <c r="I8" s="9" t="inlineStr">
        <is>
          <t xml:space="preserve">Пашков Игорь Николаевич </t>
        </is>
      </c>
      <c r="J8" s="9" t="n"/>
      <c r="K8" s="9" t="n"/>
      <c r="L8" s="9" t="inlineStr">
        <is>
          <t>Степанов Максим Александрович</t>
        </is>
      </c>
      <c r="M8" s="12">
        <f>SUMIFS($E$2:$E$1130,$A$2:$A$1130,"осень",$I$2:$I$1130,I8)</f>
        <v/>
      </c>
      <c r="N8" s="13">
        <f>SUMIFS($E$2:$E$1130,$A$2:$A$1130,"весна",$I$2:$I$1130,I8)</f>
        <v/>
      </c>
      <c r="O8" s="14">
        <f>M8+N8</f>
        <v/>
      </c>
      <c r="P8" s="15">
        <f>O8/$P$1</f>
        <v/>
      </c>
    </row>
    <row r="9" hidden="1" s="2">
      <c r="A9" s="8" t="inlineStr">
        <is>
          <t>осень</t>
        </is>
      </c>
      <c r="B9" s="9" t="inlineStr">
        <is>
          <t>История профессии</t>
        </is>
      </c>
      <c r="C9" s="9" t="inlineStr">
        <is>
          <t>ЛК</t>
        </is>
      </c>
      <c r="D9" s="9" t="inlineStr">
        <is>
          <t>Т11О-101Б-20, Т11О-102Б-20</t>
        </is>
      </c>
      <c r="E9" s="10" t="n">
        <v>44</v>
      </c>
      <c r="F9" s="9" t="inlineStr">
        <is>
          <t>13524</t>
        </is>
      </c>
      <c r="G9" s="10" t="n">
        <v>44</v>
      </c>
      <c r="H9" s="9" t="inlineStr">
        <is>
          <t xml:space="preserve">81720     </t>
        </is>
      </c>
      <c r="I9" s="9" t="inlineStr">
        <is>
          <t xml:space="preserve">Палтиевич Андрей Романович </t>
        </is>
      </c>
      <c r="J9" s="9" t="n"/>
      <c r="K9" s="9" t="n"/>
      <c r="L9" s="9" t="inlineStr">
        <is>
          <t>кроме вторника (523 А)</t>
        </is>
      </c>
      <c r="M9" s="12">
        <f>SUMIFS($E$2:$E$1130,$A$2:$A$1130,"осень",$I$2:$I$1130,I9)</f>
        <v/>
      </c>
      <c r="N9" s="13">
        <f>SUMIFS($E$2:$E$1130,$A$2:$A$1130,"весна",$I$2:$I$1130,I9)</f>
        <v/>
      </c>
      <c r="O9" s="14">
        <f>M9+N9</f>
        <v/>
      </c>
      <c r="P9" s="15">
        <f>O9/$P$1</f>
        <v/>
      </c>
    </row>
    <row r="10" hidden="1" s="2">
      <c r="A10" s="8" t="inlineStr">
        <is>
          <t>осень</t>
        </is>
      </c>
      <c r="B10" s="9" t="inlineStr">
        <is>
          <t>История профессии</t>
        </is>
      </c>
      <c r="C10" s="9" t="inlineStr">
        <is>
          <t>Зачет с оценкой</t>
        </is>
      </c>
      <c r="D10" s="9" t="inlineStr">
        <is>
          <t>Т11О-101Б-20</t>
        </is>
      </c>
      <c r="E10" s="10" t="n">
        <v>7</v>
      </c>
      <c r="F10" s="9" t="inlineStr">
        <is>
          <t>13524</t>
        </is>
      </c>
      <c r="G10" s="11" t="n">
        <v>0</v>
      </c>
      <c r="H10" s="9" t="inlineStr">
        <is>
          <t xml:space="preserve">81720     </t>
        </is>
      </c>
      <c r="I10" s="9" t="inlineStr">
        <is>
          <t xml:space="preserve">Палтиевич Андрей Романович </t>
        </is>
      </c>
      <c r="J10" s="9" t="n"/>
      <c r="K10" s="9" t="n"/>
      <c r="L10" s="9" t="inlineStr">
        <is>
          <t>кроме вторника</t>
        </is>
      </c>
      <c r="M10" s="12">
        <f>SUMIFS($E$2:$E$1130,$A$2:$A$1130,"осень",$I$2:$I$1130,I10)</f>
        <v/>
      </c>
      <c r="N10" s="13">
        <f>SUMIFS($E$2:$E$1130,$A$2:$A$1130,"весна",$I$2:$I$1130,I10)</f>
        <v/>
      </c>
      <c r="O10" s="14">
        <f>M10+N10</f>
        <v/>
      </c>
      <c r="P10" s="15">
        <f>O10/$P$1</f>
        <v/>
      </c>
    </row>
    <row r="11" hidden="1" s="2">
      <c r="A11" s="8" t="inlineStr">
        <is>
          <t>осень</t>
        </is>
      </c>
      <c r="B11" s="9" t="inlineStr">
        <is>
          <t>История профессии</t>
        </is>
      </c>
      <c r="C11" s="9" t="inlineStr">
        <is>
          <t>Зачет с оценкой</t>
        </is>
      </c>
      <c r="D11" s="9" t="inlineStr">
        <is>
          <t>Т11О-102Б-20</t>
        </is>
      </c>
      <c r="E11" s="10" t="n">
        <v>7</v>
      </c>
      <c r="F11" s="9" t="inlineStr">
        <is>
          <t>13524</t>
        </is>
      </c>
      <c r="G11" s="11" t="n">
        <v>0</v>
      </c>
      <c r="H11" s="9" t="inlineStr">
        <is>
          <t xml:space="preserve">81720     </t>
        </is>
      </c>
      <c r="I11" s="9" t="inlineStr">
        <is>
          <t xml:space="preserve">Палтиевич Андрей Романович </t>
        </is>
      </c>
      <c r="J11" s="9" t="n"/>
      <c r="K11" s="9" t="n"/>
      <c r="L11" s="9" t="inlineStr">
        <is>
          <t>кроме вторника</t>
        </is>
      </c>
      <c r="M11" s="12">
        <f>SUMIFS($E$2:$E$1130,$A$2:$A$1130,"осень",$I$2:$I$1130,I11)</f>
        <v/>
      </c>
      <c r="N11" s="13">
        <f>SUMIFS($E$2:$E$1130,$A$2:$A$1130,"весна",$I$2:$I$1130,I11)</f>
        <v/>
      </c>
      <c r="O11" s="14">
        <f>M11+N11</f>
        <v/>
      </c>
      <c r="P11" s="15">
        <f>O11/$P$1</f>
        <v/>
      </c>
    </row>
    <row r="12" hidden="1" s="2">
      <c r="A12" s="8" t="inlineStr">
        <is>
          <t>осень</t>
        </is>
      </c>
      <c r="B12" s="9" t="inlineStr">
        <is>
          <t>История профессии</t>
        </is>
      </c>
      <c r="C12" s="9" t="inlineStr">
        <is>
          <t>ПЗ</t>
        </is>
      </c>
      <c r="D12" s="9" t="inlineStr">
        <is>
          <t>Т11О-101Б-20</t>
        </is>
      </c>
      <c r="E12" s="10" t="n">
        <v>8</v>
      </c>
      <c r="F12" s="9" t="inlineStr">
        <is>
          <t>13524</t>
        </is>
      </c>
      <c r="G12" s="10" t="n">
        <v>32</v>
      </c>
      <c r="H12" s="9" t="inlineStr">
        <is>
          <t xml:space="preserve">81729     </t>
        </is>
      </c>
      <c r="I12" s="9" t="inlineStr">
        <is>
          <t xml:space="preserve">Соколов Алексей Викторович </t>
        </is>
      </c>
      <c r="J12" s="9" t="inlineStr">
        <is>
          <t>доцент</t>
        </is>
      </c>
      <c r="K12" s="9" t="n"/>
      <c r="L12" s="9" t="inlineStr">
        <is>
          <t>кроме пятницы (523 А)</t>
        </is>
      </c>
      <c r="M12" s="12">
        <f>SUMIFS($E$2:$E$1130,$A$2:$A$1130,"осень",$I$2:$I$1130,I12)</f>
        <v/>
      </c>
      <c r="N12" s="13">
        <f>SUMIFS($E$2:$E$1130,$A$2:$A$1130,"весна",$I$2:$I$1130,I12)</f>
        <v/>
      </c>
      <c r="O12" s="14">
        <f>M12+N12</f>
        <v/>
      </c>
      <c r="P12" s="15">
        <f>O12/$P$1</f>
        <v/>
      </c>
    </row>
    <row r="13" hidden="1" s="2">
      <c r="A13" s="8" t="inlineStr">
        <is>
          <t>осень</t>
        </is>
      </c>
      <c r="B13" s="9" t="inlineStr">
        <is>
          <t>История профессии</t>
        </is>
      </c>
      <c r="C13" s="9" t="inlineStr">
        <is>
          <t>ПЗ</t>
        </is>
      </c>
      <c r="D13" s="9" t="inlineStr">
        <is>
          <t>Т11О-101Б-20</t>
        </is>
      </c>
      <c r="E13" s="10" t="n">
        <v>8</v>
      </c>
      <c r="F13" s="9" t="inlineStr">
        <is>
          <t>13524</t>
        </is>
      </c>
      <c r="G13" s="10" t="n">
        <v>32</v>
      </c>
      <c r="H13" s="9" t="inlineStr">
        <is>
          <t xml:space="preserve">87438     </t>
        </is>
      </c>
      <c r="I13" s="9" t="inlineStr">
        <is>
          <t xml:space="preserve">Конкевич Валентин Юрьевич </t>
        </is>
      </c>
      <c r="J13" s="9" t="n"/>
      <c r="K13" s="9" t="n"/>
      <c r="L13" s="9" t="n"/>
      <c r="M13" s="12">
        <f>SUMIFS($E$2:$E$1130,$A$2:$A$1130,"осень",$I$2:$I$1130,I13)</f>
        <v/>
      </c>
      <c r="N13" s="13">
        <f>SUMIFS($E$2:$E$1130,$A$2:$A$1130,"весна",$I$2:$I$1130,I13)</f>
        <v/>
      </c>
      <c r="O13" s="14">
        <f>M13+N13</f>
        <v/>
      </c>
      <c r="P13" s="15">
        <f>O13/$P$1</f>
        <v/>
      </c>
    </row>
    <row r="14" hidden="1" s="2">
      <c r="A14" s="8" t="inlineStr">
        <is>
          <t>осень</t>
        </is>
      </c>
      <c r="B14" s="9" t="inlineStr">
        <is>
          <t>История профессии</t>
        </is>
      </c>
      <c r="C14" s="9" t="inlineStr">
        <is>
          <t>ПЗ</t>
        </is>
      </c>
      <c r="D14" s="9" t="inlineStr">
        <is>
          <t>Т11О-101Б-20</t>
        </is>
      </c>
      <c r="E14" s="10" t="n">
        <v>8</v>
      </c>
      <c r="F14" s="9" t="inlineStr">
        <is>
          <t>13524</t>
        </is>
      </c>
      <c r="G14" s="10" t="n">
        <v>32</v>
      </c>
      <c r="H14" s="9" t="inlineStr">
        <is>
          <t xml:space="preserve">82066     </t>
        </is>
      </c>
      <c r="I14" s="9" t="inlineStr">
        <is>
          <t xml:space="preserve">Серов Михаил Михайлович </t>
        </is>
      </c>
      <c r="J14" s="9" t="inlineStr">
        <is>
          <t>профессор</t>
        </is>
      </c>
      <c r="K14" s="9" t="n"/>
      <c r="L14" s="9" t="n"/>
      <c r="M14" s="12">
        <f>SUMIFS($E$2:$E$1130,$A$2:$A$1130,"осень",$I$2:$I$1130,I14)</f>
        <v/>
      </c>
      <c r="N14" s="13">
        <f>SUMIFS($E$2:$E$1130,$A$2:$A$1130,"весна",$I$2:$I$1130,I14)</f>
        <v/>
      </c>
      <c r="O14" s="14">
        <f>M14+N14</f>
        <v/>
      </c>
      <c r="P14" s="15">
        <f>O14/$P$1</f>
        <v/>
      </c>
    </row>
    <row r="15" hidden="1" s="2">
      <c r="A15" s="8" t="inlineStr">
        <is>
          <t>осень</t>
        </is>
      </c>
      <c r="B15" s="9" t="inlineStr">
        <is>
          <t>История профессии</t>
        </is>
      </c>
      <c r="C15" s="9" t="inlineStr">
        <is>
          <t>ПЗ</t>
        </is>
      </c>
      <c r="D15" s="9" t="inlineStr">
        <is>
          <t>Т11О-101Б-20</t>
        </is>
      </c>
      <c r="E15" s="10" t="n">
        <v>8</v>
      </c>
      <c r="F15" s="9" t="inlineStr">
        <is>
          <t>13524</t>
        </is>
      </c>
      <c r="G15" s="10" t="n">
        <v>32</v>
      </c>
      <c r="H15" s="9" t="inlineStr">
        <is>
          <t xml:space="preserve">89068     </t>
        </is>
      </c>
      <c r="I15" s="9" t="inlineStr">
        <is>
          <t xml:space="preserve">Петров Игорь Алексеевич </t>
        </is>
      </c>
      <c r="J15" s="9" t="inlineStr">
        <is>
          <t>доцент</t>
        </is>
      </c>
      <c r="K15" s="9" t="n"/>
      <c r="L15" s="9" t="n"/>
      <c r="M15" s="12">
        <f>SUMIFS($E$2:$E$1130,$A$2:$A$1130,"осень",$I$2:$I$1130,I15)</f>
        <v/>
      </c>
      <c r="N15" s="13">
        <f>SUMIFS($E$2:$E$1130,$A$2:$A$1130,"весна",$I$2:$I$1130,I15)</f>
        <v/>
      </c>
      <c r="O15" s="14">
        <f>M15+N15</f>
        <v/>
      </c>
      <c r="P15" s="15">
        <f>O15/$P$1</f>
        <v/>
      </c>
    </row>
    <row r="16" hidden="1" s="2">
      <c r="A16" s="8" t="inlineStr">
        <is>
          <t>осень</t>
        </is>
      </c>
      <c r="B16" s="9" t="inlineStr">
        <is>
          <t>История профессии</t>
        </is>
      </c>
      <c r="C16" s="9" t="inlineStr">
        <is>
          <t>ПЗ</t>
        </is>
      </c>
      <c r="D16" s="9" t="inlineStr">
        <is>
          <t>Т11О-102Б-20</t>
        </is>
      </c>
      <c r="E16" s="10" t="n">
        <v>8</v>
      </c>
      <c r="F16" s="9" t="inlineStr">
        <is>
          <t>13524</t>
        </is>
      </c>
      <c r="G16" s="10" t="n">
        <v>32</v>
      </c>
      <c r="H16" s="9" t="inlineStr">
        <is>
          <t xml:space="preserve">87438     </t>
        </is>
      </c>
      <c r="I16" s="9" t="inlineStr">
        <is>
          <t xml:space="preserve">Конкевич Валентин Юрьевич </t>
        </is>
      </c>
      <c r="J16" s="9" t="n"/>
      <c r="K16" s="9" t="n"/>
      <c r="L16" s="9" t="n"/>
      <c r="M16" s="12">
        <f>SUMIFS($E$2:$E$1130,$A$2:$A$1130,"осень",$I$2:$I$1130,I16)</f>
        <v/>
      </c>
      <c r="N16" s="13">
        <f>SUMIFS($E$2:$E$1130,$A$2:$A$1130,"весна",$I$2:$I$1130,I16)</f>
        <v/>
      </c>
      <c r="O16" s="14">
        <f>M16+N16</f>
        <v/>
      </c>
      <c r="P16" s="15">
        <f>O16/$P$1</f>
        <v/>
      </c>
    </row>
    <row r="17" hidden="1" s="2">
      <c r="A17" s="8" t="inlineStr">
        <is>
          <t>осень</t>
        </is>
      </c>
      <c r="B17" s="9" t="inlineStr">
        <is>
          <t>История профессии</t>
        </is>
      </c>
      <c r="C17" s="9" t="inlineStr">
        <is>
          <t>ПЗ</t>
        </is>
      </c>
      <c r="D17" s="9" t="inlineStr">
        <is>
          <t>Т11О-102Б-20</t>
        </is>
      </c>
      <c r="E17" s="10" t="n">
        <v>8</v>
      </c>
      <c r="F17" s="9" t="inlineStr">
        <is>
          <t>13524</t>
        </is>
      </c>
      <c r="G17" s="10" t="n">
        <v>32</v>
      </c>
      <c r="H17" s="9" t="inlineStr">
        <is>
          <t xml:space="preserve">81729     </t>
        </is>
      </c>
      <c r="I17" s="9" t="inlineStr">
        <is>
          <t xml:space="preserve">Соколов Алексей Викторович </t>
        </is>
      </c>
      <c r="J17" s="9" t="inlineStr">
        <is>
          <t>доцент</t>
        </is>
      </c>
      <c r="K17" s="9" t="n"/>
      <c r="L17" s="9" t="inlineStr">
        <is>
          <t>кроме пятницы (523 А)</t>
        </is>
      </c>
      <c r="M17" s="12">
        <f>SUMIFS($E$2:$E$1130,$A$2:$A$1130,"осень",$I$2:$I$1130,I17)</f>
        <v/>
      </c>
      <c r="N17" s="13">
        <f>SUMIFS($E$2:$E$1130,$A$2:$A$1130,"весна",$I$2:$I$1130,I17)</f>
        <v/>
      </c>
      <c r="O17" s="14">
        <f>M17+N17</f>
        <v/>
      </c>
      <c r="P17" s="15">
        <f>O17/$P$1</f>
        <v/>
      </c>
    </row>
    <row r="18" hidden="1" s="2">
      <c r="A18" s="8" t="inlineStr">
        <is>
          <t>осень</t>
        </is>
      </c>
      <c r="B18" s="9" t="inlineStr">
        <is>
          <t>История профессии</t>
        </is>
      </c>
      <c r="C18" s="9" t="inlineStr">
        <is>
          <t>ПЗ</t>
        </is>
      </c>
      <c r="D18" s="9" t="inlineStr">
        <is>
          <t>Т11О-102Б-20</t>
        </is>
      </c>
      <c r="E18" s="10" t="n">
        <v>8</v>
      </c>
      <c r="F18" s="9" t="inlineStr">
        <is>
          <t>13524</t>
        </is>
      </c>
      <c r="G18" s="10" t="n">
        <v>32</v>
      </c>
      <c r="H18" s="9" t="inlineStr">
        <is>
          <t xml:space="preserve">89068     </t>
        </is>
      </c>
      <c r="I18" s="9" t="inlineStr">
        <is>
          <t xml:space="preserve">Петров Игорь Алексеевич </t>
        </is>
      </c>
      <c r="J18" s="9" t="inlineStr">
        <is>
          <t>доцент</t>
        </is>
      </c>
      <c r="K18" s="9" t="n"/>
      <c r="L18" s="9" t="n"/>
      <c r="M18" s="12">
        <f>SUMIFS($E$2:$E$1130,$A$2:$A$1130,"осень",$I$2:$I$1130,I18)</f>
        <v/>
      </c>
      <c r="N18" s="13">
        <f>SUMIFS($E$2:$E$1130,$A$2:$A$1130,"весна",$I$2:$I$1130,I18)</f>
        <v/>
      </c>
      <c r="O18" s="14">
        <f>M18+N18</f>
        <v/>
      </c>
      <c r="P18" s="15">
        <f>O18/$P$1</f>
        <v/>
      </c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</row>
    <row r="19" hidden="1" s="2">
      <c r="A19" s="8" t="inlineStr">
        <is>
          <t>осень</t>
        </is>
      </c>
      <c r="B19" s="9" t="inlineStr">
        <is>
          <t>История профессии</t>
        </is>
      </c>
      <c r="C19" s="9" t="inlineStr">
        <is>
          <t>ПЗ</t>
        </is>
      </c>
      <c r="D19" s="9" t="inlineStr">
        <is>
          <t>Т11О-102Б-20</t>
        </is>
      </c>
      <c r="E19" s="10" t="n">
        <v>8</v>
      </c>
      <c r="F19" s="9" t="inlineStr">
        <is>
          <t>13524</t>
        </is>
      </c>
      <c r="G19" s="10" t="n">
        <v>32</v>
      </c>
      <c r="H19" s="9" t="inlineStr">
        <is>
          <t xml:space="preserve">82066     </t>
        </is>
      </c>
      <c r="I19" s="9" t="inlineStr">
        <is>
          <t xml:space="preserve">Серов Михаил Михайлович </t>
        </is>
      </c>
      <c r="J19" s="9" t="inlineStr">
        <is>
          <t>профессор</t>
        </is>
      </c>
      <c r="K19" s="9" t="n"/>
      <c r="L19" s="9" t="n"/>
      <c r="M19" s="12">
        <f>SUMIFS($E$2:$E$1130,$A$2:$A$1130,"осень",$I$2:$I$1130,I19)</f>
        <v/>
      </c>
      <c r="N19" s="13">
        <f>SUMIFS($E$2:$E$1130,$A$2:$A$1130,"весна",$I$2:$I$1130,I19)</f>
        <v/>
      </c>
      <c r="O19" s="14">
        <f>M19+N19</f>
        <v/>
      </c>
      <c r="P19" s="15">
        <f>O19/$P$1</f>
        <v/>
      </c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</row>
    <row r="20" hidden="1" s="2">
      <c r="A20" s="8" t="inlineStr">
        <is>
          <t>осень</t>
        </is>
      </c>
      <c r="B20" s="9" t="inlineStr">
        <is>
          <t>История профессии</t>
        </is>
      </c>
      <c r="C20" s="9" t="inlineStr">
        <is>
          <t>ЛР</t>
        </is>
      </c>
      <c r="D20" s="9" t="inlineStr">
        <is>
          <t>Т11О-101Б-20</t>
        </is>
      </c>
      <c r="E20" s="10" t="n">
        <v>8</v>
      </c>
      <c r="F20" s="9" t="inlineStr">
        <is>
          <t>13524</t>
        </is>
      </c>
      <c r="G20" s="10" t="n">
        <v>16</v>
      </c>
      <c r="H20" s="9" t="inlineStr">
        <is>
          <t xml:space="preserve">81729     </t>
        </is>
      </c>
      <c r="I20" s="9" t="inlineStr">
        <is>
          <t xml:space="preserve">Соколов Алексей Викторович </t>
        </is>
      </c>
      <c r="J20" s="9" t="inlineStr">
        <is>
          <t>доцент</t>
        </is>
      </c>
      <c r="K20" s="9" t="n"/>
      <c r="L20" s="9" t="inlineStr">
        <is>
          <t>кроме пятницы (523 А)</t>
        </is>
      </c>
      <c r="M20" s="12">
        <f>SUMIFS($E$2:$E$1130,$A$2:$A$1130,"осень",$I$2:$I$1130,I20)</f>
        <v/>
      </c>
      <c r="N20" s="13">
        <f>SUMIFS($E$2:$E$1130,$A$2:$A$1130,"весна",$I$2:$I$1130,I20)</f>
        <v/>
      </c>
      <c r="O20" s="14">
        <f>M20+N20</f>
        <v/>
      </c>
      <c r="P20" s="15">
        <f>O20/$P$1</f>
        <v/>
      </c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</row>
    <row r="21" hidden="1" ht="15.75" customHeight="1" s="2">
      <c r="A21" s="8" t="inlineStr">
        <is>
          <t>осень</t>
        </is>
      </c>
      <c r="B21" s="9" t="inlineStr">
        <is>
          <t>История профессии</t>
        </is>
      </c>
      <c r="C21" s="9" t="inlineStr">
        <is>
          <t>ЛР</t>
        </is>
      </c>
      <c r="D21" s="9" t="inlineStr">
        <is>
          <t>Т11О-101Б-20</t>
        </is>
      </c>
      <c r="E21" s="10" t="n">
        <v>8</v>
      </c>
      <c r="F21" s="9" t="inlineStr">
        <is>
          <t>13524</t>
        </is>
      </c>
      <c r="G21" s="10" t="n">
        <v>16</v>
      </c>
      <c r="H21" s="9" t="inlineStr">
        <is>
          <t xml:space="preserve">87438     </t>
        </is>
      </c>
      <c r="I21" s="9" t="inlineStr">
        <is>
          <t xml:space="preserve">Конкевич Валентин Юрьевич </t>
        </is>
      </c>
      <c r="J21" s="9" t="n"/>
      <c r="K21" s="9" t="n"/>
      <c r="L21" s="9" t="n"/>
      <c r="M21" s="12">
        <f>SUMIFS($E$2:$E$1130,$A$2:$A$1130,"осень",$I$2:$I$1130,I21)</f>
        <v/>
      </c>
      <c r="N21" s="13">
        <f>SUMIFS($E$2:$E$1130,$A$2:$A$1130,"весна",$I$2:$I$1130,I21)</f>
        <v/>
      </c>
      <c r="O21" s="14">
        <f>M21+N21</f>
        <v/>
      </c>
      <c r="P21" s="15">
        <f>O21/$P$1</f>
        <v/>
      </c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</row>
    <row r="22" hidden="1" ht="15.75" customHeight="1" s="2">
      <c r="A22" s="8" t="inlineStr">
        <is>
          <t>осень</t>
        </is>
      </c>
      <c r="B22" s="9" t="inlineStr">
        <is>
          <t>История профессии</t>
        </is>
      </c>
      <c r="C22" s="9" t="inlineStr">
        <is>
          <t>ЛР</t>
        </is>
      </c>
      <c r="D22" s="9" t="inlineStr">
        <is>
          <t>Т11О-101Б-20</t>
        </is>
      </c>
      <c r="E22" s="10" t="n">
        <v>8</v>
      </c>
      <c r="F22" s="9" t="inlineStr">
        <is>
          <t>13524</t>
        </is>
      </c>
      <c r="G22" s="10" t="n">
        <v>16</v>
      </c>
      <c r="H22" s="9" t="inlineStr">
        <is>
          <t xml:space="preserve">82066     </t>
        </is>
      </c>
      <c r="I22" s="9" t="inlineStr">
        <is>
          <t xml:space="preserve">Серов Михаил Михайлович </t>
        </is>
      </c>
      <c r="J22" s="9" t="inlineStr">
        <is>
          <t>профессор</t>
        </is>
      </c>
      <c r="K22" s="9" t="n"/>
      <c r="L22" s="9" t="n"/>
      <c r="M22" s="12">
        <f>SUMIFS($E$2:$E$1130,$A$2:$A$1130,"осень",$I$2:$I$1130,I22)</f>
        <v/>
      </c>
      <c r="N22" s="13">
        <f>SUMIFS($E$2:$E$1130,$A$2:$A$1130,"весна",$I$2:$I$1130,I22)</f>
        <v/>
      </c>
      <c r="O22" s="14">
        <f>M22+N22</f>
        <v/>
      </c>
      <c r="P22" s="15">
        <f>O22/$P$1</f>
        <v/>
      </c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</row>
    <row r="23" hidden="1" ht="15.75" customHeight="1" s="2">
      <c r="A23" s="8" t="inlineStr">
        <is>
          <t>осень</t>
        </is>
      </c>
      <c r="B23" s="9" t="inlineStr">
        <is>
          <t>История профессии</t>
        </is>
      </c>
      <c r="C23" s="9" t="inlineStr">
        <is>
          <t>ЛР</t>
        </is>
      </c>
      <c r="D23" s="9" t="inlineStr">
        <is>
          <t>Т11О-101Б-20</t>
        </is>
      </c>
      <c r="E23" s="10" t="n">
        <v>8</v>
      </c>
      <c r="F23" s="9" t="inlineStr">
        <is>
          <t>13524</t>
        </is>
      </c>
      <c r="G23" s="10" t="n">
        <v>16</v>
      </c>
      <c r="H23" s="9" t="inlineStr">
        <is>
          <t xml:space="preserve">89068     </t>
        </is>
      </c>
      <c r="I23" s="9" t="inlineStr">
        <is>
          <t xml:space="preserve">Петров Игорь Алексеевич </t>
        </is>
      </c>
      <c r="J23" s="9" t="inlineStr">
        <is>
          <t>доцент</t>
        </is>
      </c>
      <c r="K23" s="9" t="n"/>
      <c r="L23" s="9" t="n"/>
      <c r="M23" s="12">
        <f>SUMIFS($E$2:$E$1130,$A$2:$A$1130,"осень",$I$2:$I$1130,I23)</f>
        <v/>
      </c>
      <c r="N23" s="13">
        <f>SUMIFS($E$2:$E$1130,$A$2:$A$1130,"весна",$I$2:$I$1130,I23)</f>
        <v/>
      </c>
      <c r="O23" s="14">
        <f>M23+N23</f>
        <v/>
      </c>
      <c r="P23" s="15">
        <f>O23/$P$1</f>
        <v/>
      </c>
    </row>
    <row r="24" hidden="1" ht="15.75" customHeight="1" s="2">
      <c r="A24" s="8" t="inlineStr">
        <is>
          <t>осень</t>
        </is>
      </c>
      <c r="B24" s="9" t="inlineStr">
        <is>
          <t>История профессии</t>
        </is>
      </c>
      <c r="C24" s="9" t="inlineStr">
        <is>
          <t>ЛР</t>
        </is>
      </c>
      <c r="D24" s="9" t="inlineStr">
        <is>
          <t>Т11О-102Б-20</t>
        </is>
      </c>
      <c r="E24" s="10" t="n">
        <v>8</v>
      </c>
      <c r="F24" s="9" t="inlineStr">
        <is>
          <t>13524</t>
        </is>
      </c>
      <c r="G24" s="10" t="n">
        <v>16</v>
      </c>
      <c r="H24" s="9" t="inlineStr">
        <is>
          <t xml:space="preserve">87438     </t>
        </is>
      </c>
      <c r="I24" s="9" t="inlineStr">
        <is>
          <t xml:space="preserve">Конкевич Валентин Юрьевич </t>
        </is>
      </c>
      <c r="J24" s="9" t="n"/>
      <c r="K24" s="9" t="n"/>
      <c r="L24" s="9" t="n"/>
      <c r="M24" s="12">
        <f>SUMIFS($E$2:$E$1130,$A$2:$A$1130,"осень",$I$2:$I$1130,I24)</f>
        <v/>
      </c>
      <c r="N24" s="13">
        <f>SUMIFS($E$2:$E$1130,$A$2:$A$1130,"весна",$I$2:$I$1130,I24)</f>
        <v/>
      </c>
      <c r="O24" s="14">
        <f>M24+N24</f>
        <v/>
      </c>
      <c r="P24" s="15">
        <f>O24/$P$1</f>
        <v/>
      </c>
    </row>
    <row r="25" hidden="1" ht="15.75" customHeight="1" s="2">
      <c r="A25" s="8" t="inlineStr">
        <is>
          <t>осень</t>
        </is>
      </c>
      <c r="B25" s="9" t="inlineStr">
        <is>
          <t>История профессии</t>
        </is>
      </c>
      <c r="C25" s="9" t="inlineStr">
        <is>
          <t>ЛР</t>
        </is>
      </c>
      <c r="D25" s="9" t="inlineStr">
        <is>
          <t>Т11О-102Б-20</t>
        </is>
      </c>
      <c r="E25" s="10" t="n">
        <v>8</v>
      </c>
      <c r="F25" s="9" t="inlineStr">
        <is>
          <t>13524</t>
        </is>
      </c>
      <c r="G25" s="10" t="n">
        <v>16</v>
      </c>
      <c r="H25" s="9" t="inlineStr">
        <is>
          <t xml:space="preserve">82066     </t>
        </is>
      </c>
      <c r="I25" s="9" t="inlineStr">
        <is>
          <t xml:space="preserve">Серов Михаил Михайлович </t>
        </is>
      </c>
      <c r="J25" s="9" t="inlineStr">
        <is>
          <t>профессор</t>
        </is>
      </c>
      <c r="K25" s="9" t="n"/>
      <c r="L25" s="9" t="n"/>
      <c r="M25" s="12">
        <f>SUMIFS($E$2:$E$1130,$A$2:$A$1130,"осень",$I$2:$I$1130,I25)</f>
        <v/>
      </c>
      <c r="N25" s="13">
        <f>SUMIFS($E$2:$E$1130,$A$2:$A$1130,"весна",$I$2:$I$1130,I25)</f>
        <v/>
      </c>
      <c r="O25" s="14">
        <f>M25+N25</f>
        <v/>
      </c>
      <c r="P25" s="15">
        <f>O25/$P$1</f>
        <v/>
      </c>
    </row>
    <row r="26" hidden="1" ht="15.75" customHeight="1" s="2">
      <c r="A26" s="8" t="inlineStr">
        <is>
          <t>осень</t>
        </is>
      </c>
      <c r="B26" s="9" t="inlineStr">
        <is>
          <t>История профессии</t>
        </is>
      </c>
      <c r="C26" s="9" t="inlineStr">
        <is>
          <t>ЛР</t>
        </is>
      </c>
      <c r="D26" s="9" t="inlineStr">
        <is>
          <t>Т11О-102Б-20</t>
        </is>
      </c>
      <c r="E26" s="10" t="n">
        <v>8</v>
      </c>
      <c r="F26" s="9" t="inlineStr">
        <is>
          <t>13524</t>
        </is>
      </c>
      <c r="G26" s="10" t="n">
        <v>16</v>
      </c>
      <c r="H26" s="9" t="inlineStr">
        <is>
          <t xml:space="preserve">81729     </t>
        </is>
      </c>
      <c r="I26" s="9" t="inlineStr">
        <is>
          <t xml:space="preserve">Соколов Алексей Викторович </t>
        </is>
      </c>
      <c r="J26" s="9" t="inlineStr">
        <is>
          <t>доцент</t>
        </is>
      </c>
      <c r="K26" s="9" t="n"/>
      <c r="L26" s="9" t="inlineStr">
        <is>
          <t>кроме пятницы (523 А)</t>
        </is>
      </c>
      <c r="M26" s="12">
        <f>SUMIFS($E$2:$E$1130,$A$2:$A$1130,"осень",$I$2:$I$1130,I26)</f>
        <v/>
      </c>
      <c r="N26" s="13">
        <f>SUMIFS($E$2:$E$1130,$A$2:$A$1130,"весна",$I$2:$I$1130,I26)</f>
        <v/>
      </c>
      <c r="O26" s="14">
        <f>M26+N26</f>
        <v/>
      </c>
      <c r="P26" s="15">
        <f>O26/$P$1</f>
        <v/>
      </c>
    </row>
    <row r="27" hidden="1" ht="15.75" customHeight="1" s="2">
      <c r="A27" s="8" t="inlineStr">
        <is>
          <t>осень</t>
        </is>
      </c>
      <c r="B27" s="9" t="inlineStr">
        <is>
          <t>История профессии</t>
        </is>
      </c>
      <c r="C27" s="9" t="inlineStr">
        <is>
          <t>ЛР</t>
        </is>
      </c>
      <c r="D27" s="9" t="inlineStr">
        <is>
          <t>Т11О-102Б-20</t>
        </is>
      </c>
      <c r="E27" s="10" t="n">
        <v>8</v>
      </c>
      <c r="F27" s="9" t="inlineStr">
        <is>
          <t>13524</t>
        </is>
      </c>
      <c r="G27" s="10" t="n">
        <v>16</v>
      </c>
      <c r="H27" s="9" t="inlineStr">
        <is>
          <t xml:space="preserve">89068     </t>
        </is>
      </c>
      <c r="I27" s="9" t="inlineStr">
        <is>
          <t xml:space="preserve">Петров Игорь Алексеевич </t>
        </is>
      </c>
      <c r="J27" s="9" t="inlineStr">
        <is>
          <t>доцент</t>
        </is>
      </c>
      <c r="K27" s="9" t="n"/>
      <c r="L27" s="9" t="n"/>
      <c r="M27" s="12">
        <f>SUMIFS($E$2:$E$1130,$A$2:$A$1130,"осень",$I$2:$I$1130,I27)</f>
        <v/>
      </c>
      <c r="N27" s="13">
        <f>SUMIFS($E$2:$E$1130,$A$2:$A$1130,"весна",$I$2:$I$1130,I27)</f>
        <v/>
      </c>
      <c r="O27" s="14">
        <f>M27+N27</f>
        <v/>
      </c>
      <c r="P27" s="15">
        <f>O27/$P$1</f>
        <v/>
      </c>
    </row>
    <row r="28" hidden="1" ht="15.75" customHeight="1" s="2">
      <c r="A28" s="8" t="inlineStr">
        <is>
          <t>осень</t>
        </is>
      </c>
      <c r="B28" s="9" t="inlineStr">
        <is>
          <t>История профессии</t>
        </is>
      </c>
      <c r="C28" s="9" t="inlineStr">
        <is>
          <t>Консультация</t>
        </is>
      </c>
      <c r="D28" s="9" t="inlineStr">
        <is>
          <t>Т11О-101Б-20</t>
        </is>
      </c>
      <c r="E28" s="10" t="n">
        <v>2</v>
      </c>
      <c r="F28" s="9" t="inlineStr">
        <is>
          <t>13524</t>
        </is>
      </c>
      <c r="G28" s="11" t="n">
        <v>0</v>
      </c>
      <c r="H28" s="9" t="inlineStr">
        <is>
          <t xml:space="preserve">81720     </t>
        </is>
      </c>
      <c r="I28" s="9" t="inlineStr">
        <is>
          <t xml:space="preserve">Палтиевич Андрей Романович </t>
        </is>
      </c>
      <c r="J28" s="9" t="n"/>
      <c r="K28" s="9" t="n"/>
      <c r="L28" s="9" t="inlineStr">
        <is>
          <t>кроме вторника</t>
        </is>
      </c>
      <c r="M28" s="12">
        <f>SUMIFS($E$2:$E$1130,$A$2:$A$1130,"осень",$I$2:$I$1130,I28)</f>
        <v/>
      </c>
      <c r="N28" s="13">
        <f>SUMIFS($E$2:$E$1130,$A$2:$A$1130,"весна",$I$2:$I$1130,I28)</f>
        <v/>
      </c>
      <c r="O28" s="14">
        <f>M28+N28</f>
        <v/>
      </c>
      <c r="P28" s="15">
        <f>O28/$P$1</f>
        <v/>
      </c>
    </row>
    <row r="29" hidden="1" ht="15.75" customHeight="1" s="2">
      <c r="A29" s="8" t="inlineStr">
        <is>
          <t>осень</t>
        </is>
      </c>
      <c r="B29" s="9" t="inlineStr">
        <is>
          <t>История профессии</t>
        </is>
      </c>
      <c r="C29" s="9" t="inlineStr">
        <is>
          <t>Консультация</t>
        </is>
      </c>
      <c r="D29" s="9" t="inlineStr">
        <is>
          <t>Т11О-102Б-20</t>
        </is>
      </c>
      <c r="E29" s="10" t="n">
        <v>2</v>
      </c>
      <c r="F29" s="9" t="inlineStr">
        <is>
          <t>13524</t>
        </is>
      </c>
      <c r="G29" s="11" t="n">
        <v>0</v>
      </c>
      <c r="H29" s="9" t="inlineStr">
        <is>
          <t xml:space="preserve">81720     </t>
        </is>
      </c>
      <c r="I29" s="9" t="inlineStr">
        <is>
          <t xml:space="preserve">Палтиевич Андрей Романович </t>
        </is>
      </c>
      <c r="J29" s="9" t="n"/>
      <c r="K29" s="9" t="n"/>
      <c r="L29" s="9" t="inlineStr">
        <is>
          <t>кроме вторника</t>
        </is>
      </c>
      <c r="M29" s="12">
        <f>SUMIFS($E$2:$E$1130,$A$2:$A$1130,"осень",$I$2:$I$1130,I29)</f>
        <v/>
      </c>
      <c r="N29" s="13">
        <f>SUMIFS($E$2:$E$1130,$A$2:$A$1130,"весна",$I$2:$I$1130,I29)</f>
        <v/>
      </c>
      <c r="O29" s="14">
        <f>M29+N29</f>
        <v/>
      </c>
      <c r="P29" s="15">
        <f>O29/$P$1</f>
        <v/>
      </c>
    </row>
    <row r="30" hidden="1" ht="18.75" customHeight="1" s="2">
      <c r="A30" s="8" t="inlineStr">
        <is>
          <t>осень</t>
        </is>
      </c>
      <c r="B30" s="9" t="inlineStr">
        <is>
          <t>Технология и оборудование сварки плавлением</t>
        </is>
      </c>
      <c r="C30" s="9" t="inlineStr">
        <is>
          <t>КП</t>
        </is>
      </c>
      <c r="D30" s="9" t="inlineStr">
        <is>
          <t>Т1О-401Б-17</t>
        </is>
      </c>
      <c r="E30" s="10" t="n">
        <v>12.8</v>
      </c>
      <c r="F30" s="9" t="n"/>
      <c r="G30" s="11" t="n"/>
      <c r="H30" s="9" t="n"/>
      <c r="I30" s="9" t="inlineStr">
        <is>
          <t xml:space="preserve">Конкевич Валентин Юрьевич </t>
        </is>
      </c>
      <c r="J30" s="9" t="n"/>
      <c r="K30" s="9" t="n"/>
      <c r="L30" s="9" t="n"/>
      <c r="M30" s="12" t="n"/>
      <c r="N30" s="13" t="n"/>
      <c r="O30" s="14" t="n"/>
      <c r="P30" s="15" t="n"/>
    </row>
    <row r="31" hidden="1" ht="15.75" customHeight="1" s="2">
      <c r="A31" s="8" t="inlineStr">
        <is>
          <t>осень</t>
        </is>
      </c>
      <c r="B31" s="9" t="inlineStr">
        <is>
          <t>Технология и оборудование сварки плавлением</t>
        </is>
      </c>
      <c r="C31" s="9" t="inlineStr">
        <is>
          <t>КП</t>
        </is>
      </c>
      <c r="D31" s="9" t="inlineStr">
        <is>
          <t>Т1О-401Б-17</t>
        </is>
      </c>
      <c r="E31" s="10" t="n">
        <v>12.8</v>
      </c>
      <c r="F31" s="9" t="n"/>
      <c r="G31" s="11" t="n"/>
      <c r="H31" s="9" t="n"/>
      <c r="I31" s="9" t="inlineStr">
        <is>
          <t>Никитина Елена Владимировна</t>
        </is>
      </c>
      <c r="J31" s="9" t="n"/>
      <c r="K31" s="9" t="n"/>
      <c r="L31" s="9" t="n"/>
      <c r="M31" s="12" t="n"/>
      <c r="N31" s="13" t="n"/>
      <c r="O31" s="14" t="n"/>
      <c r="P31" s="15" t="n"/>
    </row>
    <row r="32" hidden="1" ht="15.75" customHeight="1" s="2">
      <c r="A32" s="8" t="inlineStr">
        <is>
          <t>осень</t>
        </is>
      </c>
      <c r="B32" s="9" t="inlineStr">
        <is>
          <t>Технология и оборудование сварки плавлением</t>
        </is>
      </c>
      <c r="C32" s="9" t="inlineStr">
        <is>
          <t>КП</t>
        </is>
      </c>
      <c r="D32" s="9" t="inlineStr">
        <is>
          <t>Т1О-401Б-17</t>
        </is>
      </c>
      <c r="E32" s="10" t="n">
        <v>12.8</v>
      </c>
      <c r="F32" s="9" t="n"/>
      <c r="G32" s="11" t="n"/>
      <c r="H32" s="9" t="n"/>
      <c r="I32" s="9" t="inlineStr">
        <is>
          <t xml:space="preserve">Федоров Сергей Алескандрович </t>
        </is>
      </c>
      <c r="J32" s="9" t="n"/>
      <c r="K32" s="9" t="n"/>
      <c r="L32" s="9" t="n"/>
      <c r="M32" s="12" t="n"/>
      <c r="N32" s="13" t="n"/>
      <c r="O32" s="14" t="n"/>
      <c r="P32" s="15" t="n"/>
    </row>
    <row r="33" hidden="1" ht="15.75" customHeight="1" s="2">
      <c r="A33" s="8" t="inlineStr">
        <is>
          <t>осень</t>
        </is>
      </c>
      <c r="B33" s="9" t="inlineStr">
        <is>
          <t>Технология и оборудование сварки плавлением</t>
        </is>
      </c>
      <c r="C33" s="9" t="inlineStr">
        <is>
          <t>КП</t>
        </is>
      </c>
      <c r="D33" s="9" t="inlineStr">
        <is>
          <t>Т1О-401Б-17</t>
        </is>
      </c>
      <c r="E33" s="10" t="n">
        <v>12.8</v>
      </c>
      <c r="F33" s="9" t="n"/>
      <c r="G33" s="11" t="n"/>
      <c r="H33" s="9" t="n"/>
      <c r="I33" s="9" t="inlineStr">
        <is>
          <t>Сидякин Виталей Александрович</t>
        </is>
      </c>
      <c r="J33" s="9" t="n"/>
      <c r="K33" s="9" t="n"/>
      <c r="L33" s="9" t="n"/>
      <c r="M33" s="12" t="n"/>
      <c r="N33" s="13" t="n"/>
      <c r="O33" s="14" t="n"/>
      <c r="P33" s="15" t="n"/>
    </row>
    <row r="34" hidden="1" ht="15.75" customHeight="1" s="2">
      <c r="A34" s="8" t="inlineStr">
        <is>
          <t>осень</t>
        </is>
      </c>
      <c r="B34" s="9" t="inlineStr">
        <is>
          <t>Технология и оборудование сварки плавлением</t>
        </is>
      </c>
      <c r="C34" s="9" t="inlineStr">
        <is>
          <t>КП</t>
        </is>
      </c>
      <c r="D34" s="9" t="inlineStr">
        <is>
          <t>Т1О-401Б-17</t>
        </is>
      </c>
      <c r="E34" s="10" t="n">
        <v>12.8</v>
      </c>
      <c r="F34" s="9" t="inlineStr">
        <is>
          <t>06256</t>
        </is>
      </c>
      <c r="G34" s="11" t="n">
        <v>0</v>
      </c>
      <c r="H34" s="9" t="inlineStr">
        <is>
          <t xml:space="preserve">89090     </t>
        </is>
      </c>
      <c r="I34" s="9" t="inlineStr">
        <is>
          <t>Степанов Владимир Валерьевич</t>
        </is>
      </c>
      <c r="J34" s="9" t="n"/>
      <c r="K34" s="9" t="n"/>
      <c r="L34" s="9" t="inlineStr">
        <is>
          <t>желательно конец недели, включая субботу</t>
        </is>
      </c>
      <c r="M34" s="12">
        <f>SUMIFS($E$2:$E$1130,$A$2:$A$1130,"осень",$I$2:$I$1130,I34)</f>
        <v/>
      </c>
      <c r="N34" s="13">
        <f>SUMIFS($E$2:$E$1130,$A$2:$A$1130,"весна",$I$2:$I$1130,I34)</f>
        <v/>
      </c>
      <c r="O34" s="14">
        <f>M34+N34</f>
        <v/>
      </c>
      <c r="P34" s="15">
        <f>O34/$P$1</f>
        <v/>
      </c>
    </row>
    <row r="35" hidden="1" ht="15.75" customHeight="1" s="2">
      <c r="A35" s="8" t="inlineStr">
        <is>
          <t>осень</t>
        </is>
      </c>
      <c r="B35" s="9" t="inlineStr">
        <is>
          <t>Технология и оборудование сварки плавлением</t>
        </is>
      </c>
      <c r="C35" s="9" t="inlineStr">
        <is>
          <t>ЛК</t>
        </is>
      </c>
      <c r="D35" s="9" t="inlineStr">
        <is>
          <t>Т1О-401Б-17</t>
        </is>
      </c>
      <c r="E35" s="10" t="n">
        <v>44</v>
      </c>
      <c r="F35" s="9" t="inlineStr">
        <is>
          <t>06256</t>
        </is>
      </c>
      <c r="G35" s="10" t="n">
        <v>44</v>
      </c>
      <c r="H35" s="9" t="inlineStr">
        <is>
          <t xml:space="preserve">89090     </t>
        </is>
      </c>
      <c r="I35" s="9" t="inlineStr">
        <is>
          <t>Степанов Владимир Валерьевич</t>
        </is>
      </c>
      <c r="J35" s="9" t="n"/>
      <c r="K35" s="9" t="n"/>
      <c r="L35" s="9" t="inlineStr">
        <is>
          <t>желательно конец недели, включая субботу</t>
        </is>
      </c>
      <c r="M35" s="12">
        <f>SUMIFS($E$2:$E$1130,$A$2:$A$1130,"осень",$I$2:$I$1130,I35)</f>
        <v/>
      </c>
      <c r="N35" s="13">
        <f>SUMIFS($E$2:$E$1130,$A$2:$A$1130,"весна",$I$2:$I$1130,I35)</f>
        <v/>
      </c>
      <c r="O35" s="14">
        <f>M35+N35</f>
        <v/>
      </c>
      <c r="P35" s="15">
        <f>O35/$P$1</f>
        <v/>
      </c>
    </row>
    <row r="36" hidden="1" ht="15.75" customHeight="1" s="2">
      <c r="A36" s="8" t="inlineStr">
        <is>
          <t>осень</t>
        </is>
      </c>
      <c r="B36" s="9" t="inlineStr">
        <is>
          <t>Технология и оборудование сварки плавлением</t>
        </is>
      </c>
      <c r="C36" s="9" t="inlineStr">
        <is>
          <t>ПЗ</t>
        </is>
      </c>
      <c r="D36" s="9" t="inlineStr">
        <is>
          <t>Т1О-401Б-17</t>
        </is>
      </c>
      <c r="E36" s="10" t="n">
        <v>64</v>
      </c>
      <c r="F36" s="9" t="inlineStr">
        <is>
          <t>06256</t>
        </is>
      </c>
      <c r="G36" s="10" t="n">
        <v>64</v>
      </c>
      <c r="H36" s="9" t="inlineStr">
        <is>
          <t xml:space="preserve">89090     </t>
        </is>
      </c>
      <c r="I36" s="9" t="inlineStr">
        <is>
          <t>Степанов Владимир Валерьевич</t>
        </is>
      </c>
      <c r="J36" s="9" t="n"/>
      <c r="K36" s="9" t="n"/>
      <c r="L36" s="9" t="inlineStr">
        <is>
          <t>желательно конец недели, включая субботу</t>
        </is>
      </c>
      <c r="M36" s="12">
        <f>SUMIFS($E$2:$E$1130,$A$2:$A$1130,"осень",$I$2:$I$1130,I36)</f>
        <v/>
      </c>
      <c r="N36" s="13">
        <f>SUMIFS($E$2:$E$1130,$A$2:$A$1130,"весна",$I$2:$I$1130,I36)</f>
        <v/>
      </c>
      <c r="O36" s="14">
        <f>M36+N36</f>
        <v/>
      </c>
      <c r="P36" s="15">
        <f>O36/$P$1</f>
        <v/>
      </c>
    </row>
    <row r="37" hidden="1" ht="15.75" customHeight="1" s="2">
      <c r="A37" s="8" t="inlineStr">
        <is>
          <t>осень</t>
        </is>
      </c>
      <c r="B37" s="9" t="inlineStr">
        <is>
          <t>Технология и оборудование сварки плавлением</t>
        </is>
      </c>
      <c r="C37" s="9" t="inlineStr">
        <is>
          <t>ЛР</t>
        </is>
      </c>
      <c r="D37" s="9" t="inlineStr">
        <is>
          <t>Т1О-401Б-17</t>
        </is>
      </c>
      <c r="E37" s="10" t="n">
        <v>72</v>
      </c>
      <c r="F37" s="9" t="inlineStr">
        <is>
          <t>06256</t>
        </is>
      </c>
      <c r="G37" s="10" t="n">
        <v>36</v>
      </c>
      <c r="H37" s="9" t="inlineStr">
        <is>
          <t xml:space="preserve">89090     </t>
        </is>
      </c>
      <c r="I37" s="9" t="inlineStr">
        <is>
          <t>Степанов Владимир Валерьевич</t>
        </is>
      </c>
      <c r="J37" s="9" t="n"/>
      <c r="K37" s="9" t="n"/>
      <c r="L37" s="9" t="inlineStr">
        <is>
          <t>желательно конец недели, включая субботу</t>
        </is>
      </c>
      <c r="M37" s="12">
        <f>SUMIFS($E$2:$E$1130,$A$2:$A$1130,"осень",$I$2:$I$1130,I37)</f>
        <v/>
      </c>
      <c r="N37" s="13">
        <f>SUMIFS($E$2:$E$1130,$A$2:$A$1130,"весна",$I$2:$I$1130,I37)</f>
        <v/>
      </c>
      <c r="O37" s="14">
        <f>M37+N37</f>
        <v/>
      </c>
      <c r="P37" s="15">
        <f>O37/$P$1</f>
        <v/>
      </c>
    </row>
    <row r="38" hidden="1" ht="15.75" customHeight="1" s="2">
      <c r="A38" s="8" t="inlineStr">
        <is>
          <t>осень</t>
        </is>
      </c>
      <c r="B38" s="9" t="inlineStr">
        <is>
          <t>Технология и оборудование сварки плавлением</t>
        </is>
      </c>
      <c r="C38" s="9" t="inlineStr">
        <is>
          <t>Экзамен</t>
        </is>
      </c>
      <c r="D38" s="9" t="inlineStr">
        <is>
          <t>Т1О-401Б-17</t>
        </is>
      </c>
      <c r="E38" s="10" t="n">
        <v>8</v>
      </c>
      <c r="F38" s="9" t="inlineStr">
        <is>
          <t>06256</t>
        </is>
      </c>
      <c r="G38" s="11" t="n">
        <v>0</v>
      </c>
      <c r="H38" s="9" t="inlineStr">
        <is>
          <t xml:space="preserve">89090     </t>
        </is>
      </c>
      <c r="I38" s="9" t="inlineStr">
        <is>
          <t>Степанов Владимир Валерьевич</t>
        </is>
      </c>
      <c r="J38" s="9" t="n"/>
      <c r="K38" s="9" t="n"/>
      <c r="L38" s="9" t="inlineStr">
        <is>
          <t>желательно конец недели, включая субботу</t>
        </is>
      </c>
      <c r="M38" s="12">
        <f>SUMIFS($E$2:$E$1130,$A$2:$A$1130,"осень",$I$2:$I$1130,I38)</f>
        <v/>
      </c>
      <c r="N38" s="13">
        <f>SUMIFS($E$2:$E$1130,$A$2:$A$1130,"весна",$I$2:$I$1130,I38)</f>
        <v/>
      </c>
      <c r="O38" s="14">
        <f>M38+N38</f>
        <v/>
      </c>
      <c r="P38" s="15">
        <f>O38/$P$1</f>
        <v/>
      </c>
    </row>
    <row r="39" hidden="1" ht="15.75" customHeight="1" s="2">
      <c r="A39" s="8" t="inlineStr">
        <is>
          <t>осень</t>
        </is>
      </c>
      <c r="B39" s="9" t="inlineStr">
        <is>
          <t>Технология и оборудование сварки плавлением</t>
        </is>
      </c>
      <c r="C39" s="9" t="inlineStr">
        <is>
          <t>Консультация</t>
        </is>
      </c>
      <c r="D39" s="9" t="inlineStr">
        <is>
          <t>Т1О-401Б-17</t>
        </is>
      </c>
      <c r="E39" s="10" t="n">
        <v>4</v>
      </c>
      <c r="F39" s="9" t="inlineStr">
        <is>
          <t>06256</t>
        </is>
      </c>
      <c r="G39" s="11" t="n">
        <v>0</v>
      </c>
      <c r="H39" s="9" t="inlineStr">
        <is>
          <t xml:space="preserve">89090     </t>
        </is>
      </c>
      <c r="I39" s="9" t="inlineStr">
        <is>
          <t>Степанов Владимир Валерьевич</t>
        </is>
      </c>
      <c r="J39" s="9" t="n"/>
      <c r="K39" s="9" t="n"/>
      <c r="L39" s="9" t="inlineStr">
        <is>
          <t>желательно конец недели, включая субботу</t>
        </is>
      </c>
      <c r="M39" s="12">
        <f>SUMIFS($E$2:$E$1130,$A$2:$A$1130,"осень",$I$2:$I$1130,I39)</f>
        <v/>
      </c>
      <c r="N39" s="13">
        <f>SUMIFS($E$2:$E$1130,$A$2:$A$1130,"весна",$I$2:$I$1130,I39)</f>
        <v/>
      </c>
      <c r="O39" s="14">
        <f>M39+N39</f>
        <v/>
      </c>
      <c r="P39" s="15">
        <f>O39/$P$1</f>
        <v/>
      </c>
    </row>
    <row r="40" hidden="1" ht="15.75" customHeight="1" s="2">
      <c r="A40" s="17" t="inlineStr">
        <is>
          <t>осень</t>
        </is>
      </c>
      <c r="B40" s="9" t="inlineStr">
        <is>
          <t>Прикладная гидравлика</t>
        </is>
      </c>
      <c r="C40" s="9" t="inlineStr">
        <is>
          <t>ЛК</t>
        </is>
      </c>
      <c r="D40" s="9" t="inlineStr">
        <is>
          <t>Т1О-402Б-17, Т1О-409Б-17</t>
        </is>
      </c>
      <c r="E40" s="10" t="n">
        <v>24</v>
      </c>
      <c r="F40" s="9" t="inlineStr">
        <is>
          <t>12883</t>
        </is>
      </c>
      <c r="G40" s="10" t="n">
        <v>24</v>
      </c>
      <c r="H40" s="9" t="inlineStr">
        <is>
          <t xml:space="preserve">82018     </t>
        </is>
      </c>
      <c r="I40" s="9" t="inlineStr">
        <is>
          <t>Бережной Дмитрий Васильевич</t>
        </is>
      </c>
      <c r="J40" s="9" t="inlineStr">
        <is>
          <t>доцент</t>
        </is>
      </c>
      <c r="K40" s="9" t="n"/>
      <c r="L40" s="9" t="inlineStr">
        <is>
          <t>кроме одного любого дня и субботы</t>
        </is>
      </c>
      <c r="M40" s="12">
        <f>SUMIFS($E$2:$E$1130,$A$2:$A$1130,"осень",$I$2:$I$1130,I40)</f>
        <v/>
      </c>
      <c r="N40" s="13">
        <f>SUMIFS($E$2:$E$1130,$A$2:$A$1130,"весна",$I$2:$I$1130,I40)</f>
        <v/>
      </c>
      <c r="O40" s="14">
        <f>M40+N40</f>
        <v/>
      </c>
      <c r="P40" s="15">
        <f>O40/$P$1</f>
        <v/>
      </c>
    </row>
    <row r="41" hidden="1" ht="15.75" customHeight="1" s="2">
      <c r="A41" s="17" t="inlineStr">
        <is>
          <t>осень</t>
        </is>
      </c>
      <c r="B41" s="9" t="inlineStr">
        <is>
          <t>Прикладная гидравлика</t>
        </is>
      </c>
      <c r="C41" s="9" t="inlineStr">
        <is>
          <t>Зачет с оценкой</t>
        </is>
      </c>
      <c r="D41" s="9" t="inlineStr">
        <is>
          <t>Т1О-409Б-17</t>
        </is>
      </c>
      <c r="E41" s="10" t="n">
        <v>7</v>
      </c>
      <c r="F41" s="9" t="inlineStr">
        <is>
          <t>12883</t>
        </is>
      </c>
      <c r="G41" s="11" t="n">
        <v>0</v>
      </c>
      <c r="H41" s="9" t="inlineStr">
        <is>
          <t xml:space="preserve">82018     </t>
        </is>
      </c>
      <c r="I41" s="9" t="inlineStr">
        <is>
          <t>Бережной Дмитрий Васильевич</t>
        </is>
      </c>
      <c r="J41" s="9" t="inlineStr">
        <is>
          <t>доцент</t>
        </is>
      </c>
      <c r="K41" s="9" t="n"/>
      <c r="L41" s="9" t="inlineStr">
        <is>
          <t>кроме одного любого дня и субботы</t>
        </is>
      </c>
      <c r="M41" s="12">
        <f>SUMIFS($E$2:$E$1130,$A$2:$A$1130,"осень",$I$2:$I$1130,I41)</f>
        <v/>
      </c>
      <c r="N41" s="13">
        <f>SUMIFS($E$2:$E$1130,$A$2:$A$1130,"весна",$I$2:$I$1130,I41)</f>
        <v/>
      </c>
      <c r="O41" s="14">
        <f>M41+N41</f>
        <v/>
      </c>
      <c r="P41" s="15">
        <f>O41/$P$1</f>
        <v/>
      </c>
    </row>
    <row r="42" hidden="1" ht="15.75" customHeight="1" s="2">
      <c r="A42" s="17" t="inlineStr">
        <is>
          <t>осень</t>
        </is>
      </c>
      <c r="B42" s="9" t="inlineStr">
        <is>
          <t>Прикладная гидравлика</t>
        </is>
      </c>
      <c r="C42" s="9" t="inlineStr">
        <is>
          <t>Зачет с оценкой</t>
        </is>
      </c>
      <c r="D42" s="9" t="inlineStr">
        <is>
          <t>Т1О-402Б-17</t>
        </is>
      </c>
      <c r="E42" s="10" t="n">
        <v>6</v>
      </c>
      <c r="F42" s="9" t="inlineStr">
        <is>
          <t>12883</t>
        </is>
      </c>
      <c r="G42" s="11" t="n">
        <v>0</v>
      </c>
      <c r="H42" s="9" t="inlineStr">
        <is>
          <t xml:space="preserve">82018     </t>
        </is>
      </c>
      <c r="I42" s="9" t="inlineStr">
        <is>
          <t>Бережной Дмитрий Васильевич</t>
        </is>
      </c>
      <c r="J42" s="9" t="inlineStr">
        <is>
          <t>доцент</t>
        </is>
      </c>
      <c r="K42" s="9" t="n"/>
      <c r="L42" s="9" t="inlineStr">
        <is>
          <t>кроме одного любого дня и субботы</t>
        </is>
      </c>
      <c r="M42" s="12">
        <f>SUMIFS($E$2:$E$1130,$A$2:$A$1130,"осень",$I$2:$I$1130,I42)</f>
        <v/>
      </c>
      <c r="N42" s="13">
        <f>SUMIFS($E$2:$E$1130,$A$2:$A$1130,"весна",$I$2:$I$1130,I42)</f>
        <v/>
      </c>
      <c r="O42" s="14">
        <f>M42+N42</f>
        <v/>
      </c>
      <c r="P42" s="15">
        <f>O42/$P$1</f>
        <v/>
      </c>
    </row>
    <row r="43" hidden="1" ht="15.75" customHeight="1" s="2">
      <c r="A43" s="17" t="inlineStr">
        <is>
          <t>осень</t>
        </is>
      </c>
      <c r="B43" s="9" t="inlineStr">
        <is>
          <t>Прикладная гидравлика</t>
        </is>
      </c>
      <c r="C43" s="9" t="inlineStr">
        <is>
          <t>ПЗ</t>
        </is>
      </c>
      <c r="D43" s="9" t="inlineStr">
        <is>
          <t>Т1О-409Б-17</t>
        </is>
      </c>
      <c r="E43" s="10" t="n">
        <v>32</v>
      </c>
      <c r="F43" s="9" t="inlineStr">
        <is>
          <t>12883</t>
        </is>
      </c>
      <c r="G43" s="10" t="n">
        <v>32</v>
      </c>
      <c r="H43" s="9" t="inlineStr">
        <is>
          <t xml:space="preserve">82018     </t>
        </is>
      </c>
      <c r="I43" s="9" t="inlineStr">
        <is>
          <t>Бережной Дмитрий Васильевич</t>
        </is>
      </c>
      <c r="J43" s="9" t="inlineStr">
        <is>
          <t>доцент</t>
        </is>
      </c>
      <c r="K43" s="9" t="n"/>
      <c r="L43" s="9" t="inlineStr">
        <is>
          <t>кроме одного любого дня и субботы</t>
        </is>
      </c>
      <c r="M43" s="12">
        <f>SUMIFS($E$2:$E$1130,$A$2:$A$1130,"осень",$I$2:$I$1130,I43)</f>
        <v/>
      </c>
      <c r="N43" s="13">
        <f>SUMIFS($E$2:$E$1130,$A$2:$A$1130,"весна",$I$2:$I$1130,I43)</f>
        <v/>
      </c>
      <c r="O43" s="14">
        <f>M43+N43</f>
        <v/>
      </c>
      <c r="P43" s="15">
        <f>O43/$P$1</f>
        <v/>
      </c>
    </row>
    <row r="44" hidden="1" ht="15.75" customHeight="1" s="2">
      <c r="A44" s="17" t="inlineStr">
        <is>
          <t>осень</t>
        </is>
      </c>
      <c r="B44" s="9" t="inlineStr">
        <is>
          <t>Прикладная гидравлика</t>
        </is>
      </c>
      <c r="C44" s="9" t="inlineStr">
        <is>
          <t>ПЗ</t>
        </is>
      </c>
      <c r="D44" s="9" t="inlineStr">
        <is>
          <t>Т1О-402Б-17</t>
        </is>
      </c>
      <c r="E44" s="10" t="n">
        <v>28</v>
      </c>
      <c r="F44" s="9" t="inlineStr">
        <is>
          <t>12883</t>
        </is>
      </c>
      <c r="G44" s="10" t="n">
        <v>28</v>
      </c>
      <c r="H44" s="9" t="inlineStr">
        <is>
          <t xml:space="preserve">82018     </t>
        </is>
      </c>
      <c r="I44" s="9" t="inlineStr">
        <is>
          <t>Бережной Дмитрий Васильевич</t>
        </is>
      </c>
      <c r="J44" s="9" t="inlineStr">
        <is>
          <t>доцент</t>
        </is>
      </c>
      <c r="K44" s="9" t="n"/>
      <c r="L44" s="9" t="inlineStr">
        <is>
          <t>кроме одного любого дня и субботы</t>
        </is>
      </c>
      <c r="M44" s="12">
        <f>SUMIFS($E$2:$E$1130,$A$2:$A$1130,"осень",$I$2:$I$1130,I44)</f>
        <v/>
      </c>
      <c r="N44" s="13">
        <f>SUMIFS($E$2:$E$1130,$A$2:$A$1130,"весна",$I$2:$I$1130,I44)</f>
        <v/>
      </c>
      <c r="O44" s="14">
        <f>M44+N44</f>
        <v/>
      </c>
      <c r="P44" s="15">
        <f>O44/$P$1</f>
        <v/>
      </c>
    </row>
    <row r="45" hidden="1" ht="15.75" customHeight="1" s="2">
      <c r="A45" s="17" t="inlineStr">
        <is>
          <t>осень</t>
        </is>
      </c>
      <c r="B45" s="9" t="inlineStr">
        <is>
          <t>Прикладная гидравлика</t>
        </is>
      </c>
      <c r="C45" s="9" t="inlineStr">
        <is>
          <t>ЛР</t>
        </is>
      </c>
      <c r="D45" s="9" t="inlineStr">
        <is>
          <t>Т1О-409Б-17</t>
        </is>
      </c>
      <c r="E45" s="10" t="n">
        <v>16</v>
      </c>
      <c r="F45" s="9" t="inlineStr">
        <is>
          <t>12883</t>
        </is>
      </c>
      <c r="G45" s="10" t="n">
        <v>8</v>
      </c>
      <c r="H45" s="9" t="inlineStr">
        <is>
          <t xml:space="preserve">82018     </t>
        </is>
      </c>
      <c r="I45" s="9" t="inlineStr">
        <is>
          <t>Бережной Дмитрий Васильевич</t>
        </is>
      </c>
      <c r="J45" s="9" t="inlineStr">
        <is>
          <t>доцент</t>
        </is>
      </c>
      <c r="K45" s="9" t="n"/>
      <c r="L45" s="9" t="inlineStr">
        <is>
          <t>кроме одного любого дня и субботы</t>
        </is>
      </c>
      <c r="M45" s="12">
        <f>SUMIFS($E$2:$E$1130,$A$2:$A$1130,"осень",$I$2:$I$1130,I45)</f>
        <v/>
      </c>
      <c r="N45" s="13">
        <f>SUMIFS($E$2:$E$1130,$A$2:$A$1130,"весна",$I$2:$I$1130,I45)</f>
        <v/>
      </c>
      <c r="O45" s="14">
        <f>M45+N45</f>
        <v/>
      </c>
      <c r="P45" s="15">
        <f>O45/$P$1</f>
        <v/>
      </c>
    </row>
    <row r="46" hidden="1" ht="15.75" customHeight="1" s="2">
      <c r="A46" s="17" t="inlineStr">
        <is>
          <t>осень</t>
        </is>
      </c>
      <c r="B46" s="9" t="inlineStr">
        <is>
          <t>Прикладная гидравлика</t>
        </is>
      </c>
      <c r="C46" s="9" t="inlineStr">
        <is>
          <t>ЛР</t>
        </is>
      </c>
      <c r="D46" s="9" t="inlineStr">
        <is>
          <t>Т1О-402Б-17</t>
        </is>
      </c>
      <c r="E46" s="10" t="n">
        <v>16</v>
      </c>
      <c r="F46" s="9" t="inlineStr">
        <is>
          <t>12883</t>
        </is>
      </c>
      <c r="G46" s="10" t="n">
        <v>8</v>
      </c>
      <c r="H46" s="9" t="inlineStr">
        <is>
          <t xml:space="preserve">82018     </t>
        </is>
      </c>
      <c r="I46" s="9" t="inlineStr">
        <is>
          <t>Бережной Дмитрий Васильевич</t>
        </is>
      </c>
      <c r="J46" s="9" t="inlineStr">
        <is>
          <t>доцент</t>
        </is>
      </c>
      <c r="K46" s="9" t="n"/>
      <c r="L46" s="9" t="inlineStr">
        <is>
          <t>кроме одного любого дня и субботы</t>
        </is>
      </c>
      <c r="M46" s="12">
        <f>SUMIFS($E$2:$E$1130,$A$2:$A$1130,"осень",$I$2:$I$1130,I46)</f>
        <v/>
      </c>
      <c r="N46" s="13">
        <f>SUMIFS($E$2:$E$1130,$A$2:$A$1130,"весна",$I$2:$I$1130,I46)</f>
        <v/>
      </c>
      <c r="O46" s="14">
        <f>M46+N46</f>
        <v/>
      </c>
      <c r="P46" s="15">
        <f>O46/$P$1</f>
        <v/>
      </c>
    </row>
    <row r="47" hidden="1" ht="15.75" customHeight="1" s="2">
      <c r="A47" s="17" t="inlineStr">
        <is>
          <t>осень</t>
        </is>
      </c>
      <c r="B47" s="9" t="inlineStr">
        <is>
          <t>Прикладная гидравлика</t>
        </is>
      </c>
      <c r="C47" s="9" t="inlineStr">
        <is>
          <t>Консультация</t>
        </is>
      </c>
      <c r="D47" s="9" t="inlineStr">
        <is>
          <t>Т1О-409Б-17</t>
        </is>
      </c>
      <c r="E47" s="10" t="n">
        <v>1</v>
      </c>
      <c r="F47" s="9" t="inlineStr">
        <is>
          <t>12883</t>
        </is>
      </c>
      <c r="G47" s="11" t="n">
        <v>0</v>
      </c>
      <c r="H47" s="9" t="inlineStr">
        <is>
          <t xml:space="preserve">82018     </t>
        </is>
      </c>
      <c r="I47" s="9" t="inlineStr">
        <is>
          <t>Бережной Дмитрий Васильевич</t>
        </is>
      </c>
      <c r="J47" s="9" t="inlineStr">
        <is>
          <t>доцент</t>
        </is>
      </c>
      <c r="K47" s="9" t="n"/>
      <c r="L47" s="9" t="inlineStr">
        <is>
          <t>кроме одного любого дня и субботы</t>
        </is>
      </c>
      <c r="M47" s="12">
        <f>SUMIFS($E$2:$E$1130,$A$2:$A$1130,"осень",$I$2:$I$1130,I47)</f>
        <v/>
      </c>
      <c r="N47" s="13">
        <f>SUMIFS($E$2:$E$1130,$A$2:$A$1130,"весна",$I$2:$I$1130,I47)</f>
        <v/>
      </c>
      <c r="O47" s="14">
        <f>M47+N47</f>
        <v/>
      </c>
      <c r="P47" s="15">
        <f>O47/$P$1</f>
        <v/>
      </c>
    </row>
    <row r="48" hidden="1" ht="15.75" customHeight="1" s="2">
      <c r="A48" s="17" t="inlineStr">
        <is>
          <t>осень</t>
        </is>
      </c>
      <c r="B48" s="9" t="inlineStr">
        <is>
          <t>Прикладная гидравлика</t>
        </is>
      </c>
      <c r="C48" s="9" t="inlineStr">
        <is>
          <t>Консультация</t>
        </is>
      </c>
      <c r="D48" s="9" t="inlineStr">
        <is>
          <t>Т1О-402Б-17</t>
        </is>
      </c>
      <c r="E48" s="10" t="n">
        <v>1</v>
      </c>
      <c r="F48" s="9" t="inlineStr">
        <is>
          <t>12883</t>
        </is>
      </c>
      <c r="G48" s="11" t="n">
        <v>0</v>
      </c>
      <c r="H48" s="9" t="inlineStr">
        <is>
          <t xml:space="preserve">82018     </t>
        </is>
      </c>
      <c r="I48" s="9" t="inlineStr">
        <is>
          <t>Бережной Дмитрий Васильевич</t>
        </is>
      </c>
      <c r="J48" s="9" t="inlineStr">
        <is>
          <t>доцент</t>
        </is>
      </c>
      <c r="K48" s="9" t="n"/>
      <c r="L48" s="9" t="inlineStr">
        <is>
          <t>кроме одного любого дня и субботы</t>
        </is>
      </c>
      <c r="M48" s="12">
        <f>SUMIFS($E$2:$E$1130,$A$2:$A$1130,"осень",$I$2:$I$1130,I48)</f>
        <v/>
      </c>
      <c r="N48" s="13">
        <f>SUMIFS($E$2:$E$1130,$A$2:$A$1130,"весна",$I$2:$I$1130,I48)</f>
        <v/>
      </c>
      <c r="O48" s="14">
        <f>M48+N48</f>
        <v/>
      </c>
      <c r="P48" s="15">
        <f>O48/$P$1</f>
        <v/>
      </c>
    </row>
    <row r="49" hidden="1" ht="15.75" customHeight="1" s="2">
      <c r="A49" s="8" t="inlineStr">
        <is>
          <t>осень</t>
        </is>
      </c>
      <c r="B49" s="9" t="inlineStr">
        <is>
          <t>Теория литейных процессов</t>
        </is>
      </c>
      <c r="C49" s="9" t="inlineStr">
        <is>
          <t>ЛК</t>
        </is>
      </c>
      <c r="D49" s="9" t="inlineStr">
        <is>
          <t>Т1О-402Б-17</t>
        </is>
      </c>
      <c r="E49" s="10" t="n">
        <v>44</v>
      </c>
      <c r="F49" s="9" t="inlineStr">
        <is>
          <t>04517</t>
        </is>
      </c>
      <c r="G49" s="10" t="n">
        <v>44</v>
      </c>
      <c r="H49" s="9" t="inlineStr">
        <is>
          <t xml:space="preserve">89067     </t>
        </is>
      </c>
      <c r="I49" s="9" t="inlineStr">
        <is>
          <t xml:space="preserve">Ряховский Александр Павлович </t>
        </is>
      </c>
      <c r="J49" s="9" t="inlineStr">
        <is>
          <t>доцент</t>
        </is>
      </c>
      <c r="K49" s="9" t="n"/>
      <c r="L49" s="9" t="inlineStr">
        <is>
          <t>только ПН, ЧТ</t>
        </is>
      </c>
      <c r="M49" s="12">
        <f>SUMIFS($E$2:$E$1130,$A$2:$A$1130,"осень",$I$2:$I$1130,I49)</f>
        <v/>
      </c>
      <c r="N49" s="13">
        <f>SUMIFS($E$2:$E$1130,$A$2:$A$1130,"весна",$I$2:$I$1130,I49)</f>
        <v/>
      </c>
      <c r="O49" s="14">
        <f>M49+N49</f>
        <v/>
      </c>
      <c r="P49" s="15">
        <f>O49/$P$1</f>
        <v/>
      </c>
    </row>
    <row r="50" hidden="1" ht="15.75" customHeight="1" s="2">
      <c r="A50" s="8" t="inlineStr">
        <is>
          <t>осень</t>
        </is>
      </c>
      <c r="B50" s="9" t="inlineStr">
        <is>
          <t>Теория литейных процессов</t>
        </is>
      </c>
      <c r="C50" s="9" t="inlineStr">
        <is>
          <t>КР</t>
        </is>
      </c>
      <c r="D50" s="9" t="inlineStr">
        <is>
          <t>Т1О-402Б-17</t>
        </is>
      </c>
      <c r="E50" s="10" t="n">
        <v>51</v>
      </c>
      <c r="F50" s="9" t="inlineStr">
        <is>
          <t>04517</t>
        </is>
      </c>
      <c r="G50" s="11" t="n">
        <v>0</v>
      </c>
      <c r="H50" s="9" t="inlineStr">
        <is>
          <t xml:space="preserve">89067     </t>
        </is>
      </c>
      <c r="I50" s="9" t="inlineStr">
        <is>
          <t xml:space="preserve">Ряховский Александр Павлович </t>
        </is>
      </c>
      <c r="J50" s="9" t="inlineStr">
        <is>
          <t>доцент</t>
        </is>
      </c>
      <c r="K50" s="9" t="n"/>
      <c r="L50" s="9" t="inlineStr">
        <is>
          <t>только ПН, ЧТ</t>
        </is>
      </c>
      <c r="M50" s="12">
        <f>SUMIFS($E$2:$E$1130,$A$2:$A$1130,"осень",$I$2:$I$1130,I50)</f>
        <v/>
      </c>
      <c r="N50" s="13">
        <f>SUMIFS($E$2:$E$1130,$A$2:$A$1130,"весна",$I$2:$I$1130,I50)</f>
        <v/>
      </c>
      <c r="O50" s="14">
        <f>M50+N50</f>
        <v/>
      </c>
      <c r="P50" s="15">
        <f>O50/$P$1</f>
        <v/>
      </c>
    </row>
    <row r="51" hidden="1" ht="15.75" customHeight="1" s="2">
      <c r="A51" s="8" t="inlineStr">
        <is>
          <t>осень</t>
        </is>
      </c>
      <c r="B51" s="9" t="inlineStr">
        <is>
          <t>Теория литейных процессов</t>
        </is>
      </c>
      <c r="C51" s="9" t="inlineStr">
        <is>
          <t>ПЗ</t>
        </is>
      </c>
      <c r="D51" s="9" t="inlineStr">
        <is>
          <t>Т1О-402Б-17</t>
        </is>
      </c>
      <c r="E51" s="10" t="n">
        <v>32</v>
      </c>
      <c r="F51" s="9" t="inlineStr">
        <is>
          <t>04517</t>
        </is>
      </c>
      <c r="G51" s="10" t="n">
        <v>32</v>
      </c>
      <c r="H51" s="9" t="inlineStr">
        <is>
          <t xml:space="preserve">89067     </t>
        </is>
      </c>
      <c r="I51" s="9" t="inlineStr">
        <is>
          <t xml:space="preserve">Ряховский Александр Павлович </t>
        </is>
      </c>
      <c r="J51" s="9" t="inlineStr">
        <is>
          <t>доцент</t>
        </is>
      </c>
      <c r="K51" s="9" t="n"/>
      <c r="L51" s="9" t="inlineStr">
        <is>
          <t>только ПН, ЧТ</t>
        </is>
      </c>
      <c r="M51" s="12">
        <f>SUMIFS($E$2:$E$1130,$A$2:$A$1130,"осень",$I$2:$I$1130,I51)</f>
        <v/>
      </c>
      <c r="N51" s="13">
        <f>SUMIFS($E$2:$E$1130,$A$2:$A$1130,"весна",$I$2:$I$1130,I51)</f>
        <v/>
      </c>
      <c r="O51" s="14">
        <f>M51+N51</f>
        <v/>
      </c>
      <c r="P51" s="15">
        <f>O51/$P$1</f>
        <v/>
      </c>
    </row>
    <row r="52" hidden="1" ht="15.75" customHeight="1" s="2">
      <c r="A52" s="8" t="inlineStr">
        <is>
          <t>осень</t>
        </is>
      </c>
      <c r="B52" s="9" t="inlineStr">
        <is>
          <t>Теория литейных процессов</t>
        </is>
      </c>
      <c r="C52" s="9" t="inlineStr">
        <is>
          <t>ЛР</t>
        </is>
      </c>
      <c r="D52" s="9" t="inlineStr">
        <is>
          <t>Т1О-402Б-17</t>
        </is>
      </c>
      <c r="E52" s="10" t="n">
        <v>32</v>
      </c>
      <c r="F52" s="9" t="inlineStr">
        <is>
          <t>04517</t>
        </is>
      </c>
      <c r="G52" s="10" t="n">
        <v>32</v>
      </c>
      <c r="H52" s="9" t="inlineStr">
        <is>
          <t xml:space="preserve">89068     </t>
        </is>
      </c>
      <c r="I52" s="9" t="inlineStr">
        <is>
          <t xml:space="preserve">Петров Игорь Алексеевич </t>
        </is>
      </c>
      <c r="J52" s="9" t="inlineStr">
        <is>
          <t>доцент</t>
        </is>
      </c>
      <c r="K52" s="9" t="n"/>
      <c r="L52" s="9" t="inlineStr">
        <is>
          <t>!!!</t>
        </is>
      </c>
      <c r="M52" s="12">
        <f>SUMIFS($E$2:$E$1130,$A$2:$A$1130,"осень",$I$2:$I$1130,I52)</f>
        <v/>
      </c>
      <c r="N52" s="13">
        <f>SUMIFS($E$2:$E$1130,$A$2:$A$1130,"весна",$I$2:$I$1130,I52)</f>
        <v/>
      </c>
      <c r="O52" s="14">
        <f>M52+N52</f>
        <v/>
      </c>
      <c r="P52" s="15">
        <f>O52/$P$1</f>
        <v/>
      </c>
    </row>
    <row r="53" hidden="1" ht="15.75" customHeight="1" s="2">
      <c r="A53" s="8" t="inlineStr">
        <is>
          <t>осень</t>
        </is>
      </c>
      <c r="B53" s="18" t="inlineStr">
        <is>
          <t>Теория литейных процессов</t>
        </is>
      </c>
      <c r="C53" s="18" t="inlineStr">
        <is>
          <t>ЛР</t>
        </is>
      </c>
      <c r="D53" s="18" t="inlineStr">
        <is>
          <t>Т1О-402Б-17</t>
        </is>
      </c>
      <c r="E53" s="19" t="n">
        <v>32</v>
      </c>
      <c r="F53" s="18" t="inlineStr">
        <is>
          <t>04517</t>
        </is>
      </c>
      <c r="G53" s="19" t="n">
        <v>32</v>
      </c>
      <c r="H53" s="18" t="n"/>
      <c r="I53" s="20" t="inlineStr">
        <is>
          <t xml:space="preserve">Моисеев Виктор Сергеевич </t>
        </is>
      </c>
      <c r="J53" s="18" t="n"/>
      <c r="K53" s="9" t="n"/>
      <c r="L53" s="9" t="inlineStr">
        <is>
          <t>!!!</t>
        </is>
      </c>
      <c r="M53" s="12">
        <f>SUMIFS($E$2:$E$1130,$A$2:$A$1130,"осень",$I$2:$I$1130,I53)</f>
        <v/>
      </c>
      <c r="N53" s="13">
        <f>SUMIFS($E$2:$E$1130,$A$2:$A$1130,"весна",$I$2:$I$1130,I53)</f>
        <v/>
      </c>
      <c r="O53" s="14">
        <f>M53+N53</f>
        <v/>
      </c>
      <c r="P53" s="15">
        <f>O53/$P$1</f>
        <v/>
      </c>
    </row>
    <row r="54" hidden="1" ht="15.75" customHeight="1" s="2">
      <c r="A54" s="8" t="inlineStr">
        <is>
          <t>осень</t>
        </is>
      </c>
      <c r="B54" s="9" t="inlineStr">
        <is>
          <t>Теория литейных процессов</t>
        </is>
      </c>
      <c r="C54" s="9" t="inlineStr">
        <is>
          <t>Экзамен</t>
        </is>
      </c>
      <c r="D54" s="9" t="inlineStr">
        <is>
          <t>Т1О-402Б-17</t>
        </is>
      </c>
      <c r="E54" s="10" t="n">
        <v>9</v>
      </c>
      <c r="F54" s="9" t="inlineStr">
        <is>
          <t>04517</t>
        </is>
      </c>
      <c r="G54" s="11" t="n">
        <v>0</v>
      </c>
      <c r="H54" s="9" t="inlineStr">
        <is>
          <t xml:space="preserve">89067     </t>
        </is>
      </c>
      <c r="I54" s="9" t="inlineStr">
        <is>
          <t xml:space="preserve">Ряховский Александр Павлович </t>
        </is>
      </c>
      <c r="J54" s="9" t="inlineStr">
        <is>
          <t>доцент</t>
        </is>
      </c>
      <c r="K54" s="9" t="n"/>
      <c r="L54" s="9" t="inlineStr">
        <is>
          <t>только ПН, ЧТ</t>
        </is>
      </c>
      <c r="M54" s="12">
        <f>SUMIFS($E$2:$E$1130,$A$2:$A$1130,"осень",$I$2:$I$1130,I54)</f>
        <v/>
      </c>
      <c r="N54" s="13">
        <f>SUMIFS($E$2:$E$1130,$A$2:$A$1130,"весна",$I$2:$I$1130,I54)</f>
        <v/>
      </c>
      <c r="O54" s="14">
        <f>M54+N54</f>
        <v/>
      </c>
      <c r="P54" s="15">
        <f>O54/$P$1</f>
        <v/>
      </c>
    </row>
    <row r="55" hidden="1" ht="15.75" customHeight="1" s="2">
      <c r="A55" s="8" t="inlineStr">
        <is>
          <t>осень</t>
        </is>
      </c>
      <c r="B55" s="9" t="inlineStr">
        <is>
          <t>Теория литейных процессов</t>
        </is>
      </c>
      <c r="C55" s="9" t="inlineStr">
        <is>
          <t>Консультация</t>
        </is>
      </c>
      <c r="D55" s="9" t="inlineStr">
        <is>
          <t>Т1О-402Б-17</t>
        </is>
      </c>
      <c r="E55" s="10" t="n">
        <v>4</v>
      </c>
      <c r="F55" s="9" t="inlineStr">
        <is>
          <t>04517</t>
        </is>
      </c>
      <c r="G55" s="11" t="n">
        <v>0</v>
      </c>
      <c r="H55" s="9" t="inlineStr">
        <is>
          <t xml:space="preserve">89067     </t>
        </is>
      </c>
      <c r="I55" s="9" t="inlineStr">
        <is>
          <t xml:space="preserve">Ряховский Александр Павлович </t>
        </is>
      </c>
      <c r="J55" s="9" t="inlineStr">
        <is>
          <t>доцент</t>
        </is>
      </c>
      <c r="K55" s="9" t="n"/>
      <c r="L55" s="9" t="inlineStr">
        <is>
          <t>только ПН, ЧТ</t>
        </is>
      </c>
      <c r="M55" s="12">
        <f>SUMIFS($E$2:$E$1130,$A$2:$A$1130,"осень",$I$2:$I$1130,I55)</f>
        <v/>
      </c>
      <c r="N55" s="13">
        <f>SUMIFS($E$2:$E$1130,$A$2:$A$1130,"весна",$I$2:$I$1130,I55)</f>
        <v/>
      </c>
      <c r="O55" s="14">
        <f>M55+N55</f>
        <v/>
      </c>
      <c r="P55" s="15">
        <f>O55/$P$1</f>
        <v/>
      </c>
    </row>
    <row r="56" hidden="1" ht="15.75" customHeight="1" s="2">
      <c r="A56" s="8" t="inlineStr">
        <is>
          <t>осень</t>
        </is>
      </c>
      <c r="B56" s="9" t="inlineStr">
        <is>
          <t>Инженерные и графические системы</t>
        </is>
      </c>
      <c r="C56" s="9" t="inlineStr">
        <is>
          <t>ЛК</t>
        </is>
      </c>
      <c r="D56" s="9" t="inlineStr">
        <is>
          <t>Т11О-103Б-20</t>
        </is>
      </c>
      <c r="E56" s="10" t="n">
        <v>16</v>
      </c>
      <c r="F56" s="9" t="inlineStr">
        <is>
          <t>13288</t>
        </is>
      </c>
      <c r="G56" s="10" t="n">
        <v>16</v>
      </c>
      <c r="H56" s="9" t="inlineStr">
        <is>
          <t xml:space="preserve">81728     </t>
        </is>
      </c>
      <c r="I56" s="9" t="inlineStr">
        <is>
          <t xml:space="preserve">Галкин Виктор Иванович </t>
        </is>
      </c>
      <c r="J56" s="9" t="inlineStr">
        <is>
          <t>профессор</t>
        </is>
      </c>
      <c r="K56" s="9" t="n"/>
      <c r="L56" s="9" t="inlineStr">
        <is>
          <t>кроме среды и первой пары понедельника (525 А)</t>
        </is>
      </c>
      <c r="M56" s="12">
        <f>SUMIFS($E$2:$E$1130,$A$2:$A$1130,"осень",$I$2:$I$1130,I56)</f>
        <v/>
      </c>
      <c r="N56" s="13">
        <f>SUMIFS($E$2:$E$1130,$A$2:$A$1130,"весна",$I$2:$I$1130,I56)</f>
        <v/>
      </c>
      <c r="O56" s="14">
        <f>M56+N56</f>
        <v/>
      </c>
      <c r="P56" s="15">
        <f>O56/$P$1</f>
        <v/>
      </c>
    </row>
    <row r="57" hidden="1" ht="15.75" customHeight="1" s="2">
      <c r="A57" s="8" t="inlineStr">
        <is>
          <t>осень</t>
        </is>
      </c>
      <c r="B57" s="9" t="inlineStr">
        <is>
          <t>Инженерные и графические системы</t>
        </is>
      </c>
      <c r="C57" s="9" t="inlineStr">
        <is>
          <t>Зачет с оценкой</t>
        </is>
      </c>
      <c r="D57" s="9" t="inlineStr">
        <is>
          <t>Т11О-103Б-20</t>
        </is>
      </c>
      <c r="E57" s="10" t="n">
        <v>5</v>
      </c>
      <c r="F57" s="9" t="inlineStr">
        <is>
          <t>13288</t>
        </is>
      </c>
      <c r="G57" s="11" t="n">
        <v>0</v>
      </c>
      <c r="H57" s="9" t="inlineStr">
        <is>
          <t xml:space="preserve">81728     </t>
        </is>
      </c>
      <c r="I57" s="9" t="inlineStr">
        <is>
          <t xml:space="preserve">Галкин Виктор Иванович </t>
        </is>
      </c>
      <c r="J57" s="9" t="inlineStr">
        <is>
          <t>профессор</t>
        </is>
      </c>
      <c r="K57" s="9" t="n"/>
      <c r="L57" s="9" t="inlineStr">
        <is>
          <t>кроме среды и первой пары понедельника (525 А)</t>
        </is>
      </c>
      <c r="M57" s="12">
        <f>SUMIFS($E$2:$E$1130,$A$2:$A$1130,"осень",$I$2:$I$1130,I57)</f>
        <v/>
      </c>
      <c r="N57" s="13">
        <f>SUMIFS($E$2:$E$1130,$A$2:$A$1130,"весна",$I$2:$I$1130,I57)</f>
        <v/>
      </c>
      <c r="O57" s="14">
        <f>M57+N57</f>
        <v/>
      </c>
      <c r="P57" s="15">
        <f>O57/$P$1</f>
        <v/>
      </c>
    </row>
    <row r="58" hidden="1" ht="15.75" customHeight="1" s="2">
      <c r="A58" s="8" t="inlineStr">
        <is>
          <t>осень</t>
        </is>
      </c>
      <c r="B58" s="9" t="inlineStr">
        <is>
          <t>Инженерные и графические системы</t>
        </is>
      </c>
      <c r="C58" s="9" t="inlineStr">
        <is>
          <t>ПЗ</t>
        </is>
      </c>
      <c r="D58" s="9" t="inlineStr">
        <is>
          <t>Т11О-103Б-20</t>
        </is>
      </c>
      <c r="E58" s="10" t="n">
        <v>8</v>
      </c>
      <c r="F58" s="9" t="inlineStr">
        <is>
          <t>13288</t>
        </is>
      </c>
      <c r="G58" s="10" t="n">
        <v>8</v>
      </c>
      <c r="H58" s="9" t="inlineStr">
        <is>
          <t xml:space="preserve">81728     </t>
        </is>
      </c>
      <c r="I58" s="9" t="inlineStr">
        <is>
          <t xml:space="preserve">Галкин Виктор Иванович </t>
        </is>
      </c>
      <c r="J58" s="9" t="inlineStr">
        <is>
          <t>профессор</t>
        </is>
      </c>
      <c r="K58" s="9" t="n"/>
      <c r="L58" s="9" t="inlineStr">
        <is>
          <t>кроме среды и первой пары понедельника (525 А)</t>
        </is>
      </c>
      <c r="M58" s="12">
        <f>SUMIFS($E$2:$E$1130,$A$2:$A$1130,"осень",$I$2:$I$1130,I58)</f>
        <v/>
      </c>
      <c r="N58" s="13">
        <f>SUMIFS($E$2:$E$1130,$A$2:$A$1130,"весна",$I$2:$I$1130,I58)</f>
        <v/>
      </c>
      <c r="O58" s="14">
        <f>M58+N58</f>
        <v/>
      </c>
      <c r="P58" s="15">
        <f>O58/$P$1</f>
        <v/>
      </c>
    </row>
    <row r="59" hidden="1" ht="15.75" customHeight="1" s="2">
      <c r="A59" s="8" t="inlineStr">
        <is>
          <t>осень</t>
        </is>
      </c>
      <c r="B59" s="9" t="inlineStr">
        <is>
          <t>Инженерные и графические системы</t>
        </is>
      </c>
      <c r="C59" s="9" t="inlineStr">
        <is>
          <t>ЛР</t>
        </is>
      </c>
      <c r="D59" s="9" t="inlineStr">
        <is>
          <t>Т11О-103Б-20</t>
        </is>
      </c>
      <c r="E59" s="10" t="n">
        <v>12</v>
      </c>
      <c r="F59" s="9" t="inlineStr">
        <is>
          <t>13288</t>
        </is>
      </c>
      <c r="G59" s="10" t="n">
        <v>12</v>
      </c>
      <c r="H59" s="9" t="inlineStr">
        <is>
          <t xml:space="preserve">81728     </t>
        </is>
      </c>
      <c r="I59" s="9" t="inlineStr">
        <is>
          <t xml:space="preserve">Галкин Виктор Иванович </t>
        </is>
      </c>
      <c r="J59" s="9" t="inlineStr">
        <is>
          <t>профессор</t>
        </is>
      </c>
      <c r="K59" s="9" t="n"/>
      <c r="L59" s="9" t="inlineStr">
        <is>
          <t>кроме среды и первой пары понедельника (525 А)</t>
        </is>
      </c>
      <c r="M59" s="12">
        <f>SUMIFS($E$2:$E$1130,$A$2:$A$1130,"осень",$I$2:$I$1130,I59)</f>
        <v/>
      </c>
      <c r="N59" s="13">
        <f>SUMIFS($E$2:$E$1130,$A$2:$A$1130,"весна",$I$2:$I$1130,I59)</f>
        <v/>
      </c>
      <c r="O59" s="14">
        <f>M59+N59</f>
        <v/>
      </c>
      <c r="P59" s="15">
        <f>O59/$P$1</f>
        <v/>
      </c>
    </row>
    <row r="60" hidden="1" ht="15.75" customHeight="1" s="2">
      <c r="A60" s="8" t="inlineStr">
        <is>
          <t>осень</t>
        </is>
      </c>
      <c r="B60" s="9" t="inlineStr">
        <is>
          <t>Инженерные и графические системы</t>
        </is>
      </c>
      <c r="C60" s="9" t="inlineStr">
        <is>
          <t>Консультация</t>
        </is>
      </c>
      <c r="D60" s="9" t="inlineStr">
        <is>
          <t>Т11О-103Б-20</t>
        </is>
      </c>
      <c r="E60" s="10" t="n">
        <v>1</v>
      </c>
      <c r="F60" s="9" t="inlineStr">
        <is>
          <t>13288</t>
        </is>
      </c>
      <c r="G60" s="11" t="n">
        <v>0</v>
      </c>
      <c r="H60" s="9" t="inlineStr">
        <is>
          <t xml:space="preserve">81728     </t>
        </is>
      </c>
      <c r="I60" s="9" t="inlineStr">
        <is>
          <t xml:space="preserve">Галкин Виктор Иванович </t>
        </is>
      </c>
      <c r="J60" s="9" t="inlineStr">
        <is>
          <t>профессор</t>
        </is>
      </c>
      <c r="K60" s="9" t="n"/>
      <c r="L60" s="9" t="inlineStr">
        <is>
          <t>кроме среды и первой пары понедельника (525 А)</t>
        </is>
      </c>
      <c r="M60" s="12">
        <f>SUMIFS($E$2:$E$1130,$A$2:$A$1130,"осень",$I$2:$I$1130,I60)</f>
        <v/>
      </c>
      <c r="N60" s="13">
        <f>SUMIFS($E$2:$E$1130,$A$2:$A$1130,"весна",$I$2:$I$1130,I60)</f>
        <v/>
      </c>
      <c r="O60" s="14">
        <f>M60+N60</f>
        <v/>
      </c>
      <c r="P60" s="15">
        <f>O60/$P$1</f>
        <v/>
      </c>
    </row>
    <row r="61" hidden="1" ht="15.75" customHeight="1" s="2">
      <c r="A61" s="8" t="inlineStr">
        <is>
          <t>осень</t>
        </is>
      </c>
      <c r="B61" s="9" t="inlineStr">
        <is>
          <t>Защита интеллектуальной собственности и патентоведение</t>
        </is>
      </c>
      <c r="C61" s="9" t="inlineStr">
        <is>
          <t>ЛК</t>
        </is>
      </c>
      <c r="D61" s="9" t="inlineStr">
        <is>
          <t>М9О-104М-20</t>
        </is>
      </c>
      <c r="E61" s="10" t="n">
        <v>18</v>
      </c>
      <c r="F61" s="9" t="inlineStr">
        <is>
          <t>12598</t>
        </is>
      </c>
      <c r="G61" s="10" t="n">
        <v>18</v>
      </c>
      <c r="H61" s="9" t="inlineStr">
        <is>
          <t xml:space="preserve">89090     </t>
        </is>
      </c>
      <c r="I61" s="9" t="inlineStr">
        <is>
          <t>Степанов Владимир Валерьевич</t>
        </is>
      </c>
      <c r="J61" s="9" t="n"/>
      <c r="K61" s="9" t="n"/>
      <c r="L61" s="9" t="n"/>
      <c r="M61" s="12">
        <f>SUMIFS($E$2:$E$1130,$A$2:$A$1130,"осень",$I$2:$I$1130,I61)</f>
        <v/>
      </c>
      <c r="N61" s="13">
        <f>SUMIFS($E$2:$E$1130,$A$2:$A$1130,"весна",$I$2:$I$1130,I61)</f>
        <v/>
      </c>
      <c r="O61" s="14">
        <f>M61+N61</f>
        <v/>
      </c>
      <c r="P61" s="15">
        <f>O61/$P$1</f>
        <v/>
      </c>
    </row>
    <row r="62" hidden="1" ht="15.75" customHeight="1" s="2">
      <c r="A62" s="8" t="inlineStr">
        <is>
          <t>осень</t>
        </is>
      </c>
      <c r="B62" s="9" t="inlineStr">
        <is>
          <t>Защита интеллектуальной собственности и патентоведение</t>
        </is>
      </c>
      <c r="C62" s="9" t="inlineStr">
        <is>
          <t>ПЗ</t>
        </is>
      </c>
      <c r="D62" s="9" t="inlineStr">
        <is>
          <t>Т11О-101М-20</t>
        </is>
      </c>
      <c r="E62" s="10" t="n">
        <v>28</v>
      </c>
      <c r="F62" s="9" t="inlineStr">
        <is>
          <t>12597</t>
        </is>
      </c>
      <c r="G62" s="10" t="n">
        <v>28</v>
      </c>
      <c r="H62" s="9" t="inlineStr">
        <is>
          <t xml:space="preserve">82021     </t>
        </is>
      </c>
      <c r="I62" s="9" t="inlineStr">
        <is>
          <t xml:space="preserve">Власенко Артем Николаевич </t>
        </is>
      </c>
      <c r="J62" s="9" t="n"/>
      <c r="K62" s="9" t="n"/>
      <c r="L62" s="9" t="inlineStr">
        <is>
          <t>кроме четверга</t>
        </is>
      </c>
      <c r="M62" s="12">
        <f>SUMIFS($E$2:$E$1130,$A$2:$A$1130,"осень",$I$2:$I$1130,I62)</f>
        <v/>
      </c>
      <c r="N62" s="13">
        <f>SUMIFS($E$2:$E$1130,$A$2:$A$1130,"весна",$I$2:$I$1130,I62)</f>
        <v/>
      </c>
      <c r="O62" s="14">
        <f>M62+N62</f>
        <v/>
      </c>
      <c r="P62" s="15">
        <f>O62/$P$1</f>
        <v/>
      </c>
    </row>
    <row r="63" hidden="1" ht="15.75" customHeight="1" s="2">
      <c r="A63" s="8" t="inlineStr">
        <is>
          <t>осень</t>
        </is>
      </c>
      <c r="B63" s="9" t="inlineStr">
        <is>
          <t>Защита интеллектуальной собственности и патентоведение</t>
        </is>
      </c>
      <c r="C63" s="9" t="inlineStr">
        <is>
          <t>ПЗ</t>
        </is>
      </c>
      <c r="D63" s="9" t="inlineStr">
        <is>
          <t>Т11О-102М-20</t>
        </is>
      </c>
      <c r="E63" s="10" t="n">
        <v>28</v>
      </c>
      <c r="F63" s="9" t="inlineStr">
        <is>
          <t>12597</t>
        </is>
      </c>
      <c r="G63" s="10" t="n">
        <v>28</v>
      </c>
      <c r="H63" s="9" t="inlineStr">
        <is>
          <t xml:space="preserve">82021     </t>
        </is>
      </c>
      <c r="I63" s="9" t="inlineStr">
        <is>
          <t xml:space="preserve">Власенко Артем Николаевич </t>
        </is>
      </c>
      <c r="J63" s="9" t="n"/>
      <c r="K63" s="9" t="n"/>
      <c r="L63" s="9" t="inlineStr">
        <is>
          <t>кроме четверга</t>
        </is>
      </c>
      <c r="M63" s="12">
        <f>SUMIFS($E$2:$E$1130,$A$2:$A$1130,"осень",$I$2:$I$1130,I63)</f>
        <v/>
      </c>
      <c r="N63" s="13">
        <f>SUMIFS($E$2:$E$1130,$A$2:$A$1130,"весна",$I$2:$I$1130,I63)</f>
        <v/>
      </c>
      <c r="O63" s="14">
        <f>M63+N63</f>
        <v/>
      </c>
      <c r="P63" s="15">
        <f>O63/$P$1</f>
        <v/>
      </c>
    </row>
    <row r="64" hidden="1" ht="15.75" customHeight="1" s="2">
      <c r="A64" s="8" t="inlineStr">
        <is>
          <t>осень</t>
        </is>
      </c>
      <c r="B64" s="9" t="inlineStr">
        <is>
          <t>Защита интеллектуальной собственности и патентоведение</t>
        </is>
      </c>
      <c r="C64" s="9" t="inlineStr">
        <is>
          <t>ПЗ</t>
        </is>
      </c>
      <c r="D64" s="9" t="inlineStr">
        <is>
          <t>Т11О-103М-20</t>
        </is>
      </c>
      <c r="E64" s="10" t="n">
        <v>28</v>
      </c>
      <c r="F64" s="9" t="inlineStr">
        <is>
          <t>12597</t>
        </is>
      </c>
      <c r="G64" s="10" t="n">
        <v>28</v>
      </c>
      <c r="H64" s="9" t="inlineStr">
        <is>
          <t xml:space="preserve">82021     </t>
        </is>
      </c>
      <c r="I64" s="9" t="inlineStr">
        <is>
          <t xml:space="preserve">Власенко Артем Николаевич </t>
        </is>
      </c>
      <c r="J64" s="9" t="n"/>
      <c r="K64" s="9" t="n"/>
      <c r="L64" s="9" t="inlineStr">
        <is>
          <t>кроме четверга</t>
        </is>
      </c>
      <c r="M64" s="12">
        <f>SUMIFS($E$2:$E$1130,$A$2:$A$1130,"осень",$I$2:$I$1130,I64)</f>
        <v/>
      </c>
      <c r="N64" s="13">
        <f>SUMIFS($E$2:$E$1130,$A$2:$A$1130,"весна",$I$2:$I$1130,I64)</f>
        <v/>
      </c>
      <c r="O64" s="14">
        <f>M64+N64</f>
        <v/>
      </c>
      <c r="P64" s="15">
        <f>O64/$P$1</f>
        <v/>
      </c>
    </row>
    <row r="65" hidden="1" ht="15.75" customHeight="1" s="2">
      <c r="A65" s="8" t="inlineStr">
        <is>
          <t>осень</t>
        </is>
      </c>
      <c r="B65" s="9" t="inlineStr">
        <is>
          <t>Защита интеллектуальной собственности и патентоведение</t>
        </is>
      </c>
      <c r="C65" s="9" t="inlineStr">
        <is>
          <t>ПЗ</t>
        </is>
      </c>
      <c r="D65" s="9" t="inlineStr">
        <is>
          <t>Т11О-104М-20</t>
        </is>
      </c>
      <c r="E65" s="10" t="n">
        <v>28</v>
      </c>
      <c r="F65" s="9" t="inlineStr">
        <is>
          <t>12597</t>
        </is>
      </c>
      <c r="G65" s="10" t="n">
        <v>28</v>
      </c>
      <c r="H65" s="9" t="inlineStr">
        <is>
          <t xml:space="preserve">82021     </t>
        </is>
      </c>
      <c r="I65" s="9" t="inlineStr">
        <is>
          <t xml:space="preserve">Власенко Артем Николаевич </t>
        </is>
      </c>
      <c r="J65" s="9" t="n"/>
      <c r="K65" s="9" t="n"/>
      <c r="L65" s="9" t="inlineStr">
        <is>
          <t>кроме четверга</t>
        </is>
      </c>
      <c r="M65" s="12">
        <f>SUMIFS($E$2:$E$1130,$A$2:$A$1130,"осень",$I$2:$I$1130,I65)</f>
        <v/>
      </c>
      <c r="N65" s="13">
        <f>SUMIFS($E$2:$E$1130,$A$2:$A$1130,"весна",$I$2:$I$1130,I65)</f>
        <v/>
      </c>
      <c r="O65" s="14">
        <f>M65+N65</f>
        <v/>
      </c>
      <c r="P65" s="15">
        <f>O65/$P$1</f>
        <v/>
      </c>
    </row>
    <row r="66" hidden="1" ht="15.75" customHeight="1" s="2">
      <c r="A66" s="8" t="inlineStr">
        <is>
          <t>осень</t>
        </is>
      </c>
      <c r="B66" s="9" t="inlineStr">
        <is>
          <t>Защита интеллектуальной собственности и патентоведение</t>
        </is>
      </c>
      <c r="C66" s="9" t="inlineStr">
        <is>
          <t>ПЗ</t>
        </is>
      </c>
      <c r="D66" s="9" t="inlineStr">
        <is>
          <t>М9О-104М-20</t>
        </is>
      </c>
      <c r="E66" s="10" t="n">
        <v>28</v>
      </c>
      <c r="F66" s="9" t="inlineStr">
        <is>
          <t>12598</t>
        </is>
      </c>
      <c r="G66" s="10" t="n">
        <v>28</v>
      </c>
      <c r="H66" s="9" t="inlineStr">
        <is>
          <t xml:space="preserve">82021     </t>
        </is>
      </c>
      <c r="I66" s="9" t="inlineStr">
        <is>
          <t xml:space="preserve">Власенко Артем Николаевич </t>
        </is>
      </c>
      <c r="J66" s="9" t="n"/>
      <c r="K66" s="9" t="n"/>
      <c r="L66" s="9" t="n"/>
      <c r="M66" s="12">
        <f>SUMIFS($E$2:$E$1130,$A$2:$A$1130,"осень",$I$2:$I$1130,I66)</f>
        <v/>
      </c>
      <c r="N66" s="13">
        <f>SUMIFS($E$2:$E$1130,$A$2:$A$1130,"весна",$I$2:$I$1130,I66)</f>
        <v/>
      </c>
      <c r="O66" s="14">
        <f>M66+N66</f>
        <v/>
      </c>
      <c r="P66" s="15">
        <f>O66/$P$1</f>
        <v/>
      </c>
    </row>
    <row r="67" hidden="1" ht="15.75" customHeight="1" s="2">
      <c r="A67" s="8" t="inlineStr">
        <is>
          <t>осень</t>
        </is>
      </c>
      <c r="B67" s="9" t="inlineStr">
        <is>
          <t>Защита интеллектуальной собственности и патентоведение</t>
        </is>
      </c>
      <c r="C67" s="9" t="inlineStr">
        <is>
          <t>Зачет</t>
        </is>
      </c>
      <c r="D67" s="9" t="inlineStr">
        <is>
          <t>Т11О-101М-20</t>
        </is>
      </c>
      <c r="E67" s="10" t="n">
        <v>2</v>
      </c>
      <c r="F67" s="9" t="inlineStr">
        <is>
          <t>12597</t>
        </is>
      </c>
      <c r="G67" s="11" t="n">
        <v>0</v>
      </c>
      <c r="H67" s="9" t="inlineStr">
        <is>
          <t xml:space="preserve">89090     </t>
        </is>
      </c>
      <c r="I67" s="9" t="inlineStr">
        <is>
          <t>Степанов Владимир Валерьевич</t>
        </is>
      </c>
      <c r="J67" s="9" t="n"/>
      <c r="K67" s="9" t="n"/>
      <c r="L67" s="9" t="inlineStr">
        <is>
          <t>желательно конец недели, включая субботу</t>
        </is>
      </c>
      <c r="M67" s="12">
        <f>SUMIFS($E$2:$E$1130,$A$2:$A$1130,"осень",$I$2:$I$1130,I67)</f>
        <v/>
      </c>
      <c r="N67" s="13">
        <f>SUMIFS($E$2:$E$1130,$A$2:$A$1130,"весна",$I$2:$I$1130,I67)</f>
        <v/>
      </c>
      <c r="O67" s="14">
        <f>M67+N67</f>
        <v/>
      </c>
      <c r="P67" s="15">
        <f>O67/$P$1</f>
        <v/>
      </c>
    </row>
    <row r="68" hidden="1" ht="15.75" customHeight="1" s="2">
      <c r="A68" s="8" t="inlineStr">
        <is>
          <t>осень</t>
        </is>
      </c>
      <c r="B68" s="9" t="inlineStr">
        <is>
          <t>Защита интеллектуальной собственности и патентоведение</t>
        </is>
      </c>
      <c r="C68" s="9" t="inlineStr">
        <is>
          <t>Зачет</t>
        </is>
      </c>
      <c r="D68" s="9" t="inlineStr">
        <is>
          <t>Т11О-102М-20</t>
        </is>
      </c>
      <c r="E68" s="10" t="n">
        <v>2</v>
      </c>
      <c r="F68" s="9" t="inlineStr">
        <is>
          <t>12597</t>
        </is>
      </c>
      <c r="G68" s="11" t="n">
        <v>0</v>
      </c>
      <c r="H68" s="9" t="inlineStr">
        <is>
          <t xml:space="preserve">89090     </t>
        </is>
      </c>
      <c r="I68" s="9" t="inlineStr">
        <is>
          <t>Степанов Владимир Валерьевич</t>
        </is>
      </c>
      <c r="J68" s="9" t="n"/>
      <c r="K68" s="9" t="n"/>
      <c r="L68" s="9" t="inlineStr">
        <is>
          <t>желательно конец недели, включая субботу</t>
        </is>
      </c>
      <c r="M68" s="12">
        <f>SUMIFS($E$2:$E$1130,$A$2:$A$1130,"осень",$I$2:$I$1130,I68)</f>
        <v/>
      </c>
      <c r="N68" s="13">
        <f>SUMIFS($E$2:$E$1130,$A$2:$A$1130,"весна",$I$2:$I$1130,I68)</f>
        <v/>
      </c>
      <c r="O68" s="14">
        <f>M68+N68</f>
        <v/>
      </c>
      <c r="P68" s="15">
        <f>O68/$P$1</f>
        <v/>
      </c>
    </row>
    <row r="69" hidden="1" ht="15.75" customHeight="1" s="2">
      <c r="A69" s="8" t="inlineStr">
        <is>
          <t>осень</t>
        </is>
      </c>
      <c r="B69" s="9" t="inlineStr">
        <is>
          <t>Защита интеллектуальной собственности и патентоведение</t>
        </is>
      </c>
      <c r="C69" s="9" t="inlineStr">
        <is>
          <t>Зачет</t>
        </is>
      </c>
      <c r="D69" s="9" t="inlineStr">
        <is>
          <t>Т11О-103М-20</t>
        </is>
      </c>
      <c r="E69" s="10" t="n">
        <v>2</v>
      </c>
      <c r="F69" s="9" t="inlineStr">
        <is>
          <t>12597</t>
        </is>
      </c>
      <c r="G69" s="11" t="n">
        <v>0</v>
      </c>
      <c r="H69" s="9" t="inlineStr">
        <is>
          <t xml:space="preserve">89090     </t>
        </is>
      </c>
      <c r="I69" s="9" t="inlineStr">
        <is>
          <t>Степанов Владимир Валерьевич</t>
        </is>
      </c>
      <c r="J69" s="9" t="n"/>
      <c r="K69" s="9" t="n"/>
      <c r="L69" s="9" t="inlineStr">
        <is>
          <t>желательно конец недели, включая субботу</t>
        </is>
      </c>
      <c r="M69" s="12">
        <f>SUMIFS($E$2:$E$1130,$A$2:$A$1130,"осень",$I$2:$I$1130,I69)</f>
        <v/>
      </c>
      <c r="N69" s="13">
        <f>SUMIFS($E$2:$E$1130,$A$2:$A$1130,"весна",$I$2:$I$1130,I69)</f>
        <v/>
      </c>
      <c r="O69" s="14">
        <f>M69+N69</f>
        <v/>
      </c>
      <c r="P69" s="15">
        <f>O69/$P$1</f>
        <v/>
      </c>
    </row>
    <row r="70" hidden="1" ht="15.75" customHeight="1" s="2">
      <c r="A70" s="8" t="inlineStr">
        <is>
          <t>осень</t>
        </is>
      </c>
      <c r="B70" s="9" t="inlineStr">
        <is>
          <t>Защита интеллектуальной собственности и патентоведение</t>
        </is>
      </c>
      <c r="C70" s="9" t="inlineStr">
        <is>
          <t>Зачет</t>
        </is>
      </c>
      <c r="D70" s="9" t="inlineStr">
        <is>
          <t>Т11О-104М-20</t>
        </is>
      </c>
      <c r="E70" s="10" t="n">
        <v>2</v>
      </c>
      <c r="F70" s="9" t="inlineStr">
        <is>
          <t>12597</t>
        </is>
      </c>
      <c r="G70" s="11" t="n">
        <v>0</v>
      </c>
      <c r="H70" s="9" t="inlineStr">
        <is>
          <t xml:space="preserve">89090     </t>
        </is>
      </c>
      <c r="I70" s="9" t="inlineStr">
        <is>
          <t>Степанов Владимир Валерьевич</t>
        </is>
      </c>
      <c r="J70" s="9" t="n"/>
      <c r="K70" s="9" t="n"/>
      <c r="L70" s="9" t="inlineStr">
        <is>
          <t>желательно конец недели, включая субботу</t>
        </is>
      </c>
      <c r="M70" s="12">
        <f>SUMIFS($E$2:$E$1130,$A$2:$A$1130,"осень",$I$2:$I$1130,I70)</f>
        <v/>
      </c>
      <c r="N70" s="13">
        <f>SUMIFS($E$2:$E$1130,$A$2:$A$1130,"весна",$I$2:$I$1130,I70)</f>
        <v/>
      </c>
      <c r="O70" s="14">
        <f>M70+N70</f>
        <v/>
      </c>
      <c r="P70" s="15">
        <f>O70/$P$1</f>
        <v/>
      </c>
    </row>
    <row r="71" hidden="1" ht="15.75" customHeight="1" s="2">
      <c r="A71" s="8" t="inlineStr">
        <is>
          <t>осень</t>
        </is>
      </c>
      <c r="B71" s="9" t="inlineStr">
        <is>
          <t>Защита интеллектуальной собственности и патентоведение</t>
        </is>
      </c>
      <c r="C71" s="9" t="inlineStr">
        <is>
          <t>Зачет</t>
        </is>
      </c>
      <c r="D71" s="9" t="inlineStr">
        <is>
          <t>М9О-104М-20</t>
        </is>
      </c>
      <c r="E71" s="10" t="n">
        <v>2</v>
      </c>
      <c r="F71" s="9" t="inlineStr">
        <is>
          <t>12598</t>
        </is>
      </c>
      <c r="G71" s="11" t="n">
        <v>0</v>
      </c>
      <c r="H71" s="9" t="inlineStr">
        <is>
          <t xml:space="preserve">89090     </t>
        </is>
      </c>
      <c r="I71" s="9" t="inlineStr">
        <is>
          <t>Степанов Владимир Валерьевич</t>
        </is>
      </c>
      <c r="J71" s="9" t="n"/>
      <c r="K71" s="9" t="n"/>
      <c r="L71" s="9" t="n"/>
      <c r="M71" s="12">
        <f>SUMIFS($E$2:$E$1130,$A$2:$A$1130,"осень",$I$2:$I$1130,I71)</f>
        <v/>
      </c>
      <c r="N71" s="13">
        <f>SUMIFS($E$2:$E$1130,$A$2:$A$1130,"весна",$I$2:$I$1130,I71)</f>
        <v/>
      </c>
      <c r="O71" s="14">
        <f>M71+N71</f>
        <v/>
      </c>
      <c r="P71" s="15">
        <f>O71/$P$1</f>
        <v/>
      </c>
    </row>
    <row r="72" hidden="1" ht="15.75" customHeight="1" s="2">
      <c r="A72" s="8" t="inlineStr">
        <is>
          <t>осень</t>
        </is>
      </c>
      <c r="B72" s="9" t="inlineStr">
        <is>
          <t>Защита интеллектуальной собственности и патентоведение</t>
        </is>
      </c>
      <c r="C72" s="9" t="inlineStr">
        <is>
          <t>Консультация</t>
        </is>
      </c>
      <c r="D72" s="9" t="inlineStr">
        <is>
          <t>Т11О-101М-20</t>
        </is>
      </c>
      <c r="E72" s="10" t="n">
        <v>1</v>
      </c>
      <c r="F72" s="9" t="inlineStr">
        <is>
          <t>12597</t>
        </is>
      </c>
      <c r="G72" s="11" t="n">
        <v>0</v>
      </c>
      <c r="H72" s="9" t="inlineStr">
        <is>
          <t xml:space="preserve">82021     </t>
        </is>
      </c>
      <c r="I72" s="9" t="inlineStr">
        <is>
          <t xml:space="preserve">Власенко Артем Николаевич </t>
        </is>
      </c>
      <c r="J72" s="9" t="n"/>
      <c r="K72" s="9" t="n"/>
      <c r="L72" s="9" t="inlineStr">
        <is>
          <t>кроме четверга</t>
        </is>
      </c>
      <c r="M72" s="12">
        <f>SUMIFS($E$2:$E$1130,$A$2:$A$1130,"осень",$I$2:$I$1130,I72)</f>
        <v/>
      </c>
      <c r="N72" s="13">
        <f>SUMIFS($E$2:$E$1130,$A$2:$A$1130,"весна",$I$2:$I$1130,I72)</f>
        <v/>
      </c>
      <c r="O72" s="14">
        <f>M72+N72</f>
        <v/>
      </c>
      <c r="P72" s="15">
        <f>O72/$P$1</f>
        <v/>
      </c>
    </row>
    <row r="73" hidden="1" ht="15.75" customHeight="1" s="2">
      <c r="A73" s="8" t="inlineStr">
        <is>
          <t>осень</t>
        </is>
      </c>
      <c r="B73" s="9" t="inlineStr">
        <is>
          <t>Защита интеллектуальной собственности и патентоведение</t>
        </is>
      </c>
      <c r="C73" s="9" t="inlineStr">
        <is>
          <t>Консультация</t>
        </is>
      </c>
      <c r="D73" s="9" t="inlineStr">
        <is>
          <t>Т11О-102М-20</t>
        </is>
      </c>
      <c r="E73" s="10" t="n">
        <v>1</v>
      </c>
      <c r="F73" s="9" t="inlineStr">
        <is>
          <t>12597</t>
        </is>
      </c>
      <c r="G73" s="11" t="n">
        <v>0</v>
      </c>
      <c r="H73" s="9" t="inlineStr">
        <is>
          <t xml:space="preserve">82021     </t>
        </is>
      </c>
      <c r="I73" s="9" t="inlineStr">
        <is>
          <t xml:space="preserve">Власенко Артем Николаевич </t>
        </is>
      </c>
      <c r="J73" s="9" t="n"/>
      <c r="K73" s="9" t="n"/>
      <c r="L73" s="9" t="inlineStr">
        <is>
          <t>кроме четверга</t>
        </is>
      </c>
      <c r="M73" s="12">
        <f>SUMIFS($E$2:$E$1130,$A$2:$A$1130,"осень",$I$2:$I$1130,I73)</f>
        <v/>
      </c>
      <c r="N73" s="13">
        <f>SUMIFS($E$2:$E$1130,$A$2:$A$1130,"весна",$I$2:$I$1130,I73)</f>
        <v/>
      </c>
      <c r="O73" s="14">
        <f>M73+N73</f>
        <v/>
      </c>
      <c r="P73" s="15">
        <f>O73/$P$1</f>
        <v/>
      </c>
    </row>
    <row r="74" hidden="1" ht="15.75" customHeight="1" s="2">
      <c r="A74" s="8" t="inlineStr">
        <is>
          <t>осень</t>
        </is>
      </c>
      <c r="B74" s="9" t="inlineStr">
        <is>
          <t>Защита интеллектуальной собственности и патентоведение</t>
        </is>
      </c>
      <c r="C74" s="9" t="inlineStr">
        <is>
          <t>Консультация</t>
        </is>
      </c>
      <c r="D74" s="9" t="inlineStr">
        <is>
          <t>Т11О-103М-20</t>
        </is>
      </c>
      <c r="E74" s="10" t="n">
        <v>1</v>
      </c>
      <c r="F74" s="9" t="inlineStr">
        <is>
          <t>12597</t>
        </is>
      </c>
      <c r="G74" s="11" t="n">
        <v>0</v>
      </c>
      <c r="H74" s="9" t="inlineStr">
        <is>
          <t xml:space="preserve">82021     </t>
        </is>
      </c>
      <c r="I74" s="9" t="inlineStr">
        <is>
          <t xml:space="preserve">Власенко Артем Николаевич </t>
        </is>
      </c>
      <c r="J74" s="9" t="n"/>
      <c r="K74" s="9" t="n"/>
      <c r="L74" s="9" t="inlineStr">
        <is>
          <t>кроме четверга</t>
        </is>
      </c>
      <c r="M74" s="12">
        <f>SUMIFS($E$2:$E$1130,$A$2:$A$1130,"осень",$I$2:$I$1130,I74)</f>
        <v/>
      </c>
      <c r="N74" s="13">
        <f>SUMIFS($E$2:$E$1130,$A$2:$A$1130,"весна",$I$2:$I$1130,I74)</f>
        <v/>
      </c>
      <c r="O74" s="14">
        <f>M74+N74</f>
        <v/>
      </c>
      <c r="P74" s="15">
        <f>O74/$P$1</f>
        <v/>
      </c>
    </row>
    <row r="75" hidden="1" ht="15.75" customHeight="1" s="2">
      <c r="A75" s="8" t="inlineStr">
        <is>
          <t>осень</t>
        </is>
      </c>
      <c r="B75" s="9" t="inlineStr">
        <is>
          <t>Защита интеллектуальной собственности и патентоведение</t>
        </is>
      </c>
      <c r="C75" s="9" t="inlineStr">
        <is>
          <t>Консультация</t>
        </is>
      </c>
      <c r="D75" s="9" t="inlineStr">
        <is>
          <t>Т11О-104М-20</t>
        </is>
      </c>
      <c r="E75" s="10" t="n">
        <v>1</v>
      </c>
      <c r="F75" s="9" t="inlineStr">
        <is>
          <t>12597</t>
        </is>
      </c>
      <c r="G75" s="11" t="n">
        <v>0</v>
      </c>
      <c r="H75" s="9" t="inlineStr">
        <is>
          <t xml:space="preserve">82021     </t>
        </is>
      </c>
      <c r="I75" s="9" t="inlineStr">
        <is>
          <t xml:space="preserve">Власенко Артем Николаевич </t>
        </is>
      </c>
      <c r="J75" s="9" t="n"/>
      <c r="K75" s="9" t="n"/>
      <c r="L75" s="9" t="inlineStr">
        <is>
          <t>кроме четверга</t>
        </is>
      </c>
      <c r="M75" s="12">
        <f>SUMIFS($E$2:$E$1130,$A$2:$A$1130,"осень",$I$2:$I$1130,I75)</f>
        <v/>
      </c>
      <c r="N75" s="13">
        <f>SUMIFS($E$2:$E$1130,$A$2:$A$1130,"весна",$I$2:$I$1130,I75)</f>
        <v/>
      </c>
      <c r="O75" s="14">
        <f>M75+N75</f>
        <v/>
      </c>
      <c r="P75" s="15">
        <f>O75/$P$1</f>
        <v/>
      </c>
    </row>
    <row r="76" hidden="1" ht="15.75" customHeight="1" s="2">
      <c r="A76" s="8" t="inlineStr">
        <is>
          <t>осень</t>
        </is>
      </c>
      <c r="B76" s="9" t="inlineStr">
        <is>
          <t>Защита интеллектуальной собственности и патентоведение</t>
        </is>
      </c>
      <c r="C76" s="9" t="inlineStr">
        <is>
          <t>Консультация</t>
        </is>
      </c>
      <c r="D76" s="9" t="inlineStr">
        <is>
          <t>М9О-104М-20</t>
        </is>
      </c>
      <c r="E76" s="10" t="n">
        <v>1</v>
      </c>
      <c r="F76" s="9" t="inlineStr">
        <is>
          <t>12598</t>
        </is>
      </c>
      <c r="G76" s="11" t="n">
        <v>0</v>
      </c>
      <c r="H76" s="9" t="inlineStr">
        <is>
          <t xml:space="preserve">82021     </t>
        </is>
      </c>
      <c r="I76" s="9" t="inlineStr">
        <is>
          <t xml:space="preserve">Власенко Артем Николаевич </t>
        </is>
      </c>
      <c r="J76" s="9" t="n"/>
      <c r="K76" s="9" t="n"/>
      <c r="L76" s="9" t="n"/>
      <c r="M76" s="12">
        <f>SUMIFS($E$2:$E$1130,$A$2:$A$1130,"осень",$I$2:$I$1130,I76)</f>
        <v/>
      </c>
      <c r="N76" s="13">
        <f>SUMIFS($E$2:$E$1130,$A$2:$A$1130,"весна",$I$2:$I$1130,I76)</f>
        <v/>
      </c>
      <c r="O76" s="14">
        <f>M76+N76</f>
        <v/>
      </c>
      <c r="P76" s="15">
        <f>O76/$P$1</f>
        <v/>
      </c>
    </row>
    <row r="77" hidden="1" ht="15.75" customHeight="1" s="2">
      <c r="A77" s="8" t="inlineStr">
        <is>
          <t>осень</t>
        </is>
      </c>
      <c r="B77" s="9" t="inlineStr">
        <is>
          <t>Современные технологии сварки плавлением</t>
        </is>
      </c>
      <c r="C77" s="9" t="inlineStr">
        <is>
          <t>ЛК</t>
        </is>
      </c>
      <c r="D77" s="9" t="inlineStr">
        <is>
          <t>Т11О-204М-19</t>
        </is>
      </c>
      <c r="E77" s="10" t="n">
        <v>8</v>
      </c>
      <c r="F77" s="9" t="inlineStr">
        <is>
          <t>04595</t>
        </is>
      </c>
      <c r="G77" s="10" t="n">
        <v>8</v>
      </c>
      <c r="H77" s="9" t="inlineStr">
        <is>
          <t xml:space="preserve">82056     </t>
        </is>
      </c>
      <c r="I77" s="9" t="inlineStr">
        <is>
          <t xml:space="preserve">Никитина Елена Владимировна </t>
        </is>
      </c>
      <c r="J77" s="9" t="n"/>
      <c r="K77" s="9" t="n"/>
      <c r="L77" s="9" t="inlineStr">
        <is>
          <t>пн-пт с 13:00 (509 или 532)</t>
        </is>
      </c>
      <c r="M77" s="12">
        <f>SUMIFS($E$2:$E$1130,$A$2:$A$1130,"осень",$I$2:$I$1130,I77)</f>
        <v/>
      </c>
      <c r="N77" s="13">
        <f>SUMIFS($E$2:$E$1130,$A$2:$A$1130,"весна",$I$2:$I$1130,I77)</f>
        <v/>
      </c>
      <c r="O77" s="14">
        <f>M77+N77</f>
        <v/>
      </c>
      <c r="P77" s="15">
        <f>O77/$P$1</f>
        <v/>
      </c>
    </row>
    <row r="78" hidden="1" ht="15.75" customHeight="1" s="2">
      <c r="A78" s="8" t="inlineStr">
        <is>
          <t>осень</t>
        </is>
      </c>
      <c r="B78" s="9" t="inlineStr">
        <is>
          <t>Современные технологии сварки плавлением</t>
        </is>
      </c>
      <c r="C78" s="9" t="inlineStr">
        <is>
          <t>КР</t>
        </is>
      </c>
      <c r="D78" s="9" t="inlineStr">
        <is>
          <t>Т11О-204М-19</t>
        </is>
      </c>
      <c r="E78" s="10" t="n">
        <v>27</v>
      </c>
      <c r="F78" s="9" t="inlineStr">
        <is>
          <t>04595</t>
        </is>
      </c>
      <c r="G78" s="11" t="n">
        <v>0</v>
      </c>
      <c r="H78" s="9" t="inlineStr">
        <is>
          <t xml:space="preserve">82056     </t>
        </is>
      </c>
      <c r="I78" s="9" t="inlineStr">
        <is>
          <t xml:space="preserve">Никитина Елена Владимировна </t>
        </is>
      </c>
      <c r="J78" s="9" t="n"/>
      <c r="K78" s="9" t="n"/>
      <c r="L78" s="9" t="inlineStr">
        <is>
          <t>пн-пт с 13:00 (509 или 532)</t>
        </is>
      </c>
      <c r="M78" s="12">
        <f>SUMIFS($E$2:$E$1130,$A$2:$A$1130,"осень",$I$2:$I$1130,I78)</f>
        <v/>
      </c>
      <c r="N78" s="13">
        <f>SUMIFS($E$2:$E$1130,$A$2:$A$1130,"весна",$I$2:$I$1130,I78)</f>
        <v/>
      </c>
      <c r="O78" s="14">
        <f>M78+N78</f>
        <v/>
      </c>
      <c r="P78" s="15">
        <f>O78/$P$1</f>
        <v/>
      </c>
    </row>
    <row r="79" hidden="1" ht="15.75" customHeight="1" s="2">
      <c r="A79" s="8" t="inlineStr">
        <is>
          <t>осень</t>
        </is>
      </c>
      <c r="B79" s="9" t="inlineStr">
        <is>
          <t>Современные технологии сварки плавлением</t>
        </is>
      </c>
      <c r="C79" s="9" t="inlineStr">
        <is>
          <t>ПЗ</t>
        </is>
      </c>
      <c r="D79" s="9" t="inlineStr">
        <is>
          <t>Т11О-204М-19</t>
        </is>
      </c>
      <c r="E79" s="10" t="n">
        <v>36</v>
      </c>
      <c r="F79" s="9" t="inlineStr">
        <is>
          <t>04595</t>
        </is>
      </c>
      <c r="G79" s="10" t="n">
        <v>36</v>
      </c>
      <c r="H79" s="9" t="inlineStr">
        <is>
          <t xml:space="preserve">82056     </t>
        </is>
      </c>
      <c r="I79" s="9" t="inlineStr">
        <is>
          <t xml:space="preserve">Никитина Елена Владимировна </t>
        </is>
      </c>
      <c r="J79" s="9" t="n"/>
      <c r="K79" s="9" t="n"/>
      <c r="L79" s="9" t="inlineStr">
        <is>
          <t>пн-пт с 13:00 (509 или 532)</t>
        </is>
      </c>
      <c r="M79" s="12">
        <f>SUMIFS($E$2:$E$1130,$A$2:$A$1130,"осень",$I$2:$I$1130,I79)</f>
        <v/>
      </c>
      <c r="N79" s="13">
        <f>SUMIFS($E$2:$E$1130,$A$2:$A$1130,"весна",$I$2:$I$1130,I79)</f>
        <v/>
      </c>
      <c r="O79" s="14">
        <f>M79+N79</f>
        <v/>
      </c>
      <c r="P79" s="15">
        <f>O79/$P$1</f>
        <v/>
      </c>
    </row>
    <row r="80" hidden="1" ht="15.75" customHeight="1" s="2">
      <c r="A80" s="8" t="inlineStr">
        <is>
          <t>осень</t>
        </is>
      </c>
      <c r="B80" s="9" t="inlineStr">
        <is>
          <t>Современные технологии сварки плавлением</t>
        </is>
      </c>
      <c r="C80" s="9" t="inlineStr">
        <is>
          <t>Экзамен</t>
        </is>
      </c>
      <c r="D80" s="9" t="inlineStr">
        <is>
          <t>Т11О-204М-19</t>
        </is>
      </c>
      <c r="E80" s="10" t="n">
        <v>5</v>
      </c>
      <c r="F80" s="9" t="inlineStr">
        <is>
          <t>04595</t>
        </is>
      </c>
      <c r="G80" s="11" t="n">
        <v>0</v>
      </c>
      <c r="H80" s="9" t="inlineStr">
        <is>
          <t xml:space="preserve">82056     </t>
        </is>
      </c>
      <c r="I80" s="9" t="inlineStr">
        <is>
          <t xml:space="preserve">Никитина Елена Владимировна </t>
        </is>
      </c>
      <c r="J80" s="9" t="n"/>
      <c r="K80" s="9" t="n"/>
      <c r="L80" s="9" t="inlineStr">
        <is>
          <t>пн-пт с 13:00 (509 или 532)</t>
        </is>
      </c>
      <c r="M80" s="12">
        <f>SUMIFS($E$2:$E$1130,$A$2:$A$1130,"осень",$I$2:$I$1130,I80)</f>
        <v/>
      </c>
      <c r="N80" s="13">
        <f>SUMIFS($E$2:$E$1130,$A$2:$A$1130,"весна",$I$2:$I$1130,I80)</f>
        <v/>
      </c>
      <c r="O80" s="14">
        <f>M80+N80</f>
        <v/>
      </c>
      <c r="P80" s="15">
        <f>O80/$P$1</f>
        <v/>
      </c>
    </row>
    <row r="81" hidden="1" ht="15.75" customHeight="1" s="2">
      <c r="A81" s="8" t="inlineStr">
        <is>
          <t>осень</t>
        </is>
      </c>
      <c r="B81" s="9" t="inlineStr">
        <is>
          <t>Современные технологии сварки плавлением</t>
        </is>
      </c>
      <c r="C81" s="9" t="inlineStr">
        <is>
          <t>Консультация</t>
        </is>
      </c>
      <c r="D81" s="9" t="inlineStr">
        <is>
          <t>Т11О-204М-19</t>
        </is>
      </c>
      <c r="E81" s="10" t="n">
        <v>2</v>
      </c>
      <c r="F81" s="9" t="inlineStr">
        <is>
          <t>04595</t>
        </is>
      </c>
      <c r="G81" s="11" t="n">
        <v>0</v>
      </c>
      <c r="H81" s="9" t="inlineStr">
        <is>
          <t xml:space="preserve">82056     </t>
        </is>
      </c>
      <c r="I81" s="9" t="inlineStr">
        <is>
          <t xml:space="preserve">Никитина Елена Владимировна </t>
        </is>
      </c>
      <c r="J81" s="9" t="n"/>
      <c r="K81" s="9" t="n"/>
      <c r="L81" s="9" t="inlineStr">
        <is>
          <t>пн-пт с 13:00 (509 или 532)</t>
        </is>
      </c>
      <c r="M81" s="12">
        <f>SUMIFS($E$2:$E$1130,$A$2:$A$1130,"осень",$I$2:$I$1130,I81)</f>
        <v/>
      </c>
      <c r="N81" s="13">
        <f>SUMIFS($E$2:$E$1130,$A$2:$A$1130,"весна",$I$2:$I$1130,I81)</f>
        <v/>
      </c>
      <c r="O81" s="14">
        <f>M81+N81</f>
        <v/>
      </c>
      <c r="P81" s="15">
        <f>O81/$P$1</f>
        <v/>
      </c>
    </row>
    <row r="82" hidden="1" ht="15.75" customHeight="1" s="2">
      <c r="A82" s="8" t="inlineStr">
        <is>
          <t>осень</t>
        </is>
      </c>
      <c r="B82" s="9" t="inlineStr">
        <is>
          <t>Современные технологии сварки давлением</t>
        </is>
      </c>
      <c r="C82" s="9" t="inlineStr">
        <is>
          <t>ЛК</t>
        </is>
      </c>
      <c r="D82" s="9" t="inlineStr">
        <is>
          <t>Т11О-104М-20</t>
        </is>
      </c>
      <c r="E82" s="10" t="n">
        <v>8</v>
      </c>
      <c r="F82" s="9" t="inlineStr">
        <is>
          <t>04595</t>
        </is>
      </c>
      <c r="G82" s="10" t="n">
        <v>8</v>
      </c>
      <c r="H82" s="9" t="inlineStr">
        <is>
          <t xml:space="preserve">87438     </t>
        </is>
      </c>
      <c r="I82" s="9" t="inlineStr">
        <is>
          <t xml:space="preserve">Конкевич Валентин Юрьевич </t>
        </is>
      </c>
      <c r="J82" s="9" t="n"/>
      <c r="K82" s="9" t="n"/>
      <c r="L82" s="9" t="n"/>
      <c r="M82" s="12">
        <f>SUMIFS($E$2:$E$1130,$A$2:$A$1130,"осень",$I$2:$I$1130,I82)</f>
        <v/>
      </c>
      <c r="N82" s="13">
        <f>SUMIFS($E$2:$E$1130,$A$2:$A$1130,"весна",$I$2:$I$1130,I82)</f>
        <v/>
      </c>
      <c r="O82" s="14">
        <f>M82+N82</f>
        <v/>
      </c>
      <c r="P82" s="15">
        <f>O82/$P$1</f>
        <v/>
      </c>
    </row>
    <row r="83" hidden="1" ht="15.75" customHeight="1" s="2">
      <c r="A83" s="8" t="inlineStr">
        <is>
          <t>осень</t>
        </is>
      </c>
      <c r="B83" s="9" t="inlineStr">
        <is>
          <t>Современные технологии сварки давлением</t>
        </is>
      </c>
      <c r="C83" s="9" t="inlineStr">
        <is>
          <t>КР</t>
        </is>
      </c>
      <c r="D83" s="9" t="inlineStr">
        <is>
          <t>Т11О-104М-20</t>
        </is>
      </c>
      <c r="E83" s="10" t="n">
        <v>18</v>
      </c>
      <c r="F83" s="9" t="inlineStr">
        <is>
          <t>04595</t>
        </is>
      </c>
      <c r="G83" s="11" t="n">
        <v>0</v>
      </c>
      <c r="H83" s="9" t="inlineStr">
        <is>
          <t xml:space="preserve">87438     </t>
        </is>
      </c>
      <c r="I83" s="9" t="inlineStr">
        <is>
          <t xml:space="preserve">Конкевич Валентин Юрьевич </t>
        </is>
      </c>
      <c r="J83" s="9" t="n"/>
      <c r="K83" s="9" t="n"/>
      <c r="L83" s="9" t="n"/>
      <c r="M83" s="12">
        <f>SUMIFS($E$2:$E$1130,$A$2:$A$1130,"осень",$I$2:$I$1130,I83)</f>
        <v/>
      </c>
      <c r="N83" s="13">
        <f>SUMIFS($E$2:$E$1130,$A$2:$A$1130,"весна",$I$2:$I$1130,I83)</f>
        <v/>
      </c>
      <c r="O83" s="14">
        <f>M83+N83</f>
        <v/>
      </c>
      <c r="P83" s="15">
        <f>O83/$P$1</f>
        <v/>
      </c>
    </row>
    <row r="84" hidden="1" ht="15.75" customHeight="1" s="2">
      <c r="A84" s="8" t="inlineStr">
        <is>
          <t>осень</t>
        </is>
      </c>
      <c r="B84" s="9" t="inlineStr">
        <is>
          <t>Современные технологии сварки давлением</t>
        </is>
      </c>
      <c r="C84" s="9" t="inlineStr">
        <is>
          <t>Зачет с оценкой</t>
        </is>
      </c>
      <c r="D84" s="9" t="inlineStr">
        <is>
          <t>Т11О-104М-20</t>
        </is>
      </c>
      <c r="E84" s="10" t="n">
        <v>2</v>
      </c>
      <c r="F84" s="9" t="inlineStr">
        <is>
          <t>04595</t>
        </is>
      </c>
      <c r="G84" s="11" t="n">
        <v>0</v>
      </c>
      <c r="H84" s="9" t="inlineStr">
        <is>
          <t xml:space="preserve">87438     </t>
        </is>
      </c>
      <c r="I84" s="9" t="inlineStr">
        <is>
          <t xml:space="preserve">Конкевич Валентин Юрьевич </t>
        </is>
      </c>
      <c r="J84" s="9" t="n"/>
      <c r="K84" s="9" t="n"/>
      <c r="L84" s="9" t="n"/>
      <c r="M84" s="12">
        <f>SUMIFS($E$2:$E$1130,$A$2:$A$1130,"осень",$I$2:$I$1130,I84)</f>
        <v/>
      </c>
      <c r="N84" s="13">
        <f>SUMIFS($E$2:$E$1130,$A$2:$A$1130,"весна",$I$2:$I$1130,I84)</f>
        <v/>
      </c>
      <c r="O84" s="14">
        <f>M84+N84</f>
        <v/>
      </c>
      <c r="P84" s="15">
        <f>O84/$P$1</f>
        <v/>
      </c>
    </row>
    <row r="85" hidden="1" ht="15.75" customHeight="1" s="2">
      <c r="A85" s="8" t="inlineStr">
        <is>
          <t>осень</t>
        </is>
      </c>
      <c r="B85" s="9" t="inlineStr">
        <is>
          <t>Современные технологии сварки давлением</t>
        </is>
      </c>
      <c r="C85" s="9" t="inlineStr">
        <is>
          <t>ПЗ</t>
        </is>
      </c>
      <c r="D85" s="9" t="inlineStr">
        <is>
          <t>Т11О-104М-20</t>
        </is>
      </c>
      <c r="E85" s="10" t="n">
        <v>36</v>
      </c>
      <c r="F85" s="9" t="inlineStr">
        <is>
          <t>04595</t>
        </is>
      </c>
      <c r="G85" s="10" t="n">
        <v>36</v>
      </c>
      <c r="H85" s="9" t="inlineStr">
        <is>
          <t xml:space="preserve">87438     </t>
        </is>
      </c>
      <c r="I85" s="9" t="inlineStr">
        <is>
          <t xml:space="preserve">Конкевич Валентин Юрьевич </t>
        </is>
      </c>
      <c r="J85" s="9" t="n"/>
      <c r="K85" s="9" t="n"/>
      <c r="L85" s="9" t="n"/>
      <c r="M85" s="12">
        <f>SUMIFS($E$2:$E$1130,$A$2:$A$1130,"осень",$I$2:$I$1130,I85)</f>
        <v/>
      </c>
      <c r="N85" s="13">
        <f>SUMIFS($E$2:$E$1130,$A$2:$A$1130,"весна",$I$2:$I$1130,I85)</f>
        <v/>
      </c>
      <c r="O85" s="14">
        <f>M85+N85</f>
        <v/>
      </c>
      <c r="P85" s="15">
        <f>O85/$P$1</f>
        <v/>
      </c>
    </row>
    <row r="86" hidden="1" ht="15.75" customHeight="1" s="2">
      <c r="A86" s="8" t="inlineStr">
        <is>
          <t>осень</t>
        </is>
      </c>
      <c r="B86" s="9" t="inlineStr">
        <is>
          <t>Современные технологии пайки</t>
        </is>
      </c>
      <c r="C86" s="9" t="inlineStr">
        <is>
          <t>ЛК</t>
        </is>
      </c>
      <c r="D86" s="9" t="inlineStr">
        <is>
          <t>Т11О-204М-19</t>
        </is>
      </c>
      <c r="E86" s="10" t="n">
        <v>12</v>
      </c>
      <c r="F86" s="9" t="inlineStr">
        <is>
          <t>04595</t>
        </is>
      </c>
      <c r="G86" s="10" t="n">
        <v>12</v>
      </c>
      <c r="H86" s="9" t="inlineStr">
        <is>
          <t xml:space="preserve">92509     </t>
        </is>
      </c>
      <c r="I86" s="9" t="inlineStr">
        <is>
          <t xml:space="preserve">Пашков Игорь Николаевич </t>
        </is>
      </c>
      <c r="J86" s="9" t="n"/>
      <c r="K86" s="9" t="n"/>
      <c r="L86" s="9" t="n"/>
      <c r="M86" s="12">
        <f>SUMIFS($E$2:$E$1130,$A$2:$A$1130,"осень",$I$2:$I$1130,I86)</f>
        <v/>
      </c>
      <c r="N86" s="13">
        <f>SUMIFS($E$2:$E$1130,$A$2:$A$1130,"весна",$I$2:$I$1130,I86)</f>
        <v/>
      </c>
      <c r="O86" s="14">
        <f>M86+N86</f>
        <v/>
      </c>
      <c r="P86" s="15">
        <f>O86/$P$1</f>
        <v/>
      </c>
    </row>
    <row r="87" hidden="1" ht="15.75" customHeight="1" s="2">
      <c r="A87" s="8" t="inlineStr">
        <is>
          <t>осень</t>
        </is>
      </c>
      <c r="B87" s="9" t="inlineStr">
        <is>
          <t>Современные технологии пайки</t>
        </is>
      </c>
      <c r="C87" s="9" t="inlineStr">
        <is>
          <t>Зачет с оценкой</t>
        </is>
      </c>
      <c r="D87" s="9" t="inlineStr">
        <is>
          <t>Т11О-204М-19</t>
        </is>
      </c>
      <c r="E87" s="10" t="n">
        <v>3</v>
      </c>
      <c r="F87" s="9" t="inlineStr">
        <is>
          <t>04595</t>
        </is>
      </c>
      <c r="G87" s="11" t="n">
        <v>0</v>
      </c>
      <c r="H87" s="9" t="inlineStr">
        <is>
          <t xml:space="preserve">92509     </t>
        </is>
      </c>
      <c r="I87" s="9" t="inlineStr">
        <is>
          <t xml:space="preserve">Пашков Игорь Николаевич </t>
        </is>
      </c>
      <c r="J87" s="9" t="n"/>
      <c r="K87" s="9" t="n"/>
      <c r="L87" s="9" t="n"/>
      <c r="M87" s="12">
        <f>SUMIFS($E$2:$E$1130,$A$2:$A$1130,"осень",$I$2:$I$1130,I87)</f>
        <v/>
      </c>
      <c r="N87" s="13">
        <f>SUMIFS($E$2:$E$1130,$A$2:$A$1130,"весна",$I$2:$I$1130,I87)</f>
        <v/>
      </c>
      <c r="O87" s="14">
        <f>M87+N87</f>
        <v/>
      </c>
      <c r="P87" s="15">
        <f>O87/$P$1</f>
        <v/>
      </c>
    </row>
    <row r="88" hidden="1" ht="15.75" customHeight="1" s="2">
      <c r="A88" s="8" t="inlineStr">
        <is>
          <t>осень</t>
        </is>
      </c>
      <c r="B88" s="9" t="inlineStr">
        <is>
          <t>Современные технологии пайки</t>
        </is>
      </c>
      <c r="C88" s="9" t="inlineStr">
        <is>
          <t>ПЗ</t>
        </is>
      </c>
      <c r="D88" s="9" t="inlineStr">
        <is>
          <t>Т11О-204М-19</t>
        </is>
      </c>
      <c r="E88" s="10" t="n">
        <v>40</v>
      </c>
      <c r="F88" s="9" t="inlineStr">
        <is>
          <t>04595</t>
        </is>
      </c>
      <c r="G88" s="10" t="n">
        <v>40</v>
      </c>
      <c r="H88" s="9" t="inlineStr">
        <is>
          <t xml:space="preserve">92509     </t>
        </is>
      </c>
      <c r="I88" s="9" t="inlineStr">
        <is>
          <t xml:space="preserve">Пашков Игорь Николаевич </t>
        </is>
      </c>
      <c r="J88" s="9" t="n"/>
      <c r="K88" s="9" t="n"/>
      <c r="L88" s="9" t="n"/>
      <c r="M88" s="12">
        <f>SUMIFS($E$2:$E$1130,$A$2:$A$1130,"осень",$I$2:$I$1130,I88)</f>
        <v/>
      </c>
      <c r="N88" s="13">
        <f>SUMIFS($E$2:$E$1130,$A$2:$A$1130,"весна",$I$2:$I$1130,I88)</f>
        <v/>
      </c>
      <c r="O88" s="14">
        <f>M88+N88</f>
        <v/>
      </c>
      <c r="P88" s="15">
        <f>O88/$P$1</f>
        <v/>
      </c>
    </row>
    <row r="89" hidden="1" ht="15.75" customHeight="1" s="2">
      <c r="A89" s="8" t="inlineStr">
        <is>
          <t>осень</t>
        </is>
      </c>
      <c r="B89" s="9" t="inlineStr">
        <is>
          <t>Современные технологии пайки</t>
        </is>
      </c>
      <c r="C89" s="9" t="inlineStr">
        <is>
          <t>Консультация</t>
        </is>
      </c>
      <c r="D89" s="9" t="inlineStr">
        <is>
          <t>Т11О-204М-19</t>
        </is>
      </c>
      <c r="E89" s="10" t="n">
        <v>1</v>
      </c>
      <c r="F89" s="9" t="inlineStr">
        <is>
          <t>04595</t>
        </is>
      </c>
      <c r="G89" s="11" t="n">
        <v>0</v>
      </c>
      <c r="H89" s="9" t="inlineStr">
        <is>
          <t xml:space="preserve">92509     </t>
        </is>
      </c>
      <c r="I89" s="9" t="inlineStr">
        <is>
          <t xml:space="preserve">Пашков Игорь Николаевич </t>
        </is>
      </c>
      <c r="J89" s="9" t="n"/>
      <c r="K89" s="9" t="n"/>
      <c r="L89" s="9" t="n"/>
      <c r="M89" s="12">
        <f>SUMIFS($E$2:$E$1130,$A$2:$A$1130,"осень",$I$2:$I$1130,I89)</f>
        <v/>
      </c>
      <c r="N89" s="13">
        <f>SUMIFS($E$2:$E$1130,$A$2:$A$1130,"весна",$I$2:$I$1130,I89)</f>
        <v/>
      </c>
      <c r="O89" s="14">
        <f>M89+N89</f>
        <v/>
      </c>
      <c r="P89" s="15">
        <f>O89/$P$1</f>
        <v/>
      </c>
    </row>
    <row r="90" hidden="1" ht="15.75" customHeight="1" s="2">
      <c r="A90" s="8" t="inlineStr">
        <is>
          <t>осень</t>
        </is>
      </c>
      <c r="B90" s="9" t="inlineStr">
        <is>
          <t>Контроль качества в порошковой металлургии</t>
        </is>
      </c>
      <c r="C90" s="9" t="inlineStr">
        <is>
          <t>ЛК</t>
        </is>
      </c>
      <c r="D90" s="9" t="inlineStr">
        <is>
          <t>Т11О-203М-19</t>
        </is>
      </c>
      <c r="E90" s="10" t="n">
        <v>16</v>
      </c>
      <c r="F90" s="9" t="inlineStr">
        <is>
          <t>06203</t>
        </is>
      </c>
      <c r="G90" s="10" t="n">
        <v>16</v>
      </c>
      <c r="H90" s="9" t="inlineStr">
        <is>
          <t xml:space="preserve">82090     </t>
        </is>
      </c>
      <c r="I90" s="9" t="inlineStr">
        <is>
          <t xml:space="preserve">Барабанова Ольга Алексеевна </t>
        </is>
      </c>
      <c r="J90" s="9" t="n"/>
      <c r="K90" s="9" t="n"/>
      <c r="L90" s="9" t="inlineStr">
        <is>
          <t>вт с 13:00</t>
        </is>
      </c>
      <c r="M90" s="12">
        <f>SUMIFS($E$2:$E$1130,$A$2:$A$1130,"осень",$I$2:$I$1130,I90)</f>
        <v/>
      </c>
      <c r="N90" s="13">
        <f>SUMIFS($E$2:$E$1130,$A$2:$A$1130,"весна",$I$2:$I$1130,I90)</f>
        <v/>
      </c>
      <c r="O90" s="14">
        <f>M90+N90</f>
        <v/>
      </c>
      <c r="P90" s="15">
        <f>O90/$P$1</f>
        <v/>
      </c>
    </row>
    <row r="91" hidden="1" ht="15.75" customHeight="1" s="2">
      <c r="A91" s="8" t="inlineStr">
        <is>
          <t>осень</t>
        </is>
      </c>
      <c r="B91" s="9" t="inlineStr">
        <is>
          <t>Контроль качества в порошковой металлургии</t>
        </is>
      </c>
      <c r="C91" s="9" t="inlineStr">
        <is>
          <t>ПЗ</t>
        </is>
      </c>
      <c r="D91" s="9" t="inlineStr">
        <is>
          <t>Т11О-203М-19</t>
        </is>
      </c>
      <c r="E91" s="10" t="n">
        <v>36</v>
      </c>
      <c r="F91" s="9" t="inlineStr">
        <is>
          <t>06203</t>
        </is>
      </c>
      <c r="G91" s="10" t="n">
        <v>36</v>
      </c>
      <c r="H91" s="9" t="inlineStr">
        <is>
          <t xml:space="preserve">82090     </t>
        </is>
      </c>
      <c r="I91" s="9" t="inlineStr">
        <is>
          <t xml:space="preserve">Барабанова Ольга Алексеевна </t>
        </is>
      </c>
      <c r="J91" s="9" t="n"/>
      <c r="K91" s="9" t="n"/>
      <c r="L91" s="9" t="inlineStr">
        <is>
          <t>вт с 13:00</t>
        </is>
      </c>
      <c r="M91" s="12">
        <f>SUMIFS($E$2:$E$1130,$A$2:$A$1130,"осень",$I$2:$I$1130,I91)</f>
        <v/>
      </c>
      <c r="N91" s="13">
        <f>SUMIFS($E$2:$E$1130,$A$2:$A$1130,"весна",$I$2:$I$1130,I91)</f>
        <v/>
      </c>
      <c r="O91" s="14">
        <f>M91+N91</f>
        <v/>
      </c>
      <c r="P91" s="15">
        <f>O91/$P$1</f>
        <v/>
      </c>
    </row>
    <row r="92" hidden="1" ht="15.75" customHeight="1" s="2">
      <c r="A92" s="8" t="inlineStr">
        <is>
          <t>осень</t>
        </is>
      </c>
      <c r="B92" s="9" t="inlineStr">
        <is>
          <t>Контроль качества в порошковой металлургии</t>
        </is>
      </c>
      <c r="C92" s="9" t="inlineStr">
        <is>
          <t>Зачет</t>
        </is>
      </c>
      <c r="D92" s="9" t="inlineStr">
        <is>
          <t>Т11О-203М-19</t>
        </is>
      </c>
      <c r="E92" s="10" t="n">
        <v>2</v>
      </c>
      <c r="F92" s="9" t="inlineStr">
        <is>
          <t>06203</t>
        </is>
      </c>
      <c r="G92" s="11" t="n">
        <v>0</v>
      </c>
      <c r="H92" s="9" t="inlineStr">
        <is>
          <t xml:space="preserve">82090     </t>
        </is>
      </c>
      <c r="I92" s="9" t="inlineStr">
        <is>
          <t xml:space="preserve">Барабанова Ольга Алексеевна </t>
        </is>
      </c>
      <c r="J92" s="9" t="n"/>
      <c r="K92" s="9" t="n"/>
      <c r="L92" s="9" t="inlineStr">
        <is>
          <t>вт с 13:00</t>
        </is>
      </c>
      <c r="M92" s="12">
        <f>SUMIFS($E$2:$E$1130,$A$2:$A$1130,"осень",$I$2:$I$1130,I92)</f>
        <v/>
      </c>
      <c r="N92" s="13">
        <f>SUMIFS($E$2:$E$1130,$A$2:$A$1130,"весна",$I$2:$I$1130,I92)</f>
        <v/>
      </c>
      <c r="O92" s="14">
        <f>M92+N92</f>
        <v/>
      </c>
      <c r="P92" s="15">
        <f>O92/$P$1</f>
        <v/>
      </c>
    </row>
    <row r="93" hidden="1" ht="15.75" customHeight="1" s="2">
      <c r="A93" s="8" t="inlineStr">
        <is>
          <t>осень</t>
        </is>
      </c>
      <c r="B93" s="9" t="inlineStr">
        <is>
          <t>Контроль качества в порошковой металлургии</t>
        </is>
      </c>
      <c r="C93" s="9" t="inlineStr">
        <is>
          <t>Консультация</t>
        </is>
      </c>
      <c r="D93" s="9" t="inlineStr">
        <is>
          <t>Т11О-203М-19</t>
        </is>
      </c>
      <c r="E93" s="10" t="n">
        <v>1</v>
      </c>
      <c r="F93" s="9" t="inlineStr">
        <is>
          <t>06203</t>
        </is>
      </c>
      <c r="G93" s="11" t="n">
        <v>0</v>
      </c>
      <c r="H93" s="9" t="inlineStr">
        <is>
          <t xml:space="preserve">82090     </t>
        </is>
      </c>
      <c r="I93" s="9" t="inlineStr">
        <is>
          <t xml:space="preserve">Барабанова Ольга Алексеевна </t>
        </is>
      </c>
      <c r="J93" s="9" t="n"/>
      <c r="K93" s="9" t="n"/>
      <c r="L93" s="9" t="inlineStr">
        <is>
          <t>вт с 13:00</t>
        </is>
      </c>
      <c r="M93" s="12">
        <f>SUMIFS($E$2:$E$1130,$A$2:$A$1130,"осень",$I$2:$I$1130,I93)</f>
        <v/>
      </c>
      <c r="N93" s="13">
        <f>SUMIFS($E$2:$E$1130,$A$2:$A$1130,"весна",$I$2:$I$1130,I93)</f>
        <v/>
      </c>
      <c r="O93" s="14">
        <f>M93+N93</f>
        <v/>
      </c>
      <c r="P93" s="15">
        <f>O93/$P$1</f>
        <v/>
      </c>
    </row>
    <row r="94" hidden="1" ht="15.75" customHeight="1" s="2">
      <c r="A94" s="8" t="inlineStr">
        <is>
          <t>осень</t>
        </is>
      </c>
      <c r="B94" s="9" t="inlineStr">
        <is>
          <t>Разработка ресурсосберегающих технологий диффузионной сварки</t>
        </is>
      </c>
      <c r="C94" s="9" t="inlineStr">
        <is>
          <t>ЛК</t>
        </is>
      </c>
      <c r="D94" s="9" t="inlineStr">
        <is>
          <t>Т11О-103М-20</t>
        </is>
      </c>
      <c r="E94" s="10" t="n">
        <v>12</v>
      </c>
      <c r="F94" s="9" t="inlineStr">
        <is>
          <t>06203</t>
        </is>
      </c>
      <c r="G94" s="10" t="n">
        <v>12</v>
      </c>
      <c r="H94" s="9" t="inlineStr">
        <is>
          <t xml:space="preserve">82090     </t>
        </is>
      </c>
      <c r="I94" s="9" t="inlineStr">
        <is>
          <t xml:space="preserve">Барабанова Ольга Алексеевна </t>
        </is>
      </c>
      <c r="J94" s="9" t="n"/>
      <c r="K94" s="9" t="n"/>
      <c r="L94" s="9" t="inlineStr">
        <is>
          <t>пт с 13:00</t>
        </is>
      </c>
      <c r="M94" s="12">
        <f>SUMIFS($E$2:$E$1130,$A$2:$A$1130,"осень",$I$2:$I$1130,I94)</f>
        <v/>
      </c>
      <c r="N94" s="13">
        <f>SUMIFS($E$2:$E$1130,$A$2:$A$1130,"весна",$I$2:$I$1130,I94)</f>
        <v/>
      </c>
      <c r="O94" s="14">
        <f>M94+N94</f>
        <v/>
      </c>
      <c r="P94" s="15">
        <f>O94/$P$1</f>
        <v/>
      </c>
    </row>
    <row r="95" hidden="1" ht="15.75" customHeight="1" s="2">
      <c r="A95" s="8" t="inlineStr">
        <is>
          <t>осень</t>
        </is>
      </c>
      <c r="B95" s="9" t="inlineStr">
        <is>
          <t>Разработка ресурсосберегающих технологий диффузионной сварки</t>
        </is>
      </c>
      <c r="C95" s="9" t="inlineStr">
        <is>
          <t>Зачет с оценкой</t>
        </is>
      </c>
      <c r="D95" s="9" t="inlineStr">
        <is>
          <t>Т11О-103М-20</t>
        </is>
      </c>
      <c r="E95" s="10" t="n">
        <v>2</v>
      </c>
      <c r="F95" s="9" t="inlineStr">
        <is>
          <t>06203</t>
        </is>
      </c>
      <c r="G95" s="11" t="n">
        <v>0</v>
      </c>
      <c r="H95" s="9" t="inlineStr">
        <is>
          <t xml:space="preserve">82090     </t>
        </is>
      </c>
      <c r="I95" s="9" t="inlineStr">
        <is>
          <t xml:space="preserve">Барабанова Ольга Алексеевна </t>
        </is>
      </c>
      <c r="J95" s="9" t="n"/>
      <c r="K95" s="9" t="n"/>
      <c r="L95" s="9" t="inlineStr">
        <is>
          <t>пт с 13:00</t>
        </is>
      </c>
      <c r="M95" s="12">
        <f>SUMIFS($E$2:$E$1130,$A$2:$A$1130,"осень",$I$2:$I$1130,I95)</f>
        <v/>
      </c>
      <c r="N95" s="13">
        <f>SUMIFS($E$2:$E$1130,$A$2:$A$1130,"весна",$I$2:$I$1130,I95)</f>
        <v/>
      </c>
      <c r="O95" s="14">
        <f>M95+N95</f>
        <v/>
      </c>
      <c r="P95" s="15">
        <f>O95/$P$1</f>
        <v/>
      </c>
    </row>
    <row r="96" hidden="1" ht="15.75" customHeight="1" s="2">
      <c r="A96" s="8" t="inlineStr">
        <is>
          <t>осень</t>
        </is>
      </c>
      <c r="B96" s="9" t="inlineStr">
        <is>
          <t>Разработка ресурсосберегающих технологий диффузионной сварки</t>
        </is>
      </c>
      <c r="C96" s="9" t="inlineStr">
        <is>
          <t>ПЗ</t>
        </is>
      </c>
      <c r="D96" s="9" t="inlineStr">
        <is>
          <t>Т11О-103М-20</t>
        </is>
      </c>
      <c r="E96" s="10" t="n">
        <v>26</v>
      </c>
      <c r="F96" s="9" t="inlineStr">
        <is>
          <t>06203</t>
        </is>
      </c>
      <c r="G96" s="10" t="n">
        <v>26</v>
      </c>
      <c r="H96" s="9" t="inlineStr">
        <is>
          <t xml:space="preserve">82090     </t>
        </is>
      </c>
      <c r="I96" s="9" t="inlineStr">
        <is>
          <t xml:space="preserve">Барабанова Ольга Алексеевна </t>
        </is>
      </c>
      <c r="J96" s="9" t="n"/>
      <c r="K96" s="9" t="n"/>
      <c r="L96" s="9" t="inlineStr">
        <is>
          <t>пт с 13:00</t>
        </is>
      </c>
      <c r="M96" s="12">
        <f>SUMIFS($E$2:$E$1130,$A$2:$A$1130,"осень",$I$2:$I$1130,I96)</f>
        <v/>
      </c>
      <c r="N96" s="13">
        <f>SUMIFS($E$2:$E$1130,$A$2:$A$1130,"весна",$I$2:$I$1130,I96)</f>
        <v/>
      </c>
      <c r="O96" s="14">
        <f>M96+N96</f>
        <v/>
      </c>
      <c r="P96" s="15">
        <f>O96/$P$1</f>
        <v/>
      </c>
    </row>
    <row r="97" hidden="1" ht="15.75" customHeight="1" s="2">
      <c r="A97" s="8" t="inlineStr">
        <is>
          <t>осень</t>
        </is>
      </c>
      <c r="B97" s="9" t="inlineStr">
        <is>
          <t>Разработка ресурсосберегающих технологий диффузионной сварки</t>
        </is>
      </c>
      <c r="C97" s="9" t="inlineStr">
        <is>
          <t>Консультация</t>
        </is>
      </c>
      <c r="D97" s="9" t="inlineStr">
        <is>
          <t>Т11О-103М-20</t>
        </is>
      </c>
      <c r="E97" s="10" t="n">
        <v>1</v>
      </c>
      <c r="F97" s="9" t="inlineStr">
        <is>
          <t>06203</t>
        </is>
      </c>
      <c r="G97" s="11" t="n">
        <v>0</v>
      </c>
      <c r="H97" s="9" t="inlineStr">
        <is>
          <t xml:space="preserve">82090     </t>
        </is>
      </c>
      <c r="I97" s="9" t="inlineStr">
        <is>
          <t xml:space="preserve">Барабанова Ольга Алексеевна </t>
        </is>
      </c>
      <c r="J97" s="9" t="n"/>
      <c r="K97" s="9" t="n"/>
      <c r="L97" s="9" t="inlineStr">
        <is>
          <t>пт с 13:00</t>
        </is>
      </c>
      <c r="M97" s="12">
        <f>SUMIFS($E$2:$E$1130,$A$2:$A$1130,"осень",$I$2:$I$1130,I97)</f>
        <v/>
      </c>
      <c r="N97" s="13">
        <f>SUMIFS($E$2:$E$1130,$A$2:$A$1130,"весна",$I$2:$I$1130,I97)</f>
        <v/>
      </c>
      <c r="O97" s="14">
        <f>M97+N97</f>
        <v/>
      </c>
      <c r="P97" s="15">
        <f>O97/$P$1</f>
        <v/>
      </c>
    </row>
    <row r="98" hidden="1" ht="15.75" customHeight="1" s="2">
      <c r="A98" s="8" t="inlineStr">
        <is>
          <t>осень</t>
        </is>
      </c>
      <c r="B98" s="9" t="inlineStr">
        <is>
          <t>Документооборот в профессиональной деятельности</t>
        </is>
      </c>
      <c r="C98" s="9" t="inlineStr">
        <is>
          <t>ЛК</t>
        </is>
      </c>
      <c r="D98" s="9" t="inlineStr">
        <is>
          <t>Т11О-301Б-18, Т11О-302Б-18</t>
        </is>
      </c>
      <c r="E98" s="10" t="n">
        <v>18</v>
      </c>
      <c r="F98" s="9" t="inlineStr">
        <is>
          <t>08947</t>
        </is>
      </c>
      <c r="G98" s="10" t="n">
        <v>18</v>
      </c>
      <c r="H98" s="9" t="inlineStr">
        <is>
          <t xml:space="preserve">82021     </t>
        </is>
      </c>
      <c r="I98" s="9" t="inlineStr">
        <is>
          <t xml:space="preserve">Власенко Артем Николаевич </t>
        </is>
      </c>
      <c r="J98" s="9" t="n"/>
      <c r="K98" s="9" t="n"/>
      <c r="L98" s="9" t="inlineStr">
        <is>
          <t>кроме четверга</t>
        </is>
      </c>
      <c r="M98" s="12">
        <f>SUMIFS($E$2:$E$1130,$A$2:$A$1130,"осень",$I$2:$I$1130,I98)</f>
        <v/>
      </c>
      <c r="N98" s="13">
        <f>SUMIFS($E$2:$E$1130,$A$2:$A$1130,"весна",$I$2:$I$1130,I98)</f>
        <v/>
      </c>
      <c r="O98" s="14">
        <f>M98+N98</f>
        <v/>
      </c>
      <c r="P98" s="15">
        <f>O98/$P$1</f>
        <v/>
      </c>
    </row>
    <row r="99" hidden="1" ht="15.75" customHeight="1" s="2">
      <c r="A99" s="8" t="inlineStr">
        <is>
          <t>осень</t>
        </is>
      </c>
      <c r="B99" s="9" t="inlineStr">
        <is>
          <t>Документооборот в профессиональной деятельности</t>
        </is>
      </c>
      <c r="C99" s="9" t="inlineStr">
        <is>
          <t>ПЗ</t>
        </is>
      </c>
      <c r="D99" s="9" t="inlineStr">
        <is>
          <t>Т11О-301Б-18</t>
        </is>
      </c>
      <c r="E99" s="10" t="n">
        <v>18</v>
      </c>
      <c r="F99" s="9" t="inlineStr">
        <is>
          <t>08947</t>
        </is>
      </c>
      <c r="G99" s="10" t="n">
        <v>18</v>
      </c>
      <c r="H99" s="9" t="inlineStr">
        <is>
          <t xml:space="preserve">82021     </t>
        </is>
      </c>
      <c r="I99" s="9" t="inlineStr">
        <is>
          <t xml:space="preserve">Власенко Артем Николаевич </t>
        </is>
      </c>
      <c r="J99" s="9" t="n"/>
      <c r="K99" s="9" t="n"/>
      <c r="L99" s="9" t="inlineStr">
        <is>
          <t>кроме четверга</t>
        </is>
      </c>
      <c r="M99" s="12">
        <f>SUMIFS($E$2:$E$1130,$A$2:$A$1130,"осень",$I$2:$I$1130,I99)</f>
        <v/>
      </c>
      <c r="N99" s="13">
        <f>SUMIFS($E$2:$E$1130,$A$2:$A$1130,"весна",$I$2:$I$1130,I99)</f>
        <v/>
      </c>
      <c r="O99" s="14">
        <f>M99+N99</f>
        <v/>
      </c>
      <c r="P99" s="15">
        <f>O99/$P$1</f>
        <v/>
      </c>
    </row>
    <row r="100" hidden="1" ht="15.75" customHeight="1" s="2">
      <c r="A100" s="8" t="inlineStr">
        <is>
          <t>осень</t>
        </is>
      </c>
      <c r="B100" s="9" t="inlineStr">
        <is>
          <t>Документооборот в профессиональной деятельности</t>
        </is>
      </c>
      <c r="C100" s="9" t="inlineStr">
        <is>
          <t>ПЗ</t>
        </is>
      </c>
      <c r="D100" s="9" t="inlineStr">
        <is>
          <t>Т11О-302Б-18</t>
        </is>
      </c>
      <c r="E100" s="10" t="n">
        <v>18</v>
      </c>
      <c r="F100" s="9" t="inlineStr">
        <is>
          <t>08947</t>
        </is>
      </c>
      <c r="G100" s="10" t="n">
        <v>18</v>
      </c>
      <c r="H100" s="9" t="inlineStr">
        <is>
          <t xml:space="preserve">82021     </t>
        </is>
      </c>
      <c r="I100" s="9" t="inlineStr">
        <is>
          <t xml:space="preserve">Власенко Артем Николаевич </t>
        </is>
      </c>
      <c r="J100" s="9" t="n"/>
      <c r="K100" s="9" t="n"/>
      <c r="L100" s="9" t="inlineStr">
        <is>
          <t>кроме четверга</t>
        </is>
      </c>
      <c r="M100" s="12">
        <f>SUMIFS($E$2:$E$1130,$A$2:$A$1130,"осень",$I$2:$I$1130,I100)</f>
        <v/>
      </c>
      <c r="N100" s="13">
        <f>SUMIFS($E$2:$E$1130,$A$2:$A$1130,"весна",$I$2:$I$1130,I100)</f>
        <v/>
      </c>
      <c r="O100" s="14">
        <f>M100+N100</f>
        <v/>
      </c>
      <c r="P100" s="15">
        <f>O100/$P$1</f>
        <v/>
      </c>
    </row>
    <row r="101" hidden="1" ht="15.75" customHeight="1" s="2">
      <c r="A101" s="8" t="inlineStr">
        <is>
          <t>осень</t>
        </is>
      </c>
      <c r="B101" s="9" t="inlineStr">
        <is>
          <t>Документооборот в профессиональной деятельности</t>
        </is>
      </c>
      <c r="C101" s="9" t="inlineStr">
        <is>
          <t>Зачет</t>
        </is>
      </c>
      <c r="D101" s="9" t="inlineStr">
        <is>
          <t>Т11О-301Б-18</t>
        </is>
      </c>
      <c r="E101" s="10" t="n">
        <v>6</v>
      </c>
      <c r="F101" s="9" t="inlineStr">
        <is>
          <t>08947</t>
        </is>
      </c>
      <c r="G101" s="11" t="n">
        <v>0</v>
      </c>
      <c r="H101" s="9" t="inlineStr">
        <is>
          <t xml:space="preserve">82021     </t>
        </is>
      </c>
      <c r="I101" s="9" t="inlineStr">
        <is>
          <t xml:space="preserve">Власенко Артем Николаевич </t>
        </is>
      </c>
      <c r="J101" s="9" t="n"/>
      <c r="K101" s="9" t="n"/>
      <c r="L101" s="9" t="inlineStr">
        <is>
          <t>кроме четверга</t>
        </is>
      </c>
      <c r="M101" s="12">
        <f>SUMIFS($E$2:$E$1130,$A$2:$A$1130,"осень",$I$2:$I$1130,I101)</f>
        <v/>
      </c>
      <c r="N101" s="13">
        <f>SUMIFS($E$2:$E$1130,$A$2:$A$1130,"весна",$I$2:$I$1130,I101)</f>
        <v/>
      </c>
      <c r="O101" s="14">
        <f>M101+N101</f>
        <v/>
      </c>
      <c r="P101" s="15">
        <f>O101/$P$1</f>
        <v/>
      </c>
    </row>
    <row r="102" hidden="1" ht="15.75" customHeight="1" s="2">
      <c r="A102" s="8" t="inlineStr">
        <is>
          <t>осень</t>
        </is>
      </c>
      <c r="B102" s="9" t="inlineStr">
        <is>
          <t>Документооборот в профессиональной деятельности</t>
        </is>
      </c>
      <c r="C102" s="9" t="inlineStr">
        <is>
          <t>Зачет</t>
        </is>
      </c>
      <c r="D102" s="9" t="inlineStr">
        <is>
          <t>Т11О-302Б-18</t>
        </is>
      </c>
      <c r="E102" s="10" t="n">
        <v>5</v>
      </c>
      <c r="F102" s="9" t="inlineStr">
        <is>
          <t>08947</t>
        </is>
      </c>
      <c r="G102" s="11" t="n">
        <v>0</v>
      </c>
      <c r="H102" s="9" t="inlineStr">
        <is>
          <t xml:space="preserve">82021     </t>
        </is>
      </c>
      <c r="I102" s="9" t="inlineStr">
        <is>
          <t xml:space="preserve">Власенко Артем Николаевич </t>
        </is>
      </c>
      <c r="J102" s="9" t="n"/>
      <c r="K102" s="9" t="n"/>
      <c r="L102" s="9" t="inlineStr">
        <is>
          <t>кроме четверга</t>
        </is>
      </c>
      <c r="M102" s="12">
        <f>SUMIFS($E$2:$E$1130,$A$2:$A$1130,"осень",$I$2:$I$1130,I102)</f>
        <v/>
      </c>
      <c r="N102" s="13">
        <f>SUMIFS($E$2:$E$1130,$A$2:$A$1130,"весна",$I$2:$I$1130,I102)</f>
        <v/>
      </c>
      <c r="O102" s="14">
        <f>M102+N102</f>
        <v/>
      </c>
      <c r="P102" s="15">
        <f>O102/$P$1</f>
        <v/>
      </c>
    </row>
    <row r="103" hidden="1" ht="15.75" customHeight="1" s="2">
      <c r="A103" s="8" t="inlineStr">
        <is>
          <t>осень</t>
        </is>
      </c>
      <c r="B103" s="9" t="inlineStr">
        <is>
          <t>Документооборот в профессиональной деятельности</t>
        </is>
      </c>
      <c r="C103" s="9" t="inlineStr">
        <is>
          <t>Консультация</t>
        </is>
      </c>
      <c r="D103" s="9" t="inlineStr">
        <is>
          <t>Т11О-301Б-18</t>
        </is>
      </c>
      <c r="E103" s="10" t="n">
        <v>1</v>
      </c>
      <c r="F103" s="9" t="inlineStr">
        <is>
          <t>08947</t>
        </is>
      </c>
      <c r="G103" s="11" t="n">
        <v>0</v>
      </c>
      <c r="H103" s="9" t="inlineStr">
        <is>
          <t xml:space="preserve">82021     </t>
        </is>
      </c>
      <c r="I103" s="9" t="inlineStr">
        <is>
          <t xml:space="preserve">Власенко Артем Николаевич </t>
        </is>
      </c>
      <c r="J103" s="9" t="n"/>
      <c r="K103" s="9" t="n"/>
      <c r="L103" s="9" t="inlineStr">
        <is>
          <t>кроме четверга</t>
        </is>
      </c>
      <c r="M103" s="12">
        <f>SUMIFS($E$2:$E$1130,$A$2:$A$1130,"осень",$I$2:$I$1130,I103)</f>
        <v/>
      </c>
      <c r="N103" s="13">
        <f>SUMIFS($E$2:$E$1130,$A$2:$A$1130,"весна",$I$2:$I$1130,I103)</f>
        <v/>
      </c>
      <c r="O103" s="14">
        <f>M103+N103</f>
        <v/>
      </c>
      <c r="P103" s="15">
        <f>O103/$P$1</f>
        <v/>
      </c>
    </row>
    <row r="104" hidden="1" ht="15.75" customHeight="1" s="2">
      <c r="A104" s="8" t="inlineStr">
        <is>
          <t>осень</t>
        </is>
      </c>
      <c r="B104" s="9" t="inlineStr">
        <is>
          <t>Документооборот в профессиональной деятельности</t>
        </is>
      </c>
      <c r="C104" s="9" t="inlineStr">
        <is>
          <t>Консультация</t>
        </is>
      </c>
      <c r="D104" s="9" t="inlineStr">
        <is>
          <t>Т11О-302Б-18</t>
        </is>
      </c>
      <c r="E104" s="10" t="n">
        <v>1</v>
      </c>
      <c r="F104" s="9" t="inlineStr">
        <is>
          <t>08947</t>
        </is>
      </c>
      <c r="G104" s="11" t="n">
        <v>0</v>
      </c>
      <c r="H104" s="9" t="inlineStr">
        <is>
          <t xml:space="preserve">82021     </t>
        </is>
      </c>
      <c r="I104" s="9" t="inlineStr">
        <is>
          <t xml:space="preserve">Власенко Артем Николаевич </t>
        </is>
      </c>
      <c r="J104" s="9" t="n"/>
      <c r="K104" s="9" t="n"/>
      <c r="L104" s="9" t="inlineStr">
        <is>
          <t>кроме четверга</t>
        </is>
      </c>
      <c r="M104" s="12">
        <f>SUMIFS($E$2:$E$1130,$A$2:$A$1130,"осень",$I$2:$I$1130,I104)</f>
        <v/>
      </c>
      <c r="N104" s="13">
        <f>SUMIFS($E$2:$E$1130,$A$2:$A$1130,"весна",$I$2:$I$1130,I104)</f>
        <v/>
      </c>
      <c r="O104" s="14">
        <f>M104+N104</f>
        <v/>
      </c>
      <c r="P104" s="15">
        <f>O104/$P$1</f>
        <v/>
      </c>
    </row>
    <row r="105" hidden="1" ht="15.75" customHeight="1" s="2">
      <c r="A105" s="17" t="inlineStr">
        <is>
          <t>осень</t>
        </is>
      </c>
      <c r="B105" s="9" t="inlineStr">
        <is>
          <t>Моделирование и оптимизация технологических процессов</t>
        </is>
      </c>
      <c r="C105" s="9" t="inlineStr">
        <is>
          <t>ЛК</t>
        </is>
      </c>
      <c r="D105" s="9" t="inlineStr">
        <is>
          <t>Т11О-201М-19</t>
        </is>
      </c>
      <c r="E105" s="10" t="n">
        <v>18</v>
      </c>
      <c r="F105" s="9" t="inlineStr">
        <is>
          <t>04489</t>
        </is>
      </c>
      <c r="G105" s="10" t="n">
        <v>18</v>
      </c>
      <c r="H105" s="9" t="inlineStr">
        <is>
          <t xml:space="preserve">81722     </t>
        </is>
      </c>
      <c r="I105" s="9" t="inlineStr">
        <is>
          <t xml:space="preserve">Шленский Алексей Геннадьевич </t>
        </is>
      </c>
      <c r="J105" s="9" t="inlineStr">
        <is>
          <t>доцент</t>
        </is>
      </c>
      <c r="K105" s="9" t="n"/>
      <c r="L105" s="9" t="inlineStr">
        <is>
          <t>525 А</t>
        </is>
      </c>
      <c r="M105" s="12">
        <f>SUMIFS($E$2:$E$1130,$A$2:$A$1130,"осень",$I$2:$I$1130,I105)</f>
        <v/>
      </c>
      <c r="N105" s="13">
        <f>SUMIFS($E$2:$E$1130,$A$2:$A$1130,"весна",$I$2:$I$1130,I105)</f>
        <v/>
      </c>
      <c r="O105" s="14">
        <f>M105+N105</f>
        <v/>
      </c>
      <c r="P105" s="15">
        <f>O105/$P$1</f>
        <v/>
      </c>
    </row>
    <row r="106" hidden="1" ht="15.75" customHeight="1" s="2">
      <c r="A106" s="17" t="inlineStr">
        <is>
          <t>осень</t>
        </is>
      </c>
      <c r="B106" s="9" t="inlineStr">
        <is>
          <t>Моделирование и оптимизация технологических процессов</t>
        </is>
      </c>
      <c r="C106" s="9" t="inlineStr">
        <is>
          <t>КР</t>
        </is>
      </c>
      <c r="D106" s="9" t="inlineStr">
        <is>
          <t>Т11О-201М-19</t>
        </is>
      </c>
      <c r="E106" s="10" t="n">
        <v>21</v>
      </c>
      <c r="F106" s="9" t="inlineStr">
        <is>
          <t>04489</t>
        </is>
      </c>
      <c r="G106" s="11" t="n">
        <v>0</v>
      </c>
      <c r="H106" s="9" t="inlineStr">
        <is>
          <t xml:space="preserve">81722     </t>
        </is>
      </c>
      <c r="I106" s="9" t="inlineStr">
        <is>
          <t xml:space="preserve">Шленский Алексей Геннадьевич </t>
        </is>
      </c>
      <c r="J106" s="9" t="inlineStr">
        <is>
          <t>доцент</t>
        </is>
      </c>
      <c r="K106" s="9" t="n"/>
      <c r="L106" s="9" t="inlineStr">
        <is>
          <t>525 А</t>
        </is>
      </c>
      <c r="M106" s="12">
        <f>SUMIFS($E$2:$E$1130,$A$2:$A$1130,"осень",$I$2:$I$1130,I106)</f>
        <v/>
      </c>
      <c r="N106" s="13">
        <f>SUMIFS($E$2:$E$1130,$A$2:$A$1130,"весна",$I$2:$I$1130,I106)</f>
        <v/>
      </c>
      <c r="O106" s="14">
        <f>M106+N106</f>
        <v/>
      </c>
      <c r="P106" s="15">
        <f>O106/$P$1</f>
        <v/>
      </c>
    </row>
    <row r="107" hidden="1" ht="15.75" customHeight="1" s="2">
      <c r="A107" s="17" t="inlineStr">
        <is>
          <t>осень</t>
        </is>
      </c>
      <c r="B107" s="9" t="inlineStr">
        <is>
          <t>Моделирование и оптимизация технологических процессов</t>
        </is>
      </c>
      <c r="C107" s="9" t="inlineStr">
        <is>
          <t>Зачет с оценкой</t>
        </is>
      </c>
      <c r="D107" s="9" t="inlineStr">
        <is>
          <t>Т11О-201М-19</t>
        </is>
      </c>
      <c r="E107" s="10" t="n">
        <v>2</v>
      </c>
      <c r="F107" s="9" t="inlineStr">
        <is>
          <t>04489</t>
        </is>
      </c>
      <c r="G107" s="11" t="n">
        <v>0</v>
      </c>
      <c r="H107" s="9" t="inlineStr">
        <is>
          <t xml:space="preserve">81722     </t>
        </is>
      </c>
      <c r="I107" s="9" t="inlineStr">
        <is>
          <t xml:space="preserve">Шленский Алексей Геннадьевич </t>
        </is>
      </c>
      <c r="J107" s="9" t="inlineStr">
        <is>
          <t>доцент</t>
        </is>
      </c>
      <c r="K107" s="9" t="n"/>
      <c r="L107" s="9" t="inlineStr">
        <is>
          <t>525 А</t>
        </is>
      </c>
      <c r="M107" s="12">
        <f>SUMIFS($E$2:$E$1130,$A$2:$A$1130,"осень",$I$2:$I$1130,I107)</f>
        <v/>
      </c>
      <c r="N107" s="13">
        <f>SUMIFS($E$2:$E$1130,$A$2:$A$1130,"весна",$I$2:$I$1130,I107)</f>
        <v/>
      </c>
      <c r="O107" s="14">
        <f>M107+N107</f>
        <v/>
      </c>
      <c r="P107" s="15">
        <f>O107/$P$1</f>
        <v/>
      </c>
    </row>
    <row r="108" hidden="1" ht="15.75" customHeight="1" s="2">
      <c r="A108" s="17" t="inlineStr">
        <is>
          <t>осень</t>
        </is>
      </c>
      <c r="B108" s="9" t="inlineStr">
        <is>
          <t>Моделирование и оптимизация технологических процессов</t>
        </is>
      </c>
      <c r="C108" s="9" t="inlineStr">
        <is>
          <t>ПЗ</t>
        </is>
      </c>
      <c r="D108" s="9" t="inlineStr">
        <is>
          <t>Т11О-201М-19</t>
        </is>
      </c>
      <c r="E108" s="10" t="n">
        <v>62</v>
      </c>
      <c r="F108" s="9" t="inlineStr">
        <is>
          <t>04489</t>
        </is>
      </c>
      <c r="G108" s="10" t="n">
        <v>62</v>
      </c>
      <c r="H108" s="9" t="inlineStr">
        <is>
          <t xml:space="preserve">81722     </t>
        </is>
      </c>
      <c r="I108" s="9" t="inlineStr">
        <is>
          <t xml:space="preserve">Шленский Алексей Геннадьевич </t>
        </is>
      </c>
      <c r="J108" s="9" t="inlineStr">
        <is>
          <t>доцент</t>
        </is>
      </c>
      <c r="K108" s="9" t="n"/>
      <c r="L108" s="9" t="inlineStr">
        <is>
          <t>525 А</t>
        </is>
      </c>
      <c r="M108" s="12">
        <f>SUMIFS($E$2:$E$1130,$A$2:$A$1130,"осень",$I$2:$I$1130,I108)</f>
        <v/>
      </c>
      <c r="N108" s="13">
        <f>SUMIFS($E$2:$E$1130,$A$2:$A$1130,"весна",$I$2:$I$1130,I108)</f>
        <v/>
      </c>
      <c r="O108" s="14">
        <f>M108+N108</f>
        <v/>
      </c>
      <c r="P108" s="15">
        <f>O108/$P$1</f>
        <v/>
      </c>
    </row>
    <row r="109" hidden="1" ht="15.75" customHeight="1" s="2">
      <c r="A109" s="17" t="inlineStr">
        <is>
          <t>осень</t>
        </is>
      </c>
      <c r="B109" s="9" t="inlineStr">
        <is>
          <t>Моделирование и оптимизация технологических процессов</t>
        </is>
      </c>
      <c r="C109" s="9" t="inlineStr">
        <is>
          <t>Консультация</t>
        </is>
      </c>
      <c r="D109" s="9" t="inlineStr">
        <is>
          <t>Т11О-201М-19</t>
        </is>
      </c>
      <c r="E109" s="10" t="n">
        <v>1</v>
      </c>
      <c r="F109" s="9" t="inlineStr">
        <is>
          <t>04489</t>
        </is>
      </c>
      <c r="G109" s="11" t="n">
        <v>0</v>
      </c>
      <c r="H109" s="9" t="inlineStr">
        <is>
          <t xml:space="preserve">81722     </t>
        </is>
      </c>
      <c r="I109" s="9" t="inlineStr">
        <is>
          <t xml:space="preserve">Шленский Алексей Геннадьевич </t>
        </is>
      </c>
      <c r="J109" s="9" t="inlineStr">
        <is>
          <t>доцент</t>
        </is>
      </c>
      <c r="K109" s="9" t="n"/>
      <c r="L109" s="9" t="inlineStr">
        <is>
          <t>525 А</t>
        </is>
      </c>
      <c r="M109" s="12">
        <f>SUMIFS($E$2:$E$1130,$A$2:$A$1130,"осень",$I$2:$I$1130,I109)</f>
        <v/>
      </c>
      <c r="N109" s="13">
        <f>SUMIFS($E$2:$E$1130,$A$2:$A$1130,"весна",$I$2:$I$1130,I109)</f>
        <v/>
      </c>
      <c r="O109" s="14">
        <f>M109+N109</f>
        <v/>
      </c>
      <c r="P109" s="15">
        <f>O109/$P$1</f>
        <v/>
      </c>
    </row>
    <row r="110" hidden="1" ht="15.75" customHeight="1" s="2">
      <c r="A110" s="17" t="inlineStr">
        <is>
          <t>осень</t>
        </is>
      </c>
      <c r="B110" s="9" t="inlineStr">
        <is>
          <t>Физико-математическое моделирование процессов обработки металлов давлением</t>
        </is>
      </c>
      <c r="C110" s="9" t="inlineStr">
        <is>
          <t>ЛК</t>
        </is>
      </c>
      <c r="D110" s="9" t="inlineStr">
        <is>
          <t>Т11О-201М-19</t>
        </is>
      </c>
      <c r="E110" s="10" t="n">
        <v>12</v>
      </c>
      <c r="F110" s="9" t="inlineStr">
        <is>
          <t>04489</t>
        </is>
      </c>
      <c r="G110" s="10" t="n">
        <v>12</v>
      </c>
      <c r="H110" s="9" t="inlineStr">
        <is>
          <t xml:space="preserve">81732     </t>
        </is>
      </c>
      <c r="I110" s="9" t="inlineStr">
        <is>
          <t xml:space="preserve">Петров Анатолий Павлович </t>
        </is>
      </c>
      <c r="J110" s="9" t="inlineStr">
        <is>
          <t>профессор</t>
        </is>
      </c>
      <c r="K110" s="9" t="n"/>
      <c r="L110" s="9" t="inlineStr">
        <is>
          <t>кроме среды и первой пары понедельника (525 А)</t>
        </is>
      </c>
      <c r="M110" s="12">
        <f>SUMIFS($E$2:$E$1130,$A$2:$A$1130,"осень",$I$2:$I$1130,I110)</f>
        <v/>
      </c>
      <c r="N110" s="13">
        <f>SUMIFS($E$2:$E$1130,$A$2:$A$1130,"весна",$I$2:$I$1130,I110)</f>
        <v/>
      </c>
      <c r="O110" s="14">
        <f>M110+N110</f>
        <v/>
      </c>
      <c r="P110" s="15">
        <f>O110/$P$1</f>
        <v/>
      </c>
    </row>
    <row r="111" hidden="1" ht="15.75" customHeight="1" s="2">
      <c r="A111" s="17" t="inlineStr">
        <is>
          <t>осень</t>
        </is>
      </c>
      <c r="B111" s="9" t="inlineStr">
        <is>
          <t>Физико-математическое моделирование процессов обработки металлов давлением</t>
        </is>
      </c>
      <c r="C111" s="9" t="inlineStr">
        <is>
          <t>ПЗ</t>
        </is>
      </c>
      <c r="D111" s="9" t="inlineStr">
        <is>
          <t>Т11О-201М-19</t>
        </is>
      </c>
      <c r="E111" s="10" t="n">
        <v>42</v>
      </c>
      <c r="F111" s="9" t="inlineStr">
        <is>
          <t>04489</t>
        </is>
      </c>
      <c r="G111" s="10" t="n">
        <v>42</v>
      </c>
      <c r="H111" s="9" t="inlineStr">
        <is>
          <t xml:space="preserve">81732     </t>
        </is>
      </c>
      <c r="I111" s="9" t="inlineStr">
        <is>
          <t xml:space="preserve">Петров Анатолий Павлович </t>
        </is>
      </c>
      <c r="J111" s="9" t="inlineStr">
        <is>
          <t>профессор</t>
        </is>
      </c>
      <c r="K111" s="9" t="n"/>
      <c r="L111" s="9" t="inlineStr">
        <is>
          <t>кроме среды и первой пары понедельника (525 А)</t>
        </is>
      </c>
      <c r="M111" s="12">
        <f>SUMIFS($E$2:$E$1130,$A$2:$A$1130,"осень",$I$2:$I$1130,I111)</f>
        <v/>
      </c>
      <c r="N111" s="13">
        <f>SUMIFS($E$2:$E$1130,$A$2:$A$1130,"весна",$I$2:$I$1130,I111)</f>
        <v/>
      </c>
      <c r="O111" s="14">
        <f>M111+N111</f>
        <v/>
      </c>
      <c r="P111" s="15">
        <f>O111/$P$1</f>
        <v/>
      </c>
    </row>
    <row r="112" hidden="1" ht="15.75" customHeight="1" s="2">
      <c r="A112" s="17" t="inlineStr">
        <is>
          <t>осень</t>
        </is>
      </c>
      <c r="B112" s="9" t="inlineStr">
        <is>
          <t>Физико-математическое моделирование процессов обработки металлов давлением</t>
        </is>
      </c>
      <c r="C112" s="9" t="inlineStr">
        <is>
          <t>Экзамен</t>
        </is>
      </c>
      <c r="D112" s="9" t="inlineStr">
        <is>
          <t>Т11О-201М-19</t>
        </is>
      </c>
      <c r="E112" s="10" t="n">
        <v>4</v>
      </c>
      <c r="F112" s="9" t="inlineStr">
        <is>
          <t>04489</t>
        </is>
      </c>
      <c r="G112" s="11" t="n">
        <v>0</v>
      </c>
      <c r="H112" s="9" t="inlineStr">
        <is>
          <t xml:space="preserve">81732     </t>
        </is>
      </c>
      <c r="I112" s="9" t="inlineStr">
        <is>
          <t xml:space="preserve">Петров Анатолий Павлович </t>
        </is>
      </c>
      <c r="J112" s="9" t="inlineStr">
        <is>
          <t>профессор</t>
        </is>
      </c>
      <c r="K112" s="9" t="n"/>
      <c r="L112" s="9" t="inlineStr">
        <is>
          <t>кроме среды и первой пары понедельника (525 А)</t>
        </is>
      </c>
      <c r="M112" s="12">
        <f>SUMIFS($E$2:$E$1130,$A$2:$A$1130,"осень",$I$2:$I$1130,I112)</f>
        <v/>
      </c>
      <c r="N112" s="13">
        <f>SUMIFS($E$2:$E$1130,$A$2:$A$1130,"весна",$I$2:$I$1130,I112)</f>
        <v/>
      </c>
      <c r="O112" s="14">
        <f>M112+N112</f>
        <v/>
      </c>
      <c r="P112" s="15">
        <f>O112/$P$1</f>
        <v/>
      </c>
    </row>
    <row r="113" hidden="1" ht="15.75" customHeight="1" s="2">
      <c r="A113" s="17" t="inlineStr">
        <is>
          <t>осень</t>
        </is>
      </c>
      <c r="B113" s="9" t="inlineStr">
        <is>
          <t>Физико-математическое моделирование процессов обработки металлов давлением</t>
        </is>
      </c>
      <c r="C113" s="9" t="inlineStr">
        <is>
          <t>Консультация</t>
        </is>
      </c>
      <c r="D113" s="9" t="inlineStr">
        <is>
          <t>Т11О-201М-19</t>
        </is>
      </c>
      <c r="E113" s="10" t="n">
        <v>3</v>
      </c>
      <c r="F113" s="9" t="inlineStr">
        <is>
          <t>04489</t>
        </is>
      </c>
      <c r="G113" s="11" t="n">
        <v>0</v>
      </c>
      <c r="H113" s="9" t="inlineStr">
        <is>
          <t xml:space="preserve">81732     </t>
        </is>
      </c>
      <c r="I113" s="9" t="inlineStr">
        <is>
          <t xml:space="preserve">Петров Анатолий Павлович </t>
        </is>
      </c>
      <c r="J113" s="9" t="inlineStr">
        <is>
          <t>профессор</t>
        </is>
      </c>
      <c r="K113" s="9" t="n"/>
      <c r="L113" s="9" t="inlineStr">
        <is>
          <t>кроме среды и первой пары понедельника (525 А)</t>
        </is>
      </c>
      <c r="M113" s="12">
        <f>SUMIFS($E$2:$E$1130,$A$2:$A$1130,"осень",$I$2:$I$1130,I113)</f>
        <v/>
      </c>
      <c r="N113" s="13">
        <f>SUMIFS($E$2:$E$1130,$A$2:$A$1130,"весна",$I$2:$I$1130,I113)</f>
        <v/>
      </c>
      <c r="O113" s="14">
        <f>M113+N113</f>
        <v/>
      </c>
      <c r="P113" s="15">
        <f>O113/$P$1</f>
        <v/>
      </c>
    </row>
    <row r="114" hidden="1" ht="15.75" customHeight="1" s="2">
      <c r="A114" s="8" t="inlineStr">
        <is>
          <t>осень</t>
        </is>
      </c>
      <c r="B114" s="9" t="inlineStr">
        <is>
          <t>Физика и техника высоких давлений</t>
        </is>
      </c>
      <c r="C114" s="9" t="inlineStr">
        <is>
          <t>ЛК</t>
        </is>
      </c>
      <c r="D114" s="9" t="inlineStr">
        <is>
          <t>Т11О-201М-19</t>
        </is>
      </c>
      <c r="E114" s="10" t="n">
        <v>18</v>
      </c>
      <c r="F114" s="9" t="inlineStr">
        <is>
          <t>04489</t>
        </is>
      </c>
      <c r="G114" s="10" t="n">
        <v>18</v>
      </c>
      <c r="H114" s="9" t="inlineStr">
        <is>
          <t xml:space="preserve">81730     </t>
        </is>
      </c>
      <c r="I114" s="9" t="inlineStr">
        <is>
          <t>Федоров Анатолий Александрович</t>
        </is>
      </c>
      <c r="J114" s="9" t="inlineStr">
        <is>
          <t>профессор</t>
        </is>
      </c>
      <c r="K114" s="9" t="n"/>
      <c r="L114" s="9" t="n"/>
      <c r="M114" s="12">
        <f>SUMIFS($E$2:$E$1130,$A$2:$A$1130,"осень",$I$2:$I$1130,I114)</f>
        <v/>
      </c>
      <c r="N114" s="13">
        <f>SUMIFS($E$2:$E$1130,$A$2:$A$1130,"весна",$I$2:$I$1130,I114)</f>
        <v/>
      </c>
      <c r="O114" s="14">
        <f>M114+N114</f>
        <v/>
      </c>
      <c r="P114" s="15">
        <f>O114/$P$1</f>
        <v/>
      </c>
    </row>
    <row r="115" hidden="1" ht="15.75" customHeight="1" s="2">
      <c r="A115" s="8" t="inlineStr">
        <is>
          <t>осень</t>
        </is>
      </c>
      <c r="B115" s="9" t="inlineStr">
        <is>
          <t>Физика и техника высоких давлений</t>
        </is>
      </c>
      <c r="C115" s="9" t="inlineStr">
        <is>
          <t>ПЗ</t>
        </is>
      </c>
      <c r="D115" s="9" t="inlineStr">
        <is>
          <t>Т11О-201М-19</t>
        </is>
      </c>
      <c r="E115" s="10" t="n">
        <v>36</v>
      </c>
      <c r="F115" s="9" t="inlineStr">
        <is>
          <t>04489</t>
        </is>
      </c>
      <c r="G115" s="10" t="n">
        <v>36</v>
      </c>
      <c r="H115" s="9" t="inlineStr">
        <is>
          <t xml:space="preserve">81730     </t>
        </is>
      </c>
      <c r="I115" s="9" t="inlineStr">
        <is>
          <t>Федоров Анатолий Александрович</t>
        </is>
      </c>
      <c r="J115" s="9" t="inlineStr">
        <is>
          <t>профессор</t>
        </is>
      </c>
      <c r="K115" s="9" t="n"/>
      <c r="L115" s="9" t="n"/>
      <c r="M115" s="12">
        <f>SUMIFS($E$2:$E$1130,$A$2:$A$1130,"осень",$I$2:$I$1130,I115)</f>
        <v/>
      </c>
      <c r="N115" s="13">
        <f>SUMIFS($E$2:$E$1130,$A$2:$A$1130,"весна",$I$2:$I$1130,I115)</f>
        <v/>
      </c>
      <c r="O115" s="14">
        <f>M115+N115</f>
        <v/>
      </c>
      <c r="P115" s="15">
        <f>O115/$P$1</f>
        <v/>
      </c>
    </row>
    <row r="116" hidden="1" ht="15.75" customHeight="1" s="2">
      <c r="A116" s="8" t="inlineStr">
        <is>
          <t>осень</t>
        </is>
      </c>
      <c r="B116" s="9" t="inlineStr">
        <is>
          <t>Физика и техника высоких давлений</t>
        </is>
      </c>
      <c r="C116" s="9" t="inlineStr">
        <is>
          <t>Экзамен</t>
        </is>
      </c>
      <c r="D116" s="9" t="inlineStr">
        <is>
          <t>Т11О-201М-19</t>
        </is>
      </c>
      <c r="E116" s="10" t="n">
        <v>4</v>
      </c>
      <c r="F116" s="9" t="inlineStr">
        <is>
          <t>04489</t>
        </is>
      </c>
      <c r="G116" s="11" t="n">
        <v>0</v>
      </c>
      <c r="H116" s="9" t="inlineStr">
        <is>
          <t xml:space="preserve">81730     </t>
        </is>
      </c>
      <c r="I116" s="9" t="inlineStr">
        <is>
          <t>Федоров Анатолий Александрович</t>
        </is>
      </c>
      <c r="J116" s="9" t="inlineStr">
        <is>
          <t>профессор</t>
        </is>
      </c>
      <c r="K116" s="9" t="n"/>
      <c r="L116" s="9" t="n"/>
      <c r="M116" s="12">
        <f>SUMIFS($E$2:$E$1130,$A$2:$A$1130,"осень",$I$2:$I$1130,I116)</f>
        <v/>
      </c>
      <c r="N116" s="13">
        <f>SUMIFS($E$2:$E$1130,$A$2:$A$1130,"весна",$I$2:$I$1130,I116)</f>
        <v/>
      </c>
      <c r="O116" s="14">
        <f>M116+N116</f>
        <v/>
      </c>
      <c r="P116" s="15">
        <f>O116/$P$1</f>
        <v/>
      </c>
    </row>
    <row r="117" hidden="1" ht="15.75" customHeight="1" s="2">
      <c r="A117" s="8" t="inlineStr">
        <is>
          <t>осень</t>
        </is>
      </c>
      <c r="B117" s="9" t="inlineStr">
        <is>
          <t>Физика и техника высоких давлений</t>
        </is>
      </c>
      <c r="C117" s="9" t="inlineStr">
        <is>
          <t>Консультация</t>
        </is>
      </c>
      <c r="D117" s="9" t="inlineStr">
        <is>
          <t>Т11О-201М-19</t>
        </is>
      </c>
      <c r="E117" s="10" t="n">
        <v>3</v>
      </c>
      <c r="F117" s="9" t="inlineStr">
        <is>
          <t>04489</t>
        </is>
      </c>
      <c r="G117" s="11" t="n">
        <v>0</v>
      </c>
      <c r="H117" s="9" t="inlineStr">
        <is>
          <t xml:space="preserve">81730     </t>
        </is>
      </c>
      <c r="I117" s="9" t="inlineStr">
        <is>
          <t>Федоров Анатолий Александрович</t>
        </is>
      </c>
      <c r="J117" s="9" t="inlineStr">
        <is>
          <t>профессор</t>
        </is>
      </c>
      <c r="K117" s="9" t="n"/>
      <c r="L117" s="9" t="n"/>
      <c r="M117" s="12">
        <f>SUMIFS($E$2:$E$1130,$A$2:$A$1130,"осень",$I$2:$I$1130,I117)</f>
        <v/>
      </c>
      <c r="N117" s="13">
        <f>SUMIFS($E$2:$E$1130,$A$2:$A$1130,"весна",$I$2:$I$1130,I117)</f>
        <v/>
      </c>
      <c r="O117" s="14">
        <f>M117+N117</f>
        <v/>
      </c>
      <c r="P117" s="15">
        <f>O117/$P$1</f>
        <v/>
      </c>
    </row>
    <row r="118" hidden="1" ht="15.75" customHeight="1" s="2">
      <c r="A118" s="8" t="inlineStr">
        <is>
          <t>осень</t>
        </is>
      </c>
      <c r="B118" s="9" t="inlineStr">
        <is>
          <t>Основы автоматизации технологических процессов</t>
        </is>
      </c>
      <c r="C118" s="9" t="inlineStr">
        <is>
          <t>ЛК</t>
        </is>
      </c>
      <c r="D118" s="9" t="inlineStr">
        <is>
          <t>Т11О-301Б-18, Т11О-302Б-18, Т11О-305Б-18, Т11О-306Б-18, Т11О-307Б-18, Т11О-308Б-18</t>
        </is>
      </c>
      <c r="E118" s="10" t="n">
        <v>24</v>
      </c>
      <c r="F118" s="9" t="inlineStr">
        <is>
          <t>09898</t>
        </is>
      </c>
      <c r="G118" s="10" t="n">
        <v>24</v>
      </c>
      <c r="H118" s="9" t="inlineStr">
        <is>
          <t xml:space="preserve">81716     </t>
        </is>
      </c>
      <c r="I118" s="9" t="inlineStr">
        <is>
          <t xml:space="preserve">Жаров Максим Владимирович </t>
        </is>
      </c>
      <c r="J118" s="9" t="inlineStr">
        <is>
          <t>доцент</t>
        </is>
      </c>
      <c r="K118" s="9" t="n"/>
      <c r="L118" s="9" t="inlineStr">
        <is>
          <t>по первым неделям</t>
        </is>
      </c>
      <c r="M118" s="12">
        <f>SUMIFS($E$2:$E$1130,$A$2:$A$1130,"осень",$I$2:$I$1130,I118)</f>
        <v/>
      </c>
      <c r="N118" s="13">
        <f>SUMIFS($E$2:$E$1130,$A$2:$A$1130,"весна",$I$2:$I$1130,I118)</f>
        <v/>
      </c>
      <c r="O118" s="14">
        <f>M118+N118</f>
        <v/>
      </c>
      <c r="P118" s="15">
        <f>O118/$P$1</f>
        <v/>
      </c>
    </row>
    <row r="119" hidden="1" ht="15.75" customHeight="1" s="2">
      <c r="A119" s="8" t="inlineStr">
        <is>
          <t>осень</t>
        </is>
      </c>
      <c r="B119" s="9" t="inlineStr">
        <is>
          <t>Основы автоматизации технологических процессов</t>
        </is>
      </c>
      <c r="C119" s="9" t="inlineStr">
        <is>
          <t>Зачет с оценкой</t>
        </is>
      </c>
      <c r="D119" s="9" t="inlineStr">
        <is>
          <t>Т11О-301Б-18</t>
        </is>
      </c>
      <c r="E119" s="10" t="n">
        <v>6</v>
      </c>
      <c r="F119" s="9" t="inlineStr">
        <is>
          <t>09898</t>
        </is>
      </c>
      <c r="G119" s="11" t="n">
        <v>0</v>
      </c>
      <c r="H119" s="9" t="inlineStr">
        <is>
          <t xml:space="preserve">81716     </t>
        </is>
      </c>
      <c r="I119" s="9" t="inlineStr">
        <is>
          <t xml:space="preserve">Жаров Максим Владимирович </t>
        </is>
      </c>
      <c r="J119" s="9" t="inlineStr">
        <is>
          <t>доцент</t>
        </is>
      </c>
      <c r="K119" s="9" t="n"/>
      <c r="L119" s="9" t="inlineStr">
        <is>
          <t>по первым неделям</t>
        </is>
      </c>
      <c r="M119" s="12">
        <f>SUMIFS($E$2:$E$1130,$A$2:$A$1130,"осень",$I$2:$I$1130,I119)</f>
        <v/>
      </c>
      <c r="N119" s="13">
        <f>SUMIFS($E$2:$E$1130,$A$2:$A$1130,"весна",$I$2:$I$1130,I119)</f>
        <v/>
      </c>
      <c r="O119" s="14">
        <f>M119+N119</f>
        <v/>
      </c>
      <c r="P119" s="15">
        <f>O119/$P$1</f>
        <v/>
      </c>
    </row>
    <row r="120" hidden="1" ht="15.75" customHeight="1" s="2">
      <c r="A120" s="8" t="inlineStr">
        <is>
          <t>осень</t>
        </is>
      </c>
      <c r="B120" s="9" t="inlineStr">
        <is>
          <t>Основы автоматизации технологических процессов</t>
        </is>
      </c>
      <c r="C120" s="9" t="inlineStr">
        <is>
          <t>Зачет с оценкой</t>
        </is>
      </c>
      <c r="D120" s="9" t="inlineStr">
        <is>
          <t>Т11О-302Б-18</t>
        </is>
      </c>
      <c r="E120" s="10" t="n">
        <v>5</v>
      </c>
      <c r="F120" s="9" t="inlineStr">
        <is>
          <t>09898</t>
        </is>
      </c>
      <c r="G120" s="11" t="n">
        <v>0</v>
      </c>
      <c r="H120" s="9" t="inlineStr">
        <is>
          <t xml:space="preserve">81716     </t>
        </is>
      </c>
      <c r="I120" s="9" t="inlineStr">
        <is>
          <t xml:space="preserve">Жаров Максим Владимирович </t>
        </is>
      </c>
      <c r="J120" s="9" t="inlineStr">
        <is>
          <t>доцент</t>
        </is>
      </c>
      <c r="K120" s="9" t="n"/>
      <c r="L120" s="9" t="inlineStr">
        <is>
          <t>по первым неделям</t>
        </is>
      </c>
      <c r="M120" s="12">
        <f>SUMIFS($E$2:$E$1130,$A$2:$A$1130,"осень",$I$2:$I$1130,I120)</f>
        <v/>
      </c>
      <c r="N120" s="13">
        <f>SUMIFS($E$2:$E$1130,$A$2:$A$1130,"весна",$I$2:$I$1130,I120)</f>
        <v/>
      </c>
      <c r="O120" s="14">
        <f>M120+N120</f>
        <v/>
      </c>
      <c r="P120" s="15">
        <f>O120/$P$1</f>
        <v/>
      </c>
    </row>
    <row r="121" hidden="1" ht="15.75" customHeight="1" s="2">
      <c r="A121" s="8" t="inlineStr">
        <is>
          <t>осень</t>
        </is>
      </c>
      <c r="B121" s="9" t="inlineStr">
        <is>
          <t>Основы автоматизации технологических процессов</t>
        </is>
      </c>
      <c r="C121" s="9" t="inlineStr">
        <is>
          <t>ПЗ</t>
        </is>
      </c>
      <c r="D121" s="9" t="inlineStr">
        <is>
          <t>Т11О-306Б-18</t>
        </is>
      </c>
      <c r="E121" s="10" t="n">
        <v>8</v>
      </c>
      <c r="F121" s="9" t="inlineStr">
        <is>
          <t>09898</t>
        </is>
      </c>
      <c r="G121" s="10" t="n">
        <v>8</v>
      </c>
      <c r="H121" s="9" t="inlineStr">
        <is>
          <t xml:space="preserve">81716     </t>
        </is>
      </c>
      <c r="I121" s="9" t="inlineStr">
        <is>
          <t xml:space="preserve">Жаров Максим Владимирович </t>
        </is>
      </c>
      <c r="J121" s="9" t="inlineStr">
        <is>
          <t>доцент</t>
        </is>
      </c>
      <c r="K121" s="9" t="n"/>
      <c r="L121" s="9" t="inlineStr">
        <is>
          <t>по первым неделям</t>
        </is>
      </c>
      <c r="M121" s="12">
        <f>SUMIFS($E$2:$E$1130,$A$2:$A$1130,"осень",$I$2:$I$1130,I121)</f>
        <v/>
      </c>
      <c r="N121" s="13">
        <f>SUMIFS($E$2:$E$1130,$A$2:$A$1130,"весна",$I$2:$I$1130,I121)</f>
        <v/>
      </c>
      <c r="O121" s="14">
        <f>M121+N121</f>
        <v/>
      </c>
      <c r="P121" s="15">
        <f>O121/$P$1</f>
        <v/>
      </c>
    </row>
    <row r="122" hidden="1" ht="15.75" customHeight="1" s="2">
      <c r="A122" s="8" t="inlineStr">
        <is>
          <t>осень</t>
        </is>
      </c>
      <c r="B122" s="9" t="inlineStr">
        <is>
          <t>Основы автоматизации технологических процессов</t>
        </is>
      </c>
      <c r="C122" s="9" t="inlineStr">
        <is>
          <t>ПЗ</t>
        </is>
      </c>
      <c r="D122" s="9" t="inlineStr">
        <is>
          <t>Т11О-307Б-18</t>
        </is>
      </c>
      <c r="E122" s="10" t="n">
        <v>8</v>
      </c>
      <c r="F122" s="9" t="inlineStr">
        <is>
          <t>09898</t>
        </is>
      </c>
      <c r="G122" s="10" t="n">
        <v>8</v>
      </c>
      <c r="H122" s="9" t="inlineStr">
        <is>
          <t xml:space="preserve">81716     </t>
        </is>
      </c>
      <c r="I122" s="9" t="inlineStr">
        <is>
          <t xml:space="preserve">Жаров Максим Владимирович </t>
        </is>
      </c>
      <c r="J122" s="9" t="inlineStr">
        <is>
          <t>доцент</t>
        </is>
      </c>
      <c r="K122" s="9" t="n"/>
      <c r="L122" s="9" t="inlineStr">
        <is>
          <t>по первым неделям</t>
        </is>
      </c>
      <c r="M122" s="12">
        <f>SUMIFS($E$2:$E$1130,$A$2:$A$1130,"осень",$I$2:$I$1130,I122)</f>
        <v/>
      </c>
      <c r="N122" s="13">
        <f>SUMIFS($E$2:$E$1130,$A$2:$A$1130,"весна",$I$2:$I$1130,I122)</f>
        <v/>
      </c>
      <c r="O122" s="14">
        <f>M122+N122</f>
        <v/>
      </c>
      <c r="P122" s="15">
        <f>O122/$P$1</f>
        <v/>
      </c>
    </row>
    <row r="123" hidden="1" ht="15.75" customHeight="1" s="2">
      <c r="A123" s="8" t="inlineStr">
        <is>
          <t>осень</t>
        </is>
      </c>
      <c r="B123" s="9" t="inlineStr">
        <is>
          <t>Основы автоматизации технологических процессов</t>
        </is>
      </c>
      <c r="C123" s="9" t="inlineStr">
        <is>
          <t>ПЗ</t>
        </is>
      </c>
      <c r="D123" s="9" t="inlineStr">
        <is>
          <t>Т11О-301Б-18</t>
        </is>
      </c>
      <c r="E123" s="10" t="n">
        <v>8</v>
      </c>
      <c r="F123" s="9" t="inlineStr">
        <is>
          <t>09898</t>
        </is>
      </c>
      <c r="G123" s="10" t="n">
        <v>8</v>
      </c>
      <c r="H123" s="9" t="inlineStr">
        <is>
          <t xml:space="preserve">81716     </t>
        </is>
      </c>
      <c r="I123" s="9" t="inlineStr">
        <is>
          <t xml:space="preserve">Жаров Максим Владимирович </t>
        </is>
      </c>
      <c r="J123" s="9" t="inlineStr">
        <is>
          <t>доцент</t>
        </is>
      </c>
      <c r="K123" s="9" t="n"/>
      <c r="L123" s="9" t="inlineStr">
        <is>
          <t>по первым неделям</t>
        </is>
      </c>
      <c r="M123" s="12">
        <f>SUMIFS($E$2:$E$1130,$A$2:$A$1130,"осень",$I$2:$I$1130,I123)</f>
        <v/>
      </c>
      <c r="N123" s="13">
        <f>SUMIFS($E$2:$E$1130,$A$2:$A$1130,"весна",$I$2:$I$1130,I123)</f>
        <v/>
      </c>
      <c r="O123" s="14">
        <f>M123+N123</f>
        <v/>
      </c>
      <c r="P123" s="15">
        <f>O123/$P$1</f>
        <v/>
      </c>
    </row>
    <row r="124" hidden="1" ht="15.75" customHeight="1" s="2">
      <c r="A124" s="8" t="inlineStr">
        <is>
          <t>осень</t>
        </is>
      </c>
      <c r="B124" s="9" t="inlineStr">
        <is>
          <t>Основы автоматизации технологических процессов</t>
        </is>
      </c>
      <c r="C124" s="9" t="inlineStr">
        <is>
          <t>ПЗ</t>
        </is>
      </c>
      <c r="D124" s="9" t="inlineStr">
        <is>
          <t>Т11О-305Б-18</t>
        </is>
      </c>
      <c r="E124" s="10" t="n">
        <v>8</v>
      </c>
      <c r="F124" s="9" t="inlineStr">
        <is>
          <t>09898</t>
        </is>
      </c>
      <c r="G124" s="10" t="n">
        <v>8</v>
      </c>
      <c r="H124" s="9" t="inlineStr">
        <is>
          <t xml:space="preserve">81716     </t>
        </is>
      </c>
      <c r="I124" s="9" t="inlineStr">
        <is>
          <t xml:space="preserve">Жаров Максим Владимирович </t>
        </is>
      </c>
      <c r="J124" s="9" t="inlineStr">
        <is>
          <t>доцент</t>
        </is>
      </c>
      <c r="K124" s="9" t="n"/>
      <c r="L124" s="9" t="inlineStr">
        <is>
          <t>по первым неделям</t>
        </is>
      </c>
      <c r="M124" s="12">
        <f>SUMIFS($E$2:$E$1130,$A$2:$A$1130,"осень",$I$2:$I$1130,I124)</f>
        <v/>
      </c>
      <c r="N124" s="13">
        <f>SUMIFS($E$2:$E$1130,$A$2:$A$1130,"весна",$I$2:$I$1130,I124)</f>
        <v/>
      </c>
      <c r="O124" s="14">
        <f>M124+N124</f>
        <v/>
      </c>
      <c r="P124" s="15">
        <f>O124/$P$1</f>
        <v/>
      </c>
    </row>
    <row r="125" hidden="1" ht="15.75" customHeight="1" s="2">
      <c r="A125" s="8" t="inlineStr">
        <is>
          <t>осень</t>
        </is>
      </c>
      <c r="B125" s="9" t="inlineStr">
        <is>
          <t>Основы автоматизации технологических процессов</t>
        </is>
      </c>
      <c r="C125" s="9" t="inlineStr">
        <is>
          <t>ПЗ</t>
        </is>
      </c>
      <c r="D125" s="9" t="inlineStr">
        <is>
          <t>Т11О-308Б-18</t>
        </is>
      </c>
      <c r="E125" s="10" t="n">
        <v>8</v>
      </c>
      <c r="F125" s="9" t="inlineStr">
        <is>
          <t>09898</t>
        </is>
      </c>
      <c r="G125" s="10" t="n">
        <v>8</v>
      </c>
      <c r="H125" s="9" t="inlineStr">
        <is>
          <t xml:space="preserve">81716     </t>
        </is>
      </c>
      <c r="I125" s="9" t="inlineStr">
        <is>
          <t xml:space="preserve">Жаров Максим Владимирович </t>
        </is>
      </c>
      <c r="J125" s="9" t="inlineStr">
        <is>
          <t>доцент</t>
        </is>
      </c>
      <c r="K125" s="9" t="n"/>
      <c r="L125" s="9" t="inlineStr">
        <is>
          <t>по первым неделям</t>
        </is>
      </c>
      <c r="M125" s="12">
        <f>SUMIFS($E$2:$E$1130,$A$2:$A$1130,"осень",$I$2:$I$1130,I125)</f>
        <v/>
      </c>
      <c r="N125" s="13">
        <f>SUMIFS($E$2:$E$1130,$A$2:$A$1130,"весна",$I$2:$I$1130,I125)</f>
        <v/>
      </c>
      <c r="O125" s="14">
        <f>M125+N125</f>
        <v/>
      </c>
      <c r="P125" s="15">
        <f>O125/$P$1</f>
        <v/>
      </c>
    </row>
    <row r="126" hidden="1" ht="15.75" customHeight="1" s="2">
      <c r="A126" s="8" t="inlineStr">
        <is>
          <t>осень</t>
        </is>
      </c>
      <c r="B126" s="9" t="inlineStr">
        <is>
          <t>Основы автоматизации технологических процессов</t>
        </is>
      </c>
      <c r="C126" s="9" t="inlineStr">
        <is>
          <t>ПЗ</t>
        </is>
      </c>
      <c r="D126" s="9" t="inlineStr">
        <is>
          <t>Т11О-302Б-18</t>
        </is>
      </c>
      <c r="E126" s="10" t="n">
        <v>8</v>
      </c>
      <c r="F126" s="9" t="inlineStr">
        <is>
          <t>09898</t>
        </is>
      </c>
      <c r="G126" s="10" t="n">
        <v>8</v>
      </c>
      <c r="H126" s="9" t="inlineStr">
        <is>
          <t xml:space="preserve">81716     </t>
        </is>
      </c>
      <c r="I126" s="9" t="inlineStr">
        <is>
          <t xml:space="preserve">Жаров Максим Владимирович </t>
        </is>
      </c>
      <c r="J126" s="9" t="inlineStr">
        <is>
          <t>доцент</t>
        </is>
      </c>
      <c r="K126" s="9" t="n"/>
      <c r="L126" s="9" t="inlineStr">
        <is>
          <t>по первым неделям</t>
        </is>
      </c>
      <c r="M126" s="12">
        <f>SUMIFS($E$2:$E$1130,$A$2:$A$1130,"осень",$I$2:$I$1130,I126)</f>
        <v/>
      </c>
      <c r="N126" s="13">
        <f>SUMIFS($E$2:$E$1130,$A$2:$A$1130,"весна",$I$2:$I$1130,I126)</f>
        <v/>
      </c>
      <c r="O126" s="14">
        <f>M126+N126</f>
        <v/>
      </c>
      <c r="P126" s="15">
        <f>O126/$P$1</f>
        <v/>
      </c>
    </row>
    <row r="127" hidden="1" ht="15.75" customHeight="1" s="2">
      <c r="A127" s="8" t="inlineStr">
        <is>
          <t>осень</t>
        </is>
      </c>
      <c r="B127" s="9" t="inlineStr">
        <is>
          <t>Основы автоматизации технологических процессов</t>
        </is>
      </c>
      <c r="C127" s="9" t="inlineStr">
        <is>
          <t>ЛР</t>
        </is>
      </c>
      <c r="D127" s="9" t="inlineStr">
        <is>
          <t>Т11О-306Б-18</t>
        </is>
      </c>
      <c r="E127" s="10" t="n">
        <v>48</v>
      </c>
      <c r="F127" s="9" t="inlineStr">
        <is>
          <t>09898</t>
        </is>
      </c>
      <c r="G127" s="10" t="n">
        <v>24</v>
      </c>
      <c r="H127" s="9" t="inlineStr">
        <is>
          <t xml:space="preserve">81716     </t>
        </is>
      </c>
      <c r="I127" s="9" t="inlineStr">
        <is>
          <t xml:space="preserve">Жаров Максим Владимирович </t>
        </is>
      </c>
      <c r="J127" s="9" t="inlineStr">
        <is>
          <t>доцент</t>
        </is>
      </c>
      <c r="K127" s="9" t="n"/>
      <c r="L127" s="9" t="inlineStr">
        <is>
          <t>по первым неделям</t>
        </is>
      </c>
      <c r="M127" s="12">
        <f>SUMIFS($E$2:$E$1130,$A$2:$A$1130,"осень",$I$2:$I$1130,I127)</f>
        <v/>
      </c>
      <c r="N127" s="13">
        <f>SUMIFS($E$2:$E$1130,$A$2:$A$1130,"весна",$I$2:$I$1130,I127)</f>
        <v/>
      </c>
      <c r="O127" s="14">
        <f>M127+N127</f>
        <v/>
      </c>
      <c r="P127" s="15">
        <f>O127/$P$1</f>
        <v/>
      </c>
    </row>
    <row r="128" hidden="1" ht="15.75" customHeight="1" s="2">
      <c r="A128" s="8" t="inlineStr">
        <is>
          <t>осень</t>
        </is>
      </c>
      <c r="B128" s="9" t="inlineStr">
        <is>
          <t>Основы автоматизации технологических процессов</t>
        </is>
      </c>
      <c r="C128" s="9" t="inlineStr">
        <is>
          <t>ЛР</t>
        </is>
      </c>
      <c r="D128" s="9" t="inlineStr">
        <is>
          <t>Т11О-307Б-18</t>
        </is>
      </c>
      <c r="E128" s="10" t="n">
        <v>24</v>
      </c>
      <c r="F128" s="9" t="inlineStr">
        <is>
          <t>09898</t>
        </is>
      </c>
      <c r="G128" s="10" t="n">
        <v>24</v>
      </c>
      <c r="H128" s="9" t="inlineStr">
        <is>
          <t xml:space="preserve">81716     </t>
        </is>
      </c>
      <c r="I128" s="9" t="inlineStr">
        <is>
          <t xml:space="preserve">Жаров Максим Владимирович </t>
        </is>
      </c>
      <c r="J128" s="9" t="inlineStr">
        <is>
          <t>доцент</t>
        </is>
      </c>
      <c r="K128" s="9" t="n"/>
      <c r="L128" s="9" t="inlineStr">
        <is>
          <t>по первым неделям</t>
        </is>
      </c>
      <c r="M128" s="12">
        <f>SUMIFS($E$2:$E$1130,$A$2:$A$1130,"осень",$I$2:$I$1130,I128)</f>
        <v/>
      </c>
      <c r="N128" s="13">
        <f>SUMIFS($E$2:$E$1130,$A$2:$A$1130,"весна",$I$2:$I$1130,I128)</f>
        <v/>
      </c>
      <c r="O128" s="14">
        <f>M128+N128</f>
        <v/>
      </c>
      <c r="P128" s="15">
        <f>O128/$P$1</f>
        <v/>
      </c>
    </row>
    <row r="129" hidden="1" ht="15.75" customHeight="1" s="2">
      <c r="A129" s="8" t="inlineStr">
        <is>
          <t>осень</t>
        </is>
      </c>
      <c r="B129" s="9" t="inlineStr">
        <is>
          <t>Основы автоматизации технологических процессов</t>
        </is>
      </c>
      <c r="C129" s="9" t="inlineStr">
        <is>
          <t>ЛР</t>
        </is>
      </c>
      <c r="D129" s="9" t="inlineStr">
        <is>
          <t>Т11О-301Б-18</t>
        </is>
      </c>
      <c r="E129" s="10" t="n">
        <v>48</v>
      </c>
      <c r="F129" s="9" t="inlineStr">
        <is>
          <t>09898</t>
        </is>
      </c>
      <c r="G129" s="10" t="n">
        <v>24</v>
      </c>
      <c r="H129" s="9" t="inlineStr">
        <is>
          <t xml:space="preserve">93584     </t>
        </is>
      </c>
      <c r="I129" s="9" t="inlineStr">
        <is>
          <t xml:space="preserve">Комаров Роман Сергеевич </t>
        </is>
      </c>
      <c r="J129" s="9" t="n"/>
      <c r="K129" s="9" t="n"/>
      <c r="L129" s="9" t="n"/>
      <c r="M129" s="12">
        <f>SUMIFS($E$2:$E$1130,$A$2:$A$1130,"осень",$I$2:$I$1130,I129)</f>
        <v/>
      </c>
      <c r="N129" s="13">
        <f>SUMIFS($E$2:$E$1130,$A$2:$A$1130,"весна",$I$2:$I$1130,I129)</f>
        <v/>
      </c>
      <c r="O129" s="14">
        <f>M129+N129</f>
        <v/>
      </c>
      <c r="P129" s="15">
        <f>O129/$P$1</f>
        <v/>
      </c>
    </row>
    <row r="130" hidden="1" ht="15.75" customHeight="1" s="2">
      <c r="A130" s="8" t="inlineStr">
        <is>
          <t>осень</t>
        </is>
      </c>
      <c r="B130" s="9" t="inlineStr">
        <is>
          <t>Основы автоматизации технологических процессов</t>
        </is>
      </c>
      <c r="C130" s="9" t="inlineStr">
        <is>
          <t>ЛР</t>
        </is>
      </c>
      <c r="D130" s="9" t="inlineStr">
        <is>
          <t>Т11О-305Б-18</t>
        </is>
      </c>
      <c r="E130" s="10" t="n">
        <v>48</v>
      </c>
      <c r="F130" s="9" t="inlineStr">
        <is>
          <t>09898</t>
        </is>
      </c>
      <c r="G130" s="10" t="n">
        <v>24</v>
      </c>
      <c r="H130" s="9" t="inlineStr">
        <is>
          <t xml:space="preserve">81716     </t>
        </is>
      </c>
      <c r="I130" s="9" t="inlineStr">
        <is>
          <t xml:space="preserve">Жаров Максим Владимирович </t>
        </is>
      </c>
      <c r="J130" s="9" t="inlineStr">
        <is>
          <t>доцент</t>
        </is>
      </c>
      <c r="K130" s="9" t="n"/>
      <c r="L130" s="9" t="inlineStr">
        <is>
          <t>по первым неделям</t>
        </is>
      </c>
      <c r="M130" s="12">
        <f>SUMIFS($E$2:$E$1130,$A$2:$A$1130,"осень",$I$2:$I$1130,I130)</f>
        <v/>
      </c>
      <c r="N130" s="13">
        <f>SUMIFS($E$2:$E$1130,$A$2:$A$1130,"весна",$I$2:$I$1130,I130)</f>
        <v/>
      </c>
      <c r="O130" s="14">
        <f>M130+N130</f>
        <v/>
      </c>
      <c r="P130" s="15">
        <f>O130/$P$1</f>
        <v/>
      </c>
    </row>
    <row r="131" hidden="1" ht="15.75" customHeight="1" s="2">
      <c r="A131" s="8" t="inlineStr">
        <is>
          <t>осень</t>
        </is>
      </c>
      <c r="B131" s="9" t="inlineStr">
        <is>
          <t>Основы автоматизации технологических процессов</t>
        </is>
      </c>
      <c r="C131" s="9" t="inlineStr">
        <is>
          <t>ЛР</t>
        </is>
      </c>
      <c r="D131" s="9" t="inlineStr">
        <is>
          <t>Т11О-308Б-18</t>
        </is>
      </c>
      <c r="E131" s="10" t="n">
        <v>48</v>
      </c>
      <c r="F131" s="9" t="inlineStr">
        <is>
          <t>09898</t>
        </is>
      </c>
      <c r="G131" s="10" t="n">
        <v>24</v>
      </c>
      <c r="H131" s="9" t="inlineStr">
        <is>
          <t xml:space="preserve">81716     </t>
        </is>
      </c>
      <c r="I131" s="9" t="inlineStr">
        <is>
          <t xml:space="preserve">Жаров Максим Владимирович </t>
        </is>
      </c>
      <c r="J131" s="9" t="inlineStr">
        <is>
          <t>доцент</t>
        </is>
      </c>
      <c r="K131" s="9" t="n"/>
      <c r="L131" s="9" t="inlineStr">
        <is>
          <t>по первым неделям</t>
        </is>
      </c>
      <c r="M131" s="12">
        <f>SUMIFS($E$2:$E$1130,$A$2:$A$1130,"осень",$I$2:$I$1130,I131)</f>
        <v/>
      </c>
      <c r="N131" s="13">
        <f>SUMIFS($E$2:$E$1130,$A$2:$A$1130,"весна",$I$2:$I$1130,I131)</f>
        <v/>
      </c>
      <c r="O131" s="14">
        <f>M131+N131</f>
        <v/>
      </c>
      <c r="P131" s="15">
        <f>O131/$P$1</f>
        <v/>
      </c>
    </row>
    <row r="132" hidden="1" ht="15.75" customHeight="1" s="2">
      <c r="A132" s="8" t="inlineStr">
        <is>
          <t>осень</t>
        </is>
      </c>
      <c r="B132" s="9" t="inlineStr">
        <is>
          <t>Основы автоматизации технологических процессов</t>
        </is>
      </c>
      <c r="C132" s="9" t="inlineStr">
        <is>
          <t>ЛР</t>
        </is>
      </c>
      <c r="D132" s="9" t="inlineStr">
        <is>
          <t>Т11О-302Б-18</t>
        </is>
      </c>
      <c r="E132" s="10" t="n">
        <v>24</v>
      </c>
      <c r="F132" s="9" t="inlineStr">
        <is>
          <t>09898</t>
        </is>
      </c>
      <c r="G132" s="10" t="n">
        <v>24</v>
      </c>
      <c r="H132" s="9" t="inlineStr">
        <is>
          <t xml:space="preserve">81716     </t>
        </is>
      </c>
      <c r="I132" s="9" t="inlineStr">
        <is>
          <t xml:space="preserve">Жаров Максим Владимирович </t>
        </is>
      </c>
      <c r="J132" s="9" t="inlineStr">
        <is>
          <t>доцент</t>
        </is>
      </c>
      <c r="K132" s="9" t="n"/>
      <c r="L132" s="9" t="inlineStr">
        <is>
          <t>по первым неделям</t>
        </is>
      </c>
      <c r="M132" s="12">
        <f>SUMIFS($E$2:$E$1130,$A$2:$A$1130,"осень",$I$2:$I$1130,I132)</f>
        <v/>
      </c>
      <c r="N132" s="13">
        <f>SUMIFS($E$2:$E$1130,$A$2:$A$1130,"весна",$I$2:$I$1130,I132)</f>
        <v/>
      </c>
      <c r="O132" s="14">
        <f>M132+N132</f>
        <v/>
      </c>
      <c r="P132" s="15">
        <f>O132/$P$1</f>
        <v/>
      </c>
    </row>
    <row r="133" hidden="1" ht="15.75" customHeight="1" s="2">
      <c r="A133" s="8" t="inlineStr">
        <is>
          <t>осень</t>
        </is>
      </c>
      <c r="B133" s="9" t="inlineStr">
        <is>
          <t>Основы автоматизации технологических процессов</t>
        </is>
      </c>
      <c r="C133" s="9" t="inlineStr">
        <is>
          <t>Экзамен</t>
        </is>
      </c>
      <c r="D133" s="9" t="inlineStr">
        <is>
          <t>Т11О-306Б-18</t>
        </is>
      </c>
      <c r="E133" s="10" t="n">
        <v>10</v>
      </c>
      <c r="F133" s="9" t="inlineStr">
        <is>
          <t>09898</t>
        </is>
      </c>
      <c r="G133" s="11" t="n">
        <v>0</v>
      </c>
      <c r="H133" s="9" t="inlineStr">
        <is>
          <t xml:space="preserve">81716     </t>
        </is>
      </c>
      <c r="I133" s="9" t="inlineStr">
        <is>
          <t xml:space="preserve">Жаров Максим Владимирович </t>
        </is>
      </c>
      <c r="J133" s="9" t="inlineStr">
        <is>
          <t>доцент</t>
        </is>
      </c>
      <c r="K133" s="9" t="n"/>
      <c r="L133" s="9" t="inlineStr">
        <is>
          <t>по первым неделям</t>
        </is>
      </c>
      <c r="M133" s="12">
        <f>SUMIFS($E$2:$E$1130,$A$2:$A$1130,"осень",$I$2:$I$1130,I133)</f>
        <v/>
      </c>
      <c r="N133" s="13">
        <f>SUMIFS($E$2:$E$1130,$A$2:$A$1130,"весна",$I$2:$I$1130,I133)</f>
        <v/>
      </c>
      <c r="O133" s="14">
        <f>M133+N133</f>
        <v/>
      </c>
      <c r="P133" s="15">
        <f>O133/$P$1</f>
        <v/>
      </c>
    </row>
    <row r="134" hidden="1" ht="15.75" customHeight="1" s="2">
      <c r="A134" s="8" t="inlineStr">
        <is>
          <t>осень</t>
        </is>
      </c>
      <c r="B134" s="9" t="inlineStr">
        <is>
          <t>Основы автоматизации технологических процессов</t>
        </is>
      </c>
      <c r="C134" s="9" t="inlineStr">
        <is>
          <t>Экзамен</t>
        </is>
      </c>
      <c r="D134" s="9" t="inlineStr">
        <is>
          <t>Т11О-307Б-18</t>
        </is>
      </c>
      <c r="E134" s="10" t="n">
        <v>8</v>
      </c>
      <c r="F134" s="9" t="inlineStr">
        <is>
          <t>09898</t>
        </is>
      </c>
      <c r="G134" s="11" t="n">
        <v>0</v>
      </c>
      <c r="H134" s="9" t="inlineStr">
        <is>
          <t xml:space="preserve">81716     </t>
        </is>
      </c>
      <c r="I134" s="9" t="inlineStr">
        <is>
          <t xml:space="preserve">Жаров Максим Владимирович </t>
        </is>
      </c>
      <c r="J134" s="9" t="inlineStr">
        <is>
          <t>доцент</t>
        </is>
      </c>
      <c r="K134" s="9" t="n"/>
      <c r="L134" s="9" t="inlineStr">
        <is>
          <t>по первым неделям</t>
        </is>
      </c>
      <c r="M134" s="12">
        <f>SUMIFS($E$2:$E$1130,$A$2:$A$1130,"осень",$I$2:$I$1130,I134)</f>
        <v/>
      </c>
      <c r="N134" s="13">
        <f>SUMIFS($E$2:$E$1130,$A$2:$A$1130,"весна",$I$2:$I$1130,I134)</f>
        <v/>
      </c>
      <c r="O134" s="14">
        <f>M134+N134</f>
        <v/>
      </c>
      <c r="P134" s="15">
        <f>O134/$P$1</f>
        <v/>
      </c>
    </row>
    <row r="135" hidden="1" ht="15.75" customHeight="1" s="2">
      <c r="A135" s="8" t="inlineStr">
        <is>
          <t>осень</t>
        </is>
      </c>
      <c r="B135" s="9" t="inlineStr">
        <is>
          <t>Основы автоматизации технологических процессов</t>
        </is>
      </c>
      <c r="C135" s="9" t="inlineStr">
        <is>
          <t>Экзамен</t>
        </is>
      </c>
      <c r="D135" s="9" t="inlineStr">
        <is>
          <t>Т11О-305Б-18</t>
        </is>
      </c>
      <c r="E135" s="10" t="n">
        <v>9</v>
      </c>
      <c r="F135" s="9" t="inlineStr">
        <is>
          <t>09898</t>
        </is>
      </c>
      <c r="G135" s="11" t="n">
        <v>0</v>
      </c>
      <c r="H135" s="9" t="inlineStr">
        <is>
          <t xml:space="preserve">81716     </t>
        </is>
      </c>
      <c r="I135" s="9" t="inlineStr">
        <is>
          <t xml:space="preserve">Жаров Максим Владимирович </t>
        </is>
      </c>
      <c r="J135" s="9" t="inlineStr">
        <is>
          <t>доцент</t>
        </is>
      </c>
      <c r="K135" s="9" t="n"/>
      <c r="L135" s="9" t="inlineStr">
        <is>
          <t>по первым неделям</t>
        </is>
      </c>
      <c r="M135" s="12">
        <f>SUMIFS($E$2:$E$1130,$A$2:$A$1130,"осень",$I$2:$I$1130,I135)</f>
        <v/>
      </c>
      <c r="N135" s="13">
        <f>SUMIFS($E$2:$E$1130,$A$2:$A$1130,"весна",$I$2:$I$1130,I135)</f>
        <v/>
      </c>
      <c r="O135" s="14">
        <f>M135+N135</f>
        <v/>
      </c>
      <c r="P135" s="15">
        <f>O135/$P$1</f>
        <v/>
      </c>
    </row>
    <row r="136" hidden="1" ht="15.75" customHeight="1" s="2">
      <c r="A136" s="8" t="inlineStr">
        <is>
          <t>осень</t>
        </is>
      </c>
      <c r="B136" s="9" t="inlineStr">
        <is>
          <t>Основы автоматизации технологических процессов</t>
        </is>
      </c>
      <c r="C136" s="9" t="inlineStr">
        <is>
          <t>Экзамен</t>
        </is>
      </c>
      <c r="D136" s="9" t="inlineStr">
        <is>
          <t>Т11О-308Б-18</t>
        </is>
      </c>
      <c r="E136" s="10" t="n">
        <v>12</v>
      </c>
      <c r="F136" s="9" t="inlineStr">
        <is>
          <t>09898</t>
        </is>
      </c>
      <c r="G136" s="11" t="n">
        <v>0</v>
      </c>
      <c r="H136" s="9" t="inlineStr">
        <is>
          <t xml:space="preserve">81716     </t>
        </is>
      </c>
      <c r="I136" s="9" t="inlineStr">
        <is>
          <t xml:space="preserve">Жаров Максим Владимирович </t>
        </is>
      </c>
      <c r="J136" s="9" t="inlineStr">
        <is>
          <t>доцент</t>
        </is>
      </c>
      <c r="K136" s="9" t="n"/>
      <c r="L136" s="9" t="inlineStr">
        <is>
          <t>по первым неделям</t>
        </is>
      </c>
      <c r="M136" s="12">
        <f>SUMIFS($E$2:$E$1130,$A$2:$A$1130,"осень",$I$2:$I$1130,I136)</f>
        <v/>
      </c>
      <c r="N136" s="13">
        <f>SUMIFS($E$2:$E$1130,$A$2:$A$1130,"весна",$I$2:$I$1130,I136)</f>
        <v/>
      </c>
      <c r="O136" s="14">
        <f>M136+N136</f>
        <v/>
      </c>
      <c r="P136" s="15">
        <f>O136/$P$1</f>
        <v/>
      </c>
    </row>
    <row r="137" hidden="1" ht="15.75" customHeight="1" s="2">
      <c r="A137" s="8" t="inlineStr">
        <is>
          <t>осень</t>
        </is>
      </c>
      <c r="B137" s="9" t="inlineStr">
        <is>
          <t>Основы автоматизации технологических процессов</t>
        </is>
      </c>
      <c r="C137" s="9" t="inlineStr">
        <is>
          <t>Консультация</t>
        </is>
      </c>
      <c r="D137" s="9" t="inlineStr">
        <is>
          <t>Т11О-306Б-18</t>
        </is>
      </c>
      <c r="E137" s="10" t="n">
        <v>3</v>
      </c>
      <c r="F137" s="9" t="inlineStr">
        <is>
          <t>09898</t>
        </is>
      </c>
      <c r="G137" s="11" t="n">
        <v>0</v>
      </c>
      <c r="H137" s="9" t="inlineStr">
        <is>
          <t xml:space="preserve">81716     </t>
        </is>
      </c>
      <c r="I137" s="9" t="inlineStr">
        <is>
          <t xml:space="preserve">Жаров Максим Владимирович </t>
        </is>
      </c>
      <c r="J137" s="9" t="inlineStr">
        <is>
          <t>доцент</t>
        </is>
      </c>
      <c r="K137" s="9" t="n"/>
      <c r="L137" s="9" t="inlineStr">
        <is>
          <t>по первым неделям</t>
        </is>
      </c>
      <c r="M137" s="12">
        <f>SUMIFS($E$2:$E$1130,$A$2:$A$1130,"осень",$I$2:$I$1130,I137)</f>
        <v/>
      </c>
      <c r="N137" s="13">
        <f>SUMIFS($E$2:$E$1130,$A$2:$A$1130,"весна",$I$2:$I$1130,I137)</f>
        <v/>
      </c>
      <c r="O137" s="14">
        <f>M137+N137</f>
        <v/>
      </c>
      <c r="P137" s="15">
        <f>O137/$P$1</f>
        <v/>
      </c>
    </row>
    <row r="138" hidden="1" ht="15.75" customHeight="1" s="2">
      <c r="A138" s="8" t="inlineStr">
        <is>
          <t>осень</t>
        </is>
      </c>
      <c r="B138" s="9" t="inlineStr">
        <is>
          <t>Основы автоматизации технологических процессов</t>
        </is>
      </c>
      <c r="C138" s="9" t="inlineStr">
        <is>
          <t>Консультация</t>
        </is>
      </c>
      <c r="D138" s="9" t="inlineStr">
        <is>
          <t>Т11О-307Б-18</t>
        </is>
      </c>
      <c r="E138" s="10" t="n">
        <v>3</v>
      </c>
      <c r="F138" s="9" t="inlineStr">
        <is>
          <t>09898</t>
        </is>
      </c>
      <c r="G138" s="11" t="n">
        <v>0</v>
      </c>
      <c r="H138" s="9" t="inlineStr">
        <is>
          <t xml:space="preserve">81716     </t>
        </is>
      </c>
      <c r="I138" s="9" t="inlineStr">
        <is>
          <t xml:space="preserve">Жаров Максим Владимирович </t>
        </is>
      </c>
      <c r="J138" s="9" t="inlineStr">
        <is>
          <t>доцент</t>
        </is>
      </c>
      <c r="K138" s="9" t="n"/>
      <c r="L138" s="9" t="inlineStr">
        <is>
          <t>по первым неделям</t>
        </is>
      </c>
      <c r="M138" s="12">
        <f>SUMIFS($E$2:$E$1130,$A$2:$A$1130,"осень",$I$2:$I$1130,I138)</f>
        <v/>
      </c>
      <c r="N138" s="13">
        <f>SUMIFS($E$2:$E$1130,$A$2:$A$1130,"весна",$I$2:$I$1130,I138)</f>
        <v/>
      </c>
      <c r="O138" s="14">
        <f>M138+N138</f>
        <v/>
      </c>
      <c r="P138" s="15">
        <f>O138/$P$1</f>
        <v/>
      </c>
    </row>
    <row r="139" hidden="1" ht="15.75" customHeight="1" s="2">
      <c r="A139" s="8" t="inlineStr">
        <is>
          <t>осень</t>
        </is>
      </c>
      <c r="B139" s="9" t="inlineStr">
        <is>
          <t>Основы автоматизации технологических процессов</t>
        </is>
      </c>
      <c r="C139" s="9" t="inlineStr">
        <is>
          <t>Консультация</t>
        </is>
      </c>
      <c r="D139" s="9" t="inlineStr">
        <is>
          <t>Т11О-301Б-18</t>
        </is>
      </c>
      <c r="E139" s="10" t="n">
        <v>1</v>
      </c>
      <c r="F139" s="9" t="inlineStr">
        <is>
          <t>09898</t>
        </is>
      </c>
      <c r="G139" s="11" t="n">
        <v>0</v>
      </c>
      <c r="H139" s="9" t="inlineStr">
        <is>
          <t xml:space="preserve">81716     </t>
        </is>
      </c>
      <c r="I139" s="9" t="inlineStr">
        <is>
          <t xml:space="preserve">Жаров Максим Владимирович </t>
        </is>
      </c>
      <c r="J139" s="9" t="inlineStr">
        <is>
          <t>доцент</t>
        </is>
      </c>
      <c r="K139" s="9" t="n"/>
      <c r="L139" s="9" t="inlineStr">
        <is>
          <t>по первым неделям</t>
        </is>
      </c>
      <c r="M139" s="12">
        <f>SUMIFS($E$2:$E$1130,$A$2:$A$1130,"осень",$I$2:$I$1130,I139)</f>
        <v/>
      </c>
      <c r="N139" s="13">
        <f>SUMIFS($E$2:$E$1130,$A$2:$A$1130,"весна",$I$2:$I$1130,I139)</f>
        <v/>
      </c>
      <c r="O139" s="14">
        <f>M139+N139</f>
        <v/>
      </c>
      <c r="P139" s="15">
        <f>O139/$P$1</f>
        <v/>
      </c>
    </row>
    <row r="140" hidden="1" ht="15.75" customHeight="1" s="2">
      <c r="A140" s="8" t="inlineStr">
        <is>
          <t>осень</t>
        </is>
      </c>
      <c r="B140" s="9" t="inlineStr">
        <is>
          <t>Основы автоматизации технологических процессов</t>
        </is>
      </c>
      <c r="C140" s="9" t="inlineStr">
        <is>
          <t>Консультация</t>
        </is>
      </c>
      <c r="D140" s="9" t="inlineStr">
        <is>
          <t>Т11О-305Б-18</t>
        </is>
      </c>
      <c r="E140" s="10" t="n">
        <v>3</v>
      </c>
      <c r="F140" s="9" t="inlineStr">
        <is>
          <t>09898</t>
        </is>
      </c>
      <c r="G140" s="11" t="n">
        <v>0</v>
      </c>
      <c r="H140" s="9" t="inlineStr">
        <is>
          <t xml:space="preserve">81716     </t>
        </is>
      </c>
      <c r="I140" s="9" t="inlineStr">
        <is>
          <t xml:space="preserve">Жаров Максим Владимирович </t>
        </is>
      </c>
      <c r="J140" s="9" t="inlineStr">
        <is>
          <t>доцент</t>
        </is>
      </c>
      <c r="K140" s="9" t="n"/>
      <c r="L140" s="9" t="inlineStr">
        <is>
          <t>по первым неделям</t>
        </is>
      </c>
      <c r="M140" s="12">
        <f>SUMIFS($E$2:$E$1130,$A$2:$A$1130,"осень",$I$2:$I$1130,I140)</f>
        <v/>
      </c>
      <c r="N140" s="13">
        <f>SUMIFS($E$2:$E$1130,$A$2:$A$1130,"весна",$I$2:$I$1130,I140)</f>
        <v/>
      </c>
      <c r="O140" s="14">
        <f>M140+N140</f>
        <v/>
      </c>
      <c r="P140" s="15">
        <f>O140/$P$1</f>
        <v/>
      </c>
    </row>
    <row r="141" hidden="1" ht="15.75" customHeight="1" s="2">
      <c r="A141" s="8" t="inlineStr">
        <is>
          <t>осень</t>
        </is>
      </c>
      <c r="B141" s="9" t="inlineStr">
        <is>
          <t>Основы автоматизации технологических процессов</t>
        </is>
      </c>
      <c r="C141" s="9" t="inlineStr">
        <is>
          <t>Консультация</t>
        </is>
      </c>
      <c r="D141" s="9" t="inlineStr">
        <is>
          <t>Т11О-308Б-18</t>
        </is>
      </c>
      <c r="E141" s="10" t="n">
        <v>3</v>
      </c>
      <c r="F141" s="9" t="inlineStr">
        <is>
          <t>09898</t>
        </is>
      </c>
      <c r="G141" s="11" t="n">
        <v>0</v>
      </c>
      <c r="H141" s="9" t="inlineStr">
        <is>
          <t xml:space="preserve">81716     </t>
        </is>
      </c>
      <c r="I141" s="9" t="inlineStr">
        <is>
          <t xml:space="preserve">Жаров Максим Владимирович </t>
        </is>
      </c>
      <c r="J141" s="9" t="inlineStr">
        <is>
          <t>доцент</t>
        </is>
      </c>
      <c r="K141" s="9" t="n"/>
      <c r="L141" s="9" t="inlineStr">
        <is>
          <t>по первым неделям</t>
        </is>
      </c>
      <c r="M141" s="12">
        <f>SUMIFS($E$2:$E$1130,$A$2:$A$1130,"осень",$I$2:$I$1130,I141)</f>
        <v/>
      </c>
      <c r="N141" s="13">
        <f>SUMIFS($E$2:$E$1130,$A$2:$A$1130,"весна",$I$2:$I$1130,I141)</f>
        <v/>
      </c>
      <c r="O141" s="14">
        <f>M141+N141</f>
        <v/>
      </c>
      <c r="P141" s="15">
        <f>O141/$P$1</f>
        <v/>
      </c>
    </row>
    <row r="142" hidden="1" ht="15.75" customHeight="1" s="2">
      <c r="A142" s="8" t="inlineStr">
        <is>
          <t>осень</t>
        </is>
      </c>
      <c r="B142" s="9" t="inlineStr">
        <is>
          <t>Основы автоматизации технологических процессов</t>
        </is>
      </c>
      <c r="C142" s="9" t="inlineStr">
        <is>
          <t>Консультация</t>
        </is>
      </c>
      <c r="D142" s="9" t="inlineStr">
        <is>
          <t>Т11О-302Б-18</t>
        </is>
      </c>
      <c r="E142" s="10" t="n">
        <v>1</v>
      </c>
      <c r="F142" s="9" t="inlineStr">
        <is>
          <t>09898</t>
        </is>
      </c>
      <c r="G142" s="11" t="n">
        <v>0</v>
      </c>
      <c r="H142" s="9" t="inlineStr">
        <is>
          <t xml:space="preserve">81716     </t>
        </is>
      </c>
      <c r="I142" s="9" t="inlineStr">
        <is>
          <t xml:space="preserve">Жаров Максим Владимирович </t>
        </is>
      </c>
      <c r="J142" s="9" t="inlineStr">
        <is>
          <t>доцент</t>
        </is>
      </c>
      <c r="K142" s="9" t="n"/>
      <c r="L142" s="9" t="inlineStr">
        <is>
          <t>по первым неделям</t>
        </is>
      </c>
      <c r="M142" s="12">
        <f>SUMIFS($E$2:$E$1130,$A$2:$A$1130,"осень",$I$2:$I$1130,I142)</f>
        <v/>
      </c>
      <c r="N142" s="13">
        <f>SUMIFS($E$2:$E$1130,$A$2:$A$1130,"весна",$I$2:$I$1130,I142)</f>
        <v/>
      </c>
      <c r="O142" s="14">
        <f>M142+N142</f>
        <v/>
      </c>
      <c r="P142" s="15">
        <f>O142/$P$1</f>
        <v/>
      </c>
    </row>
    <row r="143" hidden="1" ht="15.75" customHeight="1" s="2">
      <c r="A143" s="17" t="inlineStr">
        <is>
          <t>осень</t>
        </is>
      </c>
      <c r="B143" s="9" t="inlineStr">
        <is>
          <t>Листовая штамповка</t>
        </is>
      </c>
      <c r="C143" s="9" t="inlineStr">
        <is>
          <t>ЛК</t>
        </is>
      </c>
      <c r="D143" s="9" t="inlineStr">
        <is>
          <t>Т1В-516Б-16</t>
        </is>
      </c>
      <c r="E143" s="10" t="n">
        <v>32</v>
      </c>
      <c r="F143" s="9" t="inlineStr">
        <is>
          <t>04644</t>
        </is>
      </c>
      <c r="G143" s="10" t="n">
        <v>32</v>
      </c>
      <c r="H143" s="9" t="inlineStr">
        <is>
          <t xml:space="preserve">81716     </t>
        </is>
      </c>
      <c r="I143" s="9" t="inlineStr">
        <is>
          <t xml:space="preserve">Жаров Максим Владимирович </t>
        </is>
      </c>
      <c r="J143" s="9" t="inlineStr">
        <is>
          <t>доцент</t>
        </is>
      </c>
      <c r="K143" s="9" t="n"/>
      <c r="L143" s="9" t="inlineStr">
        <is>
          <t>кроме понедельника и пятницы</t>
        </is>
      </c>
      <c r="M143" s="12">
        <f>SUMIFS($E$2:$E$1130,$A$2:$A$1130,"осень",$I$2:$I$1130,I143)</f>
        <v/>
      </c>
      <c r="N143" s="13">
        <f>SUMIFS($E$2:$E$1130,$A$2:$A$1130,"весна",$I$2:$I$1130,I143)</f>
        <v/>
      </c>
      <c r="O143" s="14">
        <f>M143+N143</f>
        <v/>
      </c>
      <c r="P143" s="15">
        <f>O143/$P$1</f>
        <v/>
      </c>
    </row>
    <row r="144" hidden="1" ht="15.75" customHeight="1" s="2">
      <c r="A144" s="17" t="inlineStr">
        <is>
          <t>осень</t>
        </is>
      </c>
      <c r="B144" s="9" t="inlineStr">
        <is>
          <t>Листовая штамповка</t>
        </is>
      </c>
      <c r="C144" s="9" t="inlineStr">
        <is>
          <t>ПЗ</t>
        </is>
      </c>
      <c r="D144" s="9" t="inlineStr">
        <is>
          <t>Т1В-516Б-16</t>
        </is>
      </c>
      <c r="E144" s="10" t="n">
        <v>24</v>
      </c>
      <c r="F144" s="9" t="inlineStr">
        <is>
          <t>04644</t>
        </is>
      </c>
      <c r="G144" s="10" t="n">
        <v>24</v>
      </c>
      <c r="H144" s="9" t="inlineStr">
        <is>
          <t xml:space="preserve">81716     </t>
        </is>
      </c>
      <c r="I144" s="9" t="inlineStr">
        <is>
          <t xml:space="preserve">Жаров Максим Владимирович </t>
        </is>
      </c>
      <c r="J144" s="9" t="inlineStr">
        <is>
          <t>доцент</t>
        </is>
      </c>
      <c r="K144" s="9" t="n"/>
      <c r="L144" s="9" t="inlineStr">
        <is>
          <t>кроме понедельника и пятницы</t>
        </is>
      </c>
      <c r="M144" s="12">
        <f>SUMIFS($E$2:$E$1130,$A$2:$A$1130,"осень",$I$2:$I$1130,I144)</f>
        <v/>
      </c>
      <c r="N144" s="13">
        <f>SUMIFS($E$2:$E$1130,$A$2:$A$1130,"весна",$I$2:$I$1130,I144)</f>
        <v/>
      </c>
      <c r="O144" s="14">
        <f>M144+N144</f>
        <v/>
      </c>
      <c r="P144" s="15">
        <f>O144/$P$1</f>
        <v/>
      </c>
    </row>
    <row r="145" hidden="1" ht="15.75" customHeight="1" s="2">
      <c r="A145" s="17" t="inlineStr">
        <is>
          <t>осень</t>
        </is>
      </c>
      <c r="B145" s="9" t="inlineStr">
        <is>
          <t>Листовая штамповка</t>
        </is>
      </c>
      <c r="C145" s="9" t="inlineStr">
        <is>
          <t>Экзамен</t>
        </is>
      </c>
      <c r="D145" s="9" t="inlineStr">
        <is>
          <t>Т1В-516Б-16</t>
        </is>
      </c>
      <c r="E145" s="10" t="n">
        <v>3</v>
      </c>
      <c r="F145" s="9" t="inlineStr">
        <is>
          <t>04644</t>
        </is>
      </c>
      <c r="G145" s="11" t="n">
        <v>0</v>
      </c>
      <c r="H145" s="9" t="inlineStr">
        <is>
          <t xml:space="preserve">81716     </t>
        </is>
      </c>
      <c r="I145" s="9" t="inlineStr">
        <is>
          <t xml:space="preserve">Жаров Максим Владимирович </t>
        </is>
      </c>
      <c r="J145" s="9" t="inlineStr">
        <is>
          <t>доцент</t>
        </is>
      </c>
      <c r="K145" s="9" t="n"/>
      <c r="L145" s="9" t="inlineStr">
        <is>
          <t>кроме понедельника и пятницы</t>
        </is>
      </c>
      <c r="M145" s="12">
        <f>SUMIFS($E$2:$E$1130,$A$2:$A$1130,"осень",$I$2:$I$1130,I145)</f>
        <v/>
      </c>
      <c r="N145" s="13">
        <f>SUMIFS($E$2:$E$1130,$A$2:$A$1130,"весна",$I$2:$I$1130,I145)</f>
        <v/>
      </c>
      <c r="O145" s="14">
        <f>M145+N145</f>
        <v/>
      </c>
      <c r="P145" s="15">
        <f>O145/$P$1</f>
        <v/>
      </c>
    </row>
    <row r="146" hidden="1" ht="15.75" customHeight="1" s="2">
      <c r="A146" s="17" t="inlineStr">
        <is>
          <t>осень</t>
        </is>
      </c>
      <c r="B146" s="9" t="inlineStr">
        <is>
          <t>Листовая штамповка</t>
        </is>
      </c>
      <c r="C146" s="9" t="inlineStr">
        <is>
          <t>КСР</t>
        </is>
      </c>
      <c r="D146" s="9" t="inlineStr">
        <is>
          <t>Т1В-516Б-16</t>
        </is>
      </c>
      <c r="E146" s="10" t="n">
        <v>24</v>
      </c>
      <c r="F146" s="9" t="inlineStr">
        <is>
          <t>04644</t>
        </is>
      </c>
      <c r="G146" s="10" t="n">
        <v>24</v>
      </c>
      <c r="H146" s="9" t="inlineStr">
        <is>
          <t xml:space="preserve">81716     </t>
        </is>
      </c>
      <c r="I146" s="9" t="inlineStr">
        <is>
          <t xml:space="preserve">Жаров Максим Владимирович </t>
        </is>
      </c>
      <c r="J146" s="9" t="inlineStr">
        <is>
          <t>доцент</t>
        </is>
      </c>
      <c r="K146" s="9" t="n"/>
      <c r="L146" s="9" t="inlineStr">
        <is>
          <t>кроме понедельника и пятницы</t>
        </is>
      </c>
      <c r="M146" s="12">
        <f>SUMIFS($E$2:$E$1130,$A$2:$A$1130,"осень",$I$2:$I$1130,I146)</f>
        <v/>
      </c>
      <c r="N146" s="13">
        <f>SUMIFS($E$2:$E$1130,$A$2:$A$1130,"весна",$I$2:$I$1130,I146)</f>
        <v/>
      </c>
      <c r="O146" s="14">
        <f>M146+N146</f>
        <v/>
      </c>
      <c r="P146" s="15">
        <f>O146/$P$1</f>
        <v/>
      </c>
    </row>
    <row r="147" hidden="1" ht="15.75" customHeight="1" s="2">
      <c r="A147" s="17" t="inlineStr">
        <is>
          <t>осень</t>
        </is>
      </c>
      <c r="B147" s="9" t="inlineStr">
        <is>
          <t>Листовая штамповка</t>
        </is>
      </c>
      <c r="C147" s="9" t="inlineStr">
        <is>
          <t>Консультация</t>
        </is>
      </c>
      <c r="D147" s="9" t="inlineStr">
        <is>
          <t>Т1В-516Б-16</t>
        </is>
      </c>
      <c r="E147" s="10" t="n">
        <v>5</v>
      </c>
      <c r="F147" s="9" t="inlineStr">
        <is>
          <t>04644</t>
        </is>
      </c>
      <c r="G147" s="11" t="n">
        <v>0</v>
      </c>
      <c r="H147" s="9" t="inlineStr">
        <is>
          <t xml:space="preserve">81716     </t>
        </is>
      </c>
      <c r="I147" s="9" t="inlineStr">
        <is>
          <t xml:space="preserve">Жаров Максим Владимирович </t>
        </is>
      </c>
      <c r="J147" s="9" t="inlineStr">
        <is>
          <t>доцент</t>
        </is>
      </c>
      <c r="K147" s="9" t="n"/>
      <c r="L147" s="9" t="inlineStr">
        <is>
          <t>кроме понедельника и пятницы</t>
        </is>
      </c>
      <c r="M147" s="12">
        <f>SUMIFS($E$2:$E$1130,$A$2:$A$1130,"осень",$I$2:$I$1130,I147)</f>
        <v/>
      </c>
      <c r="N147" s="13">
        <f>SUMIFS($E$2:$E$1130,$A$2:$A$1130,"весна",$I$2:$I$1130,I147)</f>
        <v/>
      </c>
      <c r="O147" s="14">
        <f>M147+N147</f>
        <v/>
      </c>
      <c r="P147" s="15">
        <f>O147/$P$1</f>
        <v/>
      </c>
    </row>
    <row r="148" hidden="1" ht="15.75" customHeight="1" s="2">
      <c r="A148" s="8" t="inlineStr">
        <is>
          <t>осень</t>
        </is>
      </c>
      <c r="B148" s="9" t="inlineStr">
        <is>
          <t>Основы математического и имитационного моделирования</t>
        </is>
      </c>
      <c r="C148" s="9" t="inlineStr">
        <is>
          <t>ЛК</t>
        </is>
      </c>
      <c r="D148" s="9" t="inlineStr">
        <is>
          <t>Т11О-304Б-18</t>
        </is>
      </c>
      <c r="E148" s="10" t="n">
        <v>16</v>
      </c>
      <c r="F148" s="9" t="inlineStr">
        <is>
          <t>08770</t>
        </is>
      </c>
      <c r="G148" s="10" t="n">
        <v>16</v>
      </c>
      <c r="H148" s="9" t="inlineStr">
        <is>
          <t xml:space="preserve">81728     </t>
        </is>
      </c>
      <c r="I148" s="9" t="inlineStr">
        <is>
          <t xml:space="preserve">Галкин Виктор Иванович </t>
        </is>
      </c>
      <c r="J148" s="9" t="inlineStr">
        <is>
          <t>профессор</t>
        </is>
      </c>
      <c r="K148" s="9" t="n"/>
      <c r="L148" s="9" t="inlineStr">
        <is>
          <t>кроме среды и первой пары понедельника (525 А)</t>
        </is>
      </c>
      <c r="M148" s="12">
        <f>SUMIFS($E$2:$E$1130,$A$2:$A$1130,"осень",$I$2:$I$1130,I148)</f>
        <v/>
      </c>
      <c r="N148" s="13">
        <f>SUMIFS($E$2:$E$1130,$A$2:$A$1130,"весна",$I$2:$I$1130,I148)</f>
        <v/>
      </c>
      <c r="O148" s="14">
        <f>M148+N148</f>
        <v/>
      </c>
      <c r="P148" s="15">
        <f>O148/$P$1</f>
        <v/>
      </c>
    </row>
    <row r="149" hidden="1" ht="15.75" customHeight="1" s="2">
      <c r="A149" s="8" t="inlineStr">
        <is>
          <t>осень</t>
        </is>
      </c>
      <c r="B149" s="9" t="inlineStr">
        <is>
          <t>Основы математического и имитационного моделирования</t>
        </is>
      </c>
      <c r="C149" s="9" t="inlineStr">
        <is>
          <t>Зачет с оценкой</t>
        </is>
      </c>
      <c r="D149" s="9" t="inlineStr">
        <is>
          <t>Т11О-304Б-18</t>
        </is>
      </c>
      <c r="E149" s="10" t="n">
        <v>6</v>
      </c>
      <c r="F149" s="9" t="inlineStr">
        <is>
          <t>08770</t>
        </is>
      </c>
      <c r="G149" s="11" t="n">
        <v>0</v>
      </c>
      <c r="H149" s="9" t="inlineStr">
        <is>
          <t xml:space="preserve">81728     </t>
        </is>
      </c>
      <c r="I149" s="9" t="inlineStr">
        <is>
          <t xml:space="preserve">Галкин Виктор Иванович </t>
        </is>
      </c>
      <c r="J149" s="9" t="inlineStr">
        <is>
          <t>профессор</t>
        </is>
      </c>
      <c r="K149" s="9" t="n"/>
      <c r="L149" s="9" t="inlineStr">
        <is>
          <t>кроме среды и первой пары понедельника (525 А)</t>
        </is>
      </c>
      <c r="M149" s="12">
        <f>SUMIFS($E$2:$E$1130,$A$2:$A$1130,"осень",$I$2:$I$1130,I149)</f>
        <v/>
      </c>
      <c r="N149" s="13">
        <f>SUMIFS($E$2:$E$1130,$A$2:$A$1130,"весна",$I$2:$I$1130,I149)</f>
        <v/>
      </c>
      <c r="O149" s="14">
        <f>M149+N149</f>
        <v/>
      </c>
      <c r="P149" s="15">
        <f>O149/$P$1</f>
        <v/>
      </c>
    </row>
    <row r="150" hidden="1" ht="15.75" customHeight="1" s="2">
      <c r="A150" s="8" t="inlineStr">
        <is>
          <t>осень</t>
        </is>
      </c>
      <c r="B150" s="9" t="inlineStr">
        <is>
          <t>Основы математического и имитационного моделирования</t>
        </is>
      </c>
      <c r="C150" s="9" t="inlineStr">
        <is>
          <t>ПЗ</t>
        </is>
      </c>
      <c r="D150" s="9" t="inlineStr">
        <is>
          <t>Т11О-304Б-18</t>
        </is>
      </c>
      <c r="E150" s="10" t="n">
        <v>24</v>
      </c>
      <c r="F150" s="9" t="inlineStr">
        <is>
          <t>08770</t>
        </is>
      </c>
      <c r="G150" s="10" t="n">
        <v>24</v>
      </c>
      <c r="H150" s="9" t="inlineStr">
        <is>
          <t xml:space="preserve">81728     </t>
        </is>
      </c>
      <c r="I150" s="9" t="inlineStr">
        <is>
          <t xml:space="preserve">Галкин Виктор Иванович </t>
        </is>
      </c>
      <c r="J150" s="9" t="inlineStr">
        <is>
          <t>профессор</t>
        </is>
      </c>
      <c r="K150" s="9" t="n"/>
      <c r="L150" s="9" t="inlineStr">
        <is>
          <t>кроме среды и первой пары понедельника (525 А)</t>
        </is>
      </c>
      <c r="M150" s="12">
        <f>SUMIFS($E$2:$E$1130,$A$2:$A$1130,"осень",$I$2:$I$1130,I150)</f>
        <v/>
      </c>
      <c r="N150" s="13">
        <f>SUMIFS($E$2:$E$1130,$A$2:$A$1130,"весна",$I$2:$I$1130,I150)</f>
        <v/>
      </c>
      <c r="O150" s="14">
        <f>M150+N150</f>
        <v/>
      </c>
      <c r="P150" s="15">
        <f>O150/$P$1</f>
        <v/>
      </c>
    </row>
    <row r="151" hidden="1" ht="15.75" customHeight="1" s="2">
      <c r="A151" s="8" t="inlineStr">
        <is>
          <t>осень</t>
        </is>
      </c>
      <c r="B151" s="9" t="inlineStr">
        <is>
          <t>Основы математического и имитационного моделирования</t>
        </is>
      </c>
      <c r="C151" s="9" t="inlineStr">
        <is>
          <t>Консультация</t>
        </is>
      </c>
      <c r="D151" s="9" t="inlineStr">
        <is>
          <t>Т11О-304Б-18</t>
        </is>
      </c>
      <c r="E151" s="10" t="n">
        <v>1</v>
      </c>
      <c r="F151" s="9" t="inlineStr">
        <is>
          <t>08770</t>
        </is>
      </c>
      <c r="G151" s="11" t="n">
        <v>0</v>
      </c>
      <c r="H151" s="9" t="inlineStr">
        <is>
          <t xml:space="preserve">81728     </t>
        </is>
      </c>
      <c r="I151" s="9" t="inlineStr">
        <is>
          <t xml:space="preserve">Галкин Виктор Иванович </t>
        </is>
      </c>
      <c r="J151" s="9" t="inlineStr">
        <is>
          <t>профессор</t>
        </is>
      </c>
      <c r="K151" s="9" t="n"/>
      <c r="L151" s="9" t="inlineStr">
        <is>
          <t>кроме среды и первой пары понедельника (525 А)</t>
        </is>
      </c>
      <c r="M151" s="12">
        <f>SUMIFS($E$2:$E$1130,$A$2:$A$1130,"осень",$I$2:$I$1130,I151)</f>
        <v/>
      </c>
      <c r="N151" s="13">
        <f>SUMIFS($E$2:$E$1130,$A$2:$A$1130,"весна",$I$2:$I$1130,I151)</f>
        <v/>
      </c>
      <c r="O151" s="14">
        <f>M151+N151</f>
        <v/>
      </c>
      <c r="P151" s="15">
        <f>O151/$P$1</f>
        <v/>
      </c>
    </row>
    <row r="152" hidden="1" ht="15.75" customHeight="1" s="2">
      <c r="A152" s="8" t="inlineStr">
        <is>
          <t>осень</t>
        </is>
      </c>
      <c r="B152" s="9" t="inlineStr">
        <is>
          <t>Оборудование цехов ОМД</t>
        </is>
      </c>
      <c r="C152" s="9" t="inlineStr">
        <is>
          <t>ЛК</t>
        </is>
      </c>
      <c r="D152" s="9" t="inlineStr">
        <is>
          <t>Т1В-516Б-16</t>
        </is>
      </c>
      <c r="E152" s="10" t="n">
        <v>4</v>
      </c>
      <c r="F152" s="9" t="inlineStr">
        <is>
          <t>04644</t>
        </is>
      </c>
      <c r="G152" s="10" t="n">
        <v>4</v>
      </c>
      <c r="H152" s="9" t="inlineStr">
        <is>
          <t xml:space="preserve">81716     </t>
        </is>
      </c>
      <c r="I152" s="9" t="inlineStr">
        <is>
          <t xml:space="preserve">Жаров Максим Владимирович </t>
        </is>
      </c>
      <c r="J152" s="9" t="inlineStr">
        <is>
          <t>доцент</t>
        </is>
      </c>
      <c r="K152" s="9" t="n"/>
      <c r="L152" s="9" t="inlineStr">
        <is>
          <t>кроме пятницы</t>
        </is>
      </c>
      <c r="M152" s="12">
        <f>SUMIFS($E$2:$E$1130,$A$2:$A$1130,"осень",$I$2:$I$1130,I152)</f>
        <v/>
      </c>
      <c r="N152" s="13">
        <f>SUMIFS($E$2:$E$1130,$A$2:$A$1130,"весна",$I$2:$I$1130,I152)</f>
        <v/>
      </c>
      <c r="O152" s="14">
        <f>M152+N152</f>
        <v/>
      </c>
      <c r="P152" s="15">
        <f>O152/$P$1</f>
        <v/>
      </c>
    </row>
    <row r="153" hidden="1" ht="15.75" customHeight="1" s="2">
      <c r="A153" s="8" t="inlineStr">
        <is>
          <t>осень</t>
        </is>
      </c>
      <c r="B153" s="9" t="inlineStr">
        <is>
          <t>Оборудование цехов ОМД</t>
        </is>
      </c>
      <c r="C153" s="9" t="inlineStr">
        <is>
          <t>ПЗ</t>
        </is>
      </c>
      <c r="D153" s="9" t="inlineStr">
        <is>
          <t>Т1В-516Б-16</t>
        </is>
      </c>
      <c r="E153" s="10" t="n">
        <v>8</v>
      </c>
      <c r="F153" s="9" t="inlineStr">
        <is>
          <t>04644</t>
        </is>
      </c>
      <c r="G153" s="10" t="n">
        <v>8</v>
      </c>
      <c r="H153" s="9" t="inlineStr">
        <is>
          <t xml:space="preserve">81716     </t>
        </is>
      </c>
      <c r="I153" s="9" t="inlineStr">
        <is>
          <t xml:space="preserve">Жаров Максим Владимирович </t>
        </is>
      </c>
      <c r="J153" s="9" t="inlineStr">
        <is>
          <t>доцент</t>
        </is>
      </c>
      <c r="K153" s="9" t="n"/>
      <c r="L153" s="9" t="inlineStr">
        <is>
          <t>кроме пятницы</t>
        </is>
      </c>
      <c r="M153" s="12">
        <f>SUMIFS($E$2:$E$1130,$A$2:$A$1130,"осень",$I$2:$I$1130,I153)</f>
        <v/>
      </c>
      <c r="N153" s="13">
        <f>SUMIFS($E$2:$E$1130,$A$2:$A$1130,"весна",$I$2:$I$1130,I153)</f>
        <v/>
      </c>
      <c r="O153" s="14">
        <f>M153+N153</f>
        <v/>
      </c>
      <c r="P153" s="15">
        <f>O153/$P$1</f>
        <v/>
      </c>
    </row>
    <row r="154" hidden="1" ht="15.75" customHeight="1" s="2">
      <c r="A154" s="8" t="inlineStr">
        <is>
          <t>осень</t>
        </is>
      </c>
      <c r="B154" s="9" t="inlineStr">
        <is>
          <t>Оборудование цехов ОМД</t>
        </is>
      </c>
      <c r="C154" s="9" t="inlineStr">
        <is>
          <t>Экзамен</t>
        </is>
      </c>
      <c r="D154" s="9" t="inlineStr">
        <is>
          <t>Т1В-516Б-16</t>
        </is>
      </c>
      <c r="E154" s="10" t="n">
        <v>3</v>
      </c>
      <c r="F154" s="9" t="inlineStr">
        <is>
          <t>04644</t>
        </is>
      </c>
      <c r="G154" s="11" t="n">
        <v>0</v>
      </c>
      <c r="H154" s="9" t="inlineStr">
        <is>
          <t xml:space="preserve">81716     </t>
        </is>
      </c>
      <c r="I154" s="9" t="inlineStr">
        <is>
          <t xml:space="preserve">Жаров Максим Владимирович </t>
        </is>
      </c>
      <c r="J154" s="9" t="inlineStr">
        <is>
          <t>доцент</t>
        </is>
      </c>
      <c r="K154" s="9" t="n"/>
      <c r="L154" s="9" t="inlineStr">
        <is>
          <t>кроме пятницы</t>
        </is>
      </c>
      <c r="M154" s="12">
        <f>SUMIFS($E$2:$E$1130,$A$2:$A$1130,"осень",$I$2:$I$1130,I154)</f>
        <v/>
      </c>
      <c r="N154" s="13">
        <f>SUMIFS($E$2:$E$1130,$A$2:$A$1130,"весна",$I$2:$I$1130,I154)</f>
        <v/>
      </c>
      <c r="O154" s="14">
        <f>M154+N154</f>
        <v/>
      </c>
      <c r="P154" s="15">
        <f>O154/$P$1</f>
        <v/>
      </c>
    </row>
    <row r="155" hidden="1" ht="15.75" customHeight="1" s="2">
      <c r="A155" s="8" t="inlineStr">
        <is>
          <t>осень</t>
        </is>
      </c>
      <c r="B155" s="9" t="inlineStr">
        <is>
          <t>Оборудование цехов ОМД</t>
        </is>
      </c>
      <c r="C155" s="9" t="inlineStr">
        <is>
          <t>КСР</t>
        </is>
      </c>
      <c r="D155" s="9" t="inlineStr">
        <is>
          <t>Т1В-516Б-16</t>
        </is>
      </c>
      <c r="E155" s="10" t="n">
        <v>4</v>
      </c>
      <c r="F155" s="9" t="inlineStr">
        <is>
          <t>04644</t>
        </is>
      </c>
      <c r="G155" s="10" t="n">
        <v>4</v>
      </c>
      <c r="H155" s="9" t="inlineStr">
        <is>
          <t xml:space="preserve">81716     </t>
        </is>
      </c>
      <c r="I155" s="9" t="inlineStr">
        <is>
          <t xml:space="preserve">Жаров Максим Владимирович </t>
        </is>
      </c>
      <c r="J155" s="9" t="inlineStr">
        <is>
          <t>доцент</t>
        </is>
      </c>
      <c r="K155" s="9" t="n"/>
      <c r="L155" s="9" t="inlineStr">
        <is>
          <t>кроме пятницы</t>
        </is>
      </c>
      <c r="M155" s="12">
        <f>SUMIFS($E$2:$E$1130,$A$2:$A$1130,"осень",$I$2:$I$1130,I155)</f>
        <v/>
      </c>
      <c r="N155" s="13">
        <f>SUMIFS($E$2:$E$1130,$A$2:$A$1130,"весна",$I$2:$I$1130,I155)</f>
        <v/>
      </c>
      <c r="O155" s="14">
        <f>M155+N155</f>
        <v/>
      </c>
      <c r="P155" s="15">
        <f>O155/$P$1</f>
        <v/>
      </c>
    </row>
    <row r="156" hidden="1" ht="15.75" customHeight="1" s="2">
      <c r="A156" s="8" t="inlineStr">
        <is>
          <t>осень</t>
        </is>
      </c>
      <c r="B156" s="9" t="inlineStr">
        <is>
          <t>Оборудование цехов ОМД</t>
        </is>
      </c>
      <c r="C156" s="9" t="inlineStr">
        <is>
          <t>Консультация</t>
        </is>
      </c>
      <c r="D156" s="9" t="inlineStr">
        <is>
          <t>Т1В-516Б-16</t>
        </is>
      </c>
      <c r="E156" s="10" t="n">
        <v>2</v>
      </c>
      <c r="F156" s="9" t="inlineStr">
        <is>
          <t>04644</t>
        </is>
      </c>
      <c r="G156" s="11" t="n">
        <v>0</v>
      </c>
      <c r="H156" s="9" t="inlineStr">
        <is>
          <t xml:space="preserve">81716     </t>
        </is>
      </c>
      <c r="I156" s="9" t="inlineStr">
        <is>
          <t xml:space="preserve">Жаров Максим Владимирович </t>
        </is>
      </c>
      <c r="J156" s="9" t="inlineStr">
        <is>
          <t>доцент</t>
        </is>
      </c>
      <c r="K156" s="9" t="n"/>
      <c r="L156" s="9" t="inlineStr">
        <is>
          <t>кроме пятницы</t>
        </is>
      </c>
      <c r="M156" s="12">
        <f>SUMIFS($E$2:$E$1130,$A$2:$A$1130,"осень",$I$2:$I$1130,I156)</f>
        <v/>
      </c>
      <c r="N156" s="13">
        <f>SUMIFS($E$2:$E$1130,$A$2:$A$1130,"весна",$I$2:$I$1130,I156)</f>
        <v/>
      </c>
      <c r="O156" s="14">
        <f>M156+N156</f>
        <v/>
      </c>
      <c r="P156" s="15">
        <f>O156/$P$1</f>
        <v/>
      </c>
    </row>
    <row r="157" hidden="1" ht="15.75" customHeight="1" s="2">
      <c r="A157" s="8" t="inlineStr">
        <is>
          <t>осень</t>
        </is>
      </c>
      <c r="B157" s="9" t="inlineStr">
        <is>
          <t>CALS-технологии в производстве продукции</t>
        </is>
      </c>
      <c r="C157" s="9" t="inlineStr">
        <is>
          <t>ЛК</t>
        </is>
      </c>
      <c r="D157" s="9" t="inlineStr">
        <is>
          <t>Т1О-404Б-17</t>
        </is>
      </c>
      <c r="E157" s="10" t="n">
        <v>24</v>
      </c>
      <c r="F157" s="9" t="inlineStr">
        <is>
          <t>08770</t>
        </is>
      </c>
      <c r="G157" s="10" t="n">
        <v>24</v>
      </c>
      <c r="H157" s="9" t="inlineStr">
        <is>
          <t xml:space="preserve">81724     </t>
        </is>
      </c>
      <c r="I157" s="9" t="inlineStr">
        <is>
          <t xml:space="preserve">Галкин Евгений Владимирович </t>
        </is>
      </c>
      <c r="J157" s="9" t="inlineStr">
        <is>
          <t>доцент</t>
        </is>
      </c>
      <c r="K157" s="9" t="n"/>
      <c r="L157" s="9" t="inlineStr">
        <is>
          <t>кроме пятницы (525 А)</t>
        </is>
      </c>
      <c r="M157" s="12">
        <f>SUMIFS($E$2:$E$1130,$A$2:$A$1130,"осень",$I$2:$I$1130,I157)</f>
        <v/>
      </c>
      <c r="N157" s="13">
        <f>SUMIFS($E$2:$E$1130,$A$2:$A$1130,"весна",$I$2:$I$1130,I157)</f>
        <v/>
      </c>
      <c r="O157" s="14">
        <f>M157+N157</f>
        <v/>
      </c>
      <c r="P157" s="15">
        <f>O157/$P$1</f>
        <v/>
      </c>
    </row>
    <row r="158" hidden="1" ht="15.75" customHeight="1" s="2">
      <c r="A158" s="8" t="inlineStr">
        <is>
          <t>осень</t>
        </is>
      </c>
      <c r="B158" s="9" t="inlineStr">
        <is>
          <t>CALS-технологии в производстве продукции</t>
        </is>
      </c>
      <c r="C158" s="9" t="inlineStr">
        <is>
          <t>ПЗ</t>
        </is>
      </c>
      <c r="D158" s="9" t="inlineStr">
        <is>
          <t>Т1О-404Б-17</t>
        </is>
      </c>
      <c r="E158" s="10" t="n">
        <v>40</v>
      </c>
      <c r="F158" s="9" t="inlineStr">
        <is>
          <t>08770</t>
        </is>
      </c>
      <c r="G158" s="10" t="n">
        <v>40</v>
      </c>
      <c r="H158" s="9" t="inlineStr">
        <is>
          <t xml:space="preserve">81724     </t>
        </is>
      </c>
      <c r="I158" s="9" t="inlineStr">
        <is>
          <t xml:space="preserve">Галкин Евгений Владимирович </t>
        </is>
      </c>
      <c r="J158" s="9" t="inlineStr">
        <is>
          <t>доцент</t>
        </is>
      </c>
      <c r="K158" s="9" t="n"/>
      <c r="L158" s="9" t="inlineStr">
        <is>
          <t>кроме пятницы (525 А)</t>
        </is>
      </c>
      <c r="M158" s="12">
        <f>SUMIFS($E$2:$E$1130,$A$2:$A$1130,"осень",$I$2:$I$1130,I158)</f>
        <v/>
      </c>
      <c r="N158" s="13">
        <f>SUMIFS($E$2:$E$1130,$A$2:$A$1130,"весна",$I$2:$I$1130,I158)</f>
        <v/>
      </c>
      <c r="O158" s="14">
        <f>M158+N158</f>
        <v/>
      </c>
      <c r="P158" s="15">
        <f>O158/$P$1</f>
        <v/>
      </c>
    </row>
    <row r="159" hidden="1" ht="15.75" customHeight="1" s="2">
      <c r="A159" s="8" t="inlineStr">
        <is>
          <t>осень</t>
        </is>
      </c>
      <c r="B159" s="9" t="inlineStr">
        <is>
          <t>CALS-технологии в производстве продукции</t>
        </is>
      </c>
      <c r="C159" s="9" t="inlineStr">
        <is>
          <t>Экзамен</t>
        </is>
      </c>
      <c r="D159" s="9" t="inlineStr">
        <is>
          <t>Т1О-404Б-17</t>
        </is>
      </c>
      <c r="E159" s="10" t="n">
        <v>12</v>
      </c>
      <c r="F159" s="9" t="inlineStr">
        <is>
          <t>08770</t>
        </is>
      </c>
      <c r="G159" s="11" t="n">
        <v>0</v>
      </c>
      <c r="H159" s="9" t="inlineStr">
        <is>
          <t xml:space="preserve">81724     </t>
        </is>
      </c>
      <c r="I159" s="9" t="inlineStr">
        <is>
          <t xml:space="preserve">Галкин Евгений Владимирович </t>
        </is>
      </c>
      <c r="J159" s="9" t="inlineStr">
        <is>
          <t>доцент</t>
        </is>
      </c>
      <c r="K159" s="9" t="n"/>
      <c r="L159" s="9" t="inlineStr">
        <is>
          <t>кроме пятницы (525 А)</t>
        </is>
      </c>
      <c r="M159" s="12">
        <f>SUMIFS($E$2:$E$1130,$A$2:$A$1130,"осень",$I$2:$I$1130,I159)</f>
        <v/>
      </c>
      <c r="N159" s="13">
        <f>SUMIFS($E$2:$E$1130,$A$2:$A$1130,"весна",$I$2:$I$1130,I159)</f>
        <v/>
      </c>
      <c r="O159" s="14">
        <f>M159+N159</f>
        <v/>
      </c>
      <c r="P159" s="15">
        <f>O159/$P$1</f>
        <v/>
      </c>
    </row>
    <row r="160" hidden="1" ht="15.75" customHeight="1" s="2">
      <c r="A160" s="8" t="inlineStr">
        <is>
          <t>осень</t>
        </is>
      </c>
      <c r="B160" s="9" t="inlineStr">
        <is>
          <t>CALS-технологии в производстве продукции</t>
        </is>
      </c>
      <c r="C160" s="9" t="inlineStr">
        <is>
          <t>Консультация</t>
        </is>
      </c>
      <c r="D160" s="9" t="inlineStr">
        <is>
          <t>Т1О-404Б-17</t>
        </is>
      </c>
      <c r="E160" s="10" t="n">
        <v>3</v>
      </c>
      <c r="F160" s="9" t="inlineStr">
        <is>
          <t>08770</t>
        </is>
      </c>
      <c r="G160" s="11" t="n">
        <v>0</v>
      </c>
      <c r="H160" s="9" t="inlineStr">
        <is>
          <t xml:space="preserve">81724     </t>
        </is>
      </c>
      <c r="I160" s="9" t="inlineStr">
        <is>
          <t xml:space="preserve">Галкин Евгений Владимирович </t>
        </is>
      </c>
      <c r="J160" s="9" t="inlineStr">
        <is>
          <t>доцент</t>
        </is>
      </c>
      <c r="K160" s="9" t="n"/>
      <c r="L160" s="9" t="inlineStr">
        <is>
          <t>кроме пятницы (525 А)</t>
        </is>
      </c>
      <c r="M160" s="12">
        <f>SUMIFS($E$2:$E$1130,$A$2:$A$1130,"осень",$I$2:$I$1130,I160)</f>
        <v/>
      </c>
      <c r="N160" s="13">
        <f>SUMIFS($E$2:$E$1130,$A$2:$A$1130,"весна",$I$2:$I$1130,I160)</f>
        <v/>
      </c>
      <c r="O160" s="14">
        <f>M160+N160</f>
        <v/>
      </c>
      <c r="P160" s="15">
        <f>O160/$P$1</f>
        <v/>
      </c>
    </row>
    <row r="161" hidden="1" ht="15.75" customHeight="1" s="2">
      <c r="A161" s="8" t="inlineStr">
        <is>
          <t>осень</t>
        </is>
      </c>
      <c r="B161" s="9" t="inlineStr">
        <is>
          <t>Теория и технология композиционных материалов</t>
        </is>
      </c>
      <c r="C161" s="9" t="inlineStr">
        <is>
          <t>ЛК</t>
        </is>
      </c>
      <c r="D161" s="9" t="inlineStr">
        <is>
          <t>Т11О-101М-20</t>
        </is>
      </c>
      <c r="E161" s="10" t="n">
        <v>10</v>
      </c>
      <c r="F161" s="9" t="inlineStr">
        <is>
          <t>04489</t>
        </is>
      </c>
      <c r="G161" s="10" t="n">
        <v>10</v>
      </c>
      <c r="H161" s="9" t="inlineStr">
        <is>
          <t xml:space="preserve">81724     </t>
        </is>
      </c>
      <c r="I161" s="9" t="inlineStr">
        <is>
          <t xml:space="preserve">Галкин Евгений Владимирович </t>
        </is>
      </c>
      <c r="J161" s="9" t="inlineStr">
        <is>
          <t>доцент</t>
        </is>
      </c>
      <c r="K161" s="9" t="n"/>
      <c r="L161" s="9" t="inlineStr">
        <is>
          <t>кроме пятницы (525 А)</t>
        </is>
      </c>
      <c r="M161" s="12">
        <f>SUMIFS($E$2:$E$1130,$A$2:$A$1130,"осень",$I$2:$I$1130,I161)</f>
        <v/>
      </c>
      <c r="N161" s="13">
        <f>SUMIFS($E$2:$E$1130,$A$2:$A$1130,"весна",$I$2:$I$1130,I161)</f>
        <v/>
      </c>
      <c r="O161" s="14">
        <f>M161+N161</f>
        <v/>
      </c>
      <c r="P161" s="15">
        <f>O161/$P$1</f>
        <v/>
      </c>
    </row>
    <row r="162" hidden="1" ht="15.75" customHeight="1" s="2">
      <c r="A162" s="8" t="inlineStr">
        <is>
          <t>осень</t>
        </is>
      </c>
      <c r="B162" s="9" t="inlineStr">
        <is>
          <t>Теория и технология композиционных материалов</t>
        </is>
      </c>
      <c r="C162" s="9" t="inlineStr">
        <is>
          <t>ПЗ</t>
        </is>
      </c>
      <c r="D162" s="9" t="inlineStr">
        <is>
          <t>Т11О-101М-20</t>
        </is>
      </c>
      <c r="E162" s="10" t="n">
        <v>16</v>
      </c>
      <c r="F162" s="9" t="inlineStr">
        <is>
          <t>04489</t>
        </is>
      </c>
      <c r="G162" s="10" t="n">
        <v>16</v>
      </c>
      <c r="H162" s="9" t="inlineStr">
        <is>
          <t xml:space="preserve">81724     </t>
        </is>
      </c>
      <c r="I162" s="9" t="inlineStr">
        <is>
          <t xml:space="preserve">Галкин Евгений Владимирович </t>
        </is>
      </c>
      <c r="J162" s="9" t="inlineStr">
        <is>
          <t>доцент</t>
        </is>
      </c>
      <c r="K162" s="9" t="n"/>
      <c r="L162" s="9" t="inlineStr">
        <is>
          <t>кроме пятницы (525 А)</t>
        </is>
      </c>
      <c r="M162" s="12">
        <f>SUMIFS($E$2:$E$1130,$A$2:$A$1130,"осень",$I$2:$I$1130,I162)</f>
        <v/>
      </c>
      <c r="N162" s="13">
        <f>SUMIFS($E$2:$E$1130,$A$2:$A$1130,"весна",$I$2:$I$1130,I162)</f>
        <v/>
      </c>
      <c r="O162" s="14">
        <f>M162+N162</f>
        <v/>
      </c>
      <c r="P162" s="15">
        <f>O162/$P$1</f>
        <v/>
      </c>
    </row>
    <row r="163" hidden="1" ht="15.75" customHeight="1" s="2">
      <c r="A163" s="8" t="inlineStr">
        <is>
          <t>осень</t>
        </is>
      </c>
      <c r="B163" s="9" t="inlineStr">
        <is>
          <t>Теория и технология композиционных материалов</t>
        </is>
      </c>
      <c r="C163" s="9" t="inlineStr">
        <is>
          <t>Зачет</t>
        </is>
      </c>
      <c r="D163" s="9" t="inlineStr">
        <is>
          <t>Т11О-101М-20</t>
        </is>
      </c>
      <c r="E163" s="10" t="n">
        <v>2</v>
      </c>
      <c r="F163" s="9" t="inlineStr">
        <is>
          <t>04489</t>
        </is>
      </c>
      <c r="G163" s="11" t="n">
        <v>0</v>
      </c>
      <c r="H163" s="9" t="inlineStr">
        <is>
          <t xml:space="preserve">81724     </t>
        </is>
      </c>
      <c r="I163" s="9" t="inlineStr">
        <is>
          <t xml:space="preserve">Галкин Евгений Владимирович </t>
        </is>
      </c>
      <c r="J163" s="9" t="inlineStr">
        <is>
          <t>доцент</t>
        </is>
      </c>
      <c r="K163" s="9" t="n"/>
      <c r="L163" s="9" t="inlineStr">
        <is>
          <t>кроме пятницы (525 А)</t>
        </is>
      </c>
      <c r="M163" s="12">
        <f>SUMIFS($E$2:$E$1130,$A$2:$A$1130,"осень",$I$2:$I$1130,I163)</f>
        <v/>
      </c>
      <c r="N163" s="13">
        <f>SUMIFS($E$2:$E$1130,$A$2:$A$1130,"весна",$I$2:$I$1130,I163)</f>
        <v/>
      </c>
      <c r="O163" s="14">
        <f>M163+N163</f>
        <v/>
      </c>
      <c r="P163" s="15">
        <f>O163/$P$1</f>
        <v/>
      </c>
    </row>
    <row r="164" hidden="1" ht="15.75" customHeight="1" s="2">
      <c r="A164" s="8" t="inlineStr">
        <is>
          <t>осень</t>
        </is>
      </c>
      <c r="B164" s="9" t="inlineStr">
        <is>
          <t>Теория и технология композиционных материалов</t>
        </is>
      </c>
      <c r="C164" s="9" t="inlineStr">
        <is>
          <t>Консультация</t>
        </is>
      </c>
      <c r="D164" s="9" t="inlineStr">
        <is>
          <t>Т11О-101М-20</t>
        </is>
      </c>
      <c r="E164" s="10" t="n">
        <v>1</v>
      </c>
      <c r="F164" s="9" t="inlineStr">
        <is>
          <t>04489</t>
        </is>
      </c>
      <c r="G164" s="11" t="n">
        <v>0</v>
      </c>
      <c r="H164" s="9" t="inlineStr">
        <is>
          <t xml:space="preserve">81724     </t>
        </is>
      </c>
      <c r="I164" s="9" t="inlineStr">
        <is>
          <t xml:space="preserve">Галкин Евгений Владимирович </t>
        </is>
      </c>
      <c r="J164" s="9" t="inlineStr">
        <is>
          <t>доцент</t>
        </is>
      </c>
      <c r="K164" s="9" t="n"/>
      <c r="L164" s="9" t="inlineStr">
        <is>
          <t>кроме пятницы (525 А)</t>
        </is>
      </c>
      <c r="M164" s="12">
        <f>SUMIFS($E$2:$E$1130,$A$2:$A$1130,"осень",$I$2:$I$1130,I164)</f>
        <v/>
      </c>
      <c r="N164" s="13">
        <f>SUMIFS($E$2:$E$1130,$A$2:$A$1130,"весна",$I$2:$I$1130,I164)</f>
        <v/>
      </c>
      <c r="O164" s="14">
        <f>M164+N164</f>
        <v/>
      </c>
      <c r="P164" s="15">
        <f>O164/$P$1</f>
        <v/>
      </c>
    </row>
    <row r="165" hidden="1" ht="15.75" customHeight="1" s="2">
      <c r="A165" s="8" t="inlineStr">
        <is>
          <t>осень</t>
        </is>
      </c>
      <c r="B165" s="9" t="inlineStr">
        <is>
          <t>Технология прокатно-прессового производства</t>
        </is>
      </c>
      <c r="C165" s="9" t="inlineStr">
        <is>
          <t>КП</t>
        </is>
      </c>
      <c r="D165" s="9" t="inlineStr">
        <is>
          <t>Т1В-516Б-16</t>
        </is>
      </c>
      <c r="E165" s="10" t="n">
        <v>24</v>
      </c>
      <c r="F165" s="9" t="inlineStr">
        <is>
          <t>04644</t>
        </is>
      </c>
      <c r="G165" s="11" t="n">
        <v>0</v>
      </c>
      <c r="H165" s="9" t="inlineStr">
        <is>
          <t xml:space="preserve">81722     </t>
        </is>
      </c>
      <c r="I165" s="9" t="inlineStr">
        <is>
          <t xml:space="preserve">Шленский Алексей Геннадьевич </t>
        </is>
      </c>
      <c r="J165" s="9" t="inlineStr">
        <is>
          <t>доцент</t>
        </is>
      </c>
      <c r="K165" s="9" t="inlineStr">
        <is>
          <t>Орш. А-523</t>
        </is>
      </c>
      <c r="L165" s="9" t="inlineStr">
        <is>
          <t>кроме пятницы</t>
        </is>
      </c>
      <c r="M165" s="12">
        <f>SUMIFS($E$2:$E$1130,$A$2:$A$1130,"осень",$I$2:$I$1130,I165)</f>
        <v/>
      </c>
      <c r="N165" s="13">
        <f>SUMIFS($E$2:$E$1130,$A$2:$A$1130,"весна",$I$2:$I$1130,I165)</f>
        <v/>
      </c>
      <c r="O165" s="14">
        <f>M165+N165</f>
        <v/>
      </c>
      <c r="P165" s="15">
        <f>O165/$P$1</f>
        <v/>
      </c>
    </row>
    <row r="166" hidden="1" ht="15.75" customHeight="1" s="2">
      <c r="A166" s="8" t="inlineStr">
        <is>
          <t>осень</t>
        </is>
      </c>
      <c r="B166" s="9" t="inlineStr">
        <is>
          <t>Технология прокатно-прессового производства</t>
        </is>
      </c>
      <c r="C166" s="9" t="inlineStr">
        <is>
          <t>ЛК</t>
        </is>
      </c>
      <c r="D166" s="9" t="inlineStr">
        <is>
          <t>Т1В-516Б-16</t>
        </is>
      </c>
      <c r="E166" s="10" t="n">
        <v>20</v>
      </c>
      <c r="F166" s="9" t="inlineStr">
        <is>
          <t>04644</t>
        </is>
      </c>
      <c r="G166" s="10" t="n">
        <v>20</v>
      </c>
      <c r="H166" s="9" t="inlineStr">
        <is>
          <t xml:space="preserve">81722     </t>
        </is>
      </c>
      <c r="I166" s="9" t="inlineStr">
        <is>
          <t xml:space="preserve">Шленский Алексей Геннадьевич </t>
        </is>
      </c>
      <c r="J166" s="9" t="inlineStr">
        <is>
          <t>доцент</t>
        </is>
      </c>
      <c r="K166" s="9" t="inlineStr">
        <is>
          <t>Орш. А-523</t>
        </is>
      </c>
      <c r="L166" s="9" t="inlineStr">
        <is>
          <t>кроме пятницы</t>
        </is>
      </c>
      <c r="M166" s="12">
        <f>SUMIFS($E$2:$E$1130,$A$2:$A$1130,"осень",$I$2:$I$1130,I166)</f>
        <v/>
      </c>
      <c r="N166" s="13">
        <f>SUMIFS($E$2:$E$1130,$A$2:$A$1130,"весна",$I$2:$I$1130,I166)</f>
        <v/>
      </c>
      <c r="O166" s="14">
        <f>M166+N166</f>
        <v/>
      </c>
      <c r="P166" s="15">
        <f>O166/$P$1</f>
        <v/>
      </c>
    </row>
    <row r="167" hidden="1" ht="15.75" customHeight="1" s="2">
      <c r="A167" s="8" t="inlineStr">
        <is>
          <t>осень</t>
        </is>
      </c>
      <c r="B167" s="9" t="inlineStr">
        <is>
          <t>Технология прокатно-прессового производства</t>
        </is>
      </c>
      <c r="C167" s="9" t="inlineStr">
        <is>
          <t>ЛК</t>
        </is>
      </c>
      <c r="D167" s="9" t="inlineStr">
        <is>
          <t>Т1О-401Б-17</t>
        </is>
      </c>
      <c r="E167" s="10" t="n">
        <v>40</v>
      </c>
      <c r="F167" s="9" t="inlineStr">
        <is>
          <t>06256</t>
        </is>
      </c>
      <c r="G167" s="10" t="n">
        <v>40</v>
      </c>
      <c r="H167" s="9" t="inlineStr">
        <is>
          <t xml:space="preserve">81722     </t>
        </is>
      </c>
      <c r="I167" s="9" t="inlineStr">
        <is>
          <t xml:space="preserve">Шленский Алексей Геннадьевич </t>
        </is>
      </c>
      <c r="J167" s="9" t="inlineStr">
        <is>
          <t>доцент</t>
        </is>
      </c>
      <c r="K167" s="9" t="inlineStr">
        <is>
          <t>Орш. А-523</t>
        </is>
      </c>
      <c r="L167" s="9" t="inlineStr">
        <is>
          <t>кроме пятницы</t>
        </is>
      </c>
      <c r="M167" s="12">
        <f>SUMIFS($E$2:$E$1130,$A$2:$A$1130,"осень",$I$2:$I$1130,I167)</f>
        <v/>
      </c>
      <c r="N167" s="13">
        <f>SUMIFS($E$2:$E$1130,$A$2:$A$1130,"весна",$I$2:$I$1130,I167)</f>
        <v/>
      </c>
      <c r="O167" s="14">
        <f>M167+N167</f>
        <v/>
      </c>
      <c r="P167" s="15">
        <f>O167/$P$1</f>
        <v/>
      </c>
    </row>
    <row r="168" hidden="1" ht="15.75" customHeight="1" s="2">
      <c r="A168" s="8" t="inlineStr">
        <is>
          <t>осень</t>
        </is>
      </c>
      <c r="B168" s="9" t="inlineStr">
        <is>
          <t>Технология прокатно-прессового производства</t>
        </is>
      </c>
      <c r="C168" s="9" t="inlineStr">
        <is>
          <t>ПЗ</t>
        </is>
      </c>
      <c r="D168" s="9" t="inlineStr">
        <is>
          <t>Т1В-516Б-16</t>
        </is>
      </c>
      <c r="E168" s="10" t="n">
        <v>12</v>
      </c>
      <c r="F168" s="9" t="inlineStr">
        <is>
          <t>04644</t>
        </is>
      </c>
      <c r="G168" s="10" t="n">
        <v>12</v>
      </c>
      <c r="H168" s="9" t="inlineStr">
        <is>
          <t xml:space="preserve">81722     </t>
        </is>
      </c>
      <c r="I168" s="9" t="inlineStr">
        <is>
          <t xml:space="preserve">Шленский Алексей Геннадьевич </t>
        </is>
      </c>
      <c r="J168" s="9" t="inlineStr">
        <is>
          <t>доцент</t>
        </is>
      </c>
      <c r="K168" s="9" t="inlineStr">
        <is>
          <t>Орш. А-521</t>
        </is>
      </c>
      <c r="L168" s="9" t="inlineStr">
        <is>
          <t>кроме пятницы</t>
        </is>
      </c>
      <c r="M168" s="12">
        <f>SUMIFS($E$2:$E$1130,$A$2:$A$1130,"осень",$I$2:$I$1130,I168)</f>
        <v/>
      </c>
      <c r="N168" s="13">
        <f>SUMIFS($E$2:$E$1130,$A$2:$A$1130,"весна",$I$2:$I$1130,I168)</f>
        <v/>
      </c>
      <c r="O168" s="14">
        <f>M168+N168</f>
        <v/>
      </c>
      <c r="P168" s="15">
        <f>O168/$P$1</f>
        <v/>
      </c>
    </row>
    <row r="169" hidden="1" ht="15.75" customHeight="1" s="2">
      <c r="A169" s="8" t="inlineStr">
        <is>
          <t>осень</t>
        </is>
      </c>
      <c r="B169" s="9" t="inlineStr">
        <is>
          <t>Технология прокатно-прессового производства</t>
        </is>
      </c>
      <c r="C169" s="9" t="inlineStr">
        <is>
          <t>ПЗ</t>
        </is>
      </c>
      <c r="D169" s="9" t="inlineStr">
        <is>
          <t>Т1О-401Б-17</t>
        </is>
      </c>
      <c r="E169" s="10" t="n">
        <v>68</v>
      </c>
      <c r="F169" s="9" t="inlineStr">
        <is>
          <t>06256</t>
        </is>
      </c>
      <c r="G169" s="10" t="n">
        <v>68</v>
      </c>
      <c r="H169" s="9" t="inlineStr">
        <is>
          <t xml:space="preserve">81722     </t>
        </is>
      </c>
      <c r="I169" s="9" t="inlineStr">
        <is>
          <t xml:space="preserve">Шленский Алексей Геннадьевич </t>
        </is>
      </c>
      <c r="J169" s="9" t="inlineStr">
        <is>
          <t>доцент</t>
        </is>
      </c>
      <c r="K169" s="9" t="inlineStr">
        <is>
          <t>Орш. А-522</t>
        </is>
      </c>
      <c r="L169" s="9" t="inlineStr">
        <is>
          <t>кроме пятницы</t>
        </is>
      </c>
      <c r="M169" s="12">
        <f>SUMIFS($E$2:$E$1130,$A$2:$A$1130,"осень",$I$2:$I$1130,I169)</f>
        <v/>
      </c>
      <c r="N169" s="13">
        <f>SUMIFS($E$2:$E$1130,$A$2:$A$1130,"весна",$I$2:$I$1130,I169)</f>
        <v/>
      </c>
      <c r="O169" s="14">
        <f>M169+N169</f>
        <v/>
      </c>
      <c r="P169" s="15">
        <f>O169/$P$1</f>
        <v/>
      </c>
    </row>
    <row r="170" hidden="1" ht="15.75" customHeight="1" s="2">
      <c r="A170" s="8" t="inlineStr">
        <is>
          <t>осень</t>
        </is>
      </c>
      <c r="B170" s="9" t="inlineStr">
        <is>
          <t>Технология прокатно-прессового производства</t>
        </is>
      </c>
      <c r="C170" s="9" t="inlineStr">
        <is>
          <t>ЛР</t>
        </is>
      </c>
      <c r="D170" s="9" t="inlineStr">
        <is>
          <t>Т1В-516Б-16</t>
        </is>
      </c>
      <c r="E170" s="10" t="n">
        <v>16</v>
      </c>
      <c r="F170" s="9" t="inlineStr">
        <is>
          <t>04644</t>
        </is>
      </c>
      <c r="G170" s="10" t="n">
        <v>16</v>
      </c>
      <c r="H170" s="9" t="inlineStr">
        <is>
          <t xml:space="preserve">81722     </t>
        </is>
      </c>
      <c r="I170" s="9" t="inlineStr">
        <is>
          <t xml:space="preserve">Шленский Алексей Геннадьевич </t>
        </is>
      </c>
      <c r="J170" s="9" t="inlineStr">
        <is>
          <t>доцент</t>
        </is>
      </c>
      <c r="K170" s="9" t="inlineStr">
        <is>
          <t>Орш. А-522</t>
        </is>
      </c>
      <c r="L170" s="9" t="inlineStr">
        <is>
          <t>кроме пятницы</t>
        </is>
      </c>
      <c r="M170" s="12">
        <f>SUMIFS($E$2:$E$1130,$A$2:$A$1130,"осень",$I$2:$I$1130,I170)</f>
        <v/>
      </c>
      <c r="N170" s="13">
        <f>SUMIFS($E$2:$E$1130,$A$2:$A$1130,"весна",$I$2:$I$1130,I170)</f>
        <v/>
      </c>
      <c r="O170" s="14">
        <f>M170+N170</f>
        <v/>
      </c>
      <c r="P170" s="15">
        <f>O170/$P$1</f>
        <v/>
      </c>
    </row>
    <row r="171" hidden="1" ht="15.75" customHeight="1" s="2">
      <c r="A171" s="8" t="inlineStr">
        <is>
          <t>осень</t>
        </is>
      </c>
      <c r="B171" s="9" t="inlineStr">
        <is>
          <t>Технология прокатно-прессового производства</t>
        </is>
      </c>
      <c r="C171" s="9" t="inlineStr">
        <is>
          <t>Экзамен</t>
        </is>
      </c>
      <c r="D171" s="9" t="inlineStr">
        <is>
          <t>Т1В-516Б-16</t>
        </is>
      </c>
      <c r="E171" s="10" t="n">
        <v>3</v>
      </c>
      <c r="F171" s="9" t="inlineStr">
        <is>
          <t>04644</t>
        </is>
      </c>
      <c r="G171" s="11" t="n">
        <v>0</v>
      </c>
      <c r="H171" s="9" t="inlineStr">
        <is>
          <t xml:space="preserve">81722     </t>
        </is>
      </c>
      <c r="I171" s="9" t="inlineStr">
        <is>
          <t xml:space="preserve">Шленский Алексей Геннадьевич </t>
        </is>
      </c>
      <c r="J171" s="9" t="inlineStr">
        <is>
          <t>доцент</t>
        </is>
      </c>
      <c r="K171" s="9" t="n"/>
      <c r="L171" s="9" t="inlineStr">
        <is>
          <t>кроме пятницы</t>
        </is>
      </c>
      <c r="M171" s="12">
        <f>SUMIFS($E$2:$E$1130,$A$2:$A$1130,"осень",$I$2:$I$1130,I171)</f>
        <v/>
      </c>
      <c r="N171" s="13">
        <f>SUMIFS($E$2:$E$1130,$A$2:$A$1130,"весна",$I$2:$I$1130,I171)</f>
        <v/>
      </c>
      <c r="O171" s="14">
        <f>M171+N171</f>
        <v/>
      </c>
      <c r="P171" s="15">
        <f>O171/$P$1</f>
        <v/>
      </c>
    </row>
    <row r="172" hidden="1" ht="15.75" customHeight="1" s="2">
      <c r="A172" s="8" t="inlineStr">
        <is>
          <t>осень</t>
        </is>
      </c>
      <c r="B172" s="9" t="inlineStr">
        <is>
          <t>Технология прокатно-прессового производства</t>
        </is>
      </c>
      <c r="C172" s="9" t="inlineStr">
        <is>
          <t>Экзамен</t>
        </is>
      </c>
      <c r="D172" s="9" t="inlineStr">
        <is>
          <t>Т1О-401Б-17</t>
        </is>
      </c>
      <c r="E172" s="10" t="n">
        <v>8</v>
      </c>
      <c r="F172" s="9" t="inlineStr">
        <is>
          <t>06256</t>
        </is>
      </c>
      <c r="G172" s="11" t="n">
        <v>0</v>
      </c>
      <c r="H172" s="9" t="inlineStr">
        <is>
          <t xml:space="preserve">81722     </t>
        </is>
      </c>
      <c r="I172" s="9" t="inlineStr">
        <is>
          <t xml:space="preserve">Шленский Алексей Геннадьевич </t>
        </is>
      </c>
      <c r="J172" s="9" t="inlineStr">
        <is>
          <t>доцент</t>
        </is>
      </c>
      <c r="K172" s="9" t="n"/>
      <c r="L172" s="9" t="n"/>
      <c r="M172" s="12">
        <f>SUMIFS($E$2:$E$1130,$A$2:$A$1130,"осень",$I$2:$I$1130,I172)</f>
        <v/>
      </c>
      <c r="N172" s="13">
        <f>SUMIFS($E$2:$E$1130,$A$2:$A$1130,"весна",$I$2:$I$1130,I172)</f>
        <v/>
      </c>
      <c r="O172" s="14">
        <f>M172+N172</f>
        <v/>
      </c>
      <c r="P172" s="15">
        <f>O172/$P$1</f>
        <v/>
      </c>
    </row>
    <row r="173" hidden="1" ht="15.75" customHeight="1" s="2">
      <c r="A173" s="8" t="inlineStr">
        <is>
          <t>осень</t>
        </is>
      </c>
      <c r="B173" s="9" t="inlineStr">
        <is>
          <t>Технология прокатно-прессового производства</t>
        </is>
      </c>
      <c r="C173" s="9" t="inlineStr">
        <is>
          <t>КСР</t>
        </is>
      </c>
      <c r="D173" s="9" t="inlineStr">
        <is>
          <t>Т1В-516Б-16</t>
        </is>
      </c>
      <c r="E173" s="10" t="n">
        <v>32</v>
      </c>
      <c r="F173" s="9" t="inlineStr">
        <is>
          <t>04644</t>
        </is>
      </c>
      <c r="G173" s="10" t="n">
        <v>32</v>
      </c>
      <c r="H173" s="9" t="inlineStr">
        <is>
          <t xml:space="preserve">81722     </t>
        </is>
      </c>
      <c r="I173" s="9" t="inlineStr">
        <is>
          <t xml:space="preserve">Шленский Алексей Геннадьевич </t>
        </is>
      </c>
      <c r="J173" s="9" t="inlineStr">
        <is>
          <t>доцент</t>
        </is>
      </c>
      <c r="K173" s="9" t="n"/>
      <c r="L173" s="9" t="inlineStr">
        <is>
          <t>кроме пятницы</t>
        </is>
      </c>
      <c r="M173" s="12">
        <f>SUMIFS($E$2:$E$1130,$A$2:$A$1130,"осень",$I$2:$I$1130,I173)</f>
        <v/>
      </c>
      <c r="N173" s="13">
        <f>SUMIFS($E$2:$E$1130,$A$2:$A$1130,"весна",$I$2:$I$1130,I173)</f>
        <v/>
      </c>
      <c r="O173" s="14">
        <f>M173+N173</f>
        <v/>
      </c>
      <c r="P173" s="15">
        <f>O173/$P$1</f>
        <v/>
      </c>
    </row>
    <row r="174" hidden="1" ht="15.75" customHeight="1" s="2">
      <c r="A174" s="8" t="inlineStr">
        <is>
          <t>осень</t>
        </is>
      </c>
      <c r="B174" s="9" t="inlineStr">
        <is>
          <t>Технология прокатно-прессового производства</t>
        </is>
      </c>
      <c r="C174" s="9" t="inlineStr">
        <is>
          <t>Консультация</t>
        </is>
      </c>
      <c r="D174" s="9" t="inlineStr">
        <is>
          <t>Т1В-516Б-16</t>
        </is>
      </c>
      <c r="E174" s="10" t="n">
        <v>4</v>
      </c>
      <c r="F174" s="9" t="inlineStr">
        <is>
          <t>04644</t>
        </is>
      </c>
      <c r="G174" s="11" t="n">
        <v>0</v>
      </c>
      <c r="H174" s="9" t="inlineStr">
        <is>
          <t xml:space="preserve">81722     </t>
        </is>
      </c>
      <c r="I174" s="9" t="inlineStr">
        <is>
          <t xml:space="preserve">Шленский Алексей Геннадьевич </t>
        </is>
      </c>
      <c r="J174" s="9" t="inlineStr">
        <is>
          <t>доцент</t>
        </is>
      </c>
      <c r="K174" s="9" t="n"/>
      <c r="L174" s="9" t="inlineStr">
        <is>
          <t>кроме пятницы</t>
        </is>
      </c>
      <c r="M174" s="12">
        <f>SUMIFS($E$2:$E$1130,$A$2:$A$1130,"осень",$I$2:$I$1130,I174)</f>
        <v/>
      </c>
      <c r="N174" s="13">
        <f>SUMIFS($E$2:$E$1130,$A$2:$A$1130,"весна",$I$2:$I$1130,I174)</f>
        <v/>
      </c>
      <c r="O174" s="14">
        <f>M174+N174</f>
        <v/>
      </c>
      <c r="P174" s="15">
        <f>O174/$P$1</f>
        <v/>
      </c>
    </row>
    <row r="175" hidden="1" ht="15.75" customHeight="1" s="2">
      <c r="A175" s="8" t="inlineStr">
        <is>
          <t>осень</t>
        </is>
      </c>
      <c r="B175" s="9" t="inlineStr">
        <is>
          <t>Технология прокатно-прессового производства</t>
        </is>
      </c>
      <c r="C175" s="9" t="inlineStr">
        <is>
          <t>Консультация</t>
        </is>
      </c>
      <c r="D175" s="9" t="inlineStr">
        <is>
          <t>Т1О-401Б-17</t>
        </is>
      </c>
      <c r="E175" s="10" t="n">
        <v>4</v>
      </c>
      <c r="F175" s="9" t="inlineStr">
        <is>
          <t>06256</t>
        </is>
      </c>
      <c r="G175" s="11" t="n">
        <v>0</v>
      </c>
      <c r="H175" s="9" t="inlineStr">
        <is>
          <t xml:space="preserve">81722     </t>
        </is>
      </c>
      <c r="I175" s="9" t="inlineStr">
        <is>
          <t xml:space="preserve">Шленский Алексей Геннадьевич </t>
        </is>
      </c>
      <c r="J175" s="9" t="inlineStr">
        <is>
          <t>доцент</t>
        </is>
      </c>
      <c r="K175" s="9" t="n"/>
      <c r="L175" s="9" t="inlineStr">
        <is>
          <t>кроме пятницы</t>
        </is>
      </c>
      <c r="M175" s="12">
        <f>SUMIFS($E$2:$E$1130,$A$2:$A$1130,"осень",$I$2:$I$1130,I175)</f>
        <v/>
      </c>
      <c r="N175" s="13">
        <f>SUMIFS($E$2:$E$1130,$A$2:$A$1130,"весна",$I$2:$I$1130,I175)</f>
        <v/>
      </c>
      <c r="O175" s="14">
        <f>M175+N175</f>
        <v/>
      </c>
      <c r="P175" s="15">
        <f>O175/$P$1</f>
        <v/>
      </c>
    </row>
    <row r="176" hidden="1" ht="15.75" customHeight="1" s="2">
      <c r="A176" s="17" t="inlineStr">
        <is>
          <t>осень</t>
        </is>
      </c>
      <c r="B176" s="9" t="inlineStr">
        <is>
          <t>Методы прогнозирования в управлении жизненным циклом продукции</t>
        </is>
      </c>
      <c r="C176" s="9" t="inlineStr">
        <is>
          <t>ЛК</t>
        </is>
      </c>
      <c r="D176" s="9" t="inlineStr">
        <is>
          <t>Т11О-304Б-18</t>
        </is>
      </c>
      <c r="E176" s="10" t="n">
        <v>24</v>
      </c>
      <c r="F176" s="9" t="inlineStr">
        <is>
          <t>08770</t>
        </is>
      </c>
      <c r="G176" s="10" t="n">
        <v>24</v>
      </c>
      <c r="H176" s="9" t="inlineStr">
        <is>
          <t xml:space="preserve">81724     </t>
        </is>
      </c>
      <c r="I176" s="9" t="inlineStr">
        <is>
          <t xml:space="preserve">Галкин Евгений Владимирович </t>
        </is>
      </c>
      <c r="J176" s="9" t="inlineStr">
        <is>
          <t>доцент</t>
        </is>
      </c>
      <c r="K176" s="9" t="n"/>
      <c r="L176" s="9" t="inlineStr">
        <is>
          <t>кроме понедельника и пятницы</t>
        </is>
      </c>
      <c r="M176" s="12">
        <f>SUMIFS($E$2:$E$1130,$A$2:$A$1130,"осень",$I$2:$I$1130,I176)</f>
        <v/>
      </c>
      <c r="N176" s="13">
        <f>SUMIFS($E$2:$E$1130,$A$2:$A$1130,"весна",$I$2:$I$1130,I176)</f>
        <v/>
      </c>
      <c r="O176" s="14">
        <f>M176+N176</f>
        <v/>
      </c>
      <c r="P176" s="15">
        <f>O176/$P$1</f>
        <v/>
      </c>
    </row>
    <row r="177" hidden="1" ht="15.75" customHeight="1" s="2">
      <c r="A177" s="17" t="inlineStr">
        <is>
          <t>осень</t>
        </is>
      </c>
      <c r="B177" s="9" t="inlineStr">
        <is>
          <t>Методы прогнозирования в управлении жизненным циклом продукции</t>
        </is>
      </c>
      <c r="C177" s="9" t="inlineStr">
        <is>
          <t>ПЗ</t>
        </is>
      </c>
      <c r="D177" s="9" t="inlineStr">
        <is>
          <t>Т11О-304Б-18</t>
        </is>
      </c>
      <c r="E177" s="10" t="n">
        <v>40</v>
      </c>
      <c r="F177" s="9" t="inlineStr">
        <is>
          <t>08770</t>
        </is>
      </c>
      <c r="G177" s="10" t="n">
        <v>40</v>
      </c>
      <c r="H177" s="9" t="inlineStr">
        <is>
          <t xml:space="preserve">81724     </t>
        </is>
      </c>
      <c r="I177" s="9" t="inlineStr">
        <is>
          <t xml:space="preserve">Галкин Евгений Владимирович </t>
        </is>
      </c>
      <c r="J177" s="9" t="inlineStr">
        <is>
          <t>доцент</t>
        </is>
      </c>
      <c r="K177" s="9" t="n"/>
      <c r="L177" s="9" t="inlineStr">
        <is>
          <t>кроме понедельника и пятницы</t>
        </is>
      </c>
      <c r="M177" s="12">
        <f>SUMIFS($E$2:$E$1130,$A$2:$A$1130,"осень",$I$2:$I$1130,I177)</f>
        <v/>
      </c>
      <c r="N177" s="13">
        <f>SUMIFS($E$2:$E$1130,$A$2:$A$1130,"весна",$I$2:$I$1130,I177)</f>
        <v/>
      </c>
      <c r="O177" s="14">
        <f>M177+N177</f>
        <v/>
      </c>
      <c r="P177" s="15">
        <f>O177/$P$1</f>
        <v/>
      </c>
    </row>
    <row r="178" hidden="1" ht="15.75" customHeight="1" s="2">
      <c r="A178" s="17" t="inlineStr">
        <is>
          <t>осень</t>
        </is>
      </c>
      <c r="B178" s="9" t="inlineStr">
        <is>
          <t>Методы прогнозирования в управлении жизненным циклом продукции</t>
        </is>
      </c>
      <c r="C178" s="9" t="inlineStr">
        <is>
          <t>Экзамен</t>
        </is>
      </c>
      <c r="D178" s="9" t="inlineStr">
        <is>
          <t>Т11О-304Б-18</t>
        </is>
      </c>
      <c r="E178" s="10" t="n">
        <v>9</v>
      </c>
      <c r="F178" s="9" t="inlineStr">
        <is>
          <t>08770</t>
        </is>
      </c>
      <c r="G178" s="11" t="n">
        <v>0</v>
      </c>
      <c r="H178" s="9" t="inlineStr">
        <is>
          <t xml:space="preserve">81724     </t>
        </is>
      </c>
      <c r="I178" s="9" t="inlineStr">
        <is>
          <t xml:space="preserve">Галкин Евгений Владимирович </t>
        </is>
      </c>
      <c r="J178" s="9" t="inlineStr">
        <is>
          <t>доцент</t>
        </is>
      </c>
      <c r="K178" s="9" t="n"/>
      <c r="L178" s="9" t="inlineStr">
        <is>
          <t>кроме понедельника и пятницы</t>
        </is>
      </c>
      <c r="M178" s="12">
        <f>SUMIFS($E$2:$E$1130,$A$2:$A$1130,"осень",$I$2:$I$1130,I178)</f>
        <v/>
      </c>
      <c r="N178" s="13">
        <f>SUMIFS($E$2:$E$1130,$A$2:$A$1130,"весна",$I$2:$I$1130,I178)</f>
        <v/>
      </c>
      <c r="O178" s="14">
        <f>M178+N178</f>
        <v/>
      </c>
      <c r="P178" s="15">
        <f>O178/$P$1</f>
        <v/>
      </c>
    </row>
    <row r="179" hidden="1" ht="15.75" customHeight="1" s="2">
      <c r="A179" s="17" t="inlineStr">
        <is>
          <t>осень</t>
        </is>
      </c>
      <c r="B179" s="9" t="inlineStr">
        <is>
          <t>Методы прогнозирования в управлении жизненным циклом продукции</t>
        </is>
      </c>
      <c r="C179" s="9" t="inlineStr">
        <is>
          <t>Консультация</t>
        </is>
      </c>
      <c r="D179" s="9" t="inlineStr">
        <is>
          <t>Т11О-304Б-18</t>
        </is>
      </c>
      <c r="E179" s="10" t="n">
        <v>3</v>
      </c>
      <c r="F179" s="9" t="inlineStr">
        <is>
          <t>08770</t>
        </is>
      </c>
      <c r="G179" s="11" t="n">
        <v>0</v>
      </c>
      <c r="H179" s="9" t="inlineStr">
        <is>
          <t xml:space="preserve">81724     </t>
        </is>
      </c>
      <c r="I179" s="9" t="inlineStr">
        <is>
          <t xml:space="preserve">Галкин Евгений Владимирович </t>
        </is>
      </c>
      <c r="J179" s="9" t="inlineStr">
        <is>
          <t>доцент</t>
        </is>
      </c>
      <c r="K179" s="9" t="n"/>
      <c r="L179" s="9" t="inlineStr">
        <is>
          <t>кроме понедельника и пятницы</t>
        </is>
      </c>
      <c r="M179" s="12">
        <f>SUMIFS($E$2:$E$1130,$A$2:$A$1130,"осень",$I$2:$I$1130,I179)</f>
        <v/>
      </c>
      <c r="N179" s="13">
        <f>SUMIFS($E$2:$E$1130,$A$2:$A$1130,"весна",$I$2:$I$1130,I179)</f>
        <v/>
      </c>
      <c r="O179" s="14">
        <f>M179+N179</f>
        <v/>
      </c>
      <c r="P179" s="15">
        <f>O179/$P$1</f>
        <v/>
      </c>
    </row>
    <row r="180" hidden="1" ht="15.75" customHeight="1" s="2">
      <c r="A180" s="8" t="inlineStr">
        <is>
          <t>осень</t>
        </is>
      </c>
      <c r="B180" s="9" t="inlineStr">
        <is>
          <t>Средства автоматизации и управления</t>
        </is>
      </c>
      <c r="C180" s="9" t="inlineStr">
        <is>
          <t>ЛК</t>
        </is>
      </c>
      <c r="D180" s="9" t="inlineStr">
        <is>
          <t>Т1О-404Б-17</t>
        </is>
      </c>
      <c r="E180" s="10" t="n">
        <v>16</v>
      </c>
      <c r="F180" s="9" t="inlineStr">
        <is>
          <t>08770</t>
        </is>
      </c>
      <c r="G180" s="10" t="n">
        <v>16</v>
      </c>
      <c r="H180" s="9" t="inlineStr">
        <is>
          <t xml:space="preserve">81721     </t>
        </is>
      </c>
      <c r="I180" s="9" t="inlineStr">
        <is>
          <t xml:space="preserve">Преображенский Евгений Владимирович </t>
        </is>
      </c>
      <c r="J180" s="9" t="inlineStr">
        <is>
          <t>доцент</t>
        </is>
      </c>
      <c r="K180" s="9" t="n"/>
      <c r="L180" s="9" t="inlineStr">
        <is>
          <t>525 А</t>
        </is>
      </c>
      <c r="M180" s="12">
        <f>SUMIFS($E$2:$E$1130,$A$2:$A$1130,"осень",$I$2:$I$1130,I180)</f>
        <v/>
      </c>
      <c r="N180" s="13">
        <f>SUMIFS($E$2:$E$1130,$A$2:$A$1130,"весна",$I$2:$I$1130,I180)</f>
        <v/>
      </c>
      <c r="O180" s="14">
        <f>M180+N180</f>
        <v/>
      </c>
      <c r="P180" s="15">
        <f>O180/$P$1</f>
        <v/>
      </c>
    </row>
    <row r="181" hidden="1" ht="15.75" customHeight="1" s="2">
      <c r="A181" s="8" t="inlineStr">
        <is>
          <t>осень</t>
        </is>
      </c>
      <c r="B181" s="9" t="inlineStr">
        <is>
          <t>Средства автоматизации и управления</t>
        </is>
      </c>
      <c r="C181" s="9" t="inlineStr">
        <is>
          <t>ПЗ</t>
        </is>
      </c>
      <c r="D181" s="9" t="inlineStr">
        <is>
          <t>Т1О-404Б-17</t>
        </is>
      </c>
      <c r="E181" s="10" t="n">
        <v>16</v>
      </c>
      <c r="F181" s="9" t="inlineStr">
        <is>
          <t>08770</t>
        </is>
      </c>
      <c r="G181" s="10" t="n">
        <v>16</v>
      </c>
      <c r="H181" s="9" t="inlineStr">
        <is>
          <t xml:space="preserve">81721     </t>
        </is>
      </c>
      <c r="I181" s="9" t="inlineStr">
        <is>
          <t xml:space="preserve">Преображенский Евгений Владимирович </t>
        </is>
      </c>
      <c r="J181" s="9" t="inlineStr">
        <is>
          <t>доцент</t>
        </is>
      </c>
      <c r="K181" s="9" t="n"/>
      <c r="L181" s="9" t="inlineStr">
        <is>
          <t>525 А</t>
        </is>
      </c>
      <c r="M181" s="12">
        <f>SUMIFS($E$2:$E$1130,$A$2:$A$1130,"осень",$I$2:$I$1130,I181)</f>
        <v/>
      </c>
      <c r="N181" s="13">
        <f>SUMIFS($E$2:$E$1130,$A$2:$A$1130,"весна",$I$2:$I$1130,I181)</f>
        <v/>
      </c>
      <c r="O181" s="14">
        <f>M181+N181</f>
        <v/>
      </c>
      <c r="P181" s="15">
        <f>O181/$P$1</f>
        <v/>
      </c>
    </row>
    <row r="182" hidden="1" ht="15.75" customHeight="1" s="2">
      <c r="A182" s="8" t="inlineStr">
        <is>
          <t>осень</t>
        </is>
      </c>
      <c r="B182" s="9" t="inlineStr">
        <is>
          <t>Средства автоматизации и управления</t>
        </is>
      </c>
      <c r="C182" s="9" t="inlineStr">
        <is>
          <t>ЛР</t>
        </is>
      </c>
      <c r="D182" s="9" t="inlineStr">
        <is>
          <t>Т1О-404Б-17</t>
        </is>
      </c>
      <c r="E182" s="10" t="n">
        <v>16</v>
      </c>
      <c r="F182" s="9" t="inlineStr">
        <is>
          <t>08770</t>
        </is>
      </c>
      <c r="G182" s="10" t="n">
        <v>8</v>
      </c>
      <c r="H182" s="9" t="inlineStr">
        <is>
          <t xml:space="preserve">81721     </t>
        </is>
      </c>
      <c r="I182" s="9" t="inlineStr">
        <is>
          <t xml:space="preserve">Преображенский Евгений Владимирович </t>
        </is>
      </c>
      <c r="J182" s="9" t="inlineStr">
        <is>
          <t>доцент</t>
        </is>
      </c>
      <c r="K182" s="9" t="n"/>
      <c r="L182" s="9" t="inlineStr">
        <is>
          <t>525 А</t>
        </is>
      </c>
      <c r="M182" s="12">
        <f>SUMIFS($E$2:$E$1130,$A$2:$A$1130,"осень",$I$2:$I$1130,I182)</f>
        <v/>
      </c>
      <c r="N182" s="13">
        <f>SUMIFS($E$2:$E$1130,$A$2:$A$1130,"весна",$I$2:$I$1130,I182)</f>
        <v/>
      </c>
      <c r="O182" s="14">
        <f>M182+N182</f>
        <v/>
      </c>
      <c r="P182" s="15">
        <f>O182/$P$1</f>
        <v/>
      </c>
    </row>
    <row r="183" hidden="1" ht="15.75" customHeight="1" s="2">
      <c r="A183" s="8" t="inlineStr">
        <is>
          <t>осень</t>
        </is>
      </c>
      <c r="B183" s="9" t="inlineStr">
        <is>
          <t>Средства автоматизации и управления</t>
        </is>
      </c>
      <c r="C183" s="9" t="inlineStr">
        <is>
          <t>Зачет</t>
        </is>
      </c>
      <c r="D183" s="9" t="inlineStr">
        <is>
          <t>Т1О-404Б-17</t>
        </is>
      </c>
      <c r="E183" s="10" t="n">
        <v>8</v>
      </c>
      <c r="F183" s="9" t="inlineStr">
        <is>
          <t>08770</t>
        </is>
      </c>
      <c r="G183" s="11" t="n">
        <v>0</v>
      </c>
      <c r="H183" s="9" t="inlineStr">
        <is>
          <t xml:space="preserve">81721     </t>
        </is>
      </c>
      <c r="I183" s="9" t="inlineStr">
        <is>
          <t xml:space="preserve">Преображенский Евгений Владимирович </t>
        </is>
      </c>
      <c r="J183" s="9" t="inlineStr">
        <is>
          <t>доцент</t>
        </is>
      </c>
      <c r="K183" s="9" t="n"/>
      <c r="L183" s="9" t="inlineStr">
        <is>
          <t>525 А</t>
        </is>
      </c>
      <c r="M183" s="12">
        <f>SUMIFS($E$2:$E$1130,$A$2:$A$1130,"осень",$I$2:$I$1130,I183)</f>
        <v/>
      </c>
      <c r="N183" s="13">
        <f>SUMIFS($E$2:$E$1130,$A$2:$A$1130,"весна",$I$2:$I$1130,I183)</f>
        <v/>
      </c>
      <c r="O183" s="14">
        <f>M183+N183</f>
        <v/>
      </c>
      <c r="P183" s="15">
        <f>O183/$P$1</f>
        <v/>
      </c>
    </row>
    <row r="184" hidden="1" ht="15.75" customHeight="1" s="2">
      <c r="A184" s="8" t="inlineStr">
        <is>
          <t>осень</t>
        </is>
      </c>
      <c r="B184" s="9" t="inlineStr">
        <is>
          <t>Средства автоматизации и управления</t>
        </is>
      </c>
      <c r="C184" s="9" t="inlineStr">
        <is>
          <t>Консультация</t>
        </is>
      </c>
      <c r="D184" s="9" t="inlineStr">
        <is>
          <t>Т1О-404Б-17</t>
        </is>
      </c>
      <c r="E184" s="10" t="n">
        <v>1</v>
      </c>
      <c r="F184" s="9" t="inlineStr">
        <is>
          <t>08770</t>
        </is>
      </c>
      <c r="G184" s="11" t="n">
        <v>0</v>
      </c>
      <c r="H184" s="9" t="inlineStr">
        <is>
          <t xml:space="preserve">81721     </t>
        </is>
      </c>
      <c r="I184" s="9" t="inlineStr">
        <is>
          <t xml:space="preserve">Преображенский Евгений Владимирович </t>
        </is>
      </c>
      <c r="J184" s="9" t="inlineStr">
        <is>
          <t>доцент</t>
        </is>
      </c>
      <c r="K184" s="9" t="n"/>
      <c r="L184" s="9" t="inlineStr">
        <is>
          <t>525 А</t>
        </is>
      </c>
      <c r="M184" s="12">
        <f>SUMIFS($E$2:$E$1130,$A$2:$A$1130,"осень",$I$2:$I$1130,I184)</f>
        <v/>
      </c>
      <c r="N184" s="13">
        <f>SUMIFS($E$2:$E$1130,$A$2:$A$1130,"весна",$I$2:$I$1130,I184)</f>
        <v/>
      </c>
      <c r="O184" s="14">
        <f>M184+N184</f>
        <v/>
      </c>
      <c r="P184" s="15">
        <f>O184/$P$1</f>
        <v/>
      </c>
    </row>
    <row r="185" hidden="1" ht="15.75" customHeight="1" s="2">
      <c r="A185" s="17" t="inlineStr">
        <is>
          <t>осень</t>
        </is>
      </c>
      <c r="B185" s="9" t="inlineStr">
        <is>
          <t>Технологические процессы автоматизированных производств</t>
        </is>
      </c>
      <c r="C185" s="9" t="inlineStr">
        <is>
          <t>ЛК</t>
        </is>
      </c>
      <c r="D185" s="9" t="inlineStr">
        <is>
          <t>Т1О-404Б-17</t>
        </is>
      </c>
      <c r="E185" s="10" t="n">
        <v>16</v>
      </c>
      <c r="F185" s="9" t="inlineStr">
        <is>
          <t>08770</t>
        </is>
      </c>
      <c r="G185" s="10" t="n">
        <v>16</v>
      </c>
      <c r="H185" s="9" t="inlineStr">
        <is>
          <t xml:space="preserve">81721     </t>
        </is>
      </c>
      <c r="I185" s="9" t="inlineStr">
        <is>
          <t xml:space="preserve">Преображенский Евгений Владимирович </t>
        </is>
      </c>
      <c r="J185" s="9" t="inlineStr">
        <is>
          <t>доцент</t>
        </is>
      </c>
      <c r="K185" s="9" t="n"/>
      <c r="L185" s="9" t="inlineStr">
        <is>
          <t>кроме понедельника и пятницы</t>
        </is>
      </c>
      <c r="M185" s="12">
        <f>SUMIFS($E$2:$E$1130,$A$2:$A$1130,"осень",$I$2:$I$1130,I185)</f>
        <v/>
      </c>
      <c r="N185" s="13">
        <f>SUMIFS($E$2:$E$1130,$A$2:$A$1130,"весна",$I$2:$I$1130,I185)</f>
        <v/>
      </c>
      <c r="O185" s="14">
        <f>M185+N185</f>
        <v/>
      </c>
      <c r="P185" s="15">
        <f>O185/$P$1</f>
        <v/>
      </c>
    </row>
    <row r="186" hidden="1" ht="15.75" customHeight="1" s="2">
      <c r="A186" s="17" t="inlineStr">
        <is>
          <t>осень</t>
        </is>
      </c>
      <c r="B186" s="9" t="inlineStr">
        <is>
          <t>Технологические процессы автоматизированных производств</t>
        </is>
      </c>
      <c r="C186" s="9" t="inlineStr">
        <is>
          <t>Зачет с оценкой</t>
        </is>
      </c>
      <c r="D186" s="9" t="inlineStr">
        <is>
          <t>Т1О-404Б-17</t>
        </is>
      </c>
      <c r="E186" s="10" t="n">
        <v>8</v>
      </c>
      <c r="F186" s="9" t="inlineStr">
        <is>
          <t>08770</t>
        </is>
      </c>
      <c r="G186" s="11" t="n">
        <v>0</v>
      </c>
      <c r="H186" s="9" t="inlineStr">
        <is>
          <t xml:space="preserve">81721     </t>
        </is>
      </c>
      <c r="I186" s="9" t="inlineStr">
        <is>
          <t xml:space="preserve">Преображенский Евгений Владимирович </t>
        </is>
      </c>
      <c r="J186" s="9" t="inlineStr">
        <is>
          <t>доцент</t>
        </is>
      </c>
      <c r="K186" s="9" t="n"/>
      <c r="L186" s="9" t="inlineStr">
        <is>
          <t>кроме понедельника и пятницы</t>
        </is>
      </c>
      <c r="M186" s="12">
        <f>SUMIFS($E$2:$E$1130,$A$2:$A$1130,"осень",$I$2:$I$1130,I186)</f>
        <v/>
      </c>
      <c r="N186" s="13">
        <f>SUMIFS($E$2:$E$1130,$A$2:$A$1130,"весна",$I$2:$I$1130,I186)</f>
        <v/>
      </c>
      <c r="O186" s="14">
        <f>M186+N186</f>
        <v/>
      </c>
      <c r="P186" s="15">
        <f>O186/$P$1</f>
        <v/>
      </c>
    </row>
    <row r="187" hidden="1" ht="15.75" customHeight="1" s="2">
      <c r="A187" s="17" t="inlineStr">
        <is>
          <t>осень</t>
        </is>
      </c>
      <c r="B187" s="9" t="inlineStr">
        <is>
          <t>Технологические процессы автоматизированных производств</t>
        </is>
      </c>
      <c r="C187" s="9" t="inlineStr">
        <is>
          <t>ПЗ</t>
        </is>
      </c>
      <c r="D187" s="9" t="inlineStr">
        <is>
          <t>Т1О-404Б-17</t>
        </is>
      </c>
      <c r="E187" s="10" t="n">
        <v>32</v>
      </c>
      <c r="F187" s="9" t="inlineStr">
        <is>
          <t>08770</t>
        </is>
      </c>
      <c r="G187" s="10" t="n">
        <v>32</v>
      </c>
      <c r="H187" s="9" t="inlineStr">
        <is>
          <t xml:space="preserve">81721     </t>
        </is>
      </c>
      <c r="I187" s="9" t="inlineStr">
        <is>
          <t xml:space="preserve">Преображенский Евгений Владимирович </t>
        </is>
      </c>
      <c r="J187" s="9" t="inlineStr">
        <is>
          <t>доцент</t>
        </is>
      </c>
      <c r="K187" s="9" t="n"/>
      <c r="L187" s="9" t="inlineStr">
        <is>
          <t>кроме понедельника и пятницы</t>
        </is>
      </c>
      <c r="M187" s="12">
        <f>SUMIFS($E$2:$E$1130,$A$2:$A$1130,"осень",$I$2:$I$1130,I187)</f>
        <v/>
      </c>
      <c r="N187" s="13">
        <f>SUMIFS($E$2:$E$1130,$A$2:$A$1130,"весна",$I$2:$I$1130,I187)</f>
        <v/>
      </c>
      <c r="O187" s="14">
        <f>M187+N187</f>
        <v/>
      </c>
      <c r="P187" s="15">
        <f>O187/$P$1</f>
        <v/>
      </c>
    </row>
    <row r="188" hidden="1" ht="15.75" customHeight="1" s="2">
      <c r="A188" s="17" t="inlineStr">
        <is>
          <t>осень</t>
        </is>
      </c>
      <c r="B188" s="9" t="inlineStr">
        <is>
          <t>Технологические процессы автоматизированных производств</t>
        </is>
      </c>
      <c r="C188" s="9" t="inlineStr">
        <is>
          <t>ЛР</t>
        </is>
      </c>
      <c r="D188" s="9" t="inlineStr">
        <is>
          <t>Т1О-404Б-17</t>
        </is>
      </c>
      <c r="E188" s="10" t="n">
        <v>16</v>
      </c>
      <c r="F188" s="9" t="inlineStr">
        <is>
          <t>08770</t>
        </is>
      </c>
      <c r="G188" s="10" t="n">
        <v>8</v>
      </c>
      <c r="H188" s="9" t="inlineStr">
        <is>
          <t xml:space="preserve">81721     </t>
        </is>
      </c>
      <c r="I188" s="9" t="inlineStr">
        <is>
          <t xml:space="preserve">Преображенский Евгений Владимирович </t>
        </is>
      </c>
      <c r="J188" s="9" t="inlineStr">
        <is>
          <t>доцент</t>
        </is>
      </c>
      <c r="K188" s="9" t="n"/>
      <c r="L188" s="9" t="inlineStr">
        <is>
          <t>кроме понедельника и пятницы</t>
        </is>
      </c>
      <c r="M188" s="12">
        <f>SUMIFS($E$2:$E$1130,$A$2:$A$1130,"осень",$I$2:$I$1130,I188)</f>
        <v/>
      </c>
      <c r="N188" s="13">
        <f>SUMIFS($E$2:$E$1130,$A$2:$A$1130,"весна",$I$2:$I$1130,I188)</f>
        <v/>
      </c>
      <c r="O188" s="14">
        <f>M188+N188</f>
        <v/>
      </c>
      <c r="P188" s="15">
        <f>O188/$P$1</f>
        <v/>
      </c>
    </row>
    <row r="189" hidden="1" ht="15.75" customHeight="1" s="2">
      <c r="A189" s="17" t="inlineStr">
        <is>
          <t>осень</t>
        </is>
      </c>
      <c r="B189" s="9" t="inlineStr">
        <is>
          <t>Технологические процессы автоматизированных производств</t>
        </is>
      </c>
      <c r="C189" s="9" t="inlineStr">
        <is>
          <t>Консультация</t>
        </is>
      </c>
      <c r="D189" s="9" t="inlineStr">
        <is>
          <t>Т1О-404Б-17</t>
        </is>
      </c>
      <c r="E189" s="10" t="n">
        <v>1</v>
      </c>
      <c r="F189" s="9" t="inlineStr">
        <is>
          <t>08770</t>
        </is>
      </c>
      <c r="G189" s="11" t="n">
        <v>0</v>
      </c>
      <c r="H189" s="9" t="inlineStr">
        <is>
          <t xml:space="preserve">81721     </t>
        </is>
      </c>
      <c r="I189" s="9" t="inlineStr">
        <is>
          <t xml:space="preserve">Преображенский Евгений Владимирович </t>
        </is>
      </c>
      <c r="J189" s="9" t="inlineStr">
        <is>
          <t>доцент</t>
        </is>
      </c>
      <c r="K189" s="9" t="n"/>
      <c r="L189" s="9" t="inlineStr">
        <is>
          <t>кроме понедельника и пятницы</t>
        </is>
      </c>
      <c r="M189" s="12">
        <f>SUMIFS($E$2:$E$1130,$A$2:$A$1130,"осень",$I$2:$I$1130,I189)</f>
        <v/>
      </c>
      <c r="N189" s="13">
        <f>SUMIFS($E$2:$E$1130,$A$2:$A$1130,"весна",$I$2:$I$1130,I189)</f>
        <v/>
      </c>
      <c r="O189" s="14">
        <f>M189+N189</f>
        <v/>
      </c>
      <c r="P189" s="15">
        <f>O189/$P$1</f>
        <v/>
      </c>
    </row>
    <row r="190" hidden="1" ht="15.75" customHeight="1" s="2">
      <c r="A190" s="8" t="inlineStr">
        <is>
          <t>осень</t>
        </is>
      </c>
      <c r="B190" s="9" t="inlineStr">
        <is>
          <t>Основы технологии и организации получения продукции методами КШП</t>
        </is>
      </c>
      <c r="C190" s="9" t="inlineStr">
        <is>
          <t>ЛК</t>
        </is>
      </c>
      <c r="D190" s="9" t="inlineStr">
        <is>
          <t>Т1О-404Б-17</t>
        </is>
      </c>
      <c r="E190" s="10" t="n">
        <v>24</v>
      </c>
      <c r="F190" s="9" t="inlineStr">
        <is>
          <t>08770</t>
        </is>
      </c>
      <c r="G190" s="10" t="n">
        <v>24</v>
      </c>
      <c r="H190" s="9" t="inlineStr">
        <is>
          <t xml:space="preserve">81729     </t>
        </is>
      </c>
      <c r="I190" s="9" t="inlineStr">
        <is>
          <t xml:space="preserve">Соколов Алексей Викторович </t>
        </is>
      </c>
      <c r="J190" s="9" t="inlineStr">
        <is>
          <t>доцент</t>
        </is>
      </c>
      <c r="K190" s="9" t="n"/>
      <c r="L190" s="9" t="inlineStr">
        <is>
          <t>кроме пятницы (523 А)</t>
        </is>
      </c>
      <c r="M190" s="12">
        <f>SUMIFS($E$2:$E$1130,$A$2:$A$1130,"осень",$I$2:$I$1130,I190)</f>
        <v/>
      </c>
      <c r="N190" s="13">
        <f>SUMIFS($E$2:$E$1130,$A$2:$A$1130,"весна",$I$2:$I$1130,I190)</f>
        <v/>
      </c>
      <c r="O190" s="14">
        <f>M190+N190</f>
        <v/>
      </c>
      <c r="P190" s="15">
        <f>O190/$P$1</f>
        <v/>
      </c>
    </row>
    <row r="191" hidden="1" ht="15.75" customHeight="1" s="2">
      <c r="A191" s="8" t="inlineStr">
        <is>
          <t>осень</t>
        </is>
      </c>
      <c r="B191" s="9" t="inlineStr">
        <is>
          <t>Основы технологии и организации получения продукции методами КШП</t>
        </is>
      </c>
      <c r="C191" s="9" t="inlineStr">
        <is>
          <t>Зачет с оценкой</t>
        </is>
      </c>
      <c r="D191" s="9" t="inlineStr">
        <is>
          <t>Т1О-404Б-17</t>
        </is>
      </c>
      <c r="E191" s="10" t="n">
        <v>8</v>
      </c>
      <c r="F191" s="9" t="inlineStr">
        <is>
          <t>08770</t>
        </is>
      </c>
      <c r="G191" s="11" t="n">
        <v>0</v>
      </c>
      <c r="H191" s="9" t="inlineStr">
        <is>
          <t xml:space="preserve">81729     </t>
        </is>
      </c>
      <c r="I191" s="9" t="inlineStr">
        <is>
          <t xml:space="preserve">Соколов Алексей Викторович </t>
        </is>
      </c>
      <c r="J191" s="9" t="inlineStr">
        <is>
          <t>доцент</t>
        </is>
      </c>
      <c r="K191" s="9" t="n"/>
      <c r="L191" s="9" t="inlineStr">
        <is>
          <t>кроме пятницы</t>
        </is>
      </c>
      <c r="M191" s="12">
        <f>SUMIFS($E$2:$E$1130,$A$2:$A$1130,"осень",$I$2:$I$1130,I191)</f>
        <v/>
      </c>
      <c r="N191" s="13">
        <f>SUMIFS($E$2:$E$1130,$A$2:$A$1130,"весна",$I$2:$I$1130,I191)</f>
        <v/>
      </c>
      <c r="O191" s="14">
        <f>M191+N191</f>
        <v/>
      </c>
      <c r="P191" s="15">
        <f>O191/$P$1</f>
        <v/>
      </c>
    </row>
    <row r="192" hidden="1" ht="15.75" customHeight="1" s="2">
      <c r="A192" s="8" t="inlineStr">
        <is>
          <t>осень</t>
        </is>
      </c>
      <c r="B192" s="9" t="inlineStr">
        <is>
          <t>Основы технологии и организации получения продукции методами КШП</t>
        </is>
      </c>
      <c r="C192" s="9" t="inlineStr">
        <is>
          <t>ПЗ</t>
        </is>
      </c>
      <c r="D192" s="9" t="inlineStr">
        <is>
          <t>Т1О-404Б-17</t>
        </is>
      </c>
      <c r="E192" s="10" t="n">
        <v>40</v>
      </c>
      <c r="F192" s="9" t="inlineStr">
        <is>
          <t>08770</t>
        </is>
      </c>
      <c r="G192" s="10" t="n">
        <v>40</v>
      </c>
      <c r="H192" s="9" t="inlineStr">
        <is>
          <t xml:space="preserve">81729     </t>
        </is>
      </c>
      <c r="I192" s="9" t="inlineStr">
        <is>
          <t xml:space="preserve">Соколов Алексей Викторович </t>
        </is>
      </c>
      <c r="J192" s="9" t="inlineStr">
        <is>
          <t>доцент</t>
        </is>
      </c>
      <c r="K192" s="9" t="n"/>
      <c r="L192" s="9" t="inlineStr">
        <is>
          <t>кроме пятницы (521А, 522А)</t>
        </is>
      </c>
      <c r="M192" s="12">
        <f>SUMIFS($E$2:$E$1130,$A$2:$A$1130,"осень",$I$2:$I$1130,I192)</f>
        <v/>
      </c>
      <c r="N192" s="13">
        <f>SUMIFS($E$2:$E$1130,$A$2:$A$1130,"весна",$I$2:$I$1130,I192)</f>
        <v/>
      </c>
      <c r="O192" s="14">
        <f>M192+N192</f>
        <v/>
      </c>
      <c r="P192" s="15">
        <f>O192/$P$1</f>
        <v/>
      </c>
    </row>
    <row r="193" hidden="1" ht="15.75" customHeight="1" s="2">
      <c r="A193" s="8" t="inlineStr">
        <is>
          <t>осень</t>
        </is>
      </c>
      <c r="B193" s="9" t="inlineStr">
        <is>
          <t>Основы технологии и организации получения продукции методами КШП</t>
        </is>
      </c>
      <c r="C193" s="9" t="inlineStr">
        <is>
          <t>Консультация</t>
        </is>
      </c>
      <c r="D193" s="9" t="inlineStr">
        <is>
          <t>Т1О-404Б-17</t>
        </is>
      </c>
      <c r="E193" s="10" t="n">
        <v>1</v>
      </c>
      <c r="F193" s="9" t="inlineStr">
        <is>
          <t>08770</t>
        </is>
      </c>
      <c r="G193" s="11" t="n">
        <v>0</v>
      </c>
      <c r="H193" s="9" t="inlineStr">
        <is>
          <t xml:space="preserve">81729     </t>
        </is>
      </c>
      <c r="I193" s="9" t="inlineStr">
        <is>
          <t xml:space="preserve">Соколов Алексей Викторович </t>
        </is>
      </c>
      <c r="J193" s="9" t="inlineStr">
        <is>
          <t>доцент</t>
        </is>
      </c>
      <c r="K193" s="9" t="n"/>
      <c r="L193" s="9" t="inlineStr">
        <is>
          <t>кроме пятницы</t>
        </is>
      </c>
      <c r="M193" s="12">
        <f>SUMIFS($E$2:$E$1130,$A$2:$A$1130,"осень",$I$2:$I$1130,I193)</f>
        <v/>
      </c>
      <c r="N193" s="13">
        <f>SUMIFS($E$2:$E$1130,$A$2:$A$1130,"весна",$I$2:$I$1130,I193)</f>
        <v/>
      </c>
      <c r="O193" s="14">
        <f>M193+N193</f>
        <v/>
      </c>
      <c r="P193" s="15">
        <f>O193/$P$1</f>
        <v/>
      </c>
    </row>
    <row r="194" hidden="1" ht="15.75" customHeight="1" s="2">
      <c r="A194" s="17" t="inlineStr">
        <is>
          <t>осень</t>
        </is>
      </c>
      <c r="B194" s="9" t="inlineStr">
        <is>
          <t>Основы технологии и организации получения продукции методами листовой штамповки</t>
        </is>
      </c>
      <c r="C194" s="9" t="inlineStr">
        <is>
          <t>ЛК</t>
        </is>
      </c>
      <c r="D194" s="9" t="inlineStr">
        <is>
          <t>Т11О-304Б-18</t>
        </is>
      </c>
      <c r="E194" s="10" t="n">
        <v>40</v>
      </c>
      <c r="F194" s="9" t="inlineStr">
        <is>
          <t>08770</t>
        </is>
      </c>
      <c r="G194" s="10" t="n">
        <v>40</v>
      </c>
      <c r="H194" s="9" t="inlineStr">
        <is>
          <t xml:space="preserve">81728     </t>
        </is>
      </c>
      <c r="I194" s="9" t="inlineStr">
        <is>
          <t xml:space="preserve">Галкин Виктор Иванович </t>
        </is>
      </c>
      <c r="J194" s="9" t="inlineStr">
        <is>
          <t>профессор</t>
        </is>
      </c>
      <c r="K194" s="9" t="n"/>
      <c r="L194" s="9" t="inlineStr">
        <is>
          <t>кроме понедельника и пятницы</t>
        </is>
      </c>
      <c r="M194" s="12">
        <f>SUMIFS($E$2:$E$1130,$A$2:$A$1130,"осень",$I$2:$I$1130,I194)</f>
        <v/>
      </c>
      <c r="N194" s="13">
        <f>SUMIFS($E$2:$E$1130,$A$2:$A$1130,"весна",$I$2:$I$1130,I194)</f>
        <v/>
      </c>
      <c r="O194" s="14">
        <f>M194+N194</f>
        <v/>
      </c>
      <c r="P194" s="15">
        <f>O194/$P$1</f>
        <v/>
      </c>
    </row>
    <row r="195" hidden="1" ht="15.75" customHeight="1" s="2">
      <c r="A195" s="17" t="inlineStr">
        <is>
          <t>осень</t>
        </is>
      </c>
      <c r="B195" s="9" t="inlineStr">
        <is>
          <t>Основы технологии и организации получения продукции методами листовой штамповки</t>
        </is>
      </c>
      <c r="C195" s="9" t="inlineStr">
        <is>
          <t>Зачет с оценкой</t>
        </is>
      </c>
      <c r="D195" s="9" t="inlineStr">
        <is>
          <t>Т11О-304Б-18</t>
        </is>
      </c>
      <c r="E195" s="10" t="n">
        <v>6</v>
      </c>
      <c r="F195" s="9" t="inlineStr">
        <is>
          <t>08770</t>
        </is>
      </c>
      <c r="G195" s="11" t="n">
        <v>0</v>
      </c>
      <c r="H195" s="9" t="inlineStr">
        <is>
          <t xml:space="preserve">81728     </t>
        </is>
      </c>
      <c r="I195" s="9" t="inlineStr">
        <is>
          <t xml:space="preserve">Галкин Виктор Иванович </t>
        </is>
      </c>
      <c r="J195" s="9" t="inlineStr">
        <is>
          <t>профессор</t>
        </is>
      </c>
      <c r="K195" s="9" t="n"/>
      <c r="L195" s="9" t="inlineStr">
        <is>
          <t>кроме понедельника и пятницы</t>
        </is>
      </c>
      <c r="M195" s="12">
        <f>SUMIFS($E$2:$E$1130,$A$2:$A$1130,"осень",$I$2:$I$1130,I195)</f>
        <v/>
      </c>
      <c r="N195" s="13">
        <f>SUMIFS($E$2:$E$1130,$A$2:$A$1130,"весна",$I$2:$I$1130,I195)</f>
        <v/>
      </c>
      <c r="O195" s="14">
        <f>M195+N195</f>
        <v/>
      </c>
      <c r="P195" s="15">
        <f>O195/$P$1</f>
        <v/>
      </c>
    </row>
    <row r="196" hidden="1" ht="15.75" customHeight="1" s="2">
      <c r="A196" s="17" t="inlineStr">
        <is>
          <t>осень</t>
        </is>
      </c>
      <c r="B196" s="9" t="inlineStr">
        <is>
          <t>Основы технологии и организации получения продукции методами листовой штамповки</t>
        </is>
      </c>
      <c r="C196" s="9" t="inlineStr">
        <is>
          <t>ПЗ</t>
        </is>
      </c>
      <c r="D196" s="9" t="inlineStr">
        <is>
          <t>Т11О-304Б-18</t>
        </is>
      </c>
      <c r="E196" s="10" t="n">
        <v>32</v>
      </c>
      <c r="F196" s="9" t="inlineStr">
        <is>
          <t>08770</t>
        </is>
      </c>
      <c r="G196" s="10" t="n">
        <v>32</v>
      </c>
      <c r="H196" s="9" t="inlineStr">
        <is>
          <t xml:space="preserve">81728     </t>
        </is>
      </c>
      <c r="I196" s="9" t="inlineStr">
        <is>
          <t xml:space="preserve">Галкин Виктор Иванович </t>
        </is>
      </c>
      <c r="J196" s="9" t="inlineStr">
        <is>
          <t>профессор</t>
        </is>
      </c>
      <c r="K196" s="9" t="n"/>
      <c r="L196" s="9" t="inlineStr">
        <is>
          <t>кроме понедельника и пятницы</t>
        </is>
      </c>
      <c r="M196" s="12">
        <f>SUMIFS($E$2:$E$1130,$A$2:$A$1130,"осень",$I$2:$I$1130,I196)</f>
        <v/>
      </c>
      <c r="N196" s="13">
        <f>SUMIFS($E$2:$E$1130,$A$2:$A$1130,"весна",$I$2:$I$1130,I196)</f>
        <v/>
      </c>
      <c r="O196" s="14">
        <f>M196+N196</f>
        <v/>
      </c>
      <c r="P196" s="15">
        <f>O196/$P$1</f>
        <v/>
      </c>
    </row>
    <row r="197" hidden="1" ht="15.75" customHeight="1" s="2">
      <c r="A197" s="17" t="inlineStr">
        <is>
          <t>осень</t>
        </is>
      </c>
      <c r="B197" s="9" t="inlineStr">
        <is>
          <t>Основы технологии и организации получения продукции методами листовой штамповки</t>
        </is>
      </c>
      <c r="C197" s="9" t="inlineStr">
        <is>
          <t>Консультация</t>
        </is>
      </c>
      <c r="D197" s="9" t="inlineStr">
        <is>
          <t>Т11О-304Б-18</t>
        </is>
      </c>
      <c r="E197" s="10" t="n">
        <v>2</v>
      </c>
      <c r="F197" s="9" t="inlineStr">
        <is>
          <t>08770</t>
        </is>
      </c>
      <c r="G197" s="11" t="n">
        <v>0</v>
      </c>
      <c r="H197" s="9" t="inlineStr">
        <is>
          <t xml:space="preserve">81728     </t>
        </is>
      </c>
      <c r="I197" s="9" t="inlineStr">
        <is>
          <t xml:space="preserve">Галкин Виктор Иванович </t>
        </is>
      </c>
      <c r="J197" s="9" t="inlineStr">
        <is>
          <t>профессор</t>
        </is>
      </c>
      <c r="K197" s="9" t="n"/>
      <c r="L197" s="9" t="inlineStr">
        <is>
          <t>кроме понедельника и пятницы</t>
        </is>
      </c>
      <c r="M197" s="12">
        <f>SUMIFS($E$2:$E$1130,$A$2:$A$1130,"осень",$I$2:$I$1130,I197)</f>
        <v/>
      </c>
      <c r="N197" s="13">
        <f>SUMIFS($E$2:$E$1130,$A$2:$A$1130,"весна",$I$2:$I$1130,I197)</f>
        <v/>
      </c>
      <c r="O197" s="14">
        <f>M197+N197</f>
        <v/>
      </c>
      <c r="P197" s="15">
        <f>O197/$P$1</f>
        <v/>
      </c>
    </row>
    <row r="198" hidden="1" ht="15.75" customHeight="1" s="2">
      <c r="A198" s="8" t="inlineStr">
        <is>
          <t>осень</t>
        </is>
      </c>
      <c r="B198" s="9" t="inlineStr">
        <is>
          <t>Методы управления информационными и материальными потоками</t>
        </is>
      </c>
      <c r="C198" s="9" t="inlineStr">
        <is>
          <t>ЛК</t>
        </is>
      </c>
      <c r="D198" s="9" t="inlineStr">
        <is>
          <t>Т1О-404Б-17</t>
        </is>
      </c>
      <c r="E198" s="10" t="n">
        <v>32</v>
      </c>
      <c r="F198" s="9" t="inlineStr">
        <is>
          <t>08770</t>
        </is>
      </c>
      <c r="G198" s="10" t="n">
        <v>32</v>
      </c>
      <c r="H198" s="9" t="inlineStr">
        <is>
          <t xml:space="preserve">81716     </t>
        </is>
      </c>
      <c r="I198" s="9" t="inlineStr">
        <is>
          <t xml:space="preserve">Жаров Максим Владимирович </t>
        </is>
      </c>
      <c r="J198" s="9" t="inlineStr">
        <is>
          <t>доцент</t>
        </is>
      </c>
      <c r="K198" s="9" t="n"/>
      <c r="L198" s="9" t="inlineStr">
        <is>
          <t>по первым неделям</t>
        </is>
      </c>
      <c r="M198" s="12">
        <f>SUMIFS($E$2:$E$1130,$A$2:$A$1130,"осень",$I$2:$I$1130,I198)</f>
        <v/>
      </c>
      <c r="N198" s="13">
        <f>SUMIFS($E$2:$E$1130,$A$2:$A$1130,"весна",$I$2:$I$1130,I198)</f>
        <v/>
      </c>
      <c r="O198" s="14">
        <f>M198+N198</f>
        <v/>
      </c>
      <c r="P198" s="15">
        <f>O198/$P$1</f>
        <v/>
      </c>
    </row>
    <row r="199" hidden="1" ht="15.75" customHeight="1" s="2">
      <c r="A199" s="8" t="inlineStr">
        <is>
          <t>осень</t>
        </is>
      </c>
      <c r="B199" s="9" t="inlineStr">
        <is>
          <t>Методы управления информационными и материальными потоками</t>
        </is>
      </c>
      <c r="C199" s="9" t="inlineStr">
        <is>
          <t>ПЗ</t>
        </is>
      </c>
      <c r="D199" s="9" t="inlineStr">
        <is>
          <t>Т1О-404Б-17</t>
        </is>
      </c>
      <c r="E199" s="10" t="n">
        <v>32</v>
      </c>
      <c r="F199" s="9" t="inlineStr">
        <is>
          <t>08770</t>
        </is>
      </c>
      <c r="G199" s="10" t="n">
        <v>32</v>
      </c>
      <c r="H199" s="9" t="inlineStr">
        <is>
          <t xml:space="preserve">81716     </t>
        </is>
      </c>
      <c r="I199" s="9" t="inlineStr">
        <is>
          <t xml:space="preserve">Жаров Максим Владимирович </t>
        </is>
      </c>
      <c r="J199" s="9" t="inlineStr">
        <is>
          <t>доцент</t>
        </is>
      </c>
      <c r="K199" s="9" t="n"/>
      <c r="L199" s="9" t="inlineStr">
        <is>
          <t>по первым неделям</t>
        </is>
      </c>
      <c r="M199" s="12">
        <f>SUMIFS($E$2:$E$1130,$A$2:$A$1130,"осень",$I$2:$I$1130,I199)</f>
        <v/>
      </c>
      <c r="N199" s="13">
        <f>SUMIFS($E$2:$E$1130,$A$2:$A$1130,"весна",$I$2:$I$1130,I199)</f>
        <v/>
      </c>
      <c r="O199" s="14">
        <f>M199+N199</f>
        <v/>
      </c>
      <c r="P199" s="15">
        <f>O199/$P$1</f>
        <v/>
      </c>
    </row>
    <row r="200" hidden="1" ht="15.75" customHeight="1" s="2">
      <c r="A200" s="8" t="inlineStr">
        <is>
          <t>осень</t>
        </is>
      </c>
      <c r="B200" s="9" t="inlineStr">
        <is>
          <t>Методы управления информационными и материальными потоками</t>
        </is>
      </c>
      <c r="C200" s="9" t="inlineStr">
        <is>
          <t>Экзамен</t>
        </is>
      </c>
      <c r="D200" s="9" t="inlineStr">
        <is>
          <t>Т1О-404Б-17</t>
        </is>
      </c>
      <c r="E200" s="10" t="n">
        <v>12</v>
      </c>
      <c r="F200" s="9" t="inlineStr">
        <is>
          <t>08770</t>
        </is>
      </c>
      <c r="G200" s="11" t="n">
        <v>0</v>
      </c>
      <c r="H200" s="9" t="inlineStr">
        <is>
          <t xml:space="preserve">81716     </t>
        </is>
      </c>
      <c r="I200" s="9" t="inlineStr">
        <is>
          <t xml:space="preserve">Жаров Максим Владимирович </t>
        </is>
      </c>
      <c r="J200" s="9" t="inlineStr">
        <is>
          <t>доцент</t>
        </is>
      </c>
      <c r="K200" s="9" t="n"/>
      <c r="L200" s="9" t="inlineStr">
        <is>
          <t>по первым неделям</t>
        </is>
      </c>
      <c r="M200" s="12">
        <f>SUMIFS($E$2:$E$1130,$A$2:$A$1130,"осень",$I$2:$I$1130,I200)</f>
        <v/>
      </c>
      <c r="N200" s="13">
        <f>SUMIFS($E$2:$E$1130,$A$2:$A$1130,"весна",$I$2:$I$1130,I200)</f>
        <v/>
      </c>
      <c r="O200" s="14">
        <f>M200+N200</f>
        <v/>
      </c>
      <c r="P200" s="15">
        <f>O200/$P$1</f>
        <v/>
      </c>
    </row>
    <row r="201" hidden="1" ht="15.75" customHeight="1" s="2">
      <c r="A201" s="8" t="inlineStr">
        <is>
          <t>осень</t>
        </is>
      </c>
      <c r="B201" s="9" t="inlineStr">
        <is>
          <t>Методы управления информационными и материальными потоками</t>
        </is>
      </c>
      <c r="C201" s="9" t="inlineStr">
        <is>
          <t>Консультация</t>
        </is>
      </c>
      <c r="D201" s="9" t="inlineStr">
        <is>
          <t>Т1О-404Б-17</t>
        </is>
      </c>
      <c r="E201" s="10" t="n">
        <v>4</v>
      </c>
      <c r="F201" s="9" t="inlineStr">
        <is>
          <t>08770</t>
        </is>
      </c>
      <c r="G201" s="11" t="n">
        <v>0</v>
      </c>
      <c r="H201" s="9" t="inlineStr">
        <is>
          <t xml:space="preserve">81716     </t>
        </is>
      </c>
      <c r="I201" s="9" t="inlineStr">
        <is>
          <t xml:space="preserve">Жаров Максим Владимирович </t>
        </is>
      </c>
      <c r="J201" s="9" t="inlineStr">
        <is>
          <t>доцент</t>
        </is>
      </c>
      <c r="K201" s="9" t="n"/>
      <c r="L201" s="9" t="inlineStr">
        <is>
          <t>по первым неделям</t>
        </is>
      </c>
      <c r="M201" s="12">
        <f>SUMIFS($E$2:$E$1130,$A$2:$A$1130,"осень",$I$2:$I$1130,I201)</f>
        <v/>
      </c>
      <c r="N201" s="13">
        <f>SUMIFS($E$2:$E$1130,$A$2:$A$1130,"весна",$I$2:$I$1130,I201)</f>
        <v/>
      </c>
      <c r="O201" s="14">
        <f>M201+N201</f>
        <v/>
      </c>
      <c r="P201" s="15">
        <f>O201/$P$1</f>
        <v/>
      </c>
    </row>
    <row r="202" hidden="1" ht="15.75" customHeight="1" s="2">
      <c r="A202" s="8" t="inlineStr">
        <is>
          <t>осень</t>
        </is>
      </c>
      <c r="B202" s="9" t="inlineStr">
        <is>
          <t>TPS-технологии</t>
        </is>
      </c>
      <c r="C202" s="9" t="inlineStr">
        <is>
          <t>ЛК</t>
        </is>
      </c>
      <c r="D202" s="9" t="inlineStr">
        <is>
          <t>Т1О-404Б-17</t>
        </is>
      </c>
      <c r="E202" s="10" t="n">
        <v>24</v>
      </c>
      <c r="F202" s="9" t="inlineStr">
        <is>
          <t>08770</t>
        </is>
      </c>
      <c r="G202" s="10" t="n">
        <v>24</v>
      </c>
      <c r="H202" s="9" t="inlineStr">
        <is>
          <t xml:space="preserve">81728     </t>
        </is>
      </c>
      <c r="I202" s="9" t="inlineStr">
        <is>
          <t xml:space="preserve">Галкин Виктор Иванович </t>
        </is>
      </c>
      <c r="J202" s="9" t="inlineStr">
        <is>
          <t>профессор</t>
        </is>
      </c>
      <c r="K202" s="9" t="n"/>
      <c r="L202" s="9" t="inlineStr">
        <is>
          <t>кроме среды и первой пары понедельника (525 А)</t>
        </is>
      </c>
      <c r="M202" s="12">
        <f>SUMIFS($E$2:$E$1130,$A$2:$A$1130,"осень",$I$2:$I$1130,I202)</f>
        <v/>
      </c>
      <c r="N202" s="13">
        <f>SUMIFS($E$2:$E$1130,$A$2:$A$1130,"весна",$I$2:$I$1130,I202)</f>
        <v/>
      </c>
      <c r="O202" s="14">
        <f>M202+N202</f>
        <v/>
      </c>
      <c r="P202" s="15">
        <f>O202/$P$1</f>
        <v/>
      </c>
    </row>
    <row r="203" hidden="1" ht="15.75" customHeight="1" s="2">
      <c r="A203" s="8" t="inlineStr">
        <is>
          <t>осень</t>
        </is>
      </c>
      <c r="B203" s="9" t="inlineStr">
        <is>
          <t>TPS-технологии</t>
        </is>
      </c>
      <c r="C203" s="9" t="inlineStr">
        <is>
          <t>ПЗ</t>
        </is>
      </c>
      <c r="D203" s="9" t="inlineStr">
        <is>
          <t>Т1О-404Б-17</t>
        </is>
      </c>
      <c r="E203" s="10" t="n">
        <v>40</v>
      </c>
      <c r="F203" s="9" t="inlineStr">
        <is>
          <t>08770</t>
        </is>
      </c>
      <c r="G203" s="10" t="n">
        <v>40</v>
      </c>
      <c r="H203" s="9" t="inlineStr">
        <is>
          <t xml:space="preserve">81728     </t>
        </is>
      </c>
      <c r="I203" s="9" t="inlineStr">
        <is>
          <t xml:space="preserve">Галкин Виктор Иванович </t>
        </is>
      </c>
      <c r="J203" s="9" t="inlineStr">
        <is>
          <t>профессор</t>
        </is>
      </c>
      <c r="K203" s="9" t="n"/>
      <c r="L203" s="9" t="inlineStr">
        <is>
          <t>кроме среды и первой пары понедельника (525 А)</t>
        </is>
      </c>
      <c r="M203" s="12">
        <f>SUMIFS($E$2:$E$1130,$A$2:$A$1130,"осень",$I$2:$I$1130,I203)</f>
        <v/>
      </c>
      <c r="N203" s="13">
        <f>SUMIFS($E$2:$E$1130,$A$2:$A$1130,"весна",$I$2:$I$1130,I203)</f>
        <v/>
      </c>
      <c r="O203" s="14">
        <f>M203+N203</f>
        <v/>
      </c>
      <c r="P203" s="15">
        <f>O203/$P$1</f>
        <v/>
      </c>
    </row>
    <row r="204" hidden="1" ht="15.75" customHeight="1" s="2">
      <c r="A204" s="8" t="inlineStr">
        <is>
          <t>осень</t>
        </is>
      </c>
      <c r="B204" s="9" t="inlineStr">
        <is>
          <t>TPS-технологии</t>
        </is>
      </c>
      <c r="C204" s="9" t="inlineStr">
        <is>
          <t>ЛР</t>
        </is>
      </c>
      <c r="D204" s="9" t="inlineStr">
        <is>
          <t>Т1О-404Б-17</t>
        </is>
      </c>
      <c r="E204" s="10" t="n">
        <v>16</v>
      </c>
      <c r="F204" s="9" t="inlineStr">
        <is>
          <t>08770</t>
        </is>
      </c>
      <c r="G204" s="10" t="n">
        <v>8</v>
      </c>
      <c r="H204" s="9" t="inlineStr">
        <is>
          <t xml:space="preserve">81728     </t>
        </is>
      </c>
      <c r="I204" s="9" t="inlineStr">
        <is>
          <t xml:space="preserve">Галкин Виктор Иванович </t>
        </is>
      </c>
      <c r="J204" s="9" t="inlineStr">
        <is>
          <t>профессор</t>
        </is>
      </c>
      <c r="K204" s="9" t="n"/>
      <c r="L204" s="9" t="inlineStr">
        <is>
          <t>кроме среды и первой пары понедельника (525 А)</t>
        </is>
      </c>
      <c r="M204" s="12">
        <f>SUMIFS($E$2:$E$1130,$A$2:$A$1130,"осень",$I$2:$I$1130,I204)</f>
        <v/>
      </c>
      <c r="N204" s="13">
        <f>SUMIFS($E$2:$E$1130,$A$2:$A$1130,"весна",$I$2:$I$1130,I204)</f>
        <v/>
      </c>
      <c r="O204" s="14">
        <f>M204+N204</f>
        <v/>
      </c>
      <c r="P204" s="15">
        <f>O204/$P$1</f>
        <v/>
      </c>
    </row>
    <row r="205" hidden="1" ht="15.75" customHeight="1" s="2">
      <c r="A205" s="8" t="inlineStr">
        <is>
          <t>осень</t>
        </is>
      </c>
      <c r="B205" s="9" t="inlineStr">
        <is>
          <t>TPS-технологии</t>
        </is>
      </c>
      <c r="C205" s="9" t="inlineStr">
        <is>
          <t>Экзамен</t>
        </is>
      </c>
      <c r="D205" s="9" t="inlineStr">
        <is>
          <t>Т1О-404Б-17</t>
        </is>
      </c>
      <c r="E205" s="10" t="n">
        <v>12</v>
      </c>
      <c r="F205" s="9" t="inlineStr">
        <is>
          <t>08770</t>
        </is>
      </c>
      <c r="G205" s="11" t="n">
        <v>0</v>
      </c>
      <c r="H205" s="9" t="inlineStr">
        <is>
          <t xml:space="preserve">81728     </t>
        </is>
      </c>
      <c r="I205" s="9" t="inlineStr">
        <is>
          <t xml:space="preserve">Галкин Виктор Иванович </t>
        </is>
      </c>
      <c r="J205" s="9" t="inlineStr">
        <is>
          <t>профессор</t>
        </is>
      </c>
      <c r="K205" s="9" t="n"/>
      <c r="L205" s="9" t="inlineStr">
        <is>
          <t>кроме среды и первой пары понедельника (525 А)</t>
        </is>
      </c>
      <c r="M205" s="12">
        <f>SUMIFS($E$2:$E$1130,$A$2:$A$1130,"осень",$I$2:$I$1130,I205)</f>
        <v/>
      </c>
      <c r="N205" s="13">
        <f>SUMIFS($E$2:$E$1130,$A$2:$A$1130,"весна",$I$2:$I$1130,I205)</f>
        <v/>
      </c>
      <c r="O205" s="14">
        <f>M205+N205</f>
        <v/>
      </c>
      <c r="P205" s="15">
        <f>O205/$P$1</f>
        <v/>
      </c>
    </row>
    <row r="206" hidden="1" ht="15.75" customHeight="1" s="2">
      <c r="A206" s="8" t="inlineStr">
        <is>
          <t>осень</t>
        </is>
      </c>
      <c r="B206" s="9" t="inlineStr">
        <is>
          <t>TPS-технологии</t>
        </is>
      </c>
      <c r="C206" s="9" t="inlineStr">
        <is>
          <t>Консультация</t>
        </is>
      </c>
      <c r="D206" s="9" t="inlineStr">
        <is>
          <t>Т1О-404Б-17</t>
        </is>
      </c>
      <c r="E206" s="10" t="n">
        <v>3</v>
      </c>
      <c r="F206" s="9" t="inlineStr">
        <is>
          <t>08770</t>
        </is>
      </c>
      <c r="G206" s="11" t="n">
        <v>0</v>
      </c>
      <c r="H206" s="9" t="inlineStr">
        <is>
          <t xml:space="preserve">81728     </t>
        </is>
      </c>
      <c r="I206" s="9" t="inlineStr">
        <is>
          <t xml:space="preserve">Галкин Виктор Иванович </t>
        </is>
      </c>
      <c r="J206" s="9" t="inlineStr">
        <is>
          <t>профессор</t>
        </is>
      </c>
      <c r="K206" s="9" t="n"/>
      <c r="L206" s="9" t="inlineStr">
        <is>
          <t>кроме среды и первой пары понедельника (525 А)</t>
        </is>
      </c>
      <c r="M206" s="12">
        <f>SUMIFS($E$2:$E$1130,$A$2:$A$1130,"осень",$I$2:$I$1130,I206)</f>
        <v/>
      </c>
      <c r="N206" s="13">
        <f>SUMIFS($E$2:$E$1130,$A$2:$A$1130,"весна",$I$2:$I$1130,I206)</f>
        <v/>
      </c>
      <c r="O206" s="14">
        <f>M206+N206</f>
        <v/>
      </c>
      <c r="P206" s="15">
        <f>O206/$P$1</f>
        <v/>
      </c>
    </row>
    <row r="207" hidden="1" ht="15.75" customHeight="1" s="2">
      <c r="A207" s="8" t="inlineStr">
        <is>
          <t>осень</t>
        </is>
      </c>
      <c r="B207" s="9" t="inlineStr">
        <is>
          <t>Применение вычислительной техники в инженерной деятельности</t>
        </is>
      </c>
      <c r="C207" s="9" t="inlineStr">
        <is>
          <t>ЛК</t>
        </is>
      </c>
      <c r="D207" s="9" t="inlineStr">
        <is>
          <t>Т1О-401Б-17</t>
        </is>
      </c>
      <c r="E207" s="10" t="n">
        <v>24</v>
      </c>
      <c r="F207" s="9" t="inlineStr">
        <is>
          <t>06256</t>
        </is>
      </c>
      <c r="G207" s="10" t="n">
        <v>24</v>
      </c>
      <c r="H207" s="9" t="inlineStr">
        <is>
          <t xml:space="preserve">81724     </t>
        </is>
      </c>
      <c r="I207" s="9" t="inlineStr">
        <is>
          <t xml:space="preserve">Галкин Евгений Владимирович </t>
        </is>
      </c>
      <c r="J207" s="9" t="inlineStr">
        <is>
          <t>доцент</t>
        </is>
      </c>
      <c r="K207" s="9" t="n"/>
      <c r="L207" s="9" t="inlineStr">
        <is>
          <t>кроме пятницы (525 А)</t>
        </is>
      </c>
      <c r="M207" s="12">
        <f>SUMIFS($E$2:$E$1130,$A$2:$A$1130,"осень",$I$2:$I$1130,I207)</f>
        <v/>
      </c>
      <c r="N207" s="13">
        <f>SUMIFS($E$2:$E$1130,$A$2:$A$1130,"весна",$I$2:$I$1130,I207)</f>
        <v/>
      </c>
      <c r="O207" s="14">
        <f>M207+N207</f>
        <v/>
      </c>
      <c r="P207" s="15">
        <f>O207/$P$1</f>
        <v/>
      </c>
    </row>
    <row r="208" hidden="1" ht="15.75" customHeight="1" s="2">
      <c r="A208" s="8" t="inlineStr">
        <is>
          <t>осень</t>
        </is>
      </c>
      <c r="B208" s="9" t="inlineStr">
        <is>
          <t>Применение вычислительной техники в инженерной деятельности</t>
        </is>
      </c>
      <c r="C208" s="9" t="inlineStr">
        <is>
          <t>ЛР</t>
        </is>
      </c>
      <c r="D208" s="9" t="inlineStr">
        <is>
          <t>Т1О-401Б-17</t>
        </is>
      </c>
      <c r="E208" s="10" t="n">
        <v>72</v>
      </c>
      <c r="F208" s="9" t="inlineStr">
        <is>
          <t>06256</t>
        </is>
      </c>
      <c r="G208" s="10" t="n">
        <v>36</v>
      </c>
      <c r="H208" s="9" t="inlineStr">
        <is>
          <t xml:space="preserve">81724     </t>
        </is>
      </c>
      <c r="I208" s="9" t="inlineStr">
        <is>
          <t xml:space="preserve">Галкин Евгений Владимирович </t>
        </is>
      </c>
      <c r="J208" s="9" t="inlineStr">
        <is>
          <t>доцент</t>
        </is>
      </c>
      <c r="K208" s="9" t="n"/>
      <c r="L208" s="9" t="inlineStr">
        <is>
          <t>кроме пятницы (525 А)</t>
        </is>
      </c>
      <c r="M208" s="12">
        <f>SUMIFS($E$2:$E$1130,$A$2:$A$1130,"осень",$I$2:$I$1130,I208)</f>
        <v/>
      </c>
      <c r="N208" s="13">
        <f>SUMIFS($E$2:$E$1130,$A$2:$A$1130,"весна",$I$2:$I$1130,I208)</f>
        <v/>
      </c>
      <c r="O208" s="14">
        <f>M208+N208</f>
        <v/>
      </c>
      <c r="P208" s="15">
        <f>O208/$P$1</f>
        <v/>
      </c>
    </row>
    <row r="209" hidden="1" ht="15.75" customHeight="1" s="2">
      <c r="A209" s="8" t="inlineStr">
        <is>
          <t>осень</t>
        </is>
      </c>
      <c r="B209" s="9" t="inlineStr">
        <is>
          <t>Применение вычислительной техники в инженерной деятельности</t>
        </is>
      </c>
      <c r="C209" s="9" t="inlineStr">
        <is>
          <t>Зачет</t>
        </is>
      </c>
      <c r="D209" s="9" t="inlineStr">
        <is>
          <t>Т1О-401Б-17</t>
        </is>
      </c>
      <c r="E209" s="10" t="n">
        <v>6</v>
      </c>
      <c r="F209" s="9" t="inlineStr">
        <is>
          <t>06256</t>
        </is>
      </c>
      <c r="G209" s="11" t="n">
        <v>0</v>
      </c>
      <c r="H209" s="9" t="inlineStr">
        <is>
          <t xml:space="preserve">81724     </t>
        </is>
      </c>
      <c r="I209" s="9" t="inlineStr">
        <is>
          <t xml:space="preserve">Галкин Евгений Владимирович </t>
        </is>
      </c>
      <c r="J209" s="9" t="inlineStr">
        <is>
          <t>доцент</t>
        </is>
      </c>
      <c r="K209" s="9" t="n"/>
      <c r="L209" s="9" t="inlineStr">
        <is>
          <t>кроме пятницы (525 А)</t>
        </is>
      </c>
      <c r="M209" s="12">
        <f>SUMIFS($E$2:$E$1130,$A$2:$A$1130,"осень",$I$2:$I$1130,I209)</f>
        <v/>
      </c>
      <c r="N209" s="13">
        <f>SUMIFS($E$2:$E$1130,$A$2:$A$1130,"весна",$I$2:$I$1130,I209)</f>
        <v/>
      </c>
      <c r="O209" s="14">
        <f>M209+N209</f>
        <v/>
      </c>
      <c r="P209" s="15">
        <f>O209/$P$1</f>
        <v/>
      </c>
    </row>
    <row r="210" hidden="1" ht="15.75" customHeight="1" s="2">
      <c r="A210" s="8" t="inlineStr">
        <is>
          <t>осень</t>
        </is>
      </c>
      <c r="B210" s="9" t="inlineStr">
        <is>
          <t>Применение вычислительной техники в инженерной деятельности</t>
        </is>
      </c>
      <c r="C210" s="9" t="inlineStr">
        <is>
          <t>Консультация</t>
        </is>
      </c>
      <c r="D210" s="9" t="inlineStr">
        <is>
          <t>Т1О-401Б-17</t>
        </is>
      </c>
      <c r="E210" s="10" t="n">
        <v>1</v>
      </c>
      <c r="F210" s="9" t="inlineStr">
        <is>
          <t>06256</t>
        </is>
      </c>
      <c r="G210" s="11" t="n">
        <v>0</v>
      </c>
      <c r="H210" s="9" t="inlineStr">
        <is>
          <t xml:space="preserve">81724     </t>
        </is>
      </c>
      <c r="I210" s="9" t="inlineStr">
        <is>
          <t xml:space="preserve">Галкин Евгений Владимирович </t>
        </is>
      </c>
      <c r="J210" s="9" t="inlineStr">
        <is>
          <t>доцент</t>
        </is>
      </c>
      <c r="K210" s="9" t="n"/>
      <c r="L210" s="9" t="inlineStr">
        <is>
          <t>кроме пятницы (525 А)</t>
        </is>
      </c>
      <c r="M210" s="12">
        <f>SUMIFS($E$2:$E$1130,$A$2:$A$1130,"осень",$I$2:$I$1130,I210)</f>
        <v/>
      </c>
      <c r="N210" s="13">
        <f>SUMIFS($E$2:$E$1130,$A$2:$A$1130,"весна",$I$2:$I$1130,I210)</f>
        <v/>
      </c>
      <c r="O210" s="14">
        <f>M210+N210</f>
        <v/>
      </c>
      <c r="P210" s="15">
        <f>O210/$P$1</f>
        <v/>
      </c>
    </row>
    <row r="211" hidden="1" ht="15.75" customHeight="1" s="2">
      <c r="A211" s="17" t="inlineStr">
        <is>
          <t>осень</t>
        </is>
      </c>
      <c r="B211" s="9" t="inlineStr">
        <is>
          <t>Теория процессов прокатно-прессового производства</t>
        </is>
      </c>
      <c r="C211" s="9" t="inlineStr">
        <is>
          <t>ЛК</t>
        </is>
      </c>
      <c r="D211" s="9" t="inlineStr">
        <is>
          <t>Т1В-412Б-17</t>
        </is>
      </c>
      <c r="E211" s="10" t="n">
        <v>12</v>
      </c>
      <c r="F211" s="9" t="inlineStr">
        <is>
          <t>08769</t>
        </is>
      </c>
      <c r="G211" s="10" t="n">
        <v>12</v>
      </c>
      <c r="H211" s="9" t="inlineStr">
        <is>
          <t xml:space="preserve">81725     </t>
        </is>
      </c>
      <c r="I211" s="9" t="inlineStr">
        <is>
          <t xml:space="preserve">Еремеев Николай Владимирович </t>
        </is>
      </c>
      <c r="J211" s="9" t="inlineStr">
        <is>
          <t>доцент</t>
        </is>
      </c>
      <c r="K211" s="9" t="n"/>
      <c r="L211" s="9" t="n"/>
      <c r="M211" s="12">
        <f>SUMIFS($E$2:$E$1130,$A$2:$A$1130,"осень",$I$2:$I$1130,I211)</f>
        <v/>
      </c>
      <c r="N211" s="13">
        <f>SUMIFS($E$2:$E$1130,$A$2:$A$1130,"весна",$I$2:$I$1130,I211)</f>
        <v/>
      </c>
      <c r="O211" s="14">
        <f>M211+N211</f>
        <v/>
      </c>
      <c r="P211" s="15">
        <f>O211/$P$1</f>
        <v/>
      </c>
    </row>
    <row r="212" hidden="1" ht="15.75" customHeight="1" s="2">
      <c r="A212" s="17" t="inlineStr">
        <is>
          <t>осень</t>
        </is>
      </c>
      <c r="B212" s="9" t="inlineStr">
        <is>
          <t>Теория процессов прокатно-прессового производства</t>
        </is>
      </c>
      <c r="C212" s="9" t="inlineStr">
        <is>
          <t>ПЗ</t>
        </is>
      </c>
      <c r="D212" s="9" t="inlineStr">
        <is>
          <t>Т1В-412Б-17</t>
        </is>
      </c>
      <c r="E212" s="10" t="n">
        <v>24</v>
      </c>
      <c r="F212" s="9" t="inlineStr">
        <is>
          <t>08769</t>
        </is>
      </c>
      <c r="G212" s="10" t="n">
        <v>24</v>
      </c>
      <c r="H212" s="9" t="inlineStr">
        <is>
          <t xml:space="preserve">81725     </t>
        </is>
      </c>
      <c r="I212" s="9" t="inlineStr">
        <is>
          <t xml:space="preserve">Еремеев Николай Владимирович </t>
        </is>
      </c>
      <c r="J212" s="9" t="inlineStr">
        <is>
          <t>доцент</t>
        </is>
      </c>
      <c r="K212" s="9" t="n"/>
      <c r="L212" s="9" t="n"/>
      <c r="M212" s="12">
        <f>SUMIFS($E$2:$E$1130,$A$2:$A$1130,"осень",$I$2:$I$1130,I212)</f>
        <v/>
      </c>
      <c r="N212" s="13">
        <f>SUMIFS($E$2:$E$1130,$A$2:$A$1130,"весна",$I$2:$I$1130,I212)</f>
        <v/>
      </c>
      <c r="O212" s="14">
        <f>M212+N212</f>
        <v/>
      </c>
      <c r="P212" s="15">
        <f>O212/$P$1</f>
        <v/>
      </c>
    </row>
    <row r="213" hidden="1" ht="15.75" customHeight="1" s="2">
      <c r="A213" s="17" t="inlineStr">
        <is>
          <t>осень</t>
        </is>
      </c>
      <c r="B213" s="9" t="inlineStr">
        <is>
          <t>Теория процессов прокатно-прессового производства</t>
        </is>
      </c>
      <c r="C213" s="9" t="inlineStr">
        <is>
          <t>Зачет</t>
        </is>
      </c>
      <c r="D213" s="9" t="inlineStr">
        <is>
          <t>Т1В-412Б-17</t>
        </is>
      </c>
      <c r="E213" s="10" t="n">
        <v>4</v>
      </c>
      <c r="F213" s="9" t="inlineStr">
        <is>
          <t>08769</t>
        </is>
      </c>
      <c r="G213" s="11" t="n">
        <v>0</v>
      </c>
      <c r="H213" s="9" t="inlineStr">
        <is>
          <t xml:space="preserve">81725     </t>
        </is>
      </c>
      <c r="I213" s="9" t="inlineStr">
        <is>
          <t xml:space="preserve">Еремеев Николай Владимирович </t>
        </is>
      </c>
      <c r="J213" s="9" t="inlineStr">
        <is>
          <t>доцент</t>
        </is>
      </c>
      <c r="K213" s="9" t="n"/>
      <c r="L213" s="9" t="n"/>
      <c r="M213" s="12">
        <f>SUMIFS($E$2:$E$1130,$A$2:$A$1130,"осень",$I$2:$I$1130,I213)</f>
        <v/>
      </c>
      <c r="N213" s="13">
        <f>SUMIFS($E$2:$E$1130,$A$2:$A$1130,"весна",$I$2:$I$1130,I213)</f>
        <v/>
      </c>
      <c r="O213" s="14">
        <f>M213+N213</f>
        <v/>
      </c>
      <c r="P213" s="15">
        <f>O213/$P$1</f>
        <v/>
      </c>
    </row>
    <row r="214" hidden="1" ht="15.75" customHeight="1" s="2">
      <c r="A214" s="17" t="inlineStr">
        <is>
          <t>осень</t>
        </is>
      </c>
      <c r="B214" s="9" t="inlineStr">
        <is>
          <t>Теория процессов прокатно-прессового производства</t>
        </is>
      </c>
      <c r="C214" s="9" t="inlineStr">
        <is>
          <t>Консультация</t>
        </is>
      </c>
      <c r="D214" s="9" t="inlineStr">
        <is>
          <t>Т1В-412Б-17</t>
        </is>
      </c>
      <c r="E214" s="10" t="n">
        <v>1</v>
      </c>
      <c r="F214" s="9" t="inlineStr">
        <is>
          <t>08769</t>
        </is>
      </c>
      <c r="G214" s="11" t="n">
        <v>0</v>
      </c>
      <c r="H214" s="9" t="inlineStr">
        <is>
          <t xml:space="preserve">81725     </t>
        </is>
      </c>
      <c r="I214" s="9" t="inlineStr">
        <is>
          <t xml:space="preserve">Еремеев Николай Владимирович </t>
        </is>
      </c>
      <c r="J214" s="9" t="inlineStr">
        <is>
          <t>доцент</t>
        </is>
      </c>
      <c r="K214" s="9" t="n"/>
      <c r="L214" s="9" t="n"/>
      <c r="M214" s="12">
        <f>SUMIFS($E$2:$E$1130,$A$2:$A$1130,"осень",$I$2:$I$1130,I214)</f>
        <v/>
      </c>
      <c r="N214" s="13">
        <f>SUMIFS($E$2:$E$1130,$A$2:$A$1130,"весна",$I$2:$I$1130,I214)</f>
        <v/>
      </c>
      <c r="O214" s="14">
        <f>M214+N214</f>
        <v/>
      </c>
      <c r="P214" s="15">
        <f>O214/$P$1</f>
        <v/>
      </c>
    </row>
    <row r="215" hidden="1" ht="15.75" customHeight="1" s="2">
      <c r="A215" s="8" t="inlineStr">
        <is>
          <t>осень</t>
        </is>
      </c>
      <c r="B215" s="9" t="inlineStr">
        <is>
          <t>Технология кузнечно-штамповочного производства</t>
        </is>
      </c>
      <c r="C215" s="9" t="inlineStr">
        <is>
          <t>ЛК</t>
        </is>
      </c>
      <c r="D215" s="9" t="inlineStr">
        <is>
          <t>Т1В-516Б-16</t>
        </is>
      </c>
      <c r="E215" s="10" t="n">
        <v>18</v>
      </c>
      <c r="F215" s="9" t="inlineStr">
        <is>
          <t>04644</t>
        </is>
      </c>
      <c r="G215" s="10" t="n">
        <v>18</v>
      </c>
      <c r="H215" s="9" t="inlineStr">
        <is>
          <t xml:space="preserve">81729     </t>
        </is>
      </c>
      <c r="I215" s="9" t="inlineStr">
        <is>
          <t xml:space="preserve">Соколов Алексей Викторович </t>
        </is>
      </c>
      <c r="J215" s="9" t="inlineStr">
        <is>
          <t>доцент</t>
        </is>
      </c>
      <c r="K215" s="9" t="n"/>
      <c r="L215" s="9" t="inlineStr">
        <is>
          <t>кроме пятницы (523 А)</t>
        </is>
      </c>
      <c r="M215" s="12">
        <f>SUMIFS($E$2:$E$1130,$A$2:$A$1130,"осень",$I$2:$I$1130,I215)</f>
        <v/>
      </c>
      <c r="N215" s="13">
        <f>SUMIFS($E$2:$E$1130,$A$2:$A$1130,"весна",$I$2:$I$1130,I215)</f>
        <v/>
      </c>
      <c r="O215" s="14">
        <f>M215+N215</f>
        <v/>
      </c>
      <c r="P215" s="15">
        <f>O215/$P$1</f>
        <v/>
      </c>
    </row>
    <row r="216" hidden="1" ht="15.75" customHeight="1" s="2">
      <c r="A216" s="8" t="inlineStr">
        <is>
          <t>осень</t>
        </is>
      </c>
      <c r="B216" s="9" t="inlineStr">
        <is>
          <t>Технология кузнечно-штамповочного производства</t>
        </is>
      </c>
      <c r="C216" s="9" t="inlineStr">
        <is>
          <t>ЛК</t>
        </is>
      </c>
      <c r="D216" s="9" t="inlineStr">
        <is>
          <t>Т1О-401Б-17</t>
        </is>
      </c>
      <c r="E216" s="10" t="n">
        <v>20</v>
      </c>
      <c r="F216" s="9" t="inlineStr">
        <is>
          <t>06256</t>
        </is>
      </c>
      <c r="G216" s="10" t="n">
        <v>20</v>
      </c>
      <c r="H216" s="9" t="inlineStr">
        <is>
          <t xml:space="preserve">81729     </t>
        </is>
      </c>
      <c r="I216" s="9" t="inlineStr">
        <is>
          <t xml:space="preserve">Соколов Алексей Викторович </t>
        </is>
      </c>
      <c r="J216" s="9" t="inlineStr">
        <is>
          <t>доцент</t>
        </is>
      </c>
      <c r="K216" s="9" t="n"/>
      <c r="L216" s="9" t="inlineStr">
        <is>
          <t>523Акроме пятницы</t>
        </is>
      </c>
      <c r="M216" s="12">
        <f>SUMIFS($E$2:$E$1130,$A$2:$A$1130,"осень",$I$2:$I$1130,I216)</f>
        <v/>
      </c>
      <c r="N216" s="13">
        <f>SUMIFS($E$2:$E$1130,$A$2:$A$1130,"весна",$I$2:$I$1130,I216)</f>
        <v/>
      </c>
      <c r="O216" s="14">
        <f>M216+N216</f>
        <v/>
      </c>
      <c r="P216" s="15">
        <f>O216/$P$1</f>
        <v/>
      </c>
    </row>
    <row r="217" hidden="1" ht="15.75" customHeight="1" s="2">
      <c r="A217" s="8" t="inlineStr">
        <is>
          <t>осень</t>
        </is>
      </c>
      <c r="B217" s="9" t="inlineStr">
        <is>
          <t>Технология кузнечно-штамповочного производства</t>
        </is>
      </c>
      <c r="C217" s="9" t="inlineStr">
        <is>
          <t>ПЗ</t>
        </is>
      </c>
      <c r="D217" s="9" t="inlineStr">
        <is>
          <t>Т1В-516Б-16</t>
        </is>
      </c>
      <c r="E217" s="10" t="n">
        <v>38</v>
      </c>
      <c r="F217" s="9" t="inlineStr">
        <is>
          <t>04644</t>
        </is>
      </c>
      <c r="G217" s="10" t="n">
        <v>38</v>
      </c>
      <c r="H217" s="9" t="inlineStr">
        <is>
          <t xml:space="preserve">81729     </t>
        </is>
      </c>
      <c r="I217" s="9" t="inlineStr">
        <is>
          <t xml:space="preserve">Соколов Алексей Викторович </t>
        </is>
      </c>
      <c r="J217" s="9" t="inlineStr">
        <is>
          <t>доцент</t>
        </is>
      </c>
      <c r="K217" s="9" t="n"/>
      <c r="L217" s="9" t="inlineStr">
        <is>
          <t>кроме пятницы (521А, 522А)</t>
        </is>
      </c>
      <c r="M217" s="12">
        <f>SUMIFS($E$2:$E$1130,$A$2:$A$1130,"осень",$I$2:$I$1130,I217)</f>
        <v/>
      </c>
      <c r="N217" s="13">
        <f>SUMIFS($E$2:$E$1130,$A$2:$A$1130,"весна",$I$2:$I$1130,I217)</f>
        <v/>
      </c>
      <c r="O217" s="14">
        <f>M217+N217</f>
        <v/>
      </c>
      <c r="P217" s="15">
        <f>O217/$P$1</f>
        <v/>
      </c>
    </row>
    <row r="218" hidden="1" ht="15.75" customHeight="1" s="2">
      <c r="A218" s="8" t="inlineStr">
        <is>
          <t>осень</t>
        </is>
      </c>
      <c r="B218" s="9" t="inlineStr">
        <is>
          <t>Технология кузнечно-штамповочного производства</t>
        </is>
      </c>
      <c r="C218" s="9" t="inlineStr">
        <is>
          <t>ПЗ</t>
        </is>
      </c>
      <c r="D218" s="9" t="inlineStr">
        <is>
          <t>Т1О-401Б-17</t>
        </is>
      </c>
      <c r="E218" s="10" t="n">
        <v>30</v>
      </c>
      <c r="F218" s="9" t="inlineStr">
        <is>
          <t>06256</t>
        </is>
      </c>
      <c r="G218" s="10" t="n">
        <v>30</v>
      </c>
      <c r="H218" s="9" t="inlineStr">
        <is>
          <t xml:space="preserve">81729     </t>
        </is>
      </c>
      <c r="I218" s="9" t="inlineStr">
        <is>
          <t xml:space="preserve">Соколов Алексей Викторович </t>
        </is>
      </c>
      <c r="J218" s="9" t="inlineStr">
        <is>
          <t>доцент</t>
        </is>
      </c>
      <c r="K218" s="9" t="n"/>
      <c r="L218" s="9" t="inlineStr">
        <is>
          <t>521А, 522Акроме пятницы</t>
        </is>
      </c>
      <c r="M218" s="12">
        <f>SUMIFS($E$2:$E$1130,$A$2:$A$1130,"осень",$I$2:$I$1130,I218)</f>
        <v/>
      </c>
      <c r="N218" s="13">
        <f>SUMIFS($E$2:$E$1130,$A$2:$A$1130,"весна",$I$2:$I$1130,I218)</f>
        <v/>
      </c>
      <c r="O218" s="14">
        <f>M218+N218</f>
        <v/>
      </c>
      <c r="P218" s="15">
        <f>O218/$P$1</f>
        <v/>
      </c>
    </row>
    <row r="219" hidden="1" ht="15.75" customHeight="1" s="2">
      <c r="A219" s="8" t="inlineStr">
        <is>
          <t>осень</t>
        </is>
      </c>
      <c r="B219" s="9" t="inlineStr">
        <is>
          <t>Технология кузнечно-штамповочного производства</t>
        </is>
      </c>
      <c r="C219" s="9" t="inlineStr">
        <is>
          <t>Экзамен</t>
        </is>
      </c>
      <c r="D219" s="9" t="inlineStr">
        <is>
          <t>Т1В-516Б-16</t>
        </is>
      </c>
      <c r="E219" s="10" t="n">
        <v>3</v>
      </c>
      <c r="F219" s="9" t="inlineStr">
        <is>
          <t>04644</t>
        </is>
      </c>
      <c r="G219" s="11" t="n">
        <v>0</v>
      </c>
      <c r="H219" s="9" t="inlineStr">
        <is>
          <t xml:space="preserve">81729     </t>
        </is>
      </c>
      <c r="I219" s="9" t="inlineStr">
        <is>
          <t xml:space="preserve">Соколов Алексей Викторович </t>
        </is>
      </c>
      <c r="J219" s="9" t="inlineStr">
        <is>
          <t>доцент</t>
        </is>
      </c>
      <c r="K219" s="9" t="n"/>
      <c r="L219" s="9" t="inlineStr">
        <is>
          <t>кроме пятницы</t>
        </is>
      </c>
      <c r="M219" s="12">
        <f>SUMIFS($E$2:$E$1130,$A$2:$A$1130,"осень",$I$2:$I$1130,I219)</f>
        <v/>
      </c>
      <c r="N219" s="13">
        <f>SUMIFS($E$2:$E$1130,$A$2:$A$1130,"весна",$I$2:$I$1130,I219)</f>
        <v/>
      </c>
      <c r="O219" s="14">
        <f>M219+N219</f>
        <v/>
      </c>
      <c r="P219" s="15">
        <f>O219/$P$1</f>
        <v/>
      </c>
    </row>
    <row r="220" hidden="1" ht="15.75" customHeight="1" s="2">
      <c r="A220" s="8" t="inlineStr">
        <is>
          <t>осень</t>
        </is>
      </c>
      <c r="B220" s="9" t="inlineStr">
        <is>
          <t>Технология кузнечно-штамповочного производства</t>
        </is>
      </c>
      <c r="C220" s="9" t="inlineStr">
        <is>
          <t>КСР</t>
        </is>
      </c>
      <c r="D220" s="9" t="inlineStr">
        <is>
          <t>Т1В-516Б-16</t>
        </is>
      </c>
      <c r="E220" s="10" t="n">
        <v>16</v>
      </c>
      <c r="F220" s="9" t="inlineStr">
        <is>
          <t>04644</t>
        </is>
      </c>
      <c r="G220" s="10" t="n">
        <v>16</v>
      </c>
      <c r="H220" s="9" t="inlineStr">
        <is>
          <t xml:space="preserve">81729     </t>
        </is>
      </c>
      <c r="I220" s="9" t="inlineStr">
        <is>
          <t xml:space="preserve">Соколов Алексей Викторович </t>
        </is>
      </c>
      <c r="J220" s="9" t="inlineStr">
        <is>
          <t>доцент</t>
        </is>
      </c>
      <c r="K220" s="9" t="n"/>
      <c r="L220" s="9" t="inlineStr">
        <is>
          <t>кроме пятницы</t>
        </is>
      </c>
      <c r="M220" s="12">
        <f>SUMIFS($E$2:$E$1130,$A$2:$A$1130,"осень",$I$2:$I$1130,I220)</f>
        <v/>
      </c>
      <c r="N220" s="13">
        <f>SUMIFS($E$2:$E$1130,$A$2:$A$1130,"весна",$I$2:$I$1130,I220)</f>
        <v/>
      </c>
      <c r="O220" s="14">
        <f>M220+N220</f>
        <v/>
      </c>
      <c r="P220" s="15">
        <f>O220/$P$1</f>
        <v/>
      </c>
    </row>
    <row r="221" hidden="1" ht="15.75" customHeight="1" s="2">
      <c r="A221" s="8" t="inlineStr">
        <is>
          <t>осень</t>
        </is>
      </c>
      <c r="B221" s="9" t="inlineStr">
        <is>
          <t>Технология кузнечно-штамповочного производства</t>
        </is>
      </c>
      <c r="C221" s="9" t="inlineStr">
        <is>
          <t>Зачет</t>
        </is>
      </c>
      <c r="D221" s="9" t="inlineStr">
        <is>
          <t>Т1О-401Б-17</t>
        </is>
      </c>
      <c r="E221" s="10" t="n">
        <v>6</v>
      </c>
      <c r="F221" s="9" t="inlineStr">
        <is>
          <t>06256</t>
        </is>
      </c>
      <c r="G221" s="11" t="n">
        <v>0</v>
      </c>
      <c r="H221" s="9" t="inlineStr">
        <is>
          <t xml:space="preserve">81729     </t>
        </is>
      </c>
      <c r="I221" s="9" t="inlineStr">
        <is>
          <t xml:space="preserve">Соколов Алексей Викторович </t>
        </is>
      </c>
      <c r="J221" s="9" t="inlineStr">
        <is>
          <t>доцент</t>
        </is>
      </c>
      <c r="K221" s="9" t="n"/>
      <c r="L221" s="9" t="inlineStr">
        <is>
          <t>кроме пятницы</t>
        </is>
      </c>
      <c r="M221" s="12">
        <f>SUMIFS($E$2:$E$1130,$A$2:$A$1130,"осень",$I$2:$I$1130,I221)</f>
        <v/>
      </c>
      <c r="N221" s="13">
        <f>SUMIFS($E$2:$E$1130,$A$2:$A$1130,"весна",$I$2:$I$1130,I221)</f>
        <v/>
      </c>
      <c r="O221" s="14">
        <f>M221+N221</f>
        <v/>
      </c>
      <c r="P221" s="15">
        <f>O221/$P$1</f>
        <v/>
      </c>
    </row>
    <row r="222" hidden="1" ht="15.75" customHeight="1" s="2">
      <c r="A222" s="8" t="inlineStr">
        <is>
          <t>осень</t>
        </is>
      </c>
      <c r="B222" s="9" t="inlineStr">
        <is>
          <t>Технология кузнечно-штамповочного производства</t>
        </is>
      </c>
      <c r="C222" s="9" t="inlineStr">
        <is>
          <t>Консультация</t>
        </is>
      </c>
      <c r="D222" s="9" t="inlineStr">
        <is>
          <t>Т1В-516Б-16</t>
        </is>
      </c>
      <c r="E222" s="10" t="n">
        <v>4</v>
      </c>
      <c r="F222" s="9" t="inlineStr">
        <is>
          <t>04644</t>
        </is>
      </c>
      <c r="G222" s="11" t="n">
        <v>0</v>
      </c>
      <c r="H222" s="9" t="inlineStr">
        <is>
          <t xml:space="preserve">81729     </t>
        </is>
      </c>
      <c r="I222" s="9" t="inlineStr">
        <is>
          <t xml:space="preserve">Соколов Алексей Викторович </t>
        </is>
      </c>
      <c r="J222" s="9" t="inlineStr">
        <is>
          <t>доцент</t>
        </is>
      </c>
      <c r="K222" s="9" t="n"/>
      <c r="L222" s="9" t="inlineStr">
        <is>
          <t>кроме пятницы</t>
        </is>
      </c>
      <c r="M222" s="12">
        <f>SUMIFS($E$2:$E$1130,$A$2:$A$1130,"осень",$I$2:$I$1130,I222)</f>
        <v/>
      </c>
      <c r="N222" s="13">
        <f>SUMIFS($E$2:$E$1130,$A$2:$A$1130,"весна",$I$2:$I$1130,I222)</f>
        <v/>
      </c>
      <c r="O222" s="14">
        <f>M222+N222</f>
        <v/>
      </c>
      <c r="P222" s="15">
        <f>O222/$P$1</f>
        <v/>
      </c>
    </row>
    <row r="223" hidden="1" ht="15.75" customHeight="1" s="2">
      <c r="A223" s="8" t="inlineStr">
        <is>
          <t>осень</t>
        </is>
      </c>
      <c r="B223" s="9" t="inlineStr">
        <is>
          <t>Технология кузнечно-штамповочного производства</t>
        </is>
      </c>
      <c r="C223" s="9" t="inlineStr">
        <is>
          <t>Консультация</t>
        </is>
      </c>
      <c r="D223" s="9" t="inlineStr">
        <is>
          <t>Т1О-401Б-17</t>
        </is>
      </c>
      <c r="E223" s="10" t="n">
        <v>1</v>
      </c>
      <c r="F223" s="9" t="inlineStr">
        <is>
          <t>06256</t>
        </is>
      </c>
      <c r="G223" s="11" t="n">
        <v>0</v>
      </c>
      <c r="H223" s="9" t="inlineStr">
        <is>
          <t xml:space="preserve">81729     </t>
        </is>
      </c>
      <c r="I223" s="9" t="inlineStr">
        <is>
          <t xml:space="preserve">Соколов Алексей Викторович </t>
        </is>
      </c>
      <c r="J223" s="9" t="inlineStr">
        <is>
          <t>доцент</t>
        </is>
      </c>
      <c r="K223" s="9" t="n"/>
      <c r="L223" s="9" t="inlineStr">
        <is>
          <t>кроме пятницы</t>
        </is>
      </c>
      <c r="M223" s="12">
        <f>SUMIFS($E$2:$E$1130,$A$2:$A$1130,"осень",$I$2:$I$1130,I223)</f>
        <v/>
      </c>
      <c r="N223" s="13">
        <f>SUMIFS($E$2:$E$1130,$A$2:$A$1130,"весна",$I$2:$I$1130,I223)</f>
        <v/>
      </c>
      <c r="O223" s="14">
        <f>M223+N223</f>
        <v/>
      </c>
      <c r="P223" s="15">
        <f>O223/$P$1</f>
        <v/>
      </c>
    </row>
    <row r="224" hidden="1" ht="15.75" customHeight="1" s="2">
      <c r="A224" s="8" t="inlineStr">
        <is>
          <t>осень</t>
        </is>
      </c>
      <c r="B224" s="9" t="inlineStr">
        <is>
          <t>Информационные системы и базы данных</t>
        </is>
      </c>
      <c r="C224" s="9" t="inlineStr">
        <is>
          <t>ЛК</t>
        </is>
      </c>
      <c r="D224" s="9" t="inlineStr">
        <is>
          <t>Т1В-412Б-17</t>
        </is>
      </c>
      <c r="E224" s="10" t="n">
        <v>26</v>
      </c>
      <c r="F224" s="9" t="inlineStr">
        <is>
          <t>08769</t>
        </is>
      </c>
      <c r="G224" s="10" t="n">
        <v>26</v>
      </c>
      <c r="H224" s="9" t="inlineStr">
        <is>
          <t xml:space="preserve">81722     </t>
        </is>
      </c>
      <c r="I224" s="9" t="inlineStr">
        <is>
          <t xml:space="preserve">Шленский Алексей Геннадьевич </t>
        </is>
      </c>
      <c r="J224" s="9" t="inlineStr">
        <is>
          <t>доцент</t>
        </is>
      </c>
      <c r="K224" s="9" t="inlineStr">
        <is>
          <t>Орш. А-523</t>
        </is>
      </c>
      <c r="L224" s="9" t="inlineStr">
        <is>
          <t>кроме пятницы</t>
        </is>
      </c>
      <c r="M224" s="12">
        <f>SUMIFS($E$2:$E$1130,$A$2:$A$1130,"осень",$I$2:$I$1130,I224)</f>
        <v/>
      </c>
      <c r="N224" s="13">
        <f>SUMIFS($E$2:$E$1130,$A$2:$A$1130,"весна",$I$2:$I$1130,I224)</f>
        <v/>
      </c>
      <c r="O224" s="14">
        <f>M224+N224</f>
        <v/>
      </c>
      <c r="P224" s="15">
        <f>O224/$P$1</f>
        <v/>
      </c>
    </row>
    <row r="225" hidden="1" ht="15.75" customHeight="1" s="2">
      <c r="A225" s="8" t="inlineStr">
        <is>
          <t>осень</t>
        </is>
      </c>
      <c r="B225" s="9" t="inlineStr">
        <is>
          <t>Информационные системы и базы данных</t>
        </is>
      </c>
      <c r="C225" s="9" t="inlineStr">
        <is>
          <t>КР</t>
        </is>
      </c>
      <c r="D225" s="9" t="inlineStr">
        <is>
          <t>Т1В-412Б-17</t>
        </is>
      </c>
      <c r="E225" s="10" t="n">
        <v>33</v>
      </c>
      <c r="F225" s="9" t="inlineStr">
        <is>
          <t>08769</t>
        </is>
      </c>
      <c r="G225" s="11" t="n">
        <v>0</v>
      </c>
      <c r="H225" s="9" t="inlineStr">
        <is>
          <t xml:space="preserve">81722     </t>
        </is>
      </c>
      <c r="I225" s="9" t="inlineStr">
        <is>
          <t xml:space="preserve">Шленский Алексей Геннадьевич </t>
        </is>
      </c>
      <c r="J225" s="9" t="inlineStr">
        <is>
          <t>доцент</t>
        </is>
      </c>
      <c r="K225" s="9" t="n"/>
      <c r="L225" s="9" t="inlineStr">
        <is>
          <t>кроме пятницы</t>
        </is>
      </c>
      <c r="M225" s="12">
        <f>SUMIFS($E$2:$E$1130,$A$2:$A$1130,"осень",$I$2:$I$1130,I225)</f>
        <v/>
      </c>
      <c r="N225" s="13">
        <f>SUMIFS($E$2:$E$1130,$A$2:$A$1130,"весна",$I$2:$I$1130,I225)</f>
        <v/>
      </c>
      <c r="O225" s="14">
        <f>M225+N225</f>
        <v/>
      </c>
      <c r="P225" s="15">
        <f>O225/$P$1</f>
        <v/>
      </c>
    </row>
    <row r="226" hidden="1" ht="15.75" customHeight="1" s="2">
      <c r="A226" s="8" t="inlineStr">
        <is>
          <t>осень</t>
        </is>
      </c>
      <c r="B226" s="9" t="inlineStr">
        <is>
          <t>Информационные системы и базы данных</t>
        </is>
      </c>
      <c r="C226" s="9" t="inlineStr">
        <is>
          <t>ЛР</t>
        </is>
      </c>
      <c r="D226" s="9" t="inlineStr">
        <is>
          <t>Т1В-412Б-17</t>
        </is>
      </c>
      <c r="E226" s="10" t="n">
        <v>36</v>
      </c>
      <c r="F226" s="9" t="inlineStr">
        <is>
          <t>08769</t>
        </is>
      </c>
      <c r="G226" s="10" t="n">
        <v>36</v>
      </c>
      <c r="H226" s="9" t="inlineStr">
        <is>
          <t xml:space="preserve">81722     </t>
        </is>
      </c>
      <c r="I226" s="9" t="inlineStr">
        <is>
          <t xml:space="preserve">Шленский Алексей Геннадьевич </t>
        </is>
      </c>
      <c r="J226" s="9" t="inlineStr">
        <is>
          <t>доцент</t>
        </is>
      </c>
      <c r="K226" s="9" t="inlineStr">
        <is>
          <t>Орш. А-521</t>
        </is>
      </c>
      <c r="L226" s="9" t="inlineStr">
        <is>
          <t>кроме пятницы</t>
        </is>
      </c>
      <c r="M226" s="12">
        <f>SUMIFS($E$2:$E$1130,$A$2:$A$1130,"осень",$I$2:$I$1130,I226)</f>
        <v/>
      </c>
      <c r="N226" s="13">
        <f>SUMIFS($E$2:$E$1130,$A$2:$A$1130,"весна",$I$2:$I$1130,I226)</f>
        <v/>
      </c>
      <c r="O226" s="14">
        <f>M226+N226</f>
        <v/>
      </c>
      <c r="P226" s="15">
        <f>O226/$P$1</f>
        <v/>
      </c>
    </row>
    <row r="227" hidden="1" ht="15.75" customHeight="1" s="2">
      <c r="A227" s="8" t="inlineStr">
        <is>
          <t>осень</t>
        </is>
      </c>
      <c r="B227" s="9" t="inlineStr">
        <is>
          <t>Информационные системы и базы данных</t>
        </is>
      </c>
      <c r="C227" s="9" t="inlineStr">
        <is>
          <t>Экзамен</t>
        </is>
      </c>
      <c r="D227" s="9" t="inlineStr">
        <is>
          <t>Т1В-412Б-17</t>
        </is>
      </c>
      <c r="E227" s="10" t="n">
        <v>6</v>
      </c>
      <c r="F227" s="9" t="inlineStr">
        <is>
          <t>08769</t>
        </is>
      </c>
      <c r="G227" s="11" t="n">
        <v>0</v>
      </c>
      <c r="H227" s="9" t="inlineStr">
        <is>
          <t xml:space="preserve">81722     </t>
        </is>
      </c>
      <c r="I227" s="9" t="inlineStr">
        <is>
          <t xml:space="preserve">Шленский Алексей Геннадьевич </t>
        </is>
      </c>
      <c r="J227" s="9" t="inlineStr">
        <is>
          <t>доцент</t>
        </is>
      </c>
      <c r="K227" s="9" t="n"/>
      <c r="L227" s="9" t="inlineStr">
        <is>
          <t>кроме пятницы</t>
        </is>
      </c>
      <c r="M227" s="12">
        <f>SUMIFS($E$2:$E$1130,$A$2:$A$1130,"осень",$I$2:$I$1130,I227)</f>
        <v/>
      </c>
      <c r="N227" s="13">
        <f>SUMIFS($E$2:$E$1130,$A$2:$A$1130,"весна",$I$2:$I$1130,I227)</f>
        <v/>
      </c>
      <c r="O227" s="14">
        <f>M227+N227</f>
        <v/>
      </c>
      <c r="P227" s="15">
        <f>O227/$P$1</f>
        <v/>
      </c>
    </row>
    <row r="228" hidden="1" ht="15.75" customHeight="1" s="2">
      <c r="A228" s="8" t="inlineStr">
        <is>
          <t>осень</t>
        </is>
      </c>
      <c r="B228" s="9" t="inlineStr">
        <is>
          <t>Информационные системы и базы данных</t>
        </is>
      </c>
      <c r="C228" s="9" t="inlineStr">
        <is>
          <t>Консультация</t>
        </is>
      </c>
      <c r="D228" s="9" t="inlineStr">
        <is>
          <t>Т1В-412Б-17</t>
        </is>
      </c>
      <c r="E228" s="10" t="n">
        <v>5</v>
      </c>
      <c r="F228" s="9" t="inlineStr">
        <is>
          <t>08769</t>
        </is>
      </c>
      <c r="G228" s="11" t="n">
        <v>0</v>
      </c>
      <c r="H228" s="9" t="inlineStr">
        <is>
          <t xml:space="preserve">81722     </t>
        </is>
      </c>
      <c r="I228" s="9" t="inlineStr">
        <is>
          <t xml:space="preserve">Шленский Алексей Геннадьевич </t>
        </is>
      </c>
      <c r="J228" s="9" t="inlineStr">
        <is>
          <t>доцент</t>
        </is>
      </c>
      <c r="K228" s="9" t="n"/>
      <c r="L228" s="9" t="inlineStr">
        <is>
          <t>кроме пятницы</t>
        </is>
      </c>
      <c r="M228" s="12">
        <f>SUMIFS($E$2:$E$1130,$A$2:$A$1130,"осень",$I$2:$I$1130,I228)</f>
        <v/>
      </c>
      <c r="N228" s="13">
        <f>SUMIFS($E$2:$E$1130,$A$2:$A$1130,"весна",$I$2:$I$1130,I228)</f>
        <v/>
      </c>
      <c r="O228" s="14">
        <f>M228+N228</f>
        <v/>
      </c>
      <c r="P228" s="15">
        <f>O228/$P$1</f>
        <v/>
      </c>
    </row>
    <row r="229" hidden="1" ht="15.75" customHeight="1" s="2">
      <c r="A229" s="8" t="inlineStr">
        <is>
          <t>осень</t>
        </is>
      </c>
      <c r="B229" s="9" t="inlineStr">
        <is>
          <t>Организация и математическое планирование эксперимента</t>
        </is>
      </c>
      <c r="C229" s="9" t="inlineStr">
        <is>
          <t>ЛК</t>
        </is>
      </c>
      <c r="D229" s="9" t="inlineStr">
        <is>
          <t>Т11О-101М-20</t>
        </is>
      </c>
      <c r="E229" s="10" t="n">
        <v>12</v>
      </c>
      <c r="F229" s="9" t="inlineStr">
        <is>
          <t>04489</t>
        </is>
      </c>
      <c r="G229" s="10" t="n">
        <v>12</v>
      </c>
      <c r="H229" s="9" t="inlineStr">
        <is>
          <t xml:space="preserve">81728     </t>
        </is>
      </c>
      <c r="I229" s="9" t="inlineStr">
        <is>
          <t xml:space="preserve">Галкин Виктор Иванович </t>
        </is>
      </c>
      <c r="J229" s="9" t="inlineStr">
        <is>
          <t>профессор</t>
        </is>
      </c>
      <c r="K229" s="9" t="n"/>
      <c r="L229" s="9" t="inlineStr">
        <is>
          <t>кроме среды и первой пары понедельника (525 А)</t>
        </is>
      </c>
      <c r="M229" s="12">
        <f>SUMIFS($E$2:$E$1130,$A$2:$A$1130,"осень",$I$2:$I$1130,I229)</f>
        <v/>
      </c>
      <c r="N229" s="13">
        <f>SUMIFS($E$2:$E$1130,$A$2:$A$1130,"весна",$I$2:$I$1130,I229)</f>
        <v/>
      </c>
      <c r="O229" s="14">
        <f>M229+N229</f>
        <v/>
      </c>
      <c r="P229" s="15">
        <f>O229/$P$1</f>
        <v/>
      </c>
    </row>
    <row r="230" hidden="1" ht="15.75" customHeight="1" s="2">
      <c r="A230" s="8" t="inlineStr">
        <is>
          <t>осень</t>
        </is>
      </c>
      <c r="B230" s="9" t="inlineStr">
        <is>
          <t>Организация и математическое планирование эксперимента</t>
        </is>
      </c>
      <c r="C230" s="9" t="inlineStr">
        <is>
          <t>ПЗ</t>
        </is>
      </c>
      <c r="D230" s="9" t="inlineStr">
        <is>
          <t>Т11О-101М-20</t>
        </is>
      </c>
      <c r="E230" s="10" t="n">
        <v>24</v>
      </c>
      <c r="F230" s="9" t="inlineStr">
        <is>
          <t>04489</t>
        </is>
      </c>
      <c r="G230" s="10" t="n">
        <v>24</v>
      </c>
      <c r="H230" s="9" t="inlineStr">
        <is>
          <t xml:space="preserve">81728     </t>
        </is>
      </c>
      <c r="I230" s="9" t="inlineStr">
        <is>
          <t xml:space="preserve">Галкин Виктор Иванович </t>
        </is>
      </c>
      <c r="J230" s="9" t="inlineStr">
        <is>
          <t>профессор</t>
        </is>
      </c>
      <c r="K230" s="9" t="n"/>
      <c r="L230" s="9" t="inlineStr">
        <is>
          <t>кроме среды и первой пары понедельника (525 А)</t>
        </is>
      </c>
      <c r="M230" s="12">
        <f>SUMIFS($E$2:$E$1130,$A$2:$A$1130,"осень",$I$2:$I$1130,I230)</f>
        <v/>
      </c>
      <c r="N230" s="13">
        <f>SUMIFS($E$2:$E$1130,$A$2:$A$1130,"весна",$I$2:$I$1130,I230)</f>
        <v/>
      </c>
      <c r="O230" s="14">
        <f>M230+N230</f>
        <v/>
      </c>
      <c r="P230" s="15">
        <f>O230/$P$1</f>
        <v/>
      </c>
    </row>
    <row r="231" hidden="1" ht="15.75" customHeight="1" s="2">
      <c r="A231" s="8" t="inlineStr">
        <is>
          <t>осень</t>
        </is>
      </c>
      <c r="B231" s="9" t="inlineStr">
        <is>
          <t>Организация и математическое планирование эксперимента</t>
        </is>
      </c>
      <c r="C231" s="9" t="inlineStr">
        <is>
          <t>Зачет</t>
        </is>
      </c>
      <c r="D231" s="9" t="inlineStr">
        <is>
          <t>Т11О-101М-20</t>
        </is>
      </c>
      <c r="E231" s="10" t="n">
        <v>2</v>
      </c>
      <c r="F231" s="9" t="inlineStr">
        <is>
          <t>04489</t>
        </is>
      </c>
      <c r="G231" s="11" t="n">
        <v>0</v>
      </c>
      <c r="H231" s="9" t="inlineStr">
        <is>
          <t xml:space="preserve">81728     </t>
        </is>
      </c>
      <c r="I231" s="9" t="inlineStr">
        <is>
          <t xml:space="preserve">Галкин Виктор Иванович </t>
        </is>
      </c>
      <c r="J231" s="9" t="inlineStr">
        <is>
          <t>профессор</t>
        </is>
      </c>
      <c r="K231" s="9" t="n"/>
      <c r="L231" s="9" t="inlineStr">
        <is>
          <t>кроме среды и первой пары понедельника (525 А)</t>
        </is>
      </c>
      <c r="M231" s="12">
        <f>SUMIFS($E$2:$E$1130,$A$2:$A$1130,"осень",$I$2:$I$1130,I231)</f>
        <v/>
      </c>
      <c r="N231" s="13">
        <f>SUMIFS($E$2:$E$1130,$A$2:$A$1130,"весна",$I$2:$I$1130,I231)</f>
        <v/>
      </c>
      <c r="O231" s="14">
        <f>M231+N231</f>
        <v/>
      </c>
      <c r="P231" s="15">
        <f>O231/$P$1</f>
        <v/>
      </c>
    </row>
    <row r="232" hidden="1" ht="15.75" customHeight="1" s="2">
      <c r="A232" s="8" t="inlineStr">
        <is>
          <t>осень</t>
        </is>
      </c>
      <c r="B232" s="9" t="inlineStr">
        <is>
          <t>Организация и математическое планирование эксперимента</t>
        </is>
      </c>
      <c r="C232" s="9" t="inlineStr">
        <is>
          <t>Консультация</t>
        </is>
      </c>
      <c r="D232" s="9" t="inlineStr">
        <is>
          <t>Т11О-101М-20</t>
        </is>
      </c>
      <c r="E232" s="10" t="n">
        <v>1</v>
      </c>
      <c r="F232" s="9" t="inlineStr">
        <is>
          <t>04489</t>
        </is>
      </c>
      <c r="G232" s="11" t="n">
        <v>0</v>
      </c>
      <c r="H232" s="9" t="inlineStr">
        <is>
          <t xml:space="preserve">81728     </t>
        </is>
      </c>
      <c r="I232" s="9" t="inlineStr">
        <is>
          <t xml:space="preserve">Галкин Виктор Иванович </t>
        </is>
      </c>
      <c r="J232" s="9" t="inlineStr">
        <is>
          <t>профессор</t>
        </is>
      </c>
      <c r="K232" s="9" t="n"/>
      <c r="L232" s="9" t="inlineStr">
        <is>
          <t>кроме среды и первой пары понедельника (525 А)</t>
        </is>
      </c>
      <c r="M232" s="12">
        <f>SUMIFS($E$2:$E$1130,$A$2:$A$1130,"осень",$I$2:$I$1130,I232)</f>
        <v/>
      </c>
      <c r="N232" s="13">
        <f>SUMIFS($E$2:$E$1130,$A$2:$A$1130,"весна",$I$2:$I$1130,I232)</f>
        <v/>
      </c>
      <c r="O232" s="14">
        <f>M232+N232</f>
        <v/>
      </c>
      <c r="P232" s="15">
        <f>O232/$P$1</f>
        <v/>
      </c>
    </row>
    <row r="233" hidden="1" ht="15.75" customHeight="1" s="2">
      <c r="A233" s="8" t="inlineStr">
        <is>
          <t>осень</t>
        </is>
      </c>
      <c r="B233" s="9" t="inlineStr">
        <is>
          <t>Технология прессования  легких сплавов</t>
        </is>
      </c>
      <c r="C233" s="9" t="inlineStr">
        <is>
          <t>КП</t>
        </is>
      </c>
      <c r="D233" s="9" t="inlineStr">
        <is>
          <t>Т11О-101М-20</t>
        </is>
      </c>
      <c r="E233" s="10" t="n">
        <v>24</v>
      </c>
      <c r="F233" s="9" t="inlineStr">
        <is>
          <t>04489</t>
        </is>
      </c>
      <c r="G233" s="11" t="n">
        <v>0</v>
      </c>
      <c r="H233" s="9" t="inlineStr">
        <is>
          <t xml:space="preserve">81731     </t>
        </is>
      </c>
      <c r="I233" s="9" t="inlineStr">
        <is>
          <t xml:space="preserve">Беспалов Александр Владимирович </t>
        </is>
      </c>
      <c r="J233" s="9" t="inlineStr">
        <is>
          <t>доцент</t>
        </is>
      </c>
      <c r="K233" s="9" t="n"/>
      <c r="L233" s="9" t="inlineStr">
        <is>
          <t>вторник, среда</t>
        </is>
      </c>
      <c r="M233" s="12">
        <f>SUMIFS($E$2:$E$1130,$A$2:$A$1130,"осень",$I$2:$I$1130,I233)</f>
        <v/>
      </c>
      <c r="N233" s="13">
        <f>SUMIFS($E$2:$E$1130,$A$2:$A$1130,"весна",$I$2:$I$1130,I233)</f>
        <v/>
      </c>
      <c r="O233" s="14">
        <f>M233+N233</f>
        <v/>
      </c>
      <c r="P233" s="15">
        <f>O233/$P$1</f>
        <v/>
      </c>
    </row>
    <row r="234" hidden="1" ht="15.75" customHeight="1" s="2">
      <c r="A234" s="8" t="inlineStr">
        <is>
          <t>осень</t>
        </is>
      </c>
      <c r="B234" s="9" t="inlineStr">
        <is>
          <t>Технология прессования  легких сплавов</t>
        </is>
      </c>
      <c r="C234" s="9" t="inlineStr">
        <is>
          <t>ЛК</t>
        </is>
      </c>
      <c r="D234" s="9" t="inlineStr">
        <is>
          <t>Т11О-101М-20</t>
        </is>
      </c>
      <c r="E234" s="10" t="n">
        <v>16</v>
      </c>
      <c r="F234" s="9" t="inlineStr">
        <is>
          <t>04489</t>
        </is>
      </c>
      <c r="G234" s="10" t="n">
        <v>16</v>
      </c>
      <c r="H234" s="9" t="inlineStr">
        <is>
          <t xml:space="preserve">81731     </t>
        </is>
      </c>
      <c r="I234" s="9" t="inlineStr">
        <is>
          <t xml:space="preserve">Беспалов Александр Владимирович </t>
        </is>
      </c>
      <c r="J234" s="9" t="inlineStr">
        <is>
          <t>доцент</t>
        </is>
      </c>
      <c r="K234" s="9" t="n"/>
      <c r="L234" s="9" t="inlineStr">
        <is>
          <t>вторник, среда</t>
        </is>
      </c>
      <c r="M234" s="12">
        <f>SUMIFS($E$2:$E$1130,$A$2:$A$1130,"осень",$I$2:$I$1130,I234)</f>
        <v/>
      </c>
      <c r="N234" s="13">
        <f>SUMIFS($E$2:$E$1130,$A$2:$A$1130,"весна",$I$2:$I$1130,I234)</f>
        <v/>
      </c>
      <c r="O234" s="14">
        <f>M234+N234</f>
        <v/>
      </c>
      <c r="P234" s="15">
        <f>O234/$P$1</f>
        <v/>
      </c>
    </row>
    <row r="235" hidden="1" ht="15.75" customHeight="1" s="2">
      <c r="A235" s="8" t="inlineStr">
        <is>
          <t>осень</t>
        </is>
      </c>
      <c r="B235" s="9" t="inlineStr">
        <is>
          <t>Технология прессования  легких сплавов</t>
        </is>
      </c>
      <c r="C235" s="9" t="inlineStr">
        <is>
          <t>Зачет с оценкой</t>
        </is>
      </c>
      <c r="D235" s="9" t="inlineStr">
        <is>
          <t>Т11О-101М-20</t>
        </is>
      </c>
      <c r="E235" s="10" t="n">
        <v>2</v>
      </c>
      <c r="F235" s="9" t="inlineStr">
        <is>
          <t>04489</t>
        </is>
      </c>
      <c r="G235" s="11" t="n">
        <v>0</v>
      </c>
      <c r="H235" s="9" t="inlineStr">
        <is>
          <t xml:space="preserve">81731     </t>
        </is>
      </c>
      <c r="I235" s="9" t="inlineStr">
        <is>
          <t xml:space="preserve">Беспалов Александр Владимирович </t>
        </is>
      </c>
      <c r="J235" s="9" t="inlineStr">
        <is>
          <t>доцент</t>
        </is>
      </c>
      <c r="K235" s="9" t="n"/>
      <c r="L235" s="9" t="inlineStr">
        <is>
          <t>вторник, среда</t>
        </is>
      </c>
      <c r="M235" s="12">
        <f>SUMIFS($E$2:$E$1130,$A$2:$A$1130,"осень",$I$2:$I$1130,I235)</f>
        <v/>
      </c>
      <c r="N235" s="13">
        <f>SUMIFS($E$2:$E$1130,$A$2:$A$1130,"весна",$I$2:$I$1130,I235)</f>
        <v/>
      </c>
      <c r="O235" s="14">
        <f>M235+N235</f>
        <v/>
      </c>
      <c r="P235" s="15">
        <f>O235/$P$1</f>
        <v/>
      </c>
    </row>
    <row r="236" hidden="1" ht="15.75" customHeight="1" s="2">
      <c r="A236" s="8" t="inlineStr">
        <is>
          <t>осень</t>
        </is>
      </c>
      <c r="B236" s="9" t="inlineStr">
        <is>
          <t>Технология прессования  легких сплавов</t>
        </is>
      </c>
      <c r="C236" s="9" t="inlineStr">
        <is>
          <t>ПЗ</t>
        </is>
      </c>
      <c r="D236" s="9" t="inlineStr">
        <is>
          <t>Т11О-101М-20</t>
        </is>
      </c>
      <c r="E236" s="10" t="n">
        <v>28</v>
      </c>
      <c r="F236" s="9" t="inlineStr">
        <is>
          <t>04489</t>
        </is>
      </c>
      <c r="G236" s="10" t="n">
        <v>28</v>
      </c>
      <c r="H236" s="9" t="inlineStr">
        <is>
          <t xml:space="preserve">81731     </t>
        </is>
      </c>
      <c r="I236" s="9" t="inlineStr">
        <is>
          <t xml:space="preserve">Беспалов Александр Владимирович </t>
        </is>
      </c>
      <c r="J236" s="9" t="inlineStr">
        <is>
          <t>доцент</t>
        </is>
      </c>
      <c r="K236" s="9" t="n"/>
      <c r="L236" s="9" t="inlineStr">
        <is>
          <t>вторник, среда</t>
        </is>
      </c>
      <c r="M236" s="12">
        <f>SUMIFS($E$2:$E$1130,$A$2:$A$1130,"осень",$I$2:$I$1130,I236)</f>
        <v/>
      </c>
      <c r="N236" s="13">
        <f>SUMIFS($E$2:$E$1130,$A$2:$A$1130,"весна",$I$2:$I$1130,I236)</f>
        <v/>
      </c>
      <c r="O236" s="14">
        <f>M236+N236</f>
        <v/>
      </c>
      <c r="P236" s="15">
        <f>O236/$P$1</f>
        <v/>
      </c>
    </row>
    <row r="237" hidden="1" ht="15.75" customHeight="1" s="2">
      <c r="A237" s="8" t="inlineStr">
        <is>
          <t>осень</t>
        </is>
      </c>
      <c r="B237" s="9" t="inlineStr">
        <is>
          <t>Технология прессования  легких сплавов</t>
        </is>
      </c>
      <c r="C237" s="9" t="inlineStr">
        <is>
          <t>Консультация</t>
        </is>
      </c>
      <c r="D237" s="9" t="inlineStr">
        <is>
          <t>Т11О-101М-20</t>
        </is>
      </c>
      <c r="E237" s="10" t="n">
        <v>1</v>
      </c>
      <c r="F237" s="9" t="inlineStr">
        <is>
          <t>04489</t>
        </is>
      </c>
      <c r="G237" s="11" t="n">
        <v>0</v>
      </c>
      <c r="H237" s="9" t="inlineStr">
        <is>
          <t xml:space="preserve">81731     </t>
        </is>
      </c>
      <c r="I237" s="9" t="inlineStr">
        <is>
          <t xml:space="preserve">Беспалов Александр Владимирович </t>
        </is>
      </c>
      <c r="J237" s="9" t="inlineStr">
        <is>
          <t>доцент</t>
        </is>
      </c>
      <c r="K237" s="9" t="n"/>
      <c r="L237" s="9" t="inlineStr">
        <is>
          <t>вторник, среда</t>
        </is>
      </c>
      <c r="M237" s="12">
        <f>SUMIFS($E$2:$E$1130,$A$2:$A$1130,"осень",$I$2:$I$1130,I237)</f>
        <v/>
      </c>
      <c r="N237" s="13">
        <f>SUMIFS($E$2:$E$1130,$A$2:$A$1130,"весна",$I$2:$I$1130,I237)</f>
        <v/>
      </c>
      <c r="O237" s="14">
        <f>M237+N237</f>
        <v/>
      </c>
      <c r="P237" s="15">
        <f>O237/$P$1</f>
        <v/>
      </c>
    </row>
    <row r="238" hidden="1" ht="15.75" customHeight="1" s="2">
      <c r="A238" s="17" t="inlineStr">
        <is>
          <t>осень</t>
        </is>
      </c>
      <c r="B238" s="9" t="inlineStr">
        <is>
          <t>Прикладная термодинамика и кинетика</t>
        </is>
      </c>
      <c r="C238" s="9" t="inlineStr">
        <is>
          <t>ЛК</t>
        </is>
      </c>
      <c r="D238" s="9" t="inlineStr">
        <is>
          <t>Т11О-102М-20, Т11О-103М-20</t>
        </is>
      </c>
      <c r="E238" s="10" t="n">
        <v>14</v>
      </c>
      <c r="F238" s="9" t="inlineStr">
        <is>
          <t>07996</t>
        </is>
      </c>
      <c r="G238" s="10" t="n">
        <v>14</v>
      </c>
      <c r="H238" s="9" t="inlineStr">
        <is>
          <t xml:space="preserve">82018     </t>
        </is>
      </c>
      <c r="I238" s="9" t="inlineStr">
        <is>
          <t>Бережной Дмитрий Васильевич</t>
        </is>
      </c>
      <c r="J238" s="9" t="inlineStr">
        <is>
          <t>доцент</t>
        </is>
      </c>
      <c r="K238" s="9" t="n"/>
      <c r="L238" s="9" t="inlineStr">
        <is>
          <t>кроме одного любого дня и субботы</t>
        </is>
      </c>
      <c r="M238" s="12">
        <f>SUMIFS($E$2:$E$1130,$A$2:$A$1130,"осень",$I$2:$I$1130,I238)</f>
        <v/>
      </c>
      <c r="N238" s="13">
        <f>SUMIFS($E$2:$E$1130,$A$2:$A$1130,"весна",$I$2:$I$1130,I238)</f>
        <v/>
      </c>
      <c r="O238" s="14">
        <f>M238+N238</f>
        <v/>
      </c>
      <c r="P238" s="15">
        <f>O238/$P$1</f>
        <v/>
      </c>
    </row>
    <row r="239" hidden="1" ht="15.75" customHeight="1" s="2">
      <c r="A239" s="17" t="inlineStr">
        <is>
          <t>осень</t>
        </is>
      </c>
      <c r="B239" s="9" t="inlineStr">
        <is>
          <t>Прикладная термодинамика и кинетика</t>
        </is>
      </c>
      <c r="C239" s="9" t="inlineStr">
        <is>
          <t>Зачет с оценкой</t>
        </is>
      </c>
      <c r="D239" s="9" t="inlineStr">
        <is>
          <t>Т11О-103М-20</t>
        </is>
      </c>
      <c r="E239" s="10" t="n">
        <v>2</v>
      </c>
      <c r="F239" s="9" t="inlineStr">
        <is>
          <t>07996</t>
        </is>
      </c>
      <c r="G239" s="11" t="n">
        <v>0</v>
      </c>
      <c r="H239" s="9" t="inlineStr">
        <is>
          <t xml:space="preserve">82018     </t>
        </is>
      </c>
      <c r="I239" s="9" t="inlineStr">
        <is>
          <t>Бережной Дмитрий Васильевич</t>
        </is>
      </c>
      <c r="J239" s="9" t="inlineStr">
        <is>
          <t>доцент</t>
        </is>
      </c>
      <c r="K239" s="9" t="n"/>
      <c r="L239" s="9" t="inlineStr">
        <is>
          <t>кроме одного любого дня и субботы</t>
        </is>
      </c>
      <c r="M239" s="12">
        <f>SUMIFS($E$2:$E$1130,$A$2:$A$1130,"осень",$I$2:$I$1130,I239)</f>
        <v/>
      </c>
      <c r="N239" s="13">
        <f>SUMIFS($E$2:$E$1130,$A$2:$A$1130,"весна",$I$2:$I$1130,I239)</f>
        <v/>
      </c>
      <c r="O239" s="14">
        <f>M239+N239</f>
        <v/>
      </c>
      <c r="P239" s="15">
        <f>O239/$P$1</f>
        <v/>
      </c>
    </row>
    <row r="240" hidden="1" ht="15.75" customHeight="1" s="2">
      <c r="A240" s="17" t="inlineStr">
        <is>
          <t>осень</t>
        </is>
      </c>
      <c r="B240" s="9" t="inlineStr">
        <is>
          <t>Прикладная термодинамика и кинетика</t>
        </is>
      </c>
      <c r="C240" s="9" t="inlineStr">
        <is>
          <t>ПЗ</t>
        </is>
      </c>
      <c r="D240" s="9" t="inlineStr">
        <is>
          <t>Т11О-102М-20</t>
        </is>
      </c>
      <c r="E240" s="10" t="n">
        <v>36</v>
      </c>
      <c r="F240" s="9" t="inlineStr">
        <is>
          <t>07996</t>
        </is>
      </c>
      <c r="G240" s="10" t="n">
        <v>36</v>
      </c>
      <c r="H240" s="9" t="inlineStr">
        <is>
          <t xml:space="preserve">82018     </t>
        </is>
      </c>
      <c r="I240" s="9" t="inlineStr">
        <is>
          <t>Бережной Дмитрий Васильевич</t>
        </is>
      </c>
      <c r="J240" s="9" t="inlineStr">
        <is>
          <t>доцент</t>
        </is>
      </c>
      <c r="K240" s="9" t="n"/>
      <c r="L240" s="9" t="inlineStr">
        <is>
          <t>кроме одного любого дня и субботы</t>
        </is>
      </c>
      <c r="M240" s="12">
        <f>SUMIFS($E$2:$E$1130,$A$2:$A$1130,"осень",$I$2:$I$1130,I240)</f>
        <v/>
      </c>
      <c r="N240" s="13">
        <f>SUMIFS($E$2:$E$1130,$A$2:$A$1130,"весна",$I$2:$I$1130,I240)</f>
        <v/>
      </c>
      <c r="O240" s="14">
        <f>M240+N240</f>
        <v/>
      </c>
      <c r="P240" s="15">
        <f>O240/$P$1</f>
        <v/>
      </c>
    </row>
    <row r="241" hidden="1" ht="15.75" customHeight="1" s="2">
      <c r="A241" s="17" t="inlineStr">
        <is>
          <t>осень</t>
        </is>
      </c>
      <c r="B241" s="9" t="inlineStr">
        <is>
          <t>Прикладная термодинамика и кинетика</t>
        </is>
      </c>
      <c r="C241" s="9" t="inlineStr">
        <is>
          <t>ПЗ</t>
        </is>
      </c>
      <c r="D241" s="9" t="inlineStr">
        <is>
          <t>Т11О-103М-20</t>
        </is>
      </c>
      <c r="E241" s="10" t="n">
        <v>36</v>
      </c>
      <c r="F241" s="9" t="inlineStr">
        <is>
          <t>07996</t>
        </is>
      </c>
      <c r="G241" s="10" t="n">
        <v>36</v>
      </c>
      <c r="H241" s="9" t="inlineStr">
        <is>
          <t xml:space="preserve">82018     </t>
        </is>
      </c>
      <c r="I241" s="9" t="inlineStr">
        <is>
          <t>Бережной Дмитрий Васильевич</t>
        </is>
      </c>
      <c r="J241" s="9" t="inlineStr">
        <is>
          <t>доцент</t>
        </is>
      </c>
      <c r="K241" s="9" t="n"/>
      <c r="L241" s="9" t="inlineStr">
        <is>
          <t>кроме одного любого дня и субботы</t>
        </is>
      </c>
      <c r="M241" s="12">
        <f>SUMIFS($E$2:$E$1130,$A$2:$A$1130,"осень",$I$2:$I$1130,I241)</f>
        <v/>
      </c>
      <c r="N241" s="13">
        <f>SUMIFS($E$2:$E$1130,$A$2:$A$1130,"весна",$I$2:$I$1130,I241)</f>
        <v/>
      </c>
      <c r="O241" s="14">
        <f>M241+N241</f>
        <v/>
      </c>
      <c r="P241" s="15">
        <f>O241/$P$1</f>
        <v/>
      </c>
    </row>
    <row r="242" hidden="1" ht="15.75" customHeight="1" s="2">
      <c r="A242" s="17" t="inlineStr">
        <is>
          <t>осень</t>
        </is>
      </c>
      <c r="B242" s="9" t="inlineStr">
        <is>
          <t>Прикладная термодинамика и кинетика</t>
        </is>
      </c>
      <c r="C242" s="9" t="inlineStr">
        <is>
          <t>Экзамен</t>
        </is>
      </c>
      <c r="D242" s="9" t="inlineStr">
        <is>
          <t>Т11О-102М-20</t>
        </is>
      </c>
      <c r="E242" s="10" t="n">
        <v>3</v>
      </c>
      <c r="F242" s="9" t="inlineStr">
        <is>
          <t>07996</t>
        </is>
      </c>
      <c r="G242" s="11" t="n">
        <v>0</v>
      </c>
      <c r="H242" s="9" t="inlineStr">
        <is>
          <t xml:space="preserve">82018     </t>
        </is>
      </c>
      <c r="I242" s="9" t="inlineStr">
        <is>
          <t>Бережной Дмитрий Васильевич</t>
        </is>
      </c>
      <c r="J242" s="9" t="inlineStr">
        <is>
          <t>доцент</t>
        </is>
      </c>
      <c r="K242" s="9" t="n"/>
      <c r="L242" s="9" t="inlineStr">
        <is>
          <t>кроме одного любого дня и субботы</t>
        </is>
      </c>
      <c r="M242" s="12">
        <f>SUMIFS($E$2:$E$1130,$A$2:$A$1130,"осень",$I$2:$I$1130,I242)</f>
        <v/>
      </c>
      <c r="N242" s="13">
        <f>SUMIFS($E$2:$E$1130,$A$2:$A$1130,"весна",$I$2:$I$1130,I242)</f>
        <v/>
      </c>
      <c r="O242" s="14">
        <f>M242+N242</f>
        <v/>
      </c>
      <c r="P242" s="15">
        <f>O242/$P$1</f>
        <v/>
      </c>
    </row>
    <row r="243" hidden="1" ht="15.75" customHeight="1" s="2">
      <c r="A243" s="17" t="inlineStr">
        <is>
          <t>осень</t>
        </is>
      </c>
      <c r="B243" s="9" t="inlineStr">
        <is>
          <t>Прикладная термодинамика и кинетика</t>
        </is>
      </c>
      <c r="C243" s="9" t="inlineStr">
        <is>
          <t>Консультация</t>
        </is>
      </c>
      <c r="D243" s="9" t="inlineStr">
        <is>
          <t>Т11О-102М-20</t>
        </is>
      </c>
      <c r="E243" s="10" t="n">
        <v>3</v>
      </c>
      <c r="F243" s="9" t="inlineStr">
        <is>
          <t>07996</t>
        </is>
      </c>
      <c r="G243" s="11" t="n">
        <v>0</v>
      </c>
      <c r="H243" s="9" t="inlineStr">
        <is>
          <t xml:space="preserve">82018     </t>
        </is>
      </c>
      <c r="I243" s="9" t="inlineStr">
        <is>
          <t>Бережной Дмитрий Васильевич</t>
        </is>
      </c>
      <c r="J243" s="9" t="inlineStr">
        <is>
          <t>доцент</t>
        </is>
      </c>
      <c r="K243" s="9" t="n"/>
      <c r="L243" s="9" t="inlineStr">
        <is>
          <t>кроме одного любого дня и субботы</t>
        </is>
      </c>
      <c r="M243" s="12">
        <f>SUMIFS($E$2:$E$1130,$A$2:$A$1130,"осень",$I$2:$I$1130,I243)</f>
        <v/>
      </c>
      <c r="N243" s="13">
        <f>SUMIFS($E$2:$E$1130,$A$2:$A$1130,"весна",$I$2:$I$1130,I243)</f>
        <v/>
      </c>
      <c r="O243" s="14">
        <f>M243+N243</f>
        <v/>
      </c>
      <c r="P243" s="15">
        <f>O243/$P$1</f>
        <v/>
      </c>
    </row>
    <row r="244" hidden="1" ht="15.75" customHeight="1" s="2">
      <c r="A244" s="17" t="inlineStr">
        <is>
          <t>осень</t>
        </is>
      </c>
      <c r="B244" s="9" t="inlineStr">
        <is>
          <t>Прикладная термодинамика и кинетика</t>
        </is>
      </c>
      <c r="C244" s="9" t="inlineStr">
        <is>
          <t>Консультация</t>
        </is>
      </c>
      <c r="D244" s="9" t="inlineStr">
        <is>
          <t>Т11О-103М-20</t>
        </is>
      </c>
      <c r="E244" s="10" t="n">
        <v>1</v>
      </c>
      <c r="F244" s="9" t="inlineStr">
        <is>
          <t>07996</t>
        </is>
      </c>
      <c r="G244" s="11" t="n">
        <v>0</v>
      </c>
      <c r="H244" s="9" t="inlineStr">
        <is>
          <t xml:space="preserve">82018     </t>
        </is>
      </c>
      <c r="I244" s="9" t="inlineStr">
        <is>
          <t>Бережной Дмитрий Васильевич</t>
        </is>
      </c>
      <c r="J244" s="9" t="inlineStr">
        <is>
          <t>доцент</t>
        </is>
      </c>
      <c r="K244" s="9" t="n"/>
      <c r="L244" s="9" t="inlineStr">
        <is>
          <t>кроме одного любого дня и субботы</t>
        </is>
      </c>
      <c r="M244" s="12">
        <f>SUMIFS($E$2:$E$1130,$A$2:$A$1130,"осень",$I$2:$I$1130,I244)</f>
        <v/>
      </c>
      <c r="N244" s="13">
        <f>SUMIFS($E$2:$E$1130,$A$2:$A$1130,"весна",$I$2:$I$1130,I244)</f>
        <v/>
      </c>
      <c r="O244" s="14">
        <f>M244+N244</f>
        <v/>
      </c>
      <c r="P244" s="15">
        <f>O244/$P$1</f>
        <v/>
      </c>
    </row>
    <row r="245" hidden="1" ht="15.75" customHeight="1" s="2">
      <c r="A245" s="17" t="inlineStr">
        <is>
          <t>осень</t>
        </is>
      </c>
      <c r="B245" s="9" t="inlineStr">
        <is>
          <t>Производство отливок из легких сплавов</t>
        </is>
      </c>
      <c r="C245" s="9" t="inlineStr">
        <is>
          <t>ЛК</t>
        </is>
      </c>
      <c r="D245" s="9" t="inlineStr">
        <is>
          <t>Т11О-202М-19</t>
        </is>
      </c>
      <c r="E245" s="10" t="n">
        <v>20</v>
      </c>
      <c r="F245" s="9" t="inlineStr">
        <is>
          <t>06201</t>
        </is>
      </c>
      <c r="G245" s="10" t="n">
        <v>20</v>
      </c>
      <c r="H245" s="9" t="inlineStr">
        <is>
          <t xml:space="preserve">82061     </t>
        </is>
      </c>
      <c r="I245" s="9" t="inlineStr">
        <is>
          <t xml:space="preserve">Моисеев Виктор Сергеевич </t>
        </is>
      </c>
      <c r="J245" s="9" t="n"/>
      <c r="K245" s="9" t="n"/>
      <c r="L245" s="9" t="n"/>
      <c r="M245" s="12">
        <f>SUMIFS($E$2:$E$1130,$A$2:$A$1130,"осень",$I$2:$I$1130,I245)</f>
        <v/>
      </c>
      <c r="N245" s="13">
        <f>SUMIFS($E$2:$E$1130,$A$2:$A$1130,"весна",$I$2:$I$1130,I245)</f>
        <v/>
      </c>
      <c r="O245" s="14">
        <f>M245+N245</f>
        <v/>
      </c>
      <c r="P245" s="15">
        <f>O245/$P$1</f>
        <v/>
      </c>
    </row>
    <row r="246" hidden="1" ht="15.75" customHeight="1" s="2">
      <c r="A246" s="17" t="inlineStr">
        <is>
          <t>осень</t>
        </is>
      </c>
      <c r="B246" s="9" t="inlineStr">
        <is>
          <t>Производство отливок из легких сплавов</t>
        </is>
      </c>
      <c r="C246" s="9" t="inlineStr">
        <is>
          <t>КР</t>
        </is>
      </c>
      <c r="D246" s="9" t="inlineStr">
        <is>
          <t>Т11О-202М-19</t>
        </is>
      </c>
      <c r="E246" s="10" t="n">
        <v>18</v>
      </c>
      <c r="F246" s="9" t="inlineStr">
        <is>
          <t>06201</t>
        </is>
      </c>
      <c r="G246" s="11" t="n">
        <v>0</v>
      </c>
      <c r="H246" s="9" t="inlineStr">
        <is>
          <t xml:space="preserve">82061     </t>
        </is>
      </c>
      <c r="I246" s="9" t="inlineStr">
        <is>
          <t xml:space="preserve">Моисеев Виктор Сергеевич </t>
        </is>
      </c>
      <c r="J246" s="9" t="n"/>
      <c r="K246" s="9" t="n"/>
      <c r="L246" s="9" t="n"/>
      <c r="M246" s="12">
        <f>SUMIFS($E$2:$E$1130,$A$2:$A$1130,"осень",$I$2:$I$1130,I246)</f>
        <v/>
      </c>
      <c r="N246" s="13">
        <f>SUMIFS($E$2:$E$1130,$A$2:$A$1130,"весна",$I$2:$I$1130,I246)</f>
        <v/>
      </c>
      <c r="O246" s="14">
        <f>M246+N246</f>
        <v/>
      </c>
      <c r="P246" s="15">
        <f>O246/$P$1</f>
        <v/>
      </c>
    </row>
    <row r="247" hidden="1" ht="15.75" customHeight="1" s="2">
      <c r="A247" s="17" t="inlineStr">
        <is>
          <t>осень</t>
        </is>
      </c>
      <c r="B247" s="9" t="inlineStr">
        <is>
          <t>Производство отливок из легких сплавов</t>
        </is>
      </c>
      <c r="C247" s="9" t="inlineStr">
        <is>
          <t>Зачет с оценкой</t>
        </is>
      </c>
      <c r="D247" s="9" t="inlineStr">
        <is>
          <t>Т11О-202М-19</t>
        </is>
      </c>
      <c r="E247" s="10" t="n">
        <v>2</v>
      </c>
      <c r="F247" s="9" t="inlineStr">
        <is>
          <t>06201</t>
        </is>
      </c>
      <c r="G247" s="11" t="n">
        <v>0</v>
      </c>
      <c r="H247" s="9" t="inlineStr">
        <is>
          <t xml:space="preserve">82061     </t>
        </is>
      </c>
      <c r="I247" s="9" t="inlineStr">
        <is>
          <t xml:space="preserve">Моисеев Виктор Сергеевич </t>
        </is>
      </c>
      <c r="J247" s="9" t="n"/>
      <c r="K247" s="9" t="n"/>
      <c r="L247" s="9" t="n"/>
      <c r="M247" s="12">
        <f>SUMIFS($E$2:$E$1130,$A$2:$A$1130,"осень",$I$2:$I$1130,I247)</f>
        <v/>
      </c>
      <c r="N247" s="13">
        <f>SUMIFS($E$2:$E$1130,$A$2:$A$1130,"весна",$I$2:$I$1130,I247)</f>
        <v/>
      </c>
      <c r="O247" s="14">
        <f>M247+N247</f>
        <v/>
      </c>
      <c r="P247" s="15">
        <f>O247/$P$1</f>
        <v/>
      </c>
    </row>
    <row r="248" hidden="1" ht="15.75" customHeight="1" s="2">
      <c r="A248" s="17" t="inlineStr">
        <is>
          <t>осень</t>
        </is>
      </c>
      <c r="B248" s="9" t="inlineStr">
        <is>
          <t>Производство отливок из легких сплавов</t>
        </is>
      </c>
      <c r="C248" s="9" t="inlineStr">
        <is>
          <t>ПЗ</t>
        </is>
      </c>
      <c r="D248" s="9" t="inlineStr">
        <is>
          <t>Т11О-202М-19</t>
        </is>
      </c>
      <c r="E248" s="10" t="n">
        <v>12</v>
      </c>
      <c r="F248" s="9" t="inlineStr">
        <is>
          <t>06201</t>
        </is>
      </c>
      <c r="G248" s="10" t="n">
        <v>12</v>
      </c>
      <c r="H248" s="9" t="inlineStr">
        <is>
          <t xml:space="preserve">82061     </t>
        </is>
      </c>
      <c r="I248" s="9" t="inlineStr">
        <is>
          <t xml:space="preserve">Моисеев Виктор Сергеевич </t>
        </is>
      </c>
      <c r="J248" s="9" t="n"/>
      <c r="K248" s="9" t="n"/>
      <c r="L248" s="9" t="n"/>
      <c r="M248" s="12">
        <f>SUMIFS($E$2:$E$1130,$A$2:$A$1130,"осень",$I$2:$I$1130,I248)</f>
        <v/>
      </c>
      <c r="N248" s="13">
        <f>SUMIFS($E$2:$E$1130,$A$2:$A$1130,"весна",$I$2:$I$1130,I248)</f>
        <v/>
      </c>
      <c r="O248" s="14">
        <f>M248+N248</f>
        <v/>
      </c>
      <c r="P248" s="15">
        <f>O248/$P$1</f>
        <v/>
      </c>
    </row>
    <row r="249" hidden="1" ht="15.75" customHeight="1" s="2">
      <c r="A249" s="17" t="inlineStr">
        <is>
          <t>осень</t>
        </is>
      </c>
      <c r="B249" s="9" t="inlineStr">
        <is>
          <t>Производство отливок из легких сплавов</t>
        </is>
      </c>
      <c r="C249" s="9" t="inlineStr">
        <is>
          <t>ЛР</t>
        </is>
      </c>
      <c r="D249" s="9" t="inlineStr">
        <is>
          <t>Т11О-202М-19</t>
        </is>
      </c>
      <c r="E249" s="10" t="n">
        <v>24</v>
      </c>
      <c r="F249" s="9" t="inlineStr">
        <is>
          <t>06201</t>
        </is>
      </c>
      <c r="G249" s="10" t="n">
        <v>24</v>
      </c>
      <c r="H249" s="9" t="inlineStr">
        <is>
          <t xml:space="preserve">82061     </t>
        </is>
      </c>
      <c r="I249" s="9" t="inlineStr">
        <is>
          <t xml:space="preserve">Моисеев Виктор Сергеевич </t>
        </is>
      </c>
      <c r="J249" s="9" t="n"/>
      <c r="K249" s="9" t="n"/>
      <c r="L249" s="9" t="n"/>
      <c r="M249" s="12">
        <f>SUMIFS($E$2:$E$1130,$A$2:$A$1130,"осень",$I$2:$I$1130,I249)</f>
        <v/>
      </c>
      <c r="N249" s="13">
        <f>SUMIFS($E$2:$E$1130,$A$2:$A$1130,"весна",$I$2:$I$1130,I249)</f>
        <v/>
      </c>
      <c r="O249" s="14">
        <f>M249+N249</f>
        <v/>
      </c>
      <c r="P249" s="15">
        <f>O249/$P$1</f>
        <v/>
      </c>
    </row>
    <row r="250" hidden="1" ht="15.75" customHeight="1" s="2">
      <c r="A250" s="17" t="inlineStr">
        <is>
          <t>осень</t>
        </is>
      </c>
      <c r="B250" s="9" t="inlineStr">
        <is>
          <t>Производство отливок из легких сплавов</t>
        </is>
      </c>
      <c r="C250" s="9" t="inlineStr">
        <is>
          <t>Консультация</t>
        </is>
      </c>
      <c r="D250" s="9" t="inlineStr">
        <is>
          <t>Т11О-202М-19</t>
        </is>
      </c>
      <c r="E250" s="10" t="n">
        <v>1</v>
      </c>
      <c r="F250" s="9" t="inlineStr">
        <is>
          <t>06201</t>
        </is>
      </c>
      <c r="G250" s="11" t="n">
        <v>0</v>
      </c>
      <c r="H250" s="9" t="inlineStr">
        <is>
          <t xml:space="preserve">82061     </t>
        </is>
      </c>
      <c r="I250" s="9" t="inlineStr">
        <is>
          <t xml:space="preserve">Моисеев Виктор Сергеевич </t>
        </is>
      </c>
      <c r="J250" s="9" t="n"/>
      <c r="K250" s="9" t="n"/>
      <c r="L250" s="9" t="n"/>
      <c r="M250" s="12">
        <f>SUMIFS($E$2:$E$1130,$A$2:$A$1130,"осень",$I$2:$I$1130,I250)</f>
        <v/>
      </c>
      <c r="N250" s="13">
        <f>SUMIFS($E$2:$E$1130,$A$2:$A$1130,"весна",$I$2:$I$1130,I250)</f>
        <v/>
      </c>
      <c r="O250" s="14">
        <f>M250+N250</f>
        <v/>
      </c>
      <c r="P250" s="15">
        <f>O250/$P$1</f>
        <v/>
      </c>
    </row>
    <row r="251" hidden="1" ht="15.75" customHeight="1" s="2">
      <c r="A251" s="8" t="inlineStr">
        <is>
          <t>осень</t>
        </is>
      </c>
      <c r="B251" s="9" t="inlineStr">
        <is>
          <t>Системный и численный анализ в САПР ТП литья</t>
        </is>
      </c>
      <c r="C251" s="9" t="inlineStr">
        <is>
          <t>ЛК</t>
        </is>
      </c>
      <c r="D251" s="9" t="inlineStr">
        <is>
          <t>Т11О-102М-20</t>
        </is>
      </c>
      <c r="E251" s="10" t="n">
        <v>10</v>
      </c>
      <c r="F251" s="9" t="inlineStr">
        <is>
          <t>06201</t>
        </is>
      </c>
      <c r="G251" s="10" t="n">
        <v>10</v>
      </c>
      <c r="H251" s="9" t="inlineStr">
        <is>
          <t xml:space="preserve">82061     </t>
        </is>
      </c>
      <c r="I251" s="9" t="inlineStr">
        <is>
          <t xml:space="preserve">Моисеев Виктор Сергеевич </t>
        </is>
      </c>
      <c r="J251" s="9" t="n"/>
      <c r="K251" s="9" t="n"/>
      <c r="L251" s="9" t="n"/>
      <c r="M251" s="12">
        <f>SUMIFS($E$2:$E$1130,$A$2:$A$1130,"осень",$I$2:$I$1130,I251)</f>
        <v/>
      </c>
      <c r="N251" s="13">
        <f>SUMIFS($E$2:$E$1130,$A$2:$A$1130,"весна",$I$2:$I$1130,I251)</f>
        <v/>
      </c>
      <c r="O251" s="14">
        <f>M251+N251</f>
        <v/>
      </c>
      <c r="P251" s="15">
        <f>O251/$P$1</f>
        <v/>
      </c>
    </row>
    <row r="252" hidden="1" ht="15.75" customHeight="1" s="2">
      <c r="A252" s="8" t="inlineStr">
        <is>
          <t>осень</t>
        </is>
      </c>
      <c r="B252" s="9" t="inlineStr">
        <is>
          <t>Системный и численный анализ в САПР ТП литья</t>
        </is>
      </c>
      <c r="C252" s="9" t="inlineStr">
        <is>
          <t>КР</t>
        </is>
      </c>
      <c r="D252" s="9" t="inlineStr">
        <is>
          <t>Т11О-102М-20</t>
        </is>
      </c>
      <c r="E252" s="10" t="n">
        <v>15</v>
      </c>
      <c r="F252" s="9" t="inlineStr">
        <is>
          <t>06201</t>
        </is>
      </c>
      <c r="G252" s="11" t="n">
        <v>0</v>
      </c>
      <c r="H252" s="9" t="inlineStr">
        <is>
          <t xml:space="preserve">82061     </t>
        </is>
      </c>
      <c r="I252" s="9" t="inlineStr">
        <is>
          <t xml:space="preserve">Моисеев Виктор Сергеевич </t>
        </is>
      </c>
      <c r="J252" s="9" t="n"/>
      <c r="K252" s="9" t="n"/>
      <c r="L252" s="9" t="n"/>
      <c r="M252" s="12">
        <f>SUMIFS($E$2:$E$1130,$A$2:$A$1130,"осень",$I$2:$I$1130,I252)</f>
        <v/>
      </c>
      <c r="N252" s="13">
        <f>SUMIFS($E$2:$E$1130,$A$2:$A$1130,"весна",$I$2:$I$1130,I252)</f>
        <v/>
      </c>
      <c r="O252" s="14">
        <f>M252+N252</f>
        <v/>
      </c>
      <c r="P252" s="15">
        <f>O252/$P$1</f>
        <v/>
      </c>
    </row>
    <row r="253" hidden="1" ht="15.75" customHeight="1" s="2">
      <c r="A253" s="8" t="inlineStr">
        <is>
          <t>осень</t>
        </is>
      </c>
      <c r="B253" s="9" t="inlineStr">
        <is>
          <t>Системный и численный анализ в САПР ТП литья</t>
        </is>
      </c>
      <c r="C253" s="9" t="inlineStr">
        <is>
          <t>Зачет с оценкой</t>
        </is>
      </c>
      <c r="D253" s="9" t="inlineStr">
        <is>
          <t>Т11О-102М-20</t>
        </is>
      </c>
      <c r="E253" s="10" t="n">
        <v>2</v>
      </c>
      <c r="F253" s="9" t="inlineStr">
        <is>
          <t>06201</t>
        </is>
      </c>
      <c r="G253" s="11" t="n">
        <v>0</v>
      </c>
      <c r="H253" s="9" t="inlineStr">
        <is>
          <t xml:space="preserve">82061     </t>
        </is>
      </c>
      <c r="I253" s="9" t="inlineStr">
        <is>
          <t xml:space="preserve">Моисеев Виктор Сергеевич </t>
        </is>
      </c>
      <c r="J253" s="9" t="n"/>
      <c r="K253" s="9" t="n"/>
      <c r="L253" s="9" t="n"/>
      <c r="M253" s="12">
        <f>SUMIFS($E$2:$E$1130,$A$2:$A$1130,"осень",$I$2:$I$1130,I253)</f>
        <v/>
      </c>
      <c r="N253" s="13">
        <f>SUMIFS($E$2:$E$1130,$A$2:$A$1130,"весна",$I$2:$I$1130,I253)</f>
        <v/>
      </c>
      <c r="O253" s="14">
        <f>M253+N253</f>
        <v/>
      </c>
      <c r="P253" s="15">
        <f>O253/$P$1</f>
        <v/>
      </c>
    </row>
    <row r="254" hidden="1" ht="15.75" customHeight="1" s="2">
      <c r="A254" s="8" t="inlineStr">
        <is>
          <t>осень</t>
        </is>
      </c>
      <c r="B254" s="9" t="inlineStr">
        <is>
          <t>Системный и численный анализ в САПР ТП литья</t>
        </is>
      </c>
      <c r="C254" s="9" t="inlineStr">
        <is>
          <t>ПЗ</t>
        </is>
      </c>
      <c r="D254" s="9" t="inlineStr">
        <is>
          <t>Т11О-102М-20</t>
        </is>
      </c>
      <c r="E254" s="10" t="n">
        <v>26</v>
      </c>
      <c r="F254" s="9" t="inlineStr">
        <is>
          <t>06201</t>
        </is>
      </c>
      <c r="G254" s="10" t="n">
        <v>26</v>
      </c>
      <c r="H254" s="9" t="inlineStr">
        <is>
          <t xml:space="preserve">82061     </t>
        </is>
      </c>
      <c r="I254" s="9" t="inlineStr">
        <is>
          <t xml:space="preserve">Моисеев Виктор Сергеевич </t>
        </is>
      </c>
      <c r="J254" s="9" t="n"/>
      <c r="K254" s="9" t="n"/>
      <c r="L254" s="9" t="n"/>
      <c r="M254" s="12">
        <f>SUMIFS($E$2:$E$1130,$A$2:$A$1130,"осень",$I$2:$I$1130,I254)</f>
        <v/>
      </c>
      <c r="N254" s="13">
        <f>SUMIFS($E$2:$E$1130,$A$2:$A$1130,"весна",$I$2:$I$1130,I254)</f>
        <v/>
      </c>
      <c r="O254" s="14">
        <f>M254+N254</f>
        <v/>
      </c>
      <c r="P254" s="15">
        <f>O254/$P$1</f>
        <v/>
      </c>
    </row>
    <row r="255" hidden="1" ht="15.75" customHeight="1" s="2">
      <c r="A255" s="8" t="inlineStr">
        <is>
          <t>осень</t>
        </is>
      </c>
      <c r="B255" s="9" t="inlineStr">
        <is>
          <t>Системный и численный анализ в САПР ТП литья</t>
        </is>
      </c>
      <c r="C255" s="9" t="inlineStr">
        <is>
          <t>Консультация</t>
        </is>
      </c>
      <c r="D255" s="9" t="inlineStr">
        <is>
          <t>Т11О-102М-20</t>
        </is>
      </c>
      <c r="E255" s="10" t="n">
        <v>1</v>
      </c>
      <c r="F255" s="9" t="inlineStr">
        <is>
          <t>06201</t>
        </is>
      </c>
      <c r="G255" s="11" t="n">
        <v>0</v>
      </c>
      <c r="H255" s="9" t="inlineStr">
        <is>
          <t xml:space="preserve">82061     </t>
        </is>
      </c>
      <c r="I255" s="9" t="inlineStr">
        <is>
          <t xml:space="preserve">Моисеев Виктор Сергеевич </t>
        </is>
      </c>
      <c r="J255" s="9" t="n"/>
      <c r="K255" s="9" t="n"/>
      <c r="L255" s="9" t="n"/>
      <c r="M255" s="12">
        <f>SUMIFS($E$2:$E$1130,$A$2:$A$1130,"осень",$I$2:$I$1130,I255)</f>
        <v/>
      </c>
      <c r="N255" s="13">
        <f>SUMIFS($E$2:$E$1130,$A$2:$A$1130,"весна",$I$2:$I$1130,I255)</f>
        <v/>
      </c>
      <c r="O255" s="14">
        <f>M255+N255</f>
        <v/>
      </c>
      <c r="P255" s="15">
        <f>O255/$P$1</f>
        <v/>
      </c>
    </row>
    <row r="256" hidden="1" ht="15.75" customHeight="1" s="2">
      <c r="A256" s="8" t="inlineStr">
        <is>
          <t>осень</t>
        </is>
      </c>
      <c r="B256" s="9" t="inlineStr">
        <is>
          <t>САПР технологических процессов в литейном производстве</t>
        </is>
      </c>
      <c r="C256" s="9" t="inlineStr">
        <is>
          <t>ЛК</t>
        </is>
      </c>
      <c r="D256" s="9" t="inlineStr">
        <is>
          <t>Т11О-202М-19</t>
        </is>
      </c>
      <c r="E256" s="10" t="n">
        <v>14</v>
      </c>
      <c r="F256" s="9" t="inlineStr">
        <is>
          <t>06201</t>
        </is>
      </c>
      <c r="G256" s="10" t="n">
        <v>14</v>
      </c>
      <c r="H256" s="9" t="inlineStr">
        <is>
          <t xml:space="preserve">82061     </t>
        </is>
      </c>
      <c r="I256" s="9" t="inlineStr">
        <is>
          <t xml:space="preserve">Моисеев Виктор Сергеевич </t>
        </is>
      </c>
      <c r="J256" s="9" t="n"/>
      <c r="K256" s="9" t="n"/>
      <c r="L256" s="9" t="n"/>
      <c r="M256" s="12">
        <f>SUMIFS($E$2:$E$1130,$A$2:$A$1130,"осень",$I$2:$I$1130,I256)</f>
        <v/>
      </c>
      <c r="N256" s="13">
        <f>SUMIFS($E$2:$E$1130,$A$2:$A$1130,"весна",$I$2:$I$1130,I256)</f>
        <v/>
      </c>
      <c r="O256" s="14">
        <f>M256+N256</f>
        <v/>
      </c>
      <c r="P256" s="15">
        <f>O256/$P$1</f>
        <v/>
      </c>
    </row>
    <row r="257" hidden="1" ht="15.75" customHeight="1" s="2">
      <c r="A257" s="8" t="inlineStr">
        <is>
          <t>осень</t>
        </is>
      </c>
      <c r="B257" s="9" t="inlineStr">
        <is>
          <t>САПР технологических процессов в литейном производстве</t>
        </is>
      </c>
      <c r="C257" s="9" t="inlineStr">
        <is>
          <t>КР</t>
        </is>
      </c>
      <c r="D257" s="9" t="inlineStr">
        <is>
          <t>Т11О-202М-19</t>
        </is>
      </c>
      <c r="E257" s="10" t="n">
        <v>18</v>
      </c>
      <c r="F257" s="9" t="inlineStr">
        <is>
          <t>06201</t>
        </is>
      </c>
      <c r="G257" s="11" t="n">
        <v>0</v>
      </c>
      <c r="H257" s="9" t="inlineStr">
        <is>
          <t xml:space="preserve">82061     </t>
        </is>
      </c>
      <c r="I257" s="9" t="inlineStr">
        <is>
          <t xml:space="preserve">Моисеев Виктор Сергеевич </t>
        </is>
      </c>
      <c r="J257" s="9" t="n"/>
      <c r="K257" s="9" t="n"/>
      <c r="L257" s="9" t="n"/>
      <c r="M257" s="12">
        <f>SUMIFS($E$2:$E$1130,$A$2:$A$1130,"осень",$I$2:$I$1130,I257)</f>
        <v/>
      </c>
      <c r="N257" s="13">
        <f>SUMIFS($E$2:$E$1130,$A$2:$A$1130,"весна",$I$2:$I$1130,I257)</f>
        <v/>
      </c>
      <c r="O257" s="14">
        <f>M257+N257</f>
        <v/>
      </c>
      <c r="P257" s="15">
        <f>O257/$P$1</f>
        <v/>
      </c>
    </row>
    <row r="258" hidden="1" ht="15.75" customHeight="1" s="2">
      <c r="A258" s="8" t="inlineStr">
        <is>
          <t>осень</t>
        </is>
      </c>
      <c r="B258" s="9" t="inlineStr">
        <is>
          <t>САПР технологических процессов в литейном производстве</t>
        </is>
      </c>
      <c r="C258" s="9" t="inlineStr">
        <is>
          <t>ПЗ</t>
        </is>
      </c>
      <c r="D258" s="9" t="inlineStr">
        <is>
          <t>Т11О-202М-19</t>
        </is>
      </c>
      <c r="E258" s="10" t="n">
        <v>40</v>
      </c>
      <c r="F258" s="9" t="inlineStr">
        <is>
          <t>06201</t>
        </is>
      </c>
      <c r="G258" s="10" t="n">
        <v>40</v>
      </c>
      <c r="H258" s="9" t="inlineStr">
        <is>
          <t xml:space="preserve">82061     </t>
        </is>
      </c>
      <c r="I258" s="9" t="inlineStr">
        <is>
          <t xml:space="preserve">Моисеев Виктор Сергеевич </t>
        </is>
      </c>
      <c r="J258" s="9" t="n"/>
      <c r="K258" s="9" t="n"/>
      <c r="L258" s="9" t="n"/>
      <c r="M258" s="12">
        <f>SUMIFS($E$2:$E$1130,$A$2:$A$1130,"осень",$I$2:$I$1130,I258)</f>
        <v/>
      </c>
      <c r="N258" s="13">
        <f>SUMIFS($E$2:$E$1130,$A$2:$A$1130,"весна",$I$2:$I$1130,I258)</f>
        <v/>
      </c>
      <c r="O258" s="14">
        <f>M258+N258</f>
        <v/>
      </c>
      <c r="P258" s="15">
        <f>O258/$P$1</f>
        <v/>
      </c>
    </row>
    <row r="259" hidden="1" ht="15.75" customHeight="1" s="2">
      <c r="A259" s="8" t="inlineStr">
        <is>
          <t>осень</t>
        </is>
      </c>
      <c r="B259" s="9" t="inlineStr">
        <is>
          <t>САПР технологических процессов в литейном производстве</t>
        </is>
      </c>
      <c r="C259" s="9" t="inlineStr">
        <is>
          <t>Экзамен</t>
        </is>
      </c>
      <c r="D259" s="9" t="inlineStr">
        <is>
          <t>Т11О-202М-19</t>
        </is>
      </c>
      <c r="E259" s="10" t="n">
        <v>3</v>
      </c>
      <c r="F259" s="9" t="inlineStr">
        <is>
          <t>06201</t>
        </is>
      </c>
      <c r="G259" s="11" t="n">
        <v>0</v>
      </c>
      <c r="H259" s="9" t="inlineStr">
        <is>
          <t xml:space="preserve">82061     </t>
        </is>
      </c>
      <c r="I259" s="9" t="inlineStr">
        <is>
          <t xml:space="preserve">Моисеев Виктор Сергеевич </t>
        </is>
      </c>
      <c r="J259" s="9" t="n"/>
      <c r="K259" s="9" t="n"/>
      <c r="L259" s="9" t="n"/>
      <c r="M259" s="12">
        <f>SUMIFS($E$2:$E$1130,$A$2:$A$1130,"осень",$I$2:$I$1130,I259)</f>
        <v/>
      </c>
      <c r="N259" s="13">
        <f>SUMIFS($E$2:$E$1130,$A$2:$A$1130,"весна",$I$2:$I$1130,I259)</f>
        <v/>
      </c>
      <c r="O259" s="14">
        <f>M259+N259</f>
        <v/>
      </c>
      <c r="P259" s="15">
        <f>O259/$P$1</f>
        <v/>
      </c>
    </row>
    <row r="260" hidden="1" ht="15.75" customHeight="1" s="2">
      <c r="A260" s="8" t="inlineStr">
        <is>
          <t>осень</t>
        </is>
      </c>
      <c r="B260" s="9" t="inlineStr">
        <is>
          <t>САПР технологических процессов в литейном производстве</t>
        </is>
      </c>
      <c r="C260" s="9" t="inlineStr">
        <is>
          <t>Консультация</t>
        </is>
      </c>
      <c r="D260" s="9" t="inlineStr">
        <is>
          <t>Т11О-202М-19</t>
        </is>
      </c>
      <c r="E260" s="10" t="n">
        <v>3</v>
      </c>
      <c r="F260" s="9" t="inlineStr">
        <is>
          <t>06201</t>
        </is>
      </c>
      <c r="G260" s="11" t="n">
        <v>0</v>
      </c>
      <c r="H260" s="9" t="inlineStr">
        <is>
          <t xml:space="preserve">82061     </t>
        </is>
      </c>
      <c r="I260" s="9" t="inlineStr">
        <is>
          <t xml:space="preserve">Моисеев Виктор Сергеевич </t>
        </is>
      </c>
      <c r="J260" s="9" t="n"/>
      <c r="K260" s="9" t="n"/>
      <c r="L260" s="9" t="n"/>
      <c r="M260" s="12">
        <f>SUMIFS($E$2:$E$1130,$A$2:$A$1130,"осень",$I$2:$I$1130,I260)</f>
        <v/>
      </c>
      <c r="N260" s="13">
        <f>SUMIFS($E$2:$E$1130,$A$2:$A$1130,"весна",$I$2:$I$1130,I260)</f>
        <v/>
      </c>
      <c r="O260" s="14">
        <f>M260+N260</f>
        <v/>
      </c>
      <c r="P260" s="15">
        <f>O260/$P$1</f>
        <v/>
      </c>
    </row>
    <row r="261" hidden="1" ht="15.75" customHeight="1" s="2">
      <c r="A261" s="8" t="inlineStr">
        <is>
          <t>осень</t>
        </is>
      </c>
      <c r="B261" s="9" t="inlineStr">
        <is>
          <t>Специальные методы литья</t>
        </is>
      </c>
      <c r="C261" s="9" t="inlineStr">
        <is>
          <t>КП</t>
        </is>
      </c>
      <c r="D261" s="9" t="inlineStr">
        <is>
          <t>Т11О-102М-20</t>
        </is>
      </c>
      <c r="E261" s="10" t="n">
        <v>20</v>
      </c>
      <c r="F261" s="9" t="inlineStr">
        <is>
          <t>06201</t>
        </is>
      </c>
      <c r="G261" s="11" t="n">
        <v>0</v>
      </c>
      <c r="H261" s="9" t="inlineStr">
        <is>
          <t xml:space="preserve">82020     </t>
        </is>
      </c>
      <c r="I261" s="9" t="inlineStr">
        <is>
          <t xml:space="preserve">Варфоломеев Максим Сергеевич </t>
        </is>
      </c>
      <c r="J261" s="9" t="inlineStr">
        <is>
          <t>доцент</t>
        </is>
      </c>
      <c r="K261" s="9" t="n"/>
      <c r="L261" s="9" t="n"/>
      <c r="M261" s="12">
        <f>SUMIFS($E$2:$E$1130,$A$2:$A$1130,"осень",$I$2:$I$1130,I261)</f>
        <v/>
      </c>
      <c r="N261" s="13">
        <f>SUMIFS($E$2:$E$1130,$A$2:$A$1130,"весна",$I$2:$I$1130,I261)</f>
        <v/>
      </c>
      <c r="O261" s="14">
        <f>M261+N261</f>
        <v/>
      </c>
      <c r="P261" s="15">
        <f>O261/$P$1</f>
        <v/>
      </c>
    </row>
    <row r="262" hidden="1" ht="15.75" customHeight="1" s="2">
      <c r="A262" s="8" t="inlineStr">
        <is>
          <t>осень</t>
        </is>
      </c>
      <c r="B262" s="9" t="inlineStr">
        <is>
          <t>Специальные методы литья</t>
        </is>
      </c>
      <c r="C262" s="9" t="inlineStr">
        <is>
          <t>ЛК</t>
        </is>
      </c>
      <c r="D262" s="9" t="inlineStr">
        <is>
          <t>Т11О-102М-20</t>
        </is>
      </c>
      <c r="E262" s="10" t="n">
        <v>30</v>
      </c>
      <c r="F262" s="9" t="inlineStr">
        <is>
          <t>06201</t>
        </is>
      </c>
      <c r="G262" s="10" t="n">
        <v>30</v>
      </c>
      <c r="H262" s="9" t="inlineStr">
        <is>
          <t xml:space="preserve">82020     </t>
        </is>
      </c>
      <c r="I262" s="9" t="inlineStr">
        <is>
          <t xml:space="preserve">Варфоломеев Максим Сергеевич </t>
        </is>
      </c>
      <c r="J262" s="9" t="inlineStr">
        <is>
          <t>доцент</t>
        </is>
      </c>
      <c r="K262" s="9" t="n"/>
      <c r="L262" s="9" t="n"/>
      <c r="M262" s="12">
        <f>SUMIFS($E$2:$E$1130,$A$2:$A$1130,"осень",$I$2:$I$1130,I262)</f>
        <v/>
      </c>
      <c r="N262" s="13">
        <f>SUMIFS($E$2:$E$1130,$A$2:$A$1130,"весна",$I$2:$I$1130,I262)</f>
        <v/>
      </c>
      <c r="O262" s="14">
        <f>M262+N262</f>
        <v/>
      </c>
      <c r="P262" s="15">
        <f>O262/$P$1</f>
        <v/>
      </c>
    </row>
    <row r="263" hidden="1" ht="15.75" customHeight="1" s="2">
      <c r="A263" s="8" t="inlineStr">
        <is>
          <t>осень</t>
        </is>
      </c>
      <c r="B263" s="9" t="inlineStr">
        <is>
          <t>Специальные методы литья</t>
        </is>
      </c>
      <c r="C263" s="9" t="inlineStr">
        <is>
          <t>ПЗ</t>
        </is>
      </c>
      <c r="D263" s="9" t="inlineStr">
        <is>
          <t>Т11О-102М-20</t>
        </is>
      </c>
      <c r="E263" s="10" t="n">
        <v>34</v>
      </c>
      <c r="F263" s="9" t="inlineStr">
        <is>
          <t>06201</t>
        </is>
      </c>
      <c r="G263" s="10" t="n">
        <v>34</v>
      </c>
      <c r="H263" s="9" t="inlineStr">
        <is>
          <t xml:space="preserve">82020     </t>
        </is>
      </c>
      <c r="I263" s="9" t="inlineStr">
        <is>
          <t xml:space="preserve">Варфоломеев Максим Сергеевич </t>
        </is>
      </c>
      <c r="J263" s="9" t="inlineStr">
        <is>
          <t>доцент</t>
        </is>
      </c>
      <c r="K263" s="9" t="n"/>
      <c r="L263" s="9" t="n"/>
      <c r="M263" s="12">
        <f>SUMIFS($E$2:$E$1130,$A$2:$A$1130,"осень",$I$2:$I$1130,I263)</f>
        <v/>
      </c>
      <c r="N263" s="13">
        <f>SUMIFS($E$2:$E$1130,$A$2:$A$1130,"весна",$I$2:$I$1130,I263)</f>
        <v/>
      </c>
      <c r="O263" s="14">
        <f>M263+N263</f>
        <v/>
      </c>
      <c r="P263" s="15">
        <f>O263/$P$1</f>
        <v/>
      </c>
    </row>
    <row r="264" hidden="1" ht="15.75" customHeight="1" s="2">
      <c r="A264" s="8" t="inlineStr">
        <is>
          <t>осень</t>
        </is>
      </c>
      <c r="B264" s="9" t="inlineStr">
        <is>
          <t>Специальные методы литья</t>
        </is>
      </c>
      <c r="C264" s="9" t="inlineStr">
        <is>
          <t>ЛР</t>
        </is>
      </c>
      <c r="D264" s="9" t="inlineStr">
        <is>
          <t>Т11О-102М-20</t>
        </is>
      </c>
      <c r="E264" s="10" t="n">
        <v>16</v>
      </c>
      <c r="F264" s="9" t="inlineStr">
        <is>
          <t>06201</t>
        </is>
      </c>
      <c r="G264" s="10" t="n">
        <v>16</v>
      </c>
      <c r="H264" s="9" t="inlineStr">
        <is>
          <t xml:space="preserve">82020     </t>
        </is>
      </c>
      <c r="I264" s="9" t="inlineStr">
        <is>
          <t xml:space="preserve">Варфоломеев Максим Сергеевич </t>
        </is>
      </c>
      <c r="J264" s="9" t="inlineStr">
        <is>
          <t>доцент</t>
        </is>
      </c>
      <c r="K264" s="9" t="n"/>
      <c r="L264" s="9" t="n"/>
      <c r="M264" s="12">
        <f>SUMIFS($E$2:$E$1130,$A$2:$A$1130,"осень",$I$2:$I$1130,I264)</f>
        <v/>
      </c>
      <c r="N264" s="13">
        <f>SUMIFS($E$2:$E$1130,$A$2:$A$1130,"весна",$I$2:$I$1130,I264)</f>
        <v/>
      </c>
      <c r="O264" s="14">
        <f>M264+N264</f>
        <v/>
      </c>
      <c r="P264" s="15">
        <f>O264/$P$1</f>
        <v/>
      </c>
    </row>
    <row r="265" hidden="1" ht="15.75" customHeight="1" s="2">
      <c r="A265" s="8" t="inlineStr">
        <is>
          <t>осень</t>
        </is>
      </c>
      <c r="B265" s="9" t="inlineStr">
        <is>
          <t>Специальные методы литья</t>
        </is>
      </c>
      <c r="C265" s="9" t="inlineStr">
        <is>
          <t>Экзамен</t>
        </is>
      </c>
      <c r="D265" s="9" t="inlineStr">
        <is>
          <t>Т11О-102М-20</t>
        </is>
      </c>
      <c r="E265" s="10" t="n">
        <v>3</v>
      </c>
      <c r="F265" s="9" t="inlineStr">
        <is>
          <t>06201</t>
        </is>
      </c>
      <c r="G265" s="11" t="n">
        <v>0</v>
      </c>
      <c r="H265" s="9" t="inlineStr">
        <is>
          <t xml:space="preserve">82020     </t>
        </is>
      </c>
      <c r="I265" s="9" t="inlineStr">
        <is>
          <t xml:space="preserve">Варфоломеев Максим Сергеевич </t>
        </is>
      </c>
      <c r="J265" s="9" t="inlineStr">
        <is>
          <t>доцент</t>
        </is>
      </c>
      <c r="K265" s="9" t="n"/>
      <c r="L265" s="9" t="n"/>
      <c r="M265" s="12">
        <f>SUMIFS($E$2:$E$1130,$A$2:$A$1130,"осень",$I$2:$I$1130,I265)</f>
        <v/>
      </c>
      <c r="N265" s="13">
        <f>SUMIFS($E$2:$E$1130,$A$2:$A$1130,"весна",$I$2:$I$1130,I265)</f>
        <v/>
      </c>
      <c r="O265" s="14">
        <f>M265+N265</f>
        <v/>
      </c>
      <c r="P265" s="15">
        <f>O265/$P$1</f>
        <v/>
      </c>
    </row>
    <row r="266" hidden="1" ht="15.75" customHeight="1" s="2">
      <c r="A266" s="8" t="inlineStr">
        <is>
          <t>осень</t>
        </is>
      </c>
      <c r="B266" s="9" t="inlineStr">
        <is>
          <t>Специальные методы литья</t>
        </is>
      </c>
      <c r="C266" s="9" t="inlineStr">
        <is>
          <t>Консультация</t>
        </is>
      </c>
      <c r="D266" s="9" t="inlineStr">
        <is>
          <t>Т11О-102М-20</t>
        </is>
      </c>
      <c r="E266" s="10" t="n">
        <v>4</v>
      </c>
      <c r="F266" s="9" t="inlineStr">
        <is>
          <t>06201</t>
        </is>
      </c>
      <c r="G266" s="11" t="n">
        <v>0</v>
      </c>
      <c r="H266" s="9" t="inlineStr">
        <is>
          <t xml:space="preserve">82020     </t>
        </is>
      </c>
      <c r="I266" s="9" t="inlineStr">
        <is>
          <t xml:space="preserve">Варфоломеев Максим Сергеевич </t>
        </is>
      </c>
      <c r="J266" s="9" t="inlineStr">
        <is>
          <t>доцент</t>
        </is>
      </c>
      <c r="K266" s="9" t="n"/>
      <c r="L266" s="9" t="n"/>
      <c r="M266" s="12">
        <f>SUMIFS($E$2:$E$1130,$A$2:$A$1130,"осень",$I$2:$I$1130,I266)</f>
        <v/>
      </c>
      <c r="N266" s="13">
        <f>SUMIFS($E$2:$E$1130,$A$2:$A$1130,"весна",$I$2:$I$1130,I266)</f>
        <v/>
      </c>
      <c r="O266" s="14">
        <f>M266+N266</f>
        <v/>
      </c>
      <c r="P266" s="15">
        <f>O266/$P$1</f>
        <v/>
      </c>
    </row>
    <row r="267" hidden="1" ht="15.75" customHeight="1" s="2">
      <c r="A267" s="8" t="inlineStr">
        <is>
          <t>осень</t>
        </is>
      </c>
      <c r="B267" s="9" t="inlineStr">
        <is>
          <t>Методы планирования и обработки результатов эксперимента 2</t>
        </is>
      </c>
      <c r="C267" s="9" t="inlineStr">
        <is>
          <t>ЛК</t>
        </is>
      </c>
      <c r="D267" s="9" t="inlineStr">
        <is>
          <t>Т11О-204М-19</t>
        </is>
      </c>
      <c r="E267" s="10" t="n">
        <v>18</v>
      </c>
      <c r="F267" s="9" t="inlineStr">
        <is>
          <t>04595</t>
        </is>
      </c>
      <c r="G267" s="10" t="n">
        <v>18</v>
      </c>
      <c r="H267" s="9" t="inlineStr">
        <is>
          <t xml:space="preserve">82056     </t>
        </is>
      </c>
      <c r="I267" s="9" t="inlineStr">
        <is>
          <t xml:space="preserve">Никитина Елена Владимировна </t>
        </is>
      </c>
      <c r="J267" s="9" t="n"/>
      <c r="K267" s="9" t="n"/>
      <c r="L267" s="9" t="inlineStr">
        <is>
          <t>пн-пт с 13:00 (509 А)</t>
        </is>
      </c>
      <c r="M267" s="12">
        <f>SUMIFS($E$2:$E$1130,$A$2:$A$1130,"осень",$I$2:$I$1130,I267)</f>
        <v/>
      </c>
      <c r="N267" s="13">
        <f>SUMIFS($E$2:$E$1130,$A$2:$A$1130,"весна",$I$2:$I$1130,I267)</f>
        <v/>
      </c>
      <c r="O267" s="14">
        <f>M267+N267</f>
        <v/>
      </c>
      <c r="P267" s="15">
        <f>O267/$P$1</f>
        <v/>
      </c>
    </row>
    <row r="268" hidden="1" ht="15.75" customHeight="1" s="2">
      <c r="A268" s="8" t="inlineStr">
        <is>
          <t>осень</t>
        </is>
      </c>
      <c r="B268" s="9" t="inlineStr">
        <is>
          <t>Методы планирования и обработки результатов эксперимента 2</t>
        </is>
      </c>
      <c r="C268" s="9" t="inlineStr">
        <is>
          <t>КР</t>
        </is>
      </c>
      <c r="D268" s="9" t="inlineStr">
        <is>
          <t>Т11О-204М-19</t>
        </is>
      </c>
      <c r="E268" s="10" t="n">
        <v>27</v>
      </c>
      <c r="F268" s="9" t="inlineStr">
        <is>
          <t>04595</t>
        </is>
      </c>
      <c r="G268" s="11" t="n">
        <v>0</v>
      </c>
      <c r="H268" s="9" t="inlineStr">
        <is>
          <t xml:space="preserve">82056     </t>
        </is>
      </c>
      <c r="I268" s="9" t="inlineStr">
        <is>
          <t xml:space="preserve">Никитина Елена Владимировна </t>
        </is>
      </c>
      <c r="J268" s="9" t="n"/>
      <c r="K268" s="9" t="n"/>
      <c r="L268" s="9" t="inlineStr">
        <is>
          <t>пн-пт с 13:00 (509 А)</t>
        </is>
      </c>
      <c r="M268" s="12">
        <f>SUMIFS($E$2:$E$1130,$A$2:$A$1130,"осень",$I$2:$I$1130,I268)</f>
        <v/>
      </c>
      <c r="N268" s="13">
        <f>SUMIFS($E$2:$E$1130,$A$2:$A$1130,"весна",$I$2:$I$1130,I268)</f>
        <v/>
      </c>
      <c r="O268" s="14">
        <f>M268+N268</f>
        <v/>
      </c>
      <c r="P268" s="15">
        <f>O268/$P$1</f>
        <v/>
      </c>
    </row>
    <row r="269" hidden="1" ht="15.75" customHeight="1" s="2">
      <c r="A269" s="8" t="inlineStr">
        <is>
          <t>осень</t>
        </is>
      </c>
      <c r="B269" s="9" t="inlineStr">
        <is>
          <t>Методы планирования и обработки результатов эксперимента 2</t>
        </is>
      </c>
      <c r="C269" s="9" t="inlineStr">
        <is>
          <t>Зачет с оценкой</t>
        </is>
      </c>
      <c r="D269" s="9" t="inlineStr">
        <is>
          <t>Т11О-204М-19</t>
        </is>
      </c>
      <c r="E269" s="10" t="n">
        <v>3</v>
      </c>
      <c r="F269" s="9" t="inlineStr">
        <is>
          <t>04595</t>
        </is>
      </c>
      <c r="G269" s="11" t="n">
        <v>0</v>
      </c>
      <c r="H269" s="9" t="inlineStr">
        <is>
          <t xml:space="preserve">82056     </t>
        </is>
      </c>
      <c r="I269" s="9" t="inlineStr">
        <is>
          <t xml:space="preserve">Никитина Елена Владимировна </t>
        </is>
      </c>
      <c r="J269" s="9" t="n"/>
      <c r="K269" s="9" t="n"/>
      <c r="L269" s="9" t="inlineStr">
        <is>
          <t>пн-пт с 13:00 (509 А)</t>
        </is>
      </c>
      <c r="M269" s="12">
        <f>SUMIFS($E$2:$E$1130,$A$2:$A$1130,"осень",$I$2:$I$1130,I269)</f>
        <v/>
      </c>
      <c r="N269" s="13">
        <f>SUMIFS($E$2:$E$1130,$A$2:$A$1130,"весна",$I$2:$I$1130,I269)</f>
        <v/>
      </c>
      <c r="O269" s="14">
        <f>M269+N269</f>
        <v/>
      </c>
      <c r="P269" s="15">
        <f>O269/$P$1</f>
        <v/>
      </c>
    </row>
    <row r="270" hidden="1" ht="15.75" customHeight="1" s="2">
      <c r="A270" s="8" t="inlineStr">
        <is>
          <t>осень</t>
        </is>
      </c>
      <c r="B270" s="9" t="inlineStr">
        <is>
          <t>Методы планирования и обработки результатов эксперимента 2</t>
        </is>
      </c>
      <c r="C270" s="9" t="inlineStr">
        <is>
          <t>ПЗ</t>
        </is>
      </c>
      <c r="D270" s="9" t="inlineStr">
        <is>
          <t>Т11О-204М-19</t>
        </is>
      </c>
      <c r="E270" s="10" t="n">
        <v>58</v>
      </c>
      <c r="F270" s="9" t="inlineStr">
        <is>
          <t>04595</t>
        </is>
      </c>
      <c r="G270" s="10" t="n">
        <v>58</v>
      </c>
      <c r="H270" s="9" t="inlineStr">
        <is>
          <t xml:space="preserve">82056     </t>
        </is>
      </c>
      <c r="I270" s="9" t="inlineStr">
        <is>
          <t xml:space="preserve">Никитина Елена Владимировна </t>
        </is>
      </c>
      <c r="J270" s="9" t="n"/>
      <c r="K270" s="9" t="n"/>
      <c r="L270" s="9" t="inlineStr">
        <is>
          <t>пн-пт с 13:00 (509 А)</t>
        </is>
      </c>
      <c r="M270" s="12">
        <f>SUMIFS($E$2:$E$1130,$A$2:$A$1130,"осень",$I$2:$I$1130,I270)</f>
        <v/>
      </c>
      <c r="N270" s="13">
        <f>SUMIFS($E$2:$E$1130,$A$2:$A$1130,"весна",$I$2:$I$1130,I270)</f>
        <v/>
      </c>
      <c r="O270" s="14">
        <f>M270+N270</f>
        <v/>
      </c>
      <c r="P270" s="15">
        <f>O270/$P$1</f>
        <v/>
      </c>
    </row>
    <row r="271" hidden="1" ht="15.75" customHeight="1" s="2">
      <c r="A271" s="8" t="inlineStr">
        <is>
          <t>осень</t>
        </is>
      </c>
      <c r="B271" s="9" t="inlineStr">
        <is>
          <t>Методы планирования и обработки результатов эксперимента 2</t>
        </is>
      </c>
      <c r="C271" s="9" t="inlineStr">
        <is>
          <t>Консультация</t>
        </is>
      </c>
      <c r="D271" s="9" t="inlineStr">
        <is>
          <t>Т11О-204М-19</t>
        </is>
      </c>
      <c r="E271" s="10" t="n">
        <v>1</v>
      </c>
      <c r="F271" s="9" t="inlineStr">
        <is>
          <t>04595</t>
        </is>
      </c>
      <c r="G271" s="11" t="n">
        <v>0</v>
      </c>
      <c r="H271" s="9" t="inlineStr">
        <is>
          <t xml:space="preserve">82056     </t>
        </is>
      </c>
      <c r="I271" s="9" t="inlineStr">
        <is>
          <t xml:space="preserve">Никитина Елена Владимировна </t>
        </is>
      </c>
      <c r="J271" s="9" t="n"/>
      <c r="K271" s="9" t="n"/>
      <c r="L271" s="9" t="inlineStr">
        <is>
          <t>пн-пт с 13:00 (509 А)</t>
        </is>
      </c>
      <c r="M271" s="12">
        <f>SUMIFS($E$2:$E$1130,$A$2:$A$1130,"осень",$I$2:$I$1130,I271)</f>
        <v/>
      </c>
      <c r="N271" s="13">
        <f>SUMIFS($E$2:$E$1130,$A$2:$A$1130,"весна",$I$2:$I$1130,I271)</f>
        <v/>
      </c>
      <c r="O271" s="14">
        <f>M271+N271</f>
        <v/>
      </c>
      <c r="P271" s="15">
        <f>O271/$P$1</f>
        <v/>
      </c>
    </row>
    <row r="272" hidden="1" ht="15.75" customHeight="1" s="2">
      <c r="A272" s="8" t="inlineStr">
        <is>
          <t>осень</t>
        </is>
      </c>
      <c r="B272" s="9" t="inlineStr">
        <is>
          <t>Техника измерений</t>
        </is>
      </c>
      <c r="C272" s="9" t="inlineStr">
        <is>
          <t>ЛК</t>
        </is>
      </c>
      <c r="D272" s="9" t="inlineStr">
        <is>
          <t>Т11О-104М-20</t>
        </is>
      </c>
      <c r="E272" s="10" t="n">
        <v>8</v>
      </c>
      <c r="F272" s="9" t="inlineStr">
        <is>
          <t>04595</t>
        </is>
      </c>
      <c r="G272" s="10" t="n">
        <v>8</v>
      </c>
      <c r="H272" s="9" t="inlineStr">
        <is>
          <t xml:space="preserve">82023     </t>
        </is>
      </c>
      <c r="I272" s="9" t="inlineStr">
        <is>
          <t xml:space="preserve">Федоров Сергей Александрович </t>
        </is>
      </c>
      <c r="J272" s="9" t="n"/>
      <c r="K272" s="9" t="n"/>
      <c r="L272" s="9" t="inlineStr">
        <is>
          <t>пн-пт по 2 пары с 14-45</t>
        </is>
      </c>
      <c r="M272" s="12">
        <f>SUMIFS($E$2:$E$1130,$A$2:$A$1130,"осень",$I$2:$I$1130,I272)</f>
        <v/>
      </c>
      <c r="N272" s="13">
        <f>SUMIFS($E$2:$E$1130,$A$2:$A$1130,"весна",$I$2:$I$1130,I272)</f>
        <v/>
      </c>
      <c r="O272" s="14">
        <f>M272+N272</f>
        <v/>
      </c>
      <c r="P272" s="15">
        <f>O272/$P$1</f>
        <v/>
      </c>
    </row>
    <row r="273" hidden="1" ht="15.75" customHeight="1" s="2">
      <c r="A273" s="8" t="inlineStr">
        <is>
          <t>осень</t>
        </is>
      </c>
      <c r="B273" s="9" t="inlineStr">
        <is>
          <t>Техника измерений</t>
        </is>
      </c>
      <c r="C273" s="9" t="inlineStr">
        <is>
          <t>ПЗ</t>
        </is>
      </c>
      <c r="D273" s="9" t="inlineStr">
        <is>
          <t>Т11О-104М-20</t>
        </is>
      </c>
      <c r="E273" s="10" t="n">
        <v>28</v>
      </c>
      <c r="F273" s="9" t="inlineStr">
        <is>
          <t>04595</t>
        </is>
      </c>
      <c r="G273" s="10" t="n">
        <v>28</v>
      </c>
      <c r="H273" s="9" t="inlineStr">
        <is>
          <t xml:space="preserve">82023     </t>
        </is>
      </c>
      <c r="I273" s="9" t="inlineStr">
        <is>
          <t xml:space="preserve">Федоров Сергей Александрович </t>
        </is>
      </c>
      <c r="J273" s="9" t="n"/>
      <c r="K273" s="9" t="n"/>
      <c r="L273" s="9" t="inlineStr">
        <is>
          <t>пн-пт по 2 пары с 14-45</t>
        </is>
      </c>
      <c r="M273" s="12">
        <f>SUMIFS($E$2:$E$1130,$A$2:$A$1130,"осень",$I$2:$I$1130,I273)</f>
        <v/>
      </c>
      <c r="N273" s="13">
        <f>SUMIFS($E$2:$E$1130,$A$2:$A$1130,"весна",$I$2:$I$1130,I273)</f>
        <v/>
      </c>
      <c r="O273" s="14">
        <f>M273+N273</f>
        <v/>
      </c>
      <c r="P273" s="15">
        <f>O273/$P$1</f>
        <v/>
      </c>
    </row>
    <row r="274" hidden="1" ht="15.75" customHeight="1" s="2">
      <c r="A274" s="8" t="inlineStr">
        <is>
          <t>осень</t>
        </is>
      </c>
      <c r="B274" s="9" t="inlineStr">
        <is>
          <t>Техника измерений</t>
        </is>
      </c>
      <c r="C274" s="9" t="inlineStr">
        <is>
          <t>Экзамен</t>
        </is>
      </c>
      <c r="D274" s="9" t="inlineStr">
        <is>
          <t>Т11О-104М-20</t>
        </is>
      </c>
      <c r="E274" s="10" t="n">
        <v>3</v>
      </c>
      <c r="F274" s="9" t="inlineStr">
        <is>
          <t>04595</t>
        </is>
      </c>
      <c r="G274" s="11" t="n">
        <v>0</v>
      </c>
      <c r="H274" s="9" t="inlineStr">
        <is>
          <t xml:space="preserve">82023     </t>
        </is>
      </c>
      <c r="I274" s="9" t="inlineStr">
        <is>
          <t xml:space="preserve">Федоров Сергей Александрович </t>
        </is>
      </c>
      <c r="J274" s="9" t="n"/>
      <c r="K274" s="9" t="n"/>
      <c r="L274" s="9" t="inlineStr">
        <is>
          <t>пн-пт по 2 пары с 14-45</t>
        </is>
      </c>
      <c r="M274" s="12">
        <f>SUMIFS($E$2:$E$1130,$A$2:$A$1130,"осень",$I$2:$I$1130,I274)</f>
        <v/>
      </c>
      <c r="N274" s="13">
        <f>SUMIFS($E$2:$E$1130,$A$2:$A$1130,"весна",$I$2:$I$1130,I274)</f>
        <v/>
      </c>
      <c r="O274" s="14">
        <f>M274+N274</f>
        <v/>
      </c>
      <c r="P274" s="15">
        <f>O274/$P$1</f>
        <v/>
      </c>
    </row>
    <row r="275" hidden="1" ht="15.75" customHeight="1" s="2">
      <c r="A275" s="8" t="inlineStr">
        <is>
          <t>осень</t>
        </is>
      </c>
      <c r="B275" s="9" t="inlineStr">
        <is>
          <t>Техника измерений</t>
        </is>
      </c>
      <c r="C275" s="9" t="inlineStr">
        <is>
          <t>Консультация</t>
        </is>
      </c>
      <c r="D275" s="9" t="inlineStr">
        <is>
          <t>Т11О-104М-20</t>
        </is>
      </c>
      <c r="E275" s="10" t="n">
        <v>2</v>
      </c>
      <c r="F275" s="9" t="inlineStr">
        <is>
          <t>04595</t>
        </is>
      </c>
      <c r="G275" s="11" t="n">
        <v>0</v>
      </c>
      <c r="H275" s="9" t="inlineStr">
        <is>
          <t xml:space="preserve">82023     </t>
        </is>
      </c>
      <c r="I275" s="9" t="inlineStr">
        <is>
          <t xml:space="preserve">Федоров Сергей Александрович </t>
        </is>
      </c>
      <c r="J275" s="9" t="n"/>
      <c r="K275" s="9" t="n"/>
      <c r="L275" s="9" t="inlineStr">
        <is>
          <t>пн-пт по 2 пары с 14-45</t>
        </is>
      </c>
      <c r="M275" s="12">
        <f>SUMIFS($E$2:$E$1130,$A$2:$A$1130,"осень",$I$2:$I$1130,I275)</f>
        <v/>
      </c>
      <c r="N275" s="13">
        <f>SUMIFS($E$2:$E$1130,$A$2:$A$1130,"весна",$I$2:$I$1130,I275)</f>
        <v/>
      </c>
      <c r="O275" s="14">
        <f>M275+N275</f>
        <v/>
      </c>
      <c r="P275" s="15">
        <f>O275/$P$1</f>
        <v/>
      </c>
    </row>
    <row r="276" hidden="1" ht="15.75" customHeight="1" s="2">
      <c r="A276" s="8" t="inlineStr">
        <is>
          <t>осень</t>
        </is>
      </c>
      <c r="B276" s="9" t="inlineStr">
        <is>
          <t>Материалы сварных и паянных конструкций, проблемы свариваемости и паяемости</t>
        </is>
      </c>
      <c r="C276" s="9" t="inlineStr">
        <is>
          <t>ЛК</t>
        </is>
      </c>
      <c r="D276" s="9" t="inlineStr">
        <is>
          <t>Т11О-104М-20</t>
        </is>
      </c>
      <c r="E276" s="10" t="n">
        <v>12</v>
      </c>
      <c r="F276" s="9" t="inlineStr">
        <is>
          <t>04595</t>
        </is>
      </c>
      <c r="G276" s="10" t="n">
        <v>12</v>
      </c>
      <c r="H276" s="9" t="inlineStr">
        <is>
          <t xml:space="preserve">87438     </t>
        </is>
      </c>
      <c r="I276" s="9" t="inlineStr">
        <is>
          <t xml:space="preserve">Конкевич Валентин Юрьевич </t>
        </is>
      </c>
      <c r="J276" s="9" t="n"/>
      <c r="K276" s="9" t="n"/>
      <c r="L276" s="9" t="n"/>
      <c r="M276" s="12">
        <f>SUMIFS($E$2:$E$1130,$A$2:$A$1130,"осень",$I$2:$I$1130,I276)</f>
        <v/>
      </c>
      <c r="N276" s="13">
        <f>SUMIFS($E$2:$E$1130,$A$2:$A$1130,"весна",$I$2:$I$1130,I276)</f>
        <v/>
      </c>
      <c r="O276" s="14">
        <f>M276+N276</f>
        <v/>
      </c>
      <c r="P276" s="15">
        <f>O276/$P$1</f>
        <v/>
      </c>
    </row>
    <row r="277" hidden="1" ht="15.75" customHeight="1" s="2">
      <c r="A277" s="8" t="inlineStr">
        <is>
          <t>осень</t>
        </is>
      </c>
      <c r="B277" s="9" t="inlineStr">
        <is>
          <t>Материалы сварных и паянных конструкций, проблемы свариваемости и паяемости</t>
        </is>
      </c>
      <c r="C277" s="9" t="inlineStr">
        <is>
          <t>ПЗ</t>
        </is>
      </c>
      <c r="D277" s="9" t="inlineStr">
        <is>
          <t>Т11О-104М-20</t>
        </is>
      </c>
      <c r="E277" s="10" t="n">
        <v>44</v>
      </c>
      <c r="F277" s="9" t="inlineStr">
        <is>
          <t>04595</t>
        </is>
      </c>
      <c r="G277" s="10" t="n">
        <v>44</v>
      </c>
      <c r="H277" s="9" t="inlineStr">
        <is>
          <t xml:space="preserve">87438     </t>
        </is>
      </c>
      <c r="I277" s="9" t="inlineStr">
        <is>
          <t xml:space="preserve">Конкевич Валентин Юрьевич </t>
        </is>
      </c>
      <c r="J277" s="9" t="n"/>
      <c r="K277" s="9" t="n"/>
      <c r="L277" s="9" t="n"/>
      <c r="M277" s="12">
        <f>SUMIFS($E$2:$E$1130,$A$2:$A$1130,"осень",$I$2:$I$1130,I277)</f>
        <v/>
      </c>
      <c r="N277" s="13">
        <f>SUMIFS($E$2:$E$1130,$A$2:$A$1130,"весна",$I$2:$I$1130,I277)</f>
        <v/>
      </c>
      <c r="O277" s="14">
        <f>M277+N277</f>
        <v/>
      </c>
      <c r="P277" s="15">
        <f>O277/$P$1</f>
        <v/>
      </c>
    </row>
    <row r="278" hidden="1" ht="15.75" customHeight="1" s="2">
      <c r="A278" s="8" t="inlineStr">
        <is>
          <t>осень</t>
        </is>
      </c>
      <c r="B278" s="9" t="inlineStr">
        <is>
          <t>Материалы сварных и паянных конструкций, проблемы свариваемости и паяемости</t>
        </is>
      </c>
      <c r="C278" s="9" t="inlineStr">
        <is>
          <t>Экзамен</t>
        </is>
      </c>
      <c r="D278" s="9" t="inlineStr">
        <is>
          <t>Т11О-104М-20</t>
        </is>
      </c>
      <c r="E278" s="10" t="n">
        <v>3</v>
      </c>
      <c r="F278" s="9" t="inlineStr">
        <is>
          <t>04595</t>
        </is>
      </c>
      <c r="G278" s="11" t="n">
        <v>0</v>
      </c>
      <c r="H278" s="9" t="inlineStr">
        <is>
          <t xml:space="preserve">87438     </t>
        </is>
      </c>
      <c r="I278" s="9" t="inlineStr">
        <is>
          <t xml:space="preserve">Конкевич Валентин Юрьевич </t>
        </is>
      </c>
      <c r="J278" s="9" t="n"/>
      <c r="K278" s="9" t="n"/>
      <c r="L278" s="9" t="n"/>
      <c r="M278" s="12">
        <f>SUMIFS($E$2:$E$1130,$A$2:$A$1130,"осень",$I$2:$I$1130,I278)</f>
        <v/>
      </c>
      <c r="N278" s="13">
        <f>SUMIFS($E$2:$E$1130,$A$2:$A$1130,"весна",$I$2:$I$1130,I278)</f>
        <v/>
      </c>
      <c r="O278" s="14">
        <f>M278+N278</f>
        <v/>
      </c>
      <c r="P278" s="15">
        <f>O278/$P$1</f>
        <v/>
      </c>
    </row>
    <row r="279" hidden="1" ht="15.75" customHeight="1" s="2">
      <c r="A279" s="8" t="inlineStr">
        <is>
          <t>осень</t>
        </is>
      </c>
      <c r="B279" s="9" t="inlineStr">
        <is>
          <t>Материалы сварных и паянных конструкций, проблемы свариваемости и паяемости</t>
        </is>
      </c>
      <c r="C279" s="9" t="inlineStr">
        <is>
          <t>Консультация</t>
        </is>
      </c>
      <c r="D279" s="9" t="inlineStr">
        <is>
          <t>Т11О-104М-20</t>
        </is>
      </c>
      <c r="E279" s="10" t="n">
        <v>3</v>
      </c>
      <c r="F279" s="9" t="inlineStr">
        <is>
          <t>04595</t>
        </is>
      </c>
      <c r="G279" s="11" t="n">
        <v>0</v>
      </c>
      <c r="H279" s="9" t="inlineStr">
        <is>
          <t xml:space="preserve">87438     </t>
        </is>
      </c>
      <c r="I279" s="9" t="inlineStr">
        <is>
          <t xml:space="preserve">Конкевич Валентин Юрьевич </t>
        </is>
      </c>
      <c r="J279" s="9" t="n"/>
      <c r="K279" s="9" t="n"/>
      <c r="L279" s="9" t="n"/>
      <c r="M279" s="12">
        <f>SUMIFS($E$2:$E$1130,$A$2:$A$1130,"осень",$I$2:$I$1130,I279)</f>
        <v/>
      </c>
      <c r="N279" s="13">
        <f>SUMIFS($E$2:$E$1130,$A$2:$A$1130,"весна",$I$2:$I$1130,I279)</f>
        <v/>
      </c>
      <c r="O279" s="14">
        <f>M279+N279</f>
        <v/>
      </c>
      <c r="P279" s="15">
        <f>O279/$P$1</f>
        <v/>
      </c>
    </row>
    <row r="280" hidden="1" ht="15.75" customHeight="1" s="2">
      <c r="A280" s="8" t="inlineStr">
        <is>
          <t>осень</t>
        </is>
      </c>
      <c r="B280" s="9" t="inlineStr">
        <is>
          <t>Основы кристаллографии</t>
        </is>
      </c>
      <c r="C280" s="9" t="inlineStr">
        <is>
          <t>ЛК</t>
        </is>
      </c>
      <c r="D280" s="9" t="inlineStr">
        <is>
          <t>Т11О-103М-20</t>
        </is>
      </c>
      <c r="E280" s="10" t="n">
        <v>18</v>
      </c>
      <c r="F280" s="9" t="inlineStr">
        <is>
          <t>06203</t>
        </is>
      </c>
      <c r="G280" s="10" t="n">
        <v>18</v>
      </c>
      <c r="H280" s="9" t="inlineStr">
        <is>
          <t xml:space="preserve">93685     </t>
        </is>
      </c>
      <c r="I280" s="9" t="inlineStr">
        <is>
          <t xml:space="preserve">Банишев Александр Федорович </t>
        </is>
      </c>
      <c r="J280" s="9" t="n"/>
      <c r="K280" s="9" t="n"/>
      <c r="L280" s="9" t="inlineStr">
        <is>
          <t>Понедельник</t>
        </is>
      </c>
      <c r="M280" s="12">
        <f>SUMIFS($E$2:$E$1130,$A$2:$A$1130,"осень",$I$2:$I$1130,I280)</f>
        <v/>
      </c>
      <c r="N280" s="13">
        <f>SUMIFS($E$2:$E$1130,$A$2:$A$1130,"весна",$I$2:$I$1130,I280)</f>
        <v/>
      </c>
      <c r="O280" s="14">
        <f>M280+N280</f>
        <v/>
      </c>
      <c r="P280" s="15">
        <f>O280/$P$1</f>
        <v/>
      </c>
    </row>
    <row r="281" hidden="1" ht="15.75" customHeight="1" s="2">
      <c r="A281" s="8" t="inlineStr">
        <is>
          <t>осень</t>
        </is>
      </c>
      <c r="B281" s="9" t="inlineStr">
        <is>
          <t>Основы кристаллографии</t>
        </is>
      </c>
      <c r="C281" s="9" t="inlineStr">
        <is>
          <t>ПЗ</t>
        </is>
      </c>
      <c r="D281" s="9" t="inlineStr">
        <is>
          <t>Т11О-103М-20</t>
        </is>
      </c>
      <c r="E281" s="10" t="n">
        <v>32</v>
      </c>
      <c r="F281" s="9" t="inlineStr">
        <is>
          <t>06203</t>
        </is>
      </c>
      <c r="G281" s="10" t="n">
        <v>32</v>
      </c>
      <c r="H281" s="9" t="inlineStr">
        <is>
          <t xml:space="preserve">93685     </t>
        </is>
      </c>
      <c r="I281" s="9" t="inlineStr">
        <is>
          <t xml:space="preserve">Банишев Александр Федорович </t>
        </is>
      </c>
      <c r="J281" s="9" t="n"/>
      <c r="K281" s="9" t="n"/>
      <c r="L281" s="9" t="inlineStr">
        <is>
          <t>Понедельник</t>
        </is>
      </c>
      <c r="M281" s="12">
        <f>SUMIFS($E$2:$E$1130,$A$2:$A$1130,"осень",$I$2:$I$1130,I281)</f>
        <v/>
      </c>
      <c r="N281" s="13">
        <f>SUMIFS($E$2:$E$1130,$A$2:$A$1130,"весна",$I$2:$I$1130,I281)</f>
        <v/>
      </c>
      <c r="O281" s="14">
        <f>M281+N281</f>
        <v/>
      </c>
      <c r="P281" s="15">
        <f>O281/$P$1</f>
        <v/>
      </c>
    </row>
    <row r="282" hidden="1" ht="15.75" customHeight="1" s="2">
      <c r="A282" s="8" t="inlineStr">
        <is>
          <t>осень</t>
        </is>
      </c>
      <c r="B282" s="9" t="inlineStr">
        <is>
          <t>Основы кристаллографии</t>
        </is>
      </c>
      <c r="C282" s="9" t="inlineStr">
        <is>
          <t>Зачет</t>
        </is>
      </c>
      <c r="D282" s="9" t="inlineStr">
        <is>
          <t>Т11О-103М-20</t>
        </is>
      </c>
      <c r="E282" s="10" t="n">
        <v>2</v>
      </c>
      <c r="F282" s="9" t="inlineStr">
        <is>
          <t>06203</t>
        </is>
      </c>
      <c r="G282" s="11" t="n">
        <v>0</v>
      </c>
      <c r="H282" s="9" t="inlineStr">
        <is>
          <t xml:space="preserve">93685     </t>
        </is>
      </c>
      <c r="I282" s="9" t="inlineStr">
        <is>
          <t xml:space="preserve">Банишев Александр Федорович </t>
        </is>
      </c>
      <c r="J282" s="9" t="n"/>
      <c r="K282" s="9" t="n"/>
      <c r="L282" s="9" t="inlineStr">
        <is>
          <t>Понедельник</t>
        </is>
      </c>
      <c r="M282" s="12">
        <f>SUMIFS($E$2:$E$1130,$A$2:$A$1130,"осень",$I$2:$I$1130,I282)</f>
        <v/>
      </c>
      <c r="N282" s="13">
        <f>SUMIFS($E$2:$E$1130,$A$2:$A$1130,"весна",$I$2:$I$1130,I282)</f>
        <v/>
      </c>
      <c r="O282" s="14">
        <f>M282+N282</f>
        <v/>
      </c>
      <c r="P282" s="15">
        <f>O282/$P$1</f>
        <v/>
      </c>
    </row>
    <row r="283" hidden="1" ht="15.75" customHeight="1" s="2">
      <c r="A283" s="8" t="inlineStr">
        <is>
          <t>осень</t>
        </is>
      </c>
      <c r="B283" s="9" t="inlineStr">
        <is>
          <t>Основы кристаллографии</t>
        </is>
      </c>
      <c r="C283" s="9" t="inlineStr">
        <is>
          <t>Консультация</t>
        </is>
      </c>
      <c r="D283" s="9" t="inlineStr">
        <is>
          <t>Т11О-103М-20</t>
        </is>
      </c>
      <c r="E283" s="10" t="n">
        <v>1</v>
      </c>
      <c r="F283" s="9" t="inlineStr">
        <is>
          <t>06203</t>
        </is>
      </c>
      <c r="G283" s="11" t="n">
        <v>0</v>
      </c>
      <c r="H283" s="9" t="inlineStr">
        <is>
          <t xml:space="preserve">93685     </t>
        </is>
      </c>
      <c r="I283" s="9" t="inlineStr">
        <is>
          <t xml:space="preserve">Банишев Александр Федорович </t>
        </is>
      </c>
      <c r="J283" s="9" t="n"/>
      <c r="K283" s="9" t="n"/>
      <c r="L283" s="9" t="inlineStr">
        <is>
          <t>Понедельник</t>
        </is>
      </c>
      <c r="M283" s="12">
        <f>SUMIFS($E$2:$E$1130,$A$2:$A$1130,"осень",$I$2:$I$1130,I283)</f>
        <v/>
      </c>
      <c r="N283" s="13">
        <f>SUMIFS($E$2:$E$1130,$A$2:$A$1130,"весна",$I$2:$I$1130,I283)</f>
        <v/>
      </c>
      <c r="O283" s="14">
        <f>M283+N283</f>
        <v/>
      </c>
      <c r="P283" s="15">
        <f>O283/$P$1</f>
        <v/>
      </c>
    </row>
    <row r="284" hidden="1" ht="15.75" customHeight="1" s="2">
      <c r="A284" s="8" t="inlineStr">
        <is>
          <t>осень</t>
        </is>
      </c>
      <c r="B284" s="9" t="inlineStr">
        <is>
          <t>Моделирование процессов и объектов в порошковой металлургии и нанесении покрытий</t>
        </is>
      </c>
      <c r="C284" s="9" t="inlineStr">
        <is>
          <t>ЛК</t>
        </is>
      </c>
      <c r="D284" s="9" t="inlineStr">
        <is>
          <t>Т11О-103М-20</t>
        </is>
      </c>
      <c r="E284" s="10" t="n">
        <v>16</v>
      </c>
      <c r="F284" s="9" t="inlineStr">
        <is>
          <t>06203</t>
        </is>
      </c>
      <c r="G284" s="10" t="n">
        <v>16</v>
      </c>
      <c r="H284" s="9" t="inlineStr">
        <is>
          <t xml:space="preserve">82026     </t>
        </is>
      </c>
      <c r="I284" s="9" t="inlineStr">
        <is>
          <t xml:space="preserve">Александрова Светлана Сергеевна </t>
        </is>
      </c>
      <c r="J284" s="9" t="inlineStr">
        <is>
          <t>доцент</t>
        </is>
      </c>
      <c r="K284" s="9" t="n"/>
      <c r="L284" s="9" t="inlineStr">
        <is>
          <t>кроме чт и сб (509)</t>
        </is>
      </c>
      <c r="M284" s="12">
        <f>SUMIFS($E$2:$E$1130,$A$2:$A$1130,"осень",$I$2:$I$1130,I284)</f>
        <v/>
      </c>
      <c r="N284" s="13">
        <f>SUMIFS($E$2:$E$1130,$A$2:$A$1130,"весна",$I$2:$I$1130,I284)</f>
        <v/>
      </c>
      <c r="O284" s="14">
        <f>M284+N284</f>
        <v/>
      </c>
      <c r="P284" s="15">
        <f>O284/$P$1</f>
        <v/>
      </c>
    </row>
    <row r="285" hidden="1" ht="15.75" customHeight="1" s="2">
      <c r="A285" s="8" t="inlineStr">
        <is>
          <t>осень</t>
        </is>
      </c>
      <c r="B285" s="9" t="inlineStr">
        <is>
          <t>Моделирование процессов и объектов в порошковой металлургии и нанесении покрытий</t>
        </is>
      </c>
      <c r="C285" s="9" t="inlineStr">
        <is>
          <t>КР</t>
        </is>
      </c>
      <c r="D285" s="9" t="inlineStr">
        <is>
          <t>Т11О-103М-20</t>
        </is>
      </c>
      <c r="E285" s="10" t="n">
        <v>15</v>
      </c>
      <c r="F285" s="9" t="inlineStr">
        <is>
          <t>06203</t>
        </is>
      </c>
      <c r="G285" s="11" t="n">
        <v>0</v>
      </c>
      <c r="H285" s="9" t="inlineStr">
        <is>
          <t xml:space="preserve">82026     </t>
        </is>
      </c>
      <c r="I285" s="9" t="inlineStr">
        <is>
          <t xml:space="preserve">Александрова Светлана Сергеевна </t>
        </is>
      </c>
      <c r="J285" s="9" t="inlineStr">
        <is>
          <t>доцент</t>
        </is>
      </c>
      <c r="K285" s="9" t="n"/>
      <c r="L285" s="9" t="inlineStr">
        <is>
          <t>кроме чт и сб (509)</t>
        </is>
      </c>
      <c r="M285" s="12">
        <f>SUMIFS($E$2:$E$1130,$A$2:$A$1130,"осень",$I$2:$I$1130,I285)</f>
        <v/>
      </c>
      <c r="N285" s="13">
        <f>SUMIFS($E$2:$E$1130,$A$2:$A$1130,"весна",$I$2:$I$1130,I285)</f>
        <v/>
      </c>
      <c r="O285" s="14">
        <f>M285+N285</f>
        <v/>
      </c>
      <c r="P285" s="15">
        <f>O285/$P$1</f>
        <v/>
      </c>
    </row>
    <row r="286" hidden="1" ht="15.75" customHeight="1" s="2">
      <c r="A286" s="8" t="inlineStr">
        <is>
          <t>осень</t>
        </is>
      </c>
      <c r="B286" s="9" t="inlineStr">
        <is>
          <t>Моделирование процессов и объектов в порошковой металлургии и нанесении покрытий</t>
        </is>
      </c>
      <c r="C286" s="9" t="inlineStr">
        <is>
          <t>Зачет с оценкой</t>
        </is>
      </c>
      <c r="D286" s="9" t="inlineStr">
        <is>
          <t>Т11О-103М-20</t>
        </is>
      </c>
      <c r="E286" s="10" t="n">
        <v>2</v>
      </c>
      <c r="F286" s="9" t="inlineStr">
        <is>
          <t>06203</t>
        </is>
      </c>
      <c r="G286" s="11" t="n">
        <v>0</v>
      </c>
      <c r="H286" s="9" t="inlineStr">
        <is>
          <t xml:space="preserve">82026     </t>
        </is>
      </c>
      <c r="I286" s="9" t="inlineStr">
        <is>
          <t xml:space="preserve">Александрова Светлана Сергеевна </t>
        </is>
      </c>
      <c r="J286" s="9" t="inlineStr">
        <is>
          <t>доцент</t>
        </is>
      </c>
      <c r="K286" s="9" t="n"/>
      <c r="L286" s="9" t="inlineStr">
        <is>
          <t>кроме чт и сб (509)</t>
        </is>
      </c>
      <c r="M286" s="12">
        <f>SUMIFS($E$2:$E$1130,$A$2:$A$1130,"осень",$I$2:$I$1130,I286)</f>
        <v/>
      </c>
      <c r="N286" s="13">
        <f>SUMIFS($E$2:$E$1130,$A$2:$A$1130,"весна",$I$2:$I$1130,I286)</f>
        <v/>
      </c>
      <c r="O286" s="14">
        <f>M286+N286</f>
        <v/>
      </c>
      <c r="P286" s="15">
        <f>O286/$P$1</f>
        <v/>
      </c>
    </row>
    <row r="287" hidden="1" ht="15.75" customHeight="1" s="2">
      <c r="A287" s="8" t="inlineStr">
        <is>
          <t>осень</t>
        </is>
      </c>
      <c r="B287" s="9" t="inlineStr">
        <is>
          <t>Моделирование процессов и объектов в порошковой металлургии и нанесении покрытий</t>
        </is>
      </c>
      <c r="C287" s="9" t="inlineStr">
        <is>
          <t>ПЗ</t>
        </is>
      </c>
      <c r="D287" s="9" t="inlineStr">
        <is>
          <t>Т11О-103М-20</t>
        </is>
      </c>
      <c r="E287" s="10" t="n">
        <v>50</v>
      </c>
      <c r="F287" s="9" t="inlineStr">
        <is>
          <t>06203</t>
        </is>
      </c>
      <c r="G287" s="10" t="n">
        <v>50</v>
      </c>
      <c r="H287" s="9" t="inlineStr">
        <is>
          <t xml:space="preserve">82026     </t>
        </is>
      </c>
      <c r="I287" s="9" t="inlineStr">
        <is>
          <t xml:space="preserve">Александрова Светлана Сергеевна </t>
        </is>
      </c>
      <c r="J287" s="9" t="inlineStr">
        <is>
          <t>доцент</t>
        </is>
      </c>
      <c r="K287" s="9" t="n"/>
      <c r="L287" s="9" t="inlineStr">
        <is>
          <t>кроме чт и сб (509)</t>
        </is>
      </c>
      <c r="M287" s="12">
        <f>SUMIFS($E$2:$E$1130,$A$2:$A$1130,"осень",$I$2:$I$1130,I287)</f>
        <v/>
      </c>
      <c r="N287" s="13">
        <f>SUMIFS($E$2:$E$1130,$A$2:$A$1130,"весна",$I$2:$I$1130,I287)</f>
        <v/>
      </c>
      <c r="O287" s="14">
        <f>M287+N287</f>
        <v/>
      </c>
      <c r="P287" s="15">
        <f>O287/$P$1</f>
        <v/>
      </c>
    </row>
    <row r="288" hidden="1" ht="15.75" customHeight="1" s="2">
      <c r="A288" s="8" t="inlineStr">
        <is>
          <t>осень</t>
        </is>
      </c>
      <c r="B288" s="9" t="inlineStr">
        <is>
          <t>Моделирование процессов и объектов в порошковой металлургии и нанесении покрытий</t>
        </is>
      </c>
      <c r="C288" s="9" t="inlineStr">
        <is>
          <t>Консультация</t>
        </is>
      </c>
      <c r="D288" s="9" t="inlineStr">
        <is>
          <t>Т11О-103М-20</t>
        </is>
      </c>
      <c r="E288" s="10" t="n">
        <v>1</v>
      </c>
      <c r="F288" s="9" t="inlineStr">
        <is>
          <t>06203</t>
        </is>
      </c>
      <c r="G288" s="11" t="n">
        <v>0</v>
      </c>
      <c r="H288" s="9" t="inlineStr">
        <is>
          <t xml:space="preserve">82026     </t>
        </is>
      </c>
      <c r="I288" s="9" t="inlineStr">
        <is>
          <t xml:space="preserve">Александрова Светлана Сергеевна </t>
        </is>
      </c>
      <c r="J288" s="9" t="inlineStr">
        <is>
          <t>доцент</t>
        </is>
      </c>
      <c r="K288" s="9" t="n"/>
      <c r="L288" s="9" t="inlineStr">
        <is>
          <t>кроме чт и сб (509)</t>
        </is>
      </c>
      <c r="M288" s="12">
        <f>SUMIFS($E$2:$E$1130,$A$2:$A$1130,"осень",$I$2:$I$1130,I288)</f>
        <v/>
      </c>
      <c r="N288" s="13">
        <f>SUMIFS($E$2:$E$1130,$A$2:$A$1130,"весна",$I$2:$I$1130,I288)</f>
        <v/>
      </c>
      <c r="O288" s="14">
        <f>M288+N288</f>
        <v/>
      </c>
      <c r="P288" s="15">
        <f>O288/$P$1</f>
        <v/>
      </c>
    </row>
    <row r="289" hidden="1" ht="15.75" customHeight="1" s="2">
      <c r="A289" s="8" t="inlineStr">
        <is>
          <t>осень</t>
        </is>
      </c>
      <c r="B289" s="9" t="inlineStr">
        <is>
          <t>Разработка технологических процессов производства материалов с микрокристаллической структурой</t>
        </is>
      </c>
      <c r="C289" s="9" t="inlineStr">
        <is>
          <t>ЛК</t>
        </is>
      </c>
      <c r="D289" s="9" t="inlineStr">
        <is>
          <t>Т11О-203М-19</t>
        </is>
      </c>
      <c r="E289" s="10" t="n">
        <v>18</v>
      </c>
      <c r="F289" s="9" t="inlineStr">
        <is>
          <t>06203</t>
        </is>
      </c>
      <c r="G289" s="10" t="n">
        <v>18</v>
      </c>
      <c r="H289" s="9" t="inlineStr">
        <is>
          <t xml:space="preserve">82066     </t>
        </is>
      </c>
      <c r="I289" s="9" t="inlineStr">
        <is>
          <t xml:space="preserve">Серов Михаил Михайлович </t>
        </is>
      </c>
      <c r="J289" s="9" t="inlineStr">
        <is>
          <t>профессор</t>
        </is>
      </c>
      <c r="K289" s="9" t="n"/>
      <c r="L289" s="9" t="n"/>
      <c r="M289" s="12">
        <f>SUMIFS($E$2:$E$1130,$A$2:$A$1130,"осень",$I$2:$I$1130,I289)</f>
        <v/>
      </c>
      <c r="N289" s="13">
        <f>SUMIFS($E$2:$E$1130,$A$2:$A$1130,"весна",$I$2:$I$1130,I289)</f>
        <v/>
      </c>
      <c r="O289" s="14">
        <f>M289+N289</f>
        <v/>
      </c>
      <c r="P289" s="15">
        <f>O289/$P$1</f>
        <v/>
      </c>
    </row>
    <row r="290" hidden="1" ht="15.75" customHeight="1" s="2">
      <c r="A290" s="8" t="inlineStr">
        <is>
          <t>осень</t>
        </is>
      </c>
      <c r="B290" s="9" t="inlineStr">
        <is>
          <t>Разработка технологических процессов производства материалов с микрокристаллической структурой</t>
        </is>
      </c>
      <c r="C290" s="9" t="inlineStr">
        <is>
          <t>КР</t>
        </is>
      </c>
      <c r="D290" s="9" t="inlineStr">
        <is>
          <t>Т11О-203М-19</t>
        </is>
      </c>
      <c r="E290" s="10" t="n">
        <v>21</v>
      </c>
      <c r="F290" s="9" t="inlineStr">
        <is>
          <t>06203</t>
        </is>
      </c>
      <c r="G290" s="11" t="n">
        <v>0</v>
      </c>
      <c r="H290" s="9" t="inlineStr">
        <is>
          <t xml:space="preserve">82066     </t>
        </is>
      </c>
      <c r="I290" s="9" t="inlineStr">
        <is>
          <t xml:space="preserve">Серов Михаил Михайлович </t>
        </is>
      </c>
      <c r="J290" s="9" t="inlineStr">
        <is>
          <t>профессор</t>
        </is>
      </c>
      <c r="K290" s="9" t="n"/>
      <c r="L290" s="9" t="n"/>
      <c r="M290" s="12">
        <f>SUMIFS($E$2:$E$1130,$A$2:$A$1130,"осень",$I$2:$I$1130,I290)</f>
        <v/>
      </c>
      <c r="N290" s="13">
        <f>SUMIFS($E$2:$E$1130,$A$2:$A$1130,"весна",$I$2:$I$1130,I290)</f>
        <v/>
      </c>
      <c r="O290" s="14">
        <f>M290+N290</f>
        <v/>
      </c>
      <c r="P290" s="15">
        <f>O290/$P$1</f>
        <v/>
      </c>
    </row>
    <row r="291" hidden="1" ht="15.75" customHeight="1" s="2">
      <c r="A291" s="8" t="inlineStr">
        <is>
          <t>осень</t>
        </is>
      </c>
      <c r="B291" s="9" t="inlineStr">
        <is>
          <t>Разработка технологических процессов производства материалов с микрокристаллической структурой</t>
        </is>
      </c>
      <c r="C291" s="9" t="inlineStr">
        <is>
          <t>ПЗ</t>
        </is>
      </c>
      <c r="D291" s="9" t="inlineStr">
        <is>
          <t>Т11О-203М-19</t>
        </is>
      </c>
      <c r="E291" s="10" t="n">
        <v>44</v>
      </c>
      <c r="F291" s="9" t="inlineStr">
        <is>
          <t>06203</t>
        </is>
      </c>
      <c r="G291" s="10" t="n">
        <v>44</v>
      </c>
      <c r="H291" s="9" t="inlineStr">
        <is>
          <t xml:space="preserve">82066     </t>
        </is>
      </c>
      <c r="I291" s="9" t="inlineStr">
        <is>
          <t xml:space="preserve">Серов Михаил Михайлович </t>
        </is>
      </c>
      <c r="J291" s="9" t="inlineStr">
        <is>
          <t>профессор</t>
        </is>
      </c>
      <c r="K291" s="9" t="n"/>
      <c r="L291" s="9" t="n"/>
      <c r="M291" s="12">
        <f>SUMIFS($E$2:$E$1130,$A$2:$A$1130,"осень",$I$2:$I$1130,I291)</f>
        <v/>
      </c>
      <c r="N291" s="13">
        <f>SUMIFS($E$2:$E$1130,$A$2:$A$1130,"весна",$I$2:$I$1130,I291)</f>
        <v/>
      </c>
      <c r="O291" s="14">
        <f>M291+N291</f>
        <v/>
      </c>
      <c r="P291" s="15">
        <f>O291/$P$1</f>
        <v/>
      </c>
    </row>
    <row r="292" hidden="1" ht="15.75" customHeight="1" s="2">
      <c r="A292" s="8" t="inlineStr">
        <is>
          <t>осень</t>
        </is>
      </c>
      <c r="B292" s="9" t="inlineStr">
        <is>
          <t>Разработка технологических процессов производства материалов с микрокристаллической структурой</t>
        </is>
      </c>
      <c r="C292" s="9" t="inlineStr">
        <is>
          <t>ЛР</t>
        </is>
      </c>
      <c r="D292" s="9" t="inlineStr">
        <is>
          <t>Т11О-203М-19</t>
        </is>
      </c>
      <c r="E292" s="10" t="n">
        <v>4</v>
      </c>
      <c r="F292" s="9" t="inlineStr">
        <is>
          <t>06203</t>
        </is>
      </c>
      <c r="G292" s="10" t="n">
        <v>4</v>
      </c>
      <c r="H292" s="9" t="inlineStr">
        <is>
          <t xml:space="preserve">82066     </t>
        </is>
      </c>
      <c r="I292" s="9" t="inlineStr">
        <is>
          <t xml:space="preserve">Серов Михаил Михайлович </t>
        </is>
      </c>
      <c r="J292" s="9" t="inlineStr">
        <is>
          <t>профессор</t>
        </is>
      </c>
      <c r="K292" s="9" t="n"/>
      <c r="L292" s="9" t="n"/>
      <c r="M292" s="12">
        <f>SUMIFS($E$2:$E$1130,$A$2:$A$1130,"осень",$I$2:$I$1130,I292)</f>
        <v/>
      </c>
      <c r="N292" s="13">
        <f>SUMIFS($E$2:$E$1130,$A$2:$A$1130,"весна",$I$2:$I$1130,I292)</f>
        <v/>
      </c>
      <c r="O292" s="14">
        <f>M292+N292</f>
        <v/>
      </c>
      <c r="P292" s="15">
        <f>O292/$P$1</f>
        <v/>
      </c>
    </row>
    <row r="293" hidden="1" ht="15.75" customHeight="1" s="2">
      <c r="A293" s="8" t="inlineStr">
        <is>
          <t>осень</t>
        </is>
      </c>
      <c r="B293" s="9" t="inlineStr">
        <is>
          <t>Разработка технологических процессов производства материалов с микрокристаллической структурой</t>
        </is>
      </c>
      <c r="C293" s="9" t="inlineStr">
        <is>
          <t>Экзамен</t>
        </is>
      </c>
      <c r="D293" s="9" t="inlineStr">
        <is>
          <t>Т11О-203М-19</t>
        </is>
      </c>
      <c r="E293" s="10" t="n">
        <v>4</v>
      </c>
      <c r="F293" s="9" t="inlineStr">
        <is>
          <t>06203</t>
        </is>
      </c>
      <c r="G293" s="11" t="n">
        <v>0</v>
      </c>
      <c r="H293" s="9" t="inlineStr">
        <is>
          <t xml:space="preserve">82066     </t>
        </is>
      </c>
      <c r="I293" s="9" t="inlineStr">
        <is>
          <t xml:space="preserve">Серов Михаил Михайлович </t>
        </is>
      </c>
      <c r="J293" s="9" t="inlineStr">
        <is>
          <t>профессор</t>
        </is>
      </c>
      <c r="K293" s="9" t="n"/>
      <c r="L293" s="9" t="n"/>
      <c r="M293" s="12">
        <f>SUMIFS($E$2:$E$1130,$A$2:$A$1130,"осень",$I$2:$I$1130,I293)</f>
        <v/>
      </c>
      <c r="N293" s="13">
        <f>SUMIFS($E$2:$E$1130,$A$2:$A$1130,"весна",$I$2:$I$1130,I293)</f>
        <v/>
      </c>
      <c r="O293" s="14">
        <f>M293+N293</f>
        <v/>
      </c>
      <c r="P293" s="15">
        <f>O293/$P$1</f>
        <v/>
      </c>
    </row>
    <row r="294" hidden="1" ht="15.75" customHeight="1" s="2">
      <c r="A294" s="8" t="inlineStr">
        <is>
          <t>осень</t>
        </is>
      </c>
      <c r="B294" s="9" t="inlineStr">
        <is>
          <t>Разработка технологических процессов производства материалов с микрокристаллической структурой</t>
        </is>
      </c>
      <c r="C294" s="9" t="inlineStr">
        <is>
          <t>Консультация</t>
        </is>
      </c>
      <c r="D294" s="9" t="inlineStr">
        <is>
          <t>Т11О-203М-19</t>
        </is>
      </c>
      <c r="E294" s="10" t="n">
        <v>3</v>
      </c>
      <c r="F294" s="9" t="inlineStr">
        <is>
          <t>06203</t>
        </is>
      </c>
      <c r="G294" s="11" t="n">
        <v>0</v>
      </c>
      <c r="H294" s="9" t="inlineStr">
        <is>
          <t xml:space="preserve">82066     </t>
        </is>
      </c>
      <c r="I294" s="9" t="inlineStr">
        <is>
          <t xml:space="preserve">Серов Михаил Михайлович </t>
        </is>
      </c>
      <c r="J294" s="9" t="inlineStr">
        <is>
          <t>профессор</t>
        </is>
      </c>
      <c r="K294" s="9" t="n"/>
      <c r="L294" s="9" t="n"/>
      <c r="M294" s="12">
        <f>SUMIFS($E$2:$E$1130,$A$2:$A$1130,"осень",$I$2:$I$1130,I294)</f>
        <v/>
      </c>
      <c r="N294" s="13">
        <f>SUMIFS($E$2:$E$1130,$A$2:$A$1130,"весна",$I$2:$I$1130,I294)</f>
        <v/>
      </c>
      <c r="O294" s="14">
        <f>M294+N294</f>
        <v/>
      </c>
      <c r="P294" s="15">
        <f>O294/$P$1</f>
        <v/>
      </c>
    </row>
    <row r="295" hidden="1" ht="15.75" customHeight="1" s="2">
      <c r="A295" s="8" t="inlineStr">
        <is>
          <t>осень</t>
        </is>
      </c>
      <c r="B295" s="9" t="inlineStr">
        <is>
          <t>Технологии создания наноструктурных материалов</t>
        </is>
      </c>
      <c r="C295" s="9" t="inlineStr">
        <is>
          <t>ЛК</t>
        </is>
      </c>
      <c r="D295" s="9" t="inlineStr">
        <is>
          <t>Т11О-203М-19</t>
        </is>
      </c>
      <c r="E295" s="10" t="n">
        <v>18</v>
      </c>
      <c r="F295" s="9" t="inlineStr">
        <is>
          <t>06203</t>
        </is>
      </c>
      <c r="G295" s="10" t="n">
        <v>18</v>
      </c>
      <c r="H295" s="9" t="inlineStr">
        <is>
          <t xml:space="preserve">82060     </t>
        </is>
      </c>
      <c r="I295" s="9" t="inlineStr">
        <is>
          <t xml:space="preserve">Лозован Александр Александрович </t>
        </is>
      </c>
      <c r="J295" s="9" t="inlineStr">
        <is>
          <t>профессор</t>
        </is>
      </c>
      <c r="K295" s="9" t="n"/>
      <c r="L295" s="9" t="n"/>
      <c r="M295" s="12">
        <f>SUMIFS($E$2:$E$1130,$A$2:$A$1130,"осень",$I$2:$I$1130,I295)</f>
        <v/>
      </c>
      <c r="N295" s="13">
        <f>SUMIFS($E$2:$E$1130,$A$2:$A$1130,"весна",$I$2:$I$1130,I295)</f>
        <v/>
      </c>
      <c r="O295" s="14">
        <f>M295+N295</f>
        <v/>
      </c>
      <c r="P295" s="15">
        <f>O295/$P$1</f>
        <v/>
      </c>
    </row>
    <row r="296" hidden="1" ht="15.75" customHeight="1" s="2">
      <c r="A296" s="8" t="inlineStr">
        <is>
          <t>осень</t>
        </is>
      </c>
      <c r="B296" s="9" t="inlineStr">
        <is>
          <t>Технологии создания наноструктурных материалов</t>
        </is>
      </c>
      <c r="C296" s="9" t="inlineStr">
        <is>
          <t>КР</t>
        </is>
      </c>
      <c r="D296" s="9" t="inlineStr">
        <is>
          <t>Т11О-203М-19</t>
        </is>
      </c>
      <c r="E296" s="10" t="n">
        <v>21</v>
      </c>
      <c r="F296" s="9" t="inlineStr">
        <is>
          <t>06203</t>
        </is>
      </c>
      <c r="G296" s="11" t="n">
        <v>0</v>
      </c>
      <c r="H296" s="9" t="inlineStr">
        <is>
          <t xml:space="preserve">82060     </t>
        </is>
      </c>
      <c r="I296" s="9" t="inlineStr">
        <is>
          <t xml:space="preserve">Лозован Александр Александрович </t>
        </is>
      </c>
      <c r="J296" s="9" t="inlineStr">
        <is>
          <t>профессор</t>
        </is>
      </c>
      <c r="K296" s="9" t="n"/>
      <c r="L296" s="9" t="n"/>
      <c r="M296" s="12">
        <f>SUMIFS($E$2:$E$1130,$A$2:$A$1130,"осень",$I$2:$I$1130,I296)</f>
        <v/>
      </c>
      <c r="N296" s="13">
        <f>SUMIFS($E$2:$E$1130,$A$2:$A$1130,"весна",$I$2:$I$1130,I296)</f>
        <v/>
      </c>
      <c r="O296" s="14">
        <f>M296+N296</f>
        <v/>
      </c>
      <c r="P296" s="15">
        <f>O296/$P$1</f>
        <v/>
      </c>
    </row>
    <row r="297" hidden="1" ht="15.75" customHeight="1" s="2">
      <c r="A297" s="8" t="inlineStr">
        <is>
          <t>осень</t>
        </is>
      </c>
      <c r="B297" s="9" t="inlineStr">
        <is>
          <t>Технологии создания наноструктурных материалов</t>
        </is>
      </c>
      <c r="C297" s="9" t="inlineStr">
        <is>
          <t>ПЗ</t>
        </is>
      </c>
      <c r="D297" s="9" t="inlineStr">
        <is>
          <t>Т11О-203М-19</t>
        </is>
      </c>
      <c r="E297" s="10" t="n">
        <v>32</v>
      </c>
      <c r="F297" s="9" t="inlineStr">
        <is>
          <t>06203</t>
        </is>
      </c>
      <c r="G297" s="10" t="n">
        <v>32</v>
      </c>
      <c r="H297" s="9" t="inlineStr">
        <is>
          <t xml:space="preserve">95460     </t>
        </is>
      </c>
      <c r="I297" s="9" t="inlineStr">
        <is>
          <t>Кубатина Екатерина Павловна</t>
        </is>
      </c>
      <c r="J297" s="9" t="n"/>
      <c r="K297" s="9" t="n"/>
      <c r="L297" s="9" t="n"/>
      <c r="M297" s="12">
        <f>SUMIFS($E$2:$E$1130,$A$2:$A$1130,"осень",$I$2:$I$1130,I297)</f>
        <v/>
      </c>
      <c r="N297" s="13">
        <f>SUMIFS($E$2:$E$1130,$A$2:$A$1130,"весна",$I$2:$I$1130,I297)</f>
        <v/>
      </c>
      <c r="O297" s="14">
        <f>M297+N297</f>
        <v/>
      </c>
      <c r="P297" s="15">
        <f>O297/$P$1</f>
        <v/>
      </c>
    </row>
    <row r="298" hidden="1" ht="15.75" customHeight="1" s="2">
      <c r="A298" s="8" t="inlineStr">
        <is>
          <t>осень</t>
        </is>
      </c>
      <c r="B298" s="9" t="inlineStr">
        <is>
          <t>Технологии создания наноструктурных материалов</t>
        </is>
      </c>
      <c r="C298" s="9" t="inlineStr">
        <is>
          <t>ЛР</t>
        </is>
      </c>
      <c r="D298" s="9" t="inlineStr">
        <is>
          <t>Т11О-203М-19</t>
        </is>
      </c>
      <c r="E298" s="10" t="n">
        <v>16</v>
      </c>
      <c r="F298" s="9" t="inlineStr">
        <is>
          <t>06203</t>
        </is>
      </c>
      <c r="G298" s="10" t="n">
        <v>16</v>
      </c>
      <c r="H298" s="9" t="inlineStr">
        <is>
          <t xml:space="preserve">82060     </t>
        </is>
      </c>
      <c r="I298" s="9" t="inlineStr">
        <is>
          <t xml:space="preserve">Лозован Александр Александрович </t>
        </is>
      </c>
      <c r="J298" s="9" t="inlineStr">
        <is>
          <t>профессор</t>
        </is>
      </c>
      <c r="K298" s="9" t="n"/>
      <c r="L298" s="9" t="n"/>
      <c r="M298" s="12">
        <f>SUMIFS($E$2:$E$1130,$A$2:$A$1130,"осень",$I$2:$I$1130,I298)</f>
        <v/>
      </c>
      <c r="N298" s="13">
        <f>SUMIFS($E$2:$E$1130,$A$2:$A$1130,"весна",$I$2:$I$1130,I298)</f>
        <v/>
      </c>
      <c r="O298" s="14">
        <f>M298+N298</f>
        <v/>
      </c>
      <c r="P298" s="15">
        <f>O298/$P$1</f>
        <v/>
      </c>
    </row>
    <row r="299" hidden="1" ht="15.75" customHeight="1" s="2">
      <c r="A299" s="8" t="inlineStr">
        <is>
          <t>осень</t>
        </is>
      </c>
      <c r="B299" s="9" t="inlineStr">
        <is>
          <t>Технологии создания наноструктурных материалов</t>
        </is>
      </c>
      <c r="C299" s="9" t="inlineStr">
        <is>
          <t>Экзамен</t>
        </is>
      </c>
      <c r="D299" s="9" t="inlineStr">
        <is>
          <t>Т11О-203М-19</t>
        </is>
      </c>
      <c r="E299" s="10" t="n">
        <v>4</v>
      </c>
      <c r="F299" s="9" t="inlineStr">
        <is>
          <t>06203</t>
        </is>
      </c>
      <c r="G299" s="11" t="n">
        <v>0</v>
      </c>
      <c r="H299" s="9" t="inlineStr">
        <is>
          <t xml:space="preserve">82060     </t>
        </is>
      </c>
      <c r="I299" s="9" t="inlineStr">
        <is>
          <t xml:space="preserve">Лозован Александр Александрович </t>
        </is>
      </c>
      <c r="J299" s="9" t="inlineStr">
        <is>
          <t>профессор</t>
        </is>
      </c>
      <c r="K299" s="9" t="n"/>
      <c r="L299" s="9" t="n"/>
      <c r="M299" s="12">
        <f>SUMIFS($E$2:$E$1130,$A$2:$A$1130,"осень",$I$2:$I$1130,I299)</f>
        <v/>
      </c>
      <c r="N299" s="13">
        <f>SUMIFS($E$2:$E$1130,$A$2:$A$1130,"весна",$I$2:$I$1130,I299)</f>
        <v/>
      </c>
      <c r="O299" s="14">
        <f>M299+N299</f>
        <v/>
      </c>
      <c r="P299" s="15">
        <f>O299/$P$1</f>
        <v/>
      </c>
    </row>
    <row r="300" hidden="1" ht="15.75" customHeight="1" s="2">
      <c r="A300" s="8" t="inlineStr">
        <is>
          <t>осень</t>
        </is>
      </c>
      <c r="B300" s="9" t="inlineStr">
        <is>
          <t>Технологии создания наноструктурных материалов</t>
        </is>
      </c>
      <c r="C300" s="9" t="inlineStr">
        <is>
          <t>Консультация</t>
        </is>
      </c>
      <c r="D300" s="9" t="inlineStr">
        <is>
          <t>Т11О-203М-19</t>
        </is>
      </c>
      <c r="E300" s="10" t="n">
        <v>3</v>
      </c>
      <c r="F300" s="9" t="inlineStr">
        <is>
          <t>06203</t>
        </is>
      </c>
      <c r="G300" s="11" t="n">
        <v>0</v>
      </c>
      <c r="H300" s="9" t="inlineStr">
        <is>
          <t xml:space="preserve">82060     </t>
        </is>
      </c>
      <c r="I300" s="9" t="inlineStr">
        <is>
          <t xml:space="preserve">Лозован Александр Александрович </t>
        </is>
      </c>
      <c r="J300" s="9" t="inlineStr">
        <is>
          <t>профессор</t>
        </is>
      </c>
      <c r="K300" s="9" t="n"/>
      <c r="L300" s="9" t="n"/>
      <c r="M300" s="12">
        <f>SUMIFS($E$2:$E$1130,$A$2:$A$1130,"осень",$I$2:$I$1130,I300)</f>
        <v/>
      </c>
      <c r="N300" s="13">
        <f>SUMIFS($E$2:$E$1130,$A$2:$A$1130,"весна",$I$2:$I$1130,I300)</f>
        <v/>
      </c>
      <c r="O300" s="14">
        <f>M300+N300</f>
        <v/>
      </c>
      <c r="P300" s="15">
        <f>O300/$P$1</f>
        <v/>
      </c>
    </row>
    <row r="301" hidden="1" ht="15.75" customHeight="1" s="2">
      <c r="A301" s="8" t="inlineStr">
        <is>
          <t>осень</t>
        </is>
      </c>
      <c r="B301" s="9" t="inlineStr">
        <is>
          <t>Физические основы и методы аддитивных технологий</t>
        </is>
      </c>
      <c r="C301" s="9" t="inlineStr">
        <is>
          <t>ЛК</t>
        </is>
      </c>
      <c r="D301" s="9" t="inlineStr">
        <is>
          <t>Т11О-101М-20, Т11О-102М-20, Т11О-103М-20, Т11О-104М-20</t>
        </is>
      </c>
      <c r="E301" s="10" t="n">
        <v>12</v>
      </c>
      <c r="F301" s="9" t="inlineStr">
        <is>
          <t>07987</t>
        </is>
      </c>
      <c r="G301" s="10" t="n">
        <v>12</v>
      </c>
      <c r="H301" s="9" t="inlineStr">
        <is>
          <t xml:space="preserve">82020     </t>
        </is>
      </c>
      <c r="I301" s="9" t="inlineStr">
        <is>
          <t xml:space="preserve">Варфоломеев Максим Сергеевич </t>
        </is>
      </c>
      <c r="J301" s="9" t="inlineStr">
        <is>
          <t>доцент</t>
        </is>
      </c>
      <c r="K301" s="9" t="n"/>
      <c r="L301" s="9" t="inlineStr">
        <is>
          <t>не более двух дней в неделю</t>
        </is>
      </c>
      <c r="M301" s="12">
        <f>SUMIFS($E$2:$E$1130,$A$2:$A$1130,"осень",$I$2:$I$1130,I301)</f>
        <v/>
      </c>
      <c r="N301" s="13">
        <f>SUMIFS($E$2:$E$1130,$A$2:$A$1130,"весна",$I$2:$I$1130,I301)</f>
        <v/>
      </c>
      <c r="O301" s="14">
        <f>M301+N301</f>
        <v/>
      </c>
      <c r="P301" s="15">
        <f>O301/$P$1</f>
        <v/>
      </c>
    </row>
    <row r="302" hidden="1" ht="15.75" customHeight="1" s="2">
      <c r="A302" s="8" t="inlineStr">
        <is>
          <t>осень</t>
        </is>
      </c>
      <c r="B302" s="9" t="inlineStr">
        <is>
          <t>Физические основы и методы аддитивных технологий</t>
        </is>
      </c>
      <c r="C302" s="9" t="inlineStr">
        <is>
          <t>Зачет с оценкой</t>
        </is>
      </c>
      <c r="D302" s="9" t="inlineStr">
        <is>
          <t>Т11О-101М-20</t>
        </is>
      </c>
      <c r="E302" s="10" t="n">
        <v>2</v>
      </c>
      <c r="F302" s="9" t="inlineStr">
        <is>
          <t>07987</t>
        </is>
      </c>
      <c r="G302" s="11" t="n">
        <v>0</v>
      </c>
      <c r="H302" s="9" t="inlineStr">
        <is>
          <t xml:space="preserve">82020     </t>
        </is>
      </c>
      <c r="I302" s="9" t="inlineStr">
        <is>
          <t xml:space="preserve">Варфоломеев Максим Сергеевич </t>
        </is>
      </c>
      <c r="J302" s="9" t="inlineStr">
        <is>
          <t>доцент</t>
        </is>
      </c>
      <c r="K302" s="9" t="n"/>
      <c r="L302" s="9" t="inlineStr">
        <is>
          <t>не более двух дней в неделю</t>
        </is>
      </c>
      <c r="M302" s="12">
        <f>SUMIFS($E$2:$E$1130,$A$2:$A$1130,"осень",$I$2:$I$1130,I302)</f>
        <v/>
      </c>
      <c r="N302" s="13">
        <f>SUMIFS($E$2:$E$1130,$A$2:$A$1130,"весна",$I$2:$I$1130,I302)</f>
        <v/>
      </c>
      <c r="O302" s="14">
        <f>M302+N302</f>
        <v/>
      </c>
      <c r="P302" s="15">
        <f>O302/$P$1</f>
        <v/>
      </c>
    </row>
    <row r="303" hidden="1" ht="15.75" customHeight="1" s="2">
      <c r="A303" s="8" t="inlineStr">
        <is>
          <t>осень</t>
        </is>
      </c>
      <c r="B303" s="9" t="inlineStr">
        <is>
          <t>Физические основы и методы аддитивных технологий</t>
        </is>
      </c>
      <c r="C303" s="9" t="inlineStr">
        <is>
          <t>Зачет с оценкой</t>
        </is>
      </c>
      <c r="D303" s="9" t="inlineStr">
        <is>
          <t>Т11О-102М-20</t>
        </is>
      </c>
      <c r="E303" s="10" t="n">
        <v>2</v>
      </c>
      <c r="F303" s="9" t="inlineStr">
        <is>
          <t>07987</t>
        </is>
      </c>
      <c r="G303" s="11" t="n">
        <v>0</v>
      </c>
      <c r="H303" s="9" t="inlineStr">
        <is>
          <t xml:space="preserve">82020     </t>
        </is>
      </c>
      <c r="I303" s="9" t="inlineStr">
        <is>
          <t xml:space="preserve">Варфоломеев Максим Сергеевич </t>
        </is>
      </c>
      <c r="J303" s="9" t="inlineStr">
        <is>
          <t>доцент</t>
        </is>
      </c>
      <c r="K303" s="9" t="n"/>
      <c r="L303" s="9" t="inlineStr">
        <is>
          <t>не более двух дней в неделю</t>
        </is>
      </c>
      <c r="M303" s="12">
        <f>SUMIFS($E$2:$E$1130,$A$2:$A$1130,"осень",$I$2:$I$1130,I303)</f>
        <v/>
      </c>
      <c r="N303" s="13">
        <f>SUMIFS($E$2:$E$1130,$A$2:$A$1130,"весна",$I$2:$I$1130,I303)</f>
        <v/>
      </c>
      <c r="O303" s="14">
        <f>M303+N303</f>
        <v/>
      </c>
      <c r="P303" s="15">
        <f>O303/$P$1</f>
        <v/>
      </c>
    </row>
    <row r="304" hidden="1" ht="15.75" customHeight="1" s="2">
      <c r="A304" s="8" t="inlineStr">
        <is>
          <t>осень</t>
        </is>
      </c>
      <c r="B304" s="9" t="inlineStr">
        <is>
          <t>Физические основы и методы аддитивных технологий</t>
        </is>
      </c>
      <c r="C304" s="9" t="inlineStr">
        <is>
          <t>Зачет с оценкой</t>
        </is>
      </c>
      <c r="D304" s="9" t="inlineStr">
        <is>
          <t>Т11О-103М-20</t>
        </is>
      </c>
      <c r="E304" s="10" t="n">
        <v>2</v>
      </c>
      <c r="F304" s="9" t="inlineStr">
        <is>
          <t>07987</t>
        </is>
      </c>
      <c r="G304" s="11" t="n">
        <v>0</v>
      </c>
      <c r="H304" s="9" t="inlineStr">
        <is>
          <t xml:space="preserve">82020     </t>
        </is>
      </c>
      <c r="I304" s="9" t="inlineStr">
        <is>
          <t xml:space="preserve">Варфоломеев Максим Сергеевич </t>
        </is>
      </c>
      <c r="J304" s="9" t="inlineStr">
        <is>
          <t>доцент</t>
        </is>
      </c>
      <c r="K304" s="9" t="n"/>
      <c r="L304" s="9" t="inlineStr">
        <is>
          <t>не более двух дней в неделю</t>
        </is>
      </c>
      <c r="M304" s="12">
        <f>SUMIFS($E$2:$E$1130,$A$2:$A$1130,"осень",$I$2:$I$1130,I304)</f>
        <v/>
      </c>
      <c r="N304" s="13">
        <f>SUMIFS($E$2:$E$1130,$A$2:$A$1130,"весна",$I$2:$I$1130,I304)</f>
        <v/>
      </c>
      <c r="O304" s="14">
        <f>M304+N304</f>
        <v/>
      </c>
      <c r="P304" s="15">
        <f>O304/$P$1</f>
        <v/>
      </c>
    </row>
    <row r="305" hidden="1" ht="15.75" customHeight="1" s="2">
      <c r="A305" s="8" t="inlineStr">
        <is>
          <t>осень</t>
        </is>
      </c>
      <c r="B305" s="9" t="inlineStr">
        <is>
          <t>Физические основы и методы аддитивных технологий</t>
        </is>
      </c>
      <c r="C305" s="9" t="inlineStr">
        <is>
          <t>Зачет с оценкой</t>
        </is>
      </c>
      <c r="D305" s="9" t="inlineStr">
        <is>
          <t>Т11О-104М-20</t>
        </is>
      </c>
      <c r="E305" s="10" t="n">
        <v>2</v>
      </c>
      <c r="F305" s="9" t="inlineStr">
        <is>
          <t>07987</t>
        </is>
      </c>
      <c r="G305" s="11" t="n">
        <v>0</v>
      </c>
      <c r="H305" s="9" t="inlineStr">
        <is>
          <t xml:space="preserve">82020     </t>
        </is>
      </c>
      <c r="I305" s="9" t="inlineStr">
        <is>
          <t xml:space="preserve">Варфоломеев Максим Сергеевич </t>
        </is>
      </c>
      <c r="J305" s="9" t="inlineStr">
        <is>
          <t>доцент</t>
        </is>
      </c>
      <c r="K305" s="9" t="n"/>
      <c r="L305" s="9" t="inlineStr">
        <is>
          <t>не более двух дней в неделю</t>
        </is>
      </c>
      <c r="M305" s="12">
        <f>SUMIFS($E$2:$E$1130,$A$2:$A$1130,"осень",$I$2:$I$1130,I305)</f>
        <v/>
      </c>
      <c r="N305" s="13">
        <f>SUMIFS($E$2:$E$1130,$A$2:$A$1130,"весна",$I$2:$I$1130,I305)</f>
        <v/>
      </c>
      <c r="O305" s="14">
        <f>M305+N305</f>
        <v/>
      </c>
      <c r="P305" s="15">
        <f>O305/$P$1</f>
        <v/>
      </c>
    </row>
    <row r="306" hidden="1" ht="15.75" customHeight="1" s="2">
      <c r="A306" s="8" t="inlineStr">
        <is>
          <t>осень</t>
        </is>
      </c>
      <c r="B306" s="9" t="inlineStr">
        <is>
          <t>Физические основы и методы аддитивных технологий</t>
        </is>
      </c>
      <c r="C306" s="9" t="inlineStr">
        <is>
          <t>ПЗ</t>
        </is>
      </c>
      <c r="D306" s="9" t="inlineStr">
        <is>
          <t>Т11О-101М-20</t>
        </is>
      </c>
      <c r="E306" s="10" t="n">
        <v>40</v>
      </c>
      <c r="F306" s="9" t="inlineStr">
        <is>
          <t>07987</t>
        </is>
      </c>
      <c r="G306" s="10" t="n">
        <v>40</v>
      </c>
      <c r="H306" s="9" t="inlineStr">
        <is>
          <t xml:space="preserve">89068     </t>
        </is>
      </c>
      <c r="I306" s="9" t="inlineStr">
        <is>
          <t xml:space="preserve">Петров Игорь Алексеевич </t>
        </is>
      </c>
      <c r="J306" s="9" t="inlineStr">
        <is>
          <t>доцент</t>
        </is>
      </c>
      <c r="K306" s="9" t="n"/>
      <c r="L306" s="9" t="n"/>
      <c r="M306" s="12">
        <f>SUMIFS($E$2:$E$1130,$A$2:$A$1130,"осень",$I$2:$I$1130,I306)</f>
        <v/>
      </c>
      <c r="N306" s="13">
        <f>SUMIFS($E$2:$E$1130,$A$2:$A$1130,"весна",$I$2:$I$1130,I306)</f>
        <v/>
      </c>
      <c r="O306" s="14">
        <f>M306+N306</f>
        <v/>
      </c>
      <c r="P306" s="15">
        <f>O306/$P$1</f>
        <v/>
      </c>
    </row>
    <row r="307" hidden="1" ht="15.75" customHeight="1" s="2">
      <c r="A307" s="8" t="inlineStr">
        <is>
          <t>осень</t>
        </is>
      </c>
      <c r="B307" s="9" t="inlineStr">
        <is>
          <t>Физические основы и методы аддитивных технологий</t>
        </is>
      </c>
      <c r="C307" s="9" t="inlineStr">
        <is>
          <t>ПЗ</t>
        </is>
      </c>
      <c r="D307" s="9" t="inlineStr">
        <is>
          <t>Т11О-102М-20</t>
        </is>
      </c>
      <c r="E307" s="10" t="n">
        <v>40</v>
      </c>
      <c r="F307" s="9" t="inlineStr">
        <is>
          <t>07987</t>
        </is>
      </c>
      <c r="G307" s="10" t="n">
        <v>40</v>
      </c>
      <c r="H307" s="9" t="inlineStr">
        <is>
          <t xml:space="preserve">89068     </t>
        </is>
      </c>
      <c r="I307" s="9" t="inlineStr">
        <is>
          <t xml:space="preserve">Петров Игорь Алексеевич </t>
        </is>
      </c>
      <c r="J307" s="9" t="inlineStr">
        <is>
          <t>доцент</t>
        </is>
      </c>
      <c r="K307" s="9" t="n"/>
      <c r="L307" s="9" t="n"/>
      <c r="M307" s="12">
        <f>SUMIFS($E$2:$E$1130,$A$2:$A$1130,"осень",$I$2:$I$1130,I307)</f>
        <v/>
      </c>
      <c r="N307" s="13">
        <f>SUMIFS($E$2:$E$1130,$A$2:$A$1130,"весна",$I$2:$I$1130,I307)</f>
        <v/>
      </c>
      <c r="O307" s="14">
        <f>M307+N307</f>
        <v/>
      </c>
      <c r="P307" s="15">
        <f>O307/$P$1</f>
        <v/>
      </c>
    </row>
    <row r="308" hidden="1" ht="15.75" customHeight="1" s="2">
      <c r="A308" s="8" t="inlineStr">
        <is>
          <t>осень</t>
        </is>
      </c>
      <c r="B308" s="9" t="inlineStr">
        <is>
          <t>Физические основы и методы аддитивных технологий</t>
        </is>
      </c>
      <c r="C308" s="9" t="inlineStr">
        <is>
          <t>ПЗ</t>
        </is>
      </c>
      <c r="D308" s="9" t="inlineStr">
        <is>
          <t>Т11О-103М-20</t>
        </is>
      </c>
      <c r="E308" s="10" t="n">
        <v>40</v>
      </c>
      <c r="F308" s="9" t="inlineStr">
        <is>
          <t>07987</t>
        </is>
      </c>
      <c r="G308" s="10" t="n">
        <v>40</v>
      </c>
      <c r="H308" s="9" t="inlineStr">
        <is>
          <t xml:space="preserve">89068     </t>
        </is>
      </c>
      <c r="I308" s="9" t="inlineStr">
        <is>
          <t xml:space="preserve">Петров Игорь Алексеевич </t>
        </is>
      </c>
      <c r="J308" s="9" t="inlineStr">
        <is>
          <t>доцент</t>
        </is>
      </c>
      <c r="K308" s="9" t="n"/>
      <c r="L308" s="9" t="n"/>
      <c r="M308" s="12">
        <f>SUMIFS($E$2:$E$1130,$A$2:$A$1130,"осень",$I$2:$I$1130,I308)</f>
        <v/>
      </c>
      <c r="N308" s="13">
        <f>SUMIFS($E$2:$E$1130,$A$2:$A$1130,"весна",$I$2:$I$1130,I308)</f>
        <v/>
      </c>
      <c r="O308" s="14">
        <f>M308+N308</f>
        <v/>
      </c>
      <c r="P308" s="15">
        <f>O308/$P$1</f>
        <v/>
      </c>
    </row>
    <row r="309" hidden="1" ht="15.75" customHeight="1" s="2">
      <c r="A309" s="8" t="inlineStr">
        <is>
          <t>осень</t>
        </is>
      </c>
      <c r="B309" s="9" t="inlineStr">
        <is>
          <t>Физические основы и методы аддитивных технологий</t>
        </is>
      </c>
      <c r="C309" s="9" t="inlineStr">
        <is>
          <t>ПЗ</t>
        </is>
      </c>
      <c r="D309" s="9" t="inlineStr">
        <is>
          <t>Т11О-104М-20</t>
        </is>
      </c>
      <c r="E309" s="10" t="n">
        <v>40</v>
      </c>
      <c r="F309" s="9" t="inlineStr">
        <is>
          <t>07987</t>
        </is>
      </c>
      <c r="G309" s="10" t="n">
        <v>40</v>
      </c>
      <c r="H309" s="9" t="inlineStr">
        <is>
          <t xml:space="preserve">89068     </t>
        </is>
      </c>
      <c r="I309" s="9" t="inlineStr">
        <is>
          <t xml:space="preserve">Петров Игорь Алексеевич </t>
        </is>
      </c>
      <c r="J309" s="9" t="inlineStr">
        <is>
          <t>доцент</t>
        </is>
      </c>
      <c r="K309" s="9" t="n"/>
      <c r="L309" s="9" t="n"/>
      <c r="M309" s="12">
        <f>SUMIFS($E$2:$E$1130,$A$2:$A$1130,"осень",$I$2:$I$1130,I309)</f>
        <v/>
      </c>
      <c r="N309" s="13">
        <f>SUMIFS($E$2:$E$1130,$A$2:$A$1130,"весна",$I$2:$I$1130,I309)</f>
        <v/>
      </c>
      <c r="O309" s="14">
        <f>M309+N309</f>
        <v/>
      </c>
      <c r="P309" s="15">
        <f>O309/$P$1</f>
        <v/>
      </c>
    </row>
    <row r="310" hidden="1" ht="15.75" customHeight="1" s="2">
      <c r="A310" s="8" t="inlineStr">
        <is>
          <t>осень</t>
        </is>
      </c>
      <c r="B310" s="9" t="inlineStr">
        <is>
          <t>Физические основы и методы аддитивных технологий</t>
        </is>
      </c>
      <c r="C310" s="9" t="inlineStr">
        <is>
          <t>Консультация</t>
        </is>
      </c>
      <c r="D310" s="9" t="inlineStr">
        <is>
          <t>Т11О-101М-20</t>
        </is>
      </c>
      <c r="E310" s="10" t="n">
        <v>1</v>
      </c>
      <c r="F310" s="9" t="inlineStr">
        <is>
          <t>07987</t>
        </is>
      </c>
      <c r="G310" s="11" t="n">
        <v>0</v>
      </c>
      <c r="H310" s="9" t="inlineStr">
        <is>
          <t xml:space="preserve">82020     </t>
        </is>
      </c>
      <c r="I310" s="9" t="inlineStr">
        <is>
          <t xml:space="preserve">Варфоломеев Максим Сергеевич </t>
        </is>
      </c>
      <c r="J310" s="9" t="inlineStr">
        <is>
          <t>доцент</t>
        </is>
      </c>
      <c r="K310" s="9" t="n"/>
      <c r="L310" s="9" t="inlineStr">
        <is>
          <t>не более двух дней в неделю</t>
        </is>
      </c>
      <c r="M310" s="12">
        <f>SUMIFS($E$2:$E$1130,$A$2:$A$1130,"осень",$I$2:$I$1130,I310)</f>
        <v/>
      </c>
      <c r="N310" s="13">
        <f>SUMIFS($E$2:$E$1130,$A$2:$A$1130,"весна",$I$2:$I$1130,I310)</f>
        <v/>
      </c>
      <c r="O310" s="14">
        <f>M310+N310</f>
        <v/>
      </c>
      <c r="P310" s="15">
        <f>O310/$P$1</f>
        <v/>
      </c>
    </row>
    <row r="311" hidden="1" ht="15.75" customHeight="1" s="2">
      <c r="A311" s="8" t="inlineStr">
        <is>
          <t>осень</t>
        </is>
      </c>
      <c r="B311" s="9" t="inlineStr">
        <is>
          <t>Физические основы и методы аддитивных технологий</t>
        </is>
      </c>
      <c r="C311" s="9" t="inlineStr">
        <is>
          <t>Консультация</t>
        </is>
      </c>
      <c r="D311" s="9" t="inlineStr">
        <is>
          <t>Т11О-102М-20</t>
        </is>
      </c>
      <c r="E311" s="10" t="n">
        <v>1</v>
      </c>
      <c r="F311" s="9" t="inlineStr">
        <is>
          <t>07987</t>
        </is>
      </c>
      <c r="G311" s="11" t="n">
        <v>0</v>
      </c>
      <c r="H311" s="9" t="inlineStr">
        <is>
          <t xml:space="preserve">82020     </t>
        </is>
      </c>
      <c r="I311" s="9" t="inlineStr">
        <is>
          <t xml:space="preserve">Варфоломеев Максим Сергеевич </t>
        </is>
      </c>
      <c r="J311" s="9" t="inlineStr">
        <is>
          <t>доцент</t>
        </is>
      </c>
      <c r="K311" s="9" t="n"/>
      <c r="L311" s="9" t="inlineStr">
        <is>
          <t>не более двух дней в неделю</t>
        </is>
      </c>
      <c r="M311" s="12">
        <f>SUMIFS($E$2:$E$1130,$A$2:$A$1130,"осень",$I$2:$I$1130,I311)</f>
        <v/>
      </c>
      <c r="N311" s="13">
        <f>SUMIFS($E$2:$E$1130,$A$2:$A$1130,"весна",$I$2:$I$1130,I311)</f>
        <v/>
      </c>
      <c r="O311" s="14">
        <f>M311+N311</f>
        <v/>
      </c>
      <c r="P311" s="15">
        <f>O311/$P$1</f>
        <v/>
      </c>
    </row>
    <row r="312" hidden="1" ht="15.75" customHeight="1" s="2">
      <c r="A312" s="8" t="inlineStr">
        <is>
          <t>осень</t>
        </is>
      </c>
      <c r="B312" s="9" t="inlineStr">
        <is>
          <t>Физические основы и методы аддитивных технологий</t>
        </is>
      </c>
      <c r="C312" s="9" t="inlineStr">
        <is>
          <t>Консультация</t>
        </is>
      </c>
      <c r="D312" s="9" t="inlineStr">
        <is>
          <t>Т11О-103М-20</t>
        </is>
      </c>
      <c r="E312" s="10" t="n">
        <v>1</v>
      </c>
      <c r="F312" s="9" t="inlineStr">
        <is>
          <t>07987</t>
        </is>
      </c>
      <c r="G312" s="11" t="n">
        <v>0</v>
      </c>
      <c r="H312" s="9" t="inlineStr">
        <is>
          <t xml:space="preserve">82020     </t>
        </is>
      </c>
      <c r="I312" s="9" t="inlineStr">
        <is>
          <t xml:space="preserve">Варфоломеев Максим Сергеевич </t>
        </is>
      </c>
      <c r="J312" s="9" t="inlineStr">
        <is>
          <t>доцент</t>
        </is>
      </c>
      <c r="K312" s="9" t="n"/>
      <c r="L312" s="9" t="inlineStr">
        <is>
          <t>не более двух дней в неделю</t>
        </is>
      </c>
      <c r="M312" s="12">
        <f>SUMIFS($E$2:$E$1130,$A$2:$A$1130,"осень",$I$2:$I$1130,I312)</f>
        <v/>
      </c>
      <c r="N312" s="13">
        <f>SUMIFS($E$2:$E$1130,$A$2:$A$1130,"весна",$I$2:$I$1130,I312)</f>
        <v/>
      </c>
      <c r="O312" s="14">
        <f>M312+N312</f>
        <v/>
      </c>
      <c r="P312" s="15">
        <f>O312/$P$1</f>
        <v/>
      </c>
    </row>
    <row r="313" hidden="1" ht="15.75" customHeight="1" s="2">
      <c r="A313" s="8" t="inlineStr">
        <is>
          <t>осень</t>
        </is>
      </c>
      <c r="B313" s="9" t="inlineStr">
        <is>
          <t>Физические основы и методы аддитивных технологий</t>
        </is>
      </c>
      <c r="C313" s="9" t="inlineStr">
        <is>
          <t>Консультация</t>
        </is>
      </c>
      <c r="D313" s="9" t="inlineStr">
        <is>
          <t>Т11О-104М-20</t>
        </is>
      </c>
      <c r="E313" s="10" t="n">
        <v>1</v>
      </c>
      <c r="F313" s="9" t="inlineStr">
        <is>
          <t>07987</t>
        </is>
      </c>
      <c r="G313" s="11" t="n">
        <v>0</v>
      </c>
      <c r="H313" s="9" t="inlineStr">
        <is>
          <t xml:space="preserve">82020     </t>
        </is>
      </c>
      <c r="I313" s="9" t="inlineStr">
        <is>
          <t xml:space="preserve">Варфоломеев Максим Сергеевич </t>
        </is>
      </c>
      <c r="J313" s="9" t="inlineStr">
        <is>
          <t>доцент</t>
        </is>
      </c>
      <c r="K313" s="9" t="n"/>
      <c r="L313" s="9" t="inlineStr">
        <is>
          <t>не более двух дней в неделю</t>
        </is>
      </c>
      <c r="M313" s="12">
        <f>SUMIFS($E$2:$E$1130,$A$2:$A$1130,"осень",$I$2:$I$1130,I313)</f>
        <v/>
      </c>
      <c r="N313" s="13">
        <f>SUMIFS($E$2:$E$1130,$A$2:$A$1130,"весна",$I$2:$I$1130,I313)</f>
        <v/>
      </c>
      <c r="O313" s="14">
        <f>M313+N313</f>
        <v/>
      </c>
      <c r="P313" s="15">
        <f>O313/$P$1</f>
        <v/>
      </c>
    </row>
    <row r="314" hidden="1" ht="15.75" customHeight="1" s="2">
      <c r="A314" s="8" t="inlineStr">
        <is>
          <t>осень</t>
        </is>
      </c>
      <c r="B314" s="9" t="inlineStr">
        <is>
          <t>Проектирование сварных и паяных конструкций</t>
        </is>
      </c>
      <c r="C314" s="9" t="inlineStr">
        <is>
          <t>ЛК</t>
        </is>
      </c>
      <c r="D314" s="9" t="inlineStr">
        <is>
          <t>Т1О-401Б-17</t>
        </is>
      </c>
      <c r="E314" s="10" t="n">
        <v>34</v>
      </c>
      <c r="F314" s="9" t="inlineStr">
        <is>
          <t>06256</t>
        </is>
      </c>
      <c r="G314" s="10" t="n">
        <v>34</v>
      </c>
      <c r="H314" s="9" t="inlineStr">
        <is>
          <t xml:space="preserve">82023     </t>
        </is>
      </c>
      <c r="I314" s="9" t="inlineStr">
        <is>
          <t xml:space="preserve">Федоров Сергей Александрович </t>
        </is>
      </c>
      <c r="J314" s="9" t="n"/>
      <c r="K314" s="9" t="n"/>
      <c r="L314" s="9" t="inlineStr">
        <is>
          <t>пн-пт по 2 пары с 14-45</t>
        </is>
      </c>
      <c r="M314" s="12">
        <f>SUMIFS($E$2:$E$1130,$A$2:$A$1130,"осень",$I$2:$I$1130,I314)</f>
        <v/>
      </c>
      <c r="N314" s="13">
        <f>SUMIFS($E$2:$E$1130,$A$2:$A$1130,"весна",$I$2:$I$1130,I314)</f>
        <v/>
      </c>
      <c r="O314" s="14">
        <f>M314+N314</f>
        <v/>
      </c>
      <c r="P314" s="15">
        <f>O314/$P$1</f>
        <v/>
      </c>
    </row>
    <row r="315" hidden="1" ht="15.75" customHeight="1" s="2">
      <c r="A315" s="8" t="inlineStr">
        <is>
          <t>осень</t>
        </is>
      </c>
      <c r="B315" s="9" t="inlineStr">
        <is>
          <t>Проектирование сварных и паяных конструкций</t>
        </is>
      </c>
      <c r="C315" s="9" t="inlineStr">
        <is>
          <t>Зачет с оценкой</t>
        </is>
      </c>
      <c r="D315" s="9" t="inlineStr">
        <is>
          <t>Т1О-401Б-17</t>
        </is>
      </c>
      <c r="E315" s="10" t="n">
        <v>6</v>
      </c>
      <c r="F315" s="9" t="inlineStr">
        <is>
          <t>06256</t>
        </is>
      </c>
      <c r="G315" s="11" t="n">
        <v>0</v>
      </c>
      <c r="H315" s="9" t="inlineStr">
        <is>
          <t xml:space="preserve">82023     </t>
        </is>
      </c>
      <c r="I315" s="9" t="inlineStr">
        <is>
          <t xml:space="preserve">Федоров Сергей Александрович </t>
        </is>
      </c>
      <c r="J315" s="9" t="n"/>
      <c r="K315" s="9" t="n"/>
      <c r="L315" s="9" t="inlineStr">
        <is>
          <t>пн-пт по 2 пары с 14-45</t>
        </is>
      </c>
      <c r="M315" s="12">
        <f>SUMIFS($E$2:$E$1130,$A$2:$A$1130,"осень",$I$2:$I$1130,I315)</f>
        <v/>
      </c>
      <c r="N315" s="13">
        <f>SUMIFS($E$2:$E$1130,$A$2:$A$1130,"весна",$I$2:$I$1130,I315)</f>
        <v/>
      </c>
      <c r="O315" s="14">
        <f>M315+N315</f>
        <v/>
      </c>
      <c r="P315" s="15">
        <f>O315/$P$1</f>
        <v/>
      </c>
    </row>
    <row r="316" hidden="1" ht="15.75" customHeight="1" s="2">
      <c r="A316" s="8" t="inlineStr">
        <is>
          <t>осень</t>
        </is>
      </c>
      <c r="B316" s="9" t="inlineStr">
        <is>
          <t>Проектирование сварных и паяных конструкций</t>
        </is>
      </c>
      <c r="C316" s="9" t="inlineStr">
        <is>
          <t>ПЗ</t>
        </is>
      </c>
      <c r="D316" s="9" t="inlineStr">
        <is>
          <t>Т1О-401Б-17</t>
        </is>
      </c>
      <c r="E316" s="10" t="n">
        <v>40</v>
      </c>
      <c r="F316" s="9" t="inlineStr">
        <is>
          <t>06256</t>
        </is>
      </c>
      <c r="G316" s="10" t="n">
        <v>40</v>
      </c>
      <c r="H316" s="9" t="inlineStr">
        <is>
          <t xml:space="preserve">82023     </t>
        </is>
      </c>
      <c r="I316" s="9" t="inlineStr">
        <is>
          <t xml:space="preserve">Федоров Сергей Александрович </t>
        </is>
      </c>
      <c r="J316" s="9" t="n"/>
      <c r="K316" s="9" t="n"/>
      <c r="L316" s="9" t="inlineStr">
        <is>
          <t>пн-пт по 2 пары с 14-45</t>
        </is>
      </c>
      <c r="M316" s="12">
        <f>SUMIFS($E$2:$E$1130,$A$2:$A$1130,"осень",$I$2:$I$1130,I316)</f>
        <v/>
      </c>
      <c r="N316" s="13">
        <f>SUMIFS($E$2:$E$1130,$A$2:$A$1130,"весна",$I$2:$I$1130,I316)</f>
        <v/>
      </c>
      <c r="O316" s="14">
        <f>M316+N316</f>
        <v/>
      </c>
      <c r="P316" s="15">
        <f>O316/$P$1</f>
        <v/>
      </c>
    </row>
    <row r="317" hidden="1" ht="15.75" customHeight="1" s="2">
      <c r="A317" s="8" t="inlineStr">
        <is>
          <t>осень</t>
        </is>
      </c>
      <c r="B317" s="9" t="inlineStr">
        <is>
          <t>Проектирование сварных и паяных конструкций</t>
        </is>
      </c>
      <c r="C317" s="9" t="inlineStr">
        <is>
          <t>ЛР</t>
        </is>
      </c>
      <c r="D317" s="9" t="inlineStr">
        <is>
          <t>Т1О-401Б-17</t>
        </is>
      </c>
      <c r="E317" s="10" t="n">
        <v>32</v>
      </c>
      <c r="F317" s="9" t="inlineStr">
        <is>
          <t>06256</t>
        </is>
      </c>
      <c r="G317" s="10" t="n">
        <v>16</v>
      </c>
      <c r="H317" s="9" t="inlineStr">
        <is>
          <t xml:space="preserve">82023     </t>
        </is>
      </c>
      <c r="I317" s="9" t="inlineStr">
        <is>
          <t xml:space="preserve">Федоров Сергей Александрович </t>
        </is>
      </c>
      <c r="J317" s="9" t="n"/>
      <c r="K317" s="9" t="n"/>
      <c r="L317" s="9" t="inlineStr">
        <is>
          <t>пн-пт по 2 пары с 14-45</t>
        </is>
      </c>
      <c r="M317" s="12">
        <f>SUMIFS($E$2:$E$1130,$A$2:$A$1130,"осень",$I$2:$I$1130,I317)</f>
        <v/>
      </c>
      <c r="N317" s="13">
        <f>SUMIFS($E$2:$E$1130,$A$2:$A$1130,"весна",$I$2:$I$1130,I317)</f>
        <v/>
      </c>
      <c r="O317" s="14">
        <f>M317+N317</f>
        <v/>
      </c>
      <c r="P317" s="15">
        <f>O317/$P$1</f>
        <v/>
      </c>
    </row>
    <row r="318" hidden="1" ht="15.75" customHeight="1" s="2">
      <c r="A318" s="8" t="inlineStr">
        <is>
          <t>осень</t>
        </is>
      </c>
      <c r="B318" s="9" t="inlineStr">
        <is>
          <t>Проектирование сварных и паяных конструкций</t>
        </is>
      </c>
      <c r="C318" s="9" t="inlineStr">
        <is>
          <t>Консультация</t>
        </is>
      </c>
      <c r="D318" s="9" t="inlineStr">
        <is>
          <t>Т1О-401Б-17</t>
        </is>
      </c>
      <c r="E318" s="10" t="n">
        <v>2</v>
      </c>
      <c r="F318" s="9" t="inlineStr">
        <is>
          <t>06256</t>
        </is>
      </c>
      <c r="G318" s="11" t="n">
        <v>0</v>
      </c>
      <c r="H318" s="9" t="inlineStr">
        <is>
          <t xml:space="preserve">82023     </t>
        </is>
      </c>
      <c r="I318" s="9" t="inlineStr">
        <is>
          <t xml:space="preserve">Федоров Сергей Александрович </t>
        </is>
      </c>
      <c r="J318" s="9" t="n"/>
      <c r="K318" s="9" t="n"/>
      <c r="L318" s="9" t="inlineStr">
        <is>
          <t>пн-пт по 2 пары с 14-45</t>
        </is>
      </c>
      <c r="M318" s="12">
        <f>SUMIFS($E$2:$E$1130,$A$2:$A$1130,"осень",$I$2:$I$1130,I318)</f>
        <v/>
      </c>
      <c r="N318" s="13">
        <f>SUMIFS($E$2:$E$1130,$A$2:$A$1130,"весна",$I$2:$I$1130,I318)</f>
        <v/>
      </c>
      <c r="O318" s="14">
        <f>M318+N318</f>
        <v/>
      </c>
      <c r="P318" s="15">
        <f>O318/$P$1</f>
        <v/>
      </c>
    </row>
    <row r="319" hidden="1" ht="15.75" customHeight="1" s="2">
      <c r="A319" s="8" t="inlineStr">
        <is>
          <t>осень</t>
        </is>
      </c>
      <c r="B319" s="9" t="inlineStr">
        <is>
          <t>Информационные технологии  в металлургии</t>
        </is>
      </c>
      <c r="C319" s="9" t="inlineStr">
        <is>
          <t>ЛК</t>
        </is>
      </c>
      <c r="D319" s="9" t="inlineStr">
        <is>
          <t>Т1В-516Б-16</t>
        </is>
      </c>
      <c r="E319" s="10" t="n">
        <v>16</v>
      </c>
      <c r="F319" s="9" t="inlineStr">
        <is>
          <t>04644</t>
        </is>
      </c>
      <c r="G319" s="10" t="n">
        <v>16</v>
      </c>
      <c r="H319" s="9" t="inlineStr">
        <is>
          <t xml:space="preserve">81720     </t>
        </is>
      </c>
      <c r="I319" s="9" t="inlineStr">
        <is>
          <t xml:space="preserve">Палтиевич Андрей Романович </t>
        </is>
      </c>
      <c r="J319" s="9" t="n"/>
      <c r="K319" s="9" t="n"/>
      <c r="L319" s="9" t="inlineStr">
        <is>
          <t>кроме вторника (523 А)</t>
        </is>
      </c>
      <c r="M319" s="12">
        <f>SUMIFS($E$2:$E$1130,$A$2:$A$1130,"осень",$I$2:$I$1130,I319)</f>
        <v/>
      </c>
      <c r="N319" s="13">
        <f>SUMIFS($E$2:$E$1130,$A$2:$A$1130,"весна",$I$2:$I$1130,I319)</f>
        <v/>
      </c>
      <c r="O319" s="14">
        <f>M319+N319</f>
        <v/>
      </c>
      <c r="P319" s="15">
        <f>O319/$P$1</f>
        <v/>
      </c>
    </row>
    <row r="320" hidden="1" ht="15.75" customHeight="1" s="2">
      <c r="A320" s="8" t="inlineStr">
        <is>
          <t>осень</t>
        </is>
      </c>
      <c r="B320" s="9" t="inlineStr">
        <is>
          <t>Информационные технологии  в металлургии</t>
        </is>
      </c>
      <c r="C320" s="9" t="inlineStr">
        <is>
          <t>ПЗ</t>
        </is>
      </c>
      <c r="D320" s="9" t="inlineStr">
        <is>
          <t>Т1В-516Б-16</t>
        </is>
      </c>
      <c r="E320" s="10" t="n">
        <v>8</v>
      </c>
      <c r="F320" s="9" t="inlineStr">
        <is>
          <t>04644</t>
        </is>
      </c>
      <c r="G320" s="10" t="n">
        <v>8</v>
      </c>
      <c r="H320" s="9" t="inlineStr">
        <is>
          <t xml:space="preserve">81720     </t>
        </is>
      </c>
      <c r="I320" s="9" t="inlineStr">
        <is>
          <t xml:space="preserve">Палтиевич Андрей Романович </t>
        </is>
      </c>
      <c r="J320" s="9" t="n"/>
      <c r="K320" s="9" t="n"/>
      <c r="L320" s="9" t="inlineStr">
        <is>
          <t>кроме вторника (521А, 522А, 525А)</t>
        </is>
      </c>
      <c r="M320" s="12">
        <f>SUMIFS($E$2:$E$1130,$A$2:$A$1130,"осень",$I$2:$I$1130,I320)</f>
        <v/>
      </c>
      <c r="N320" s="13">
        <f>SUMIFS($E$2:$E$1130,$A$2:$A$1130,"весна",$I$2:$I$1130,I320)</f>
        <v/>
      </c>
      <c r="O320" s="14">
        <f>M320+N320</f>
        <v/>
      </c>
      <c r="P320" s="15">
        <f>O320/$P$1</f>
        <v/>
      </c>
    </row>
    <row r="321" hidden="1" ht="15.75" customHeight="1" s="2">
      <c r="A321" s="8" t="inlineStr">
        <is>
          <t>осень</t>
        </is>
      </c>
      <c r="B321" s="9" t="inlineStr">
        <is>
          <t>Информационные технологии  в металлургии</t>
        </is>
      </c>
      <c r="C321" s="9" t="inlineStr">
        <is>
          <t>Экзамен</t>
        </is>
      </c>
      <c r="D321" s="9" t="inlineStr">
        <is>
          <t>Т1В-516Б-16</t>
        </is>
      </c>
      <c r="E321" s="10" t="n">
        <v>3</v>
      </c>
      <c r="F321" s="9" t="inlineStr">
        <is>
          <t>04644</t>
        </is>
      </c>
      <c r="G321" s="11" t="n">
        <v>0</v>
      </c>
      <c r="H321" s="9" t="inlineStr">
        <is>
          <t xml:space="preserve">81720     </t>
        </is>
      </c>
      <c r="I321" s="9" t="inlineStr">
        <is>
          <t xml:space="preserve">Палтиевич Андрей Романович </t>
        </is>
      </c>
      <c r="J321" s="9" t="n"/>
      <c r="K321" s="9" t="n"/>
      <c r="L321" s="9" t="inlineStr">
        <is>
          <t>кроме вторника (521А, 522А, 525А)</t>
        </is>
      </c>
      <c r="M321" s="12">
        <f>SUMIFS($E$2:$E$1130,$A$2:$A$1130,"осень",$I$2:$I$1130,I321)</f>
        <v/>
      </c>
      <c r="N321" s="13">
        <f>SUMIFS($E$2:$E$1130,$A$2:$A$1130,"весна",$I$2:$I$1130,I321)</f>
        <v/>
      </c>
      <c r="O321" s="14">
        <f>M321+N321</f>
        <v/>
      </c>
      <c r="P321" s="15">
        <f>O321/$P$1</f>
        <v/>
      </c>
    </row>
    <row r="322" hidden="1" ht="15.75" customHeight="1" s="2">
      <c r="A322" s="8" t="inlineStr">
        <is>
          <t>осень</t>
        </is>
      </c>
      <c r="B322" s="9" t="inlineStr">
        <is>
          <t>Информационные технологии  в металлургии</t>
        </is>
      </c>
      <c r="C322" s="9" t="inlineStr">
        <is>
          <t>КСР</t>
        </is>
      </c>
      <c r="D322" s="9" t="inlineStr">
        <is>
          <t>Т1В-516Б-16</t>
        </is>
      </c>
      <c r="E322" s="10" t="n">
        <v>8</v>
      </c>
      <c r="F322" s="9" t="inlineStr">
        <is>
          <t>04644</t>
        </is>
      </c>
      <c r="G322" s="10" t="n">
        <v>8</v>
      </c>
      <c r="H322" s="9" t="inlineStr">
        <is>
          <t xml:space="preserve">81720     </t>
        </is>
      </c>
      <c r="I322" s="9" t="inlineStr">
        <is>
          <t xml:space="preserve">Палтиевич Андрей Романович </t>
        </is>
      </c>
      <c r="J322" s="9" t="n"/>
      <c r="K322" s="9" t="n"/>
      <c r="L322" s="9" t="inlineStr">
        <is>
          <t>кроме вторника (521А, 522А, 525А)</t>
        </is>
      </c>
      <c r="M322" s="12">
        <f>SUMIFS($E$2:$E$1130,$A$2:$A$1130,"осень",$I$2:$I$1130,I322)</f>
        <v/>
      </c>
      <c r="N322" s="13">
        <f>SUMIFS($E$2:$E$1130,$A$2:$A$1130,"весна",$I$2:$I$1130,I322)</f>
        <v/>
      </c>
      <c r="O322" s="14">
        <f>M322+N322</f>
        <v/>
      </c>
      <c r="P322" s="15">
        <f>O322/$P$1</f>
        <v/>
      </c>
    </row>
    <row r="323" hidden="1" ht="15.75" customHeight="1" s="2">
      <c r="A323" s="17" t="inlineStr">
        <is>
          <t>осень</t>
        </is>
      </c>
      <c r="B323" s="9" t="inlineStr">
        <is>
          <t>Информационные технологии  в металлургии</t>
        </is>
      </c>
      <c r="C323" s="9" t="inlineStr">
        <is>
          <t>Консультация</t>
        </is>
      </c>
      <c r="D323" s="9" t="inlineStr">
        <is>
          <t>Т1В-516Б-16</t>
        </is>
      </c>
      <c r="E323" s="10" t="n">
        <v>4</v>
      </c>
      <c r="F323" s="9" t="inlineStr">
        <is>
          <t>04644</t>
        </is>
      </c>
      <c r="G323" s="11" t="n">
        <v>0</v>
      </c>
      <c r="H323" s="9" t="inlineStr">
        <is>
          <t xml:space="preserve">81720     </t>
        </is>
      </c>
      <c r="I323" s="9" t="inlineStr">
        <is>
          <t>Монастырский Алексей Валерьевич</t>
        </is>
      </c>
      <c r="J323" s="9" t="n"/>
      <c r="K323" s="9" t="n"/>
      <c r="L323" s="9" t="inlineStr">
        <is>
          <t>кроме вторника</t>
        </is>
      </c>
      <c r="M323" s="12">
        <f>SUMIFS($E$2:$E$1130,$A$2:$A$1130,"осень",$I$2:$I$1130,I323)</f>
        <v/>
      </c>
      <c r="N323" s="13">
        <f>SUMIFS($E$2:$E$1130,$A$2:$A$1130,"весна",$I$2:$I$1130,I323)</f>
        <v/>
      </c>
      <c r="O323" s="14">
        <f>M323+N323</f>
        <v/>
      </c>
      <c r="P323" s="15">
        <f>O323/$P$1</f>
        <v/>
      </c>
    </row>
    <row r="324" hidden="1" ht="15.75" customHeight="1" s="2">
      <c r="A324" s="8" t="inlineStr">
        <is>
          <t>осень</t>
        </is>
      </c>
      <c r="B324" s="9" t="inlineStr">
        <is>
          <t>Твердофазные методы получения композиционных материалов</t>
        </is>
      </c>
      <c r="C324" s="9" t="inlineStr">
        <is>
          <t>ЛК</t>
        </is>
      </c>
      <c r="D324" s="9" t="inlineStr">
        <is>
          <t>Т1О-402Б-17</t>
        </is>
      </c>
      <c r="E324" s="10" t="n">
        <v>24</v>
      </c>
      <c r="F324" s="9" t="inlineStr">
        <is>
          <t>04517</t>
        </is>
      </c>
      <c r="G324" s="10" t="n">
        <v>24</v>
      </c>
      <c r="H324" s="9" t="inlineStr">
        <is>
          <t xml:space="preserve">82090     </t>
        </is>
      </c>
      <c r="I324" s="9" t="inlineStr">
        <is>
          <t xml:space="preserve">Барабанова Ольга Алексеевна </t>
        </is>
      </c>
      <c r="J324" s="9" t="n"/>
      <c r="K324" s="9" t="n"/>
      <c r="L324" s="9" t="inlineStr">
        <is>
          <t>пятница с 13-00.</t>
        </is>
      </c>
      <c r="M324" s="12">
        <f>SUMIFS($E$2:$E$1130,$A$2:$A$1130,"осень",$I$2:$I$1130,I324)</f>
        <v/>
      </c>
      <c r="N324" s="13">
        <f>SUMIFS($E$2:$E$1130,$A$2:$A$1130,"весна",$I$2:$I$1130,I324)</f>
        <v/>
      </c>
      <c r="O324" s="14">
        <f>M324+N324</f>
        <v/>
      </c>
      <c r="P324" s="15">
        <f>O324/$P$1</f>
        <v/>
      </c>
    </row>
    <row r="325" hidden="1" ht="15.75" customHeight="1" s="2">
      <c r="A325" s="8" t="inlineStr">
        <is>
          <t>осень</t>
        </is>
      </c>
      <c r="B325" s="9" t="inlineStr">
        <is>
          <t>Твердофазные методы получения композиционных материалов</t>
        </is>
      </c>
      <c r="C325" s="9" t="inlineStr">
        <is>
          <t>Зачет с оценкой</t>
        </is>
      </c>
      <c r="D325" s="9" t="inlineStr">
        <is>
          <t>Т1О-402Б-17</t>
        </is>
      </c>
      <c r="E325" s="10" t="n">
        <v>6</v>
      </c>
      <c r="F325" s="9" t="inlineStr">
        <is>
          <t>04517</t>
        </is>
      </c>
      <c r="G325" s="11" t="n">
        <v>0</v>
      </c>
      <c r="H325" s="9" t="inlineStr">
        <is>
          <t xml:space="preserve">82090     </t>
        </is>
      </c>
      <c r="I325" s="9" t="inlineStr">
        <is>
          <t xml:space="preserve">Барабанова Ольга Алексеевна </t>
        </is>
      </c>
      <c r="J325" s="9" t="n"/>
      <c r="K325" s="9" t="n"/>
      <c r="L325" s="9" t="inlineStr">
        <is>
          <t>пятница с 13-00.</t>
        </is>
      </c>
      <c r="M325" s="12">
        <f>SUMIFS($E$2:$E$1130,$A$2:$A$1130,"осень",$I$2:$I$1130,I325)</f>
        <v/>
      </c>
      <c r="N325" s="13">
        <f>SUMIFS($E$2:$E$1130,$A$2:$A$1130,"весна",$I$2:$I$1130,I325)</f>
        <v/>
      </c>
      <c r="O325" s="14">
        <f>M325+N325</f>
        <v/>
      </c>
      <c r="P325" s="15">
        <f>O325/$P$1</f>
        <v/>
      </c>
    </row>
    <row r="326" hidden="1" ht="15.75" customHeight="1" s="2">
      <c r="A326" s="8" t="inlineStr">
        <is>
          <t>осень</t>
        </is>
      </c>
      <c r="B326" s="9" t="inlineStr">
        <is>
          <t>Твердофазные методы получения композиционных материалов</t>
        </is>
      </c>
      <c r="C326" s="9" t="inlineStr">
        <is>
          <t>ПЗ</t>
        </is>
      </c>
      <c r="D326" s="9" t="inlineStr">
        <is>
          <t>Т1О-402Б-17</t>
        </is>
      </c>
      <c r="E326" s="10" t="n">
        <v>28</v>
      </c>
      <c r="F326" s="9" t="inlineStr">
        <is>
          <t>04517</t>
        </is>
      </c>
      <c r="G326" s="10" t="n">
        <v>28</v>
      </c>
      <c r="H326" s="9" t="inlineStr">
        <is>
          <t xml:space="preserve">82090     </t>
        </is>
      </c>
      <c r="I326" s="9" t="inlineStr">
        <is>
          <t xml:space="preserve">Барабанова Ольга Алексеевна </t>
        </is>
      </c>
      <c r="J326" s="9" t="n"/>
      <c r="K326" s="9" t="n"/>
      <c r="L326" s="9" t="inlineStr">
        <is>
          <t>пятница с 13-00.</t>
        </is>
      </c>
      <c r="M326" s="12">
        <f>SUMIFS($E$2:$E$1130,$A$2:$A$1130,"осень",$I$2:$I$1130,I326)</f>
        <v/>
      </c>
      <c r="N326" s="13">
        <f>SUMIFS($E$2:$E$1130,$A$2:$A$1130,"весна",$I$2:$I$1130,I326)</f>
        <v/>
      </c>
      <c r="O326" s="14">
        <f>M326+N326</f>
        <v/>
      </c>
      <c r="P326" s="15">
        <f>O326/$P$1</f>
        <v/>
      </c>
    </row>
    <row r="327" hidden="1" ht="15.75" customHeight="1" s="2">
      <c r="A327" s="8" t="inlineStr">
        <is>
          <t>осень</t>
        </is>
      </c>
      <c r="B327" s="9" t="inlineStr">
        <is>
          <t>Твердофазные методы получения композиционных материалов</t>
        </is>
      </c>
      <c r="C327" s="9" t="inlineStr">
        <is>
          <t>ЛР</t>
        </is>
      </c>
      <c r="D327" s="9" t="inlineStr">
        <is>
          <t>Т1О-402Б-17</t>
        </is>
      </c>
      <c r="E327" s="10" t="n">
        <v>16</v>
      </c>
      <c r="F327" s="9" t="inlineStr">
        <is>
          <t>04517</t>
        </is>
      </c>
      <c r="G327" s="10" t="n">
        <v>8</v>
      </c>
      <c r="H327" s="9" t="inlineStr">
        <is>
          <t xml:space="preserve">82090     </t>
        </is>
      </c>
      <c r="I327" s="9" t="inlineStr">
        <is>
          <t xml:space="preserve">Барабанова Ольга Алексеевна </t>
        </is>
      </c>
      <c r="J327" s="9" t="n"/>
      <c r="K327" s="9" t="n"/>
      <c r="L327" s="9" t="inlineStr">
        <is>
          <t>пятница с 13-00.</t>
        </is>
      </c>
      <c r="M327" s="12">
        <f>SUMIFS($E$2:$E$1130,$A$2:$A$1130,"осень",$I$2:$I$1130,I327)</f>
        <v/>
      </c>
      <c r="N327" s="13">
        <f>SUMIFS($E$2:$E$1130,$A$2:$A$1130,"весна",$I$2:$I$1130,I327)</f>
        <v/>
      </c>
      <c r="O327" s="14">
        <f>M327+N327</f>
        <v/>
      </c>
      <c r="P327" s="15">
        <f>O327/$P$1</f>
        <v/>
      </c>
    </row>
    <row r="328" hidden="1" ht="15.75" customHeight="1" s="2">
      <c r="A328" s="8" t="inlineStr">
        <is>
          <t>осень</t>
        </is>
      </c>
      <c r="B328" s="9" t="inlineStr">
        <is>
          <t>Твердофазные методы получения композиционных материалов</t>
        </is>
      </c>
      <c r="C328" s="9" t="inlineStr">
        <is>
          <t>Консультация</t>
        </is>
      </c>
      <c r="D328" s="9" t="inlineStr">
        <is>
          <t>Т1О-402Б-17</t>
        </is>
      </c>
      <c r="E328" s="10" t="n">
        <v>1</v>
      </c>
      <c r="F328" s="9" t="inlineStr">
        <is>
          <t>04517</t>
        </is>
      </c>
      <c r="G328" s="11" t="n">
        <v>0</v>
      </c>
      <c r="H328" s="9" t="inlineStr">
        <is>
          <t xml:space="preserve">82090     </t>
        </is>
      </c>
      <c r="I328" s="9" t="inlineStr">
        <is>
          <t xml:space="preserve">Барабанова Ольга Алексеевна </t>
        </is>
      </c>
      <c r="J328" s="9" t="n"/>
      <c r="K328" s="9" t="n"/>
      <c r="L328" s="9" t="inlineStr">
        <is>
          <t>пятница с 13-00.</t>
        </is>
      </c>
      <c r="M328" s="12">
        <f>SUMIFS($E$2:$E$1130,$A$2:$A$1130,"осень",$I$2:$I$1130,I328)</f>
        <v/>
      </c>
      <c r="N328" s="13">
        <f>SUMIFS($E$2:$E$1130,$A$2:$A$1130,"весна",$I$2:$I$1130,I328)</f>
        <v/>
      </c>
      <c r="O328" s="14">
        <f>M328+N328</f>
        <v/>
      </c>
      <c r="P328" s="15">
        <f>O328/$P$1</f>
        <v/>
      </c>
    </row>
    <row r="329" hidden="1" ht="15.75" customHeight="1" s="2">
      <c r="A329" s="8" t="inlineStr">
        <is>
          <t>осень</t>
        </is>
      </c>
      <c r="B329" s="9" t="inlineStr">
        <is>
          <t>Теория затвердевания отливки</t>
        </is>
      </c>
      <c r="C329" s="9" t="inlineStr">
        <is>
          <t>ЛК</t>
        </is>
      </c>
      <c r="D329" s="9" t="inlineStr">
        <is>
          <t>Т1О-402Б-17</t>
        </is>
      </c>
      <c r="E329" s="10" t="n">
        <v>24</v>
      </c>
      <c r="F329" s="9" t="inlineStr">
        <is>
          <t>04517</t>
        </is>
      </c>
      <c r="G329" s="10" t="n">
        <v>24</v>
      </c>
      <c r="H329" s="9" t="inlineStr">
        <is>
          <t xml:space="preserve">82086     </t>
        </is>
      </c>
      <c r="I329" s="9" t="inlineStr">
        <is>
          <t xml:space="preserve">Смыков Андрей Федорович </t>
        </is>
      </c>
      <c r="J329" s="9" t="inlineStr">
        <is>
          <t>профессор</t>
        </is>
      </c>
      <c r="K329" s="9" t="n"/>
      <c r="L329" s="9" t="n"/>
      <c r="M329" s="12">
        <f>SUMIFS($E$2:$E$1130,$A$2:$A$1130,"осень",$I$2:$I$1130,I329)</f>
        <v/>
      </c>
      <c r="N329" s="13">
        <f>SUMIFS($E$2:$E$1130,$A$2:$A$1130,"весна",$I$2:$I$1130,I329)</f>
        <v/>
      </c>
      <c r="O329" s="14">
        <f>M329+N329</f>
        <v/>
      </c>
      <c r="P329" s="15">
        <f>O329/$P$1</f>
        <v/>
      </c>
    </row>
    <row r="330" hidden="1" ht="15.75" customHeight="1" s="2">
      <c r="A330" s="8" t="inlineStr">
        <is>
          <t>осень</t>
        </is>
      </c>
      <c r="B330" s="9" t="inlineStr">
        <is>
          <t>Теория затвердевания отливки</t>
        </is>
      </c>
      <c r="C330" s="9" t="inlineStr">
        <is>
          <t>Зачет с оценкой</t>
        </is>
      </c>
      <c r="D330" s="9" t="inlineStr">
        <is>
          <t>Т1О-402Б-17</t>
        </is>
      </c>
      <c r="E330" s="10" t="n">
        <v>6</v>
      </c>
      <c r="F330" s="9" t="inlineStr">
        <is>
          <t>04517</t>
        </is>
      </c>
      <c r="G330" s="11" t="n">
        <v>0</v>
      </c>
      <c r="H330" s="9" t="inlineStr">
        <is>
          <t xml:space="preserve">82086     </t>
        </is>
      </c>
      <c r="I330" s="9" t="inlineStr">
        <is>
          <t xml:space="preserve">Смыков Андрей Федорович </t>
        </is>
      </c>
      <c r="J330" s="9" t="inlineStr">
        <is>
          <t>профессор</t>
        </is>
      </c>
      <c r="K330" s="9" t="n"/>
      <c r="L330" s="9" t="n"/>
      <c r="M330" s="12">
        <f>SUMIFS($E$2:$E$1130,$A$2:$A$1130,"осень",$I$2:$I$1130,I330)</f>
        <v/>
      </c>
      <c r="N330" s="13">
        <f>SUMIFS($E$2:$E$1130,$A$2:$A$1130,"весна",$I$2:$I$1130,I330)</f>
        <v/>
      </c>
      <c r="O330" s="14">
        <f>M330+N330</f>
        <v/>
      </c>
      <c r="P330" s="15">
        <f>O330/$P$1</f>
        <v/>
      </c>
    </row>
    <row r="331" hidden="1" ht="15.75" customHeight="1" s="2">
      <c r="A331" s="8" t="inlineStr">
        <is>
          <t>осень</t>
        </is>
      </c>
      <c r="B331" s="9" t="inlineStr">
        <is>
          <t>Теория затвердевания отливки</t>
        </is>
      </c>
      <c r="C331" s="9" t="inlineStr">
        <is>
          <t>ПЗ</t>
        </is>
      </c>
      <c r="D331" s="9" t="inlineStr">
        <is>
          <t>Т1О-402Б-17</t>
        </is>
      </c>
      <c r="E331" s="10" t="n">
        <v>12</v>
      </c>
      <c r="F331" s="9" t="inlineStr">
        <is>
          <t>04517</t>
        </is>
      </c>
      <c r="G331" s="10" t="n">
        <v>12</v>
      </c>
      <c r="H331" s="9" t="inlineStr">
        <is>
          <t xml:space="preserve">82086     </t>
        </is>
      </c>
      <c r="I331" s="9" t="inlineStr">
        <is>
          <t xml:space="preserve">Смыков Андрей Федорович </t>
        </is>
      </c>
      <c r="J331" s="9" t="inlineStr">
        <is>
          <t>профессор</t>
        </is>
      </c>
      <c r="K331" s="9" t="n"/>
      <c r="L331" s="9" t="n"/>
      <c r="M331" s="12">
        <f>SUMIFS($E$2:$E$1130,$A$2:$A$1130,"осень",$I$2:$I$1130,I331)</f>
        <v/>
      </c>
      <c r="N331" s="13">
        <f>SUMIFS($E$2:$E$1130,$A$2:$A$1130,"весна",$I$2:$I$1130,I331)</f>
        <v/>
      </c>
      <c r="O331" s="14">
        <f>M331+N331</f>
        <v/>
      </c>
      <c r="P331" s="15">
        <f>O331/$P$1</f>
        <v/>
      </c>
    </row>
    <row r="332" hidden="1" ht="15.75" customHeight="1" s="2">
      <c r="A332" s="8" t="inlineStr">
        <is>
          <t>осень</t>
        </is>
      </c>
      <c r="B332" s="9" t="inlineStr">
        <is>
          <t>Теория затвердевания отливки</t>
        </is>
      </c>
      <c r="C332" s="9" t="inlineStr">
        <is>
          <t>ЛР</t>
        </is>
      </c>
      <c r="D332" s="9" t="inlineStr">
        <is>
          <t>Т1О-402Б-17</t>
        </is>
      </c>
      <c r="E332" s="10" t="n">
        <v>48</v>
      </c>
      <c r="F332" s="9" t="inlineStr">
        <is>
          <t>04517</t>
        </is>
      </c>
      <c r="G332" s="10" t="n">
        <v>24</v>
      </c>
      <c r="H332" s="9" t="inlineStr">
        <is>
          <t xml:space="preserve">82086     </t>
        </is>
      </c>
      <c r="I332" s="9" t="inlineStr">
        <is>
          <t xml:space="preserve">Смыков Андрей Федорович </t>
        </is>
      </c>
      <c r="J332" s="9" t="inlineStr">
        <is>
          <t>профессор</t>
        </is>
      </c>
      <c r="K332" s="9" t="n"/>
      <c r="L332" s="9" t="n"/>
      <c r="M332" s="12">
        <f>SUMIFS($E$2:$E$1130,$A$2:$A$1130,"осень",$I$2:$I$1130,I332)</f>
        <v/>
      </c>
      <c r="N332" s="13">
        <f>SUMIFS($E$2:$E$1130,$A$2:$A$1130,"весна",$I$2:$I$1130,I332)</f>
        <v/>
      </c>
      <c r="O332" s="14">
        <f>M332+N332</f>
        <v/>
      </c>
      <c r="P332" s="15">
        <f>O332/$P$1</f>
        <v/>
      </c>
    </row>
    <row r="333" hidden="1" ht="15.75" customHeight="1" s="2">
      <c r="A333" s="8" t="inlineStr">
        <is>
          <t>осень</t>
        </is>
      </c>
      <c r="B333" s="9" t="inlineStr">
        <is>
          <t>Теория затвердевания отливки</t>
        </is>
      </c>
      <c r="C333" s="9" t="inlineStr">
        <is>
          <t>Консультация</t>
        </is>
      </c>
      <c r="D333" s="9" t="inlineStr">
        <is>
          <t>Т1О-402Б-17</t>
        </is>
      </c>
      <c r="E333" s="10" t="n">
        <v>1</v>
      </c>
      <c r="F333" s="9" t="inlineStr">
        <is>
          <t>04517</t>
        </is>
      </c>
      <c r="G333" s="11" t="n">
        <v>0</v>
      </c>
      <c r="H333" s="9" t="inlineStr">
        <is>
          <t xml:space="preserve">82086     </t>
        </is>
      </c>
      <c r="I333" s="9" t="inlineStr">
        <is>
          <t xml:space="preserve">Смыков Андрей Федорович </t>
        </is>
      </c>
      <c r="J333" s="9" t="inlineStr">
        <is>
          <t>профессор</t>
        </is>
      </c>
      <c r="K333" s="9" t="n"/>
      <c r="L333" s="9" t="n"/>
      <c r="M333" s="12">
        <f>SUMIFS($E$2:$E$1130,$A$2:$A$1130,"осень",$I$2:$I$1130,I333)</f>
        <v/>
      </c>
      <c r="N333" s="13">
        <f>SUMIFS($E$2:$E$1130,$A$2:$A$1130,"весна",$I$2:$I$1130,I333)</f>
        <v/>
      </c>
      <c r="O333" s="14">
        <f>M333+N333</f>
        <v/>
      </c>
      <c r="P333" s="15">
        <f>O333/$P$1</f>
        <v/>
      </c>
    </row>
    <row r="334" hidden="1" ht="15.75" customHeight="1" s="2">
      <c r="A334" s="8" t="inlineStr">
        <is>
          <t>осень</t>
        </is>
      </c>
      <c r="B334" s="9" t="inlineStr">
        <is>
          <t>Оборудование и автоматизация литейных цехов</t>
        </is>
      </c>
      <c r="C334" s="9" t="inlineStr">
        <is>
          <t>ЛК</t>
        </is>
      </c>
      <c r="D334" s="9" t="inlineStr">
        <is>
          <t>Т1О-402Б-17</t>
        </is>
      </c>
      <c r="E334" s="10" t="n">
        <v>28</v>
      </c>
      <c r="F334" s="9" t="inlineStr">
        <is>
          <t>04517</t>
        </is>
      </c>
      <c r="G334" s="10" t="n">
        <v>28</v>
      </c>
      <c r="H334" s="9" t="inlineStr">
        <is>
          <t xml:space="preserve">82020     </t>
        </is>
      </c>
      <c r="I334" s="9" t="inlineStr">
        <is>
          <t xml:space="preserve">Варфоломеев Максим Сергеевич </t>
        </is>
      </c>
      <c r="J334" s="9" t="inlineStr">
        <is>
          <t>доцент</t>
        </is>
      </c>
      <c r="K334" s="9" t="n"/>
      <c r="L334" s="9" t="inlineStr">
        <is>
          <t>не более двух дней в неделю</t>
        </is>
      </c>
      <c r="M334" s="12">
        <f>SUMIFS($E$2:$E$1130,$A$2:$A$1130,"осень",$I$2:$I$1130,I334)</f>
        <v/>
      </c>
      <c r="N334" s="13">
        <f>SUMIFS($E$2:$E$1130,$A$2:$A$1130,"весна",$I$2:$I$1130,I334)</f>
        <v/>
      </c>
      <c r="O334" s="14">
        <f>M334+N334</f>
        <v/>
      </c>
      <c r="P334" s="15">
        <f>O334/$P$1</f>
        <v/>
      </c>
    </row>
    <row r="335" hidden="1" ht="15.75" customHeight="1" s="2">
      <c r="A335" s="8" t="inlineStr">
        <is>
          <t>осень</t>
        </is>
      </c>
      <c r="B335" s="9" t="inlineStr">
        <is>
          <t>Оборудование и автоматизация литейных цехов</t>
        </is>
      </c>
      <c r="C335" s="9" t="inlineStr">
        <is>
          <t>Зачет с оценкой</t>
        </is>
      </c>
      <c r="D335" s="9" t="inlineStr">
        <is>
          <t>Т1О-402Б-17</t>
        </is>
      </c>
      <c r="E335" s="10" t="n">
        <v>6</v>
      </c>
      <c r="F335" s="9" t="inlineStr">
        <is>
          <t>04517</t>
        </is>
      </c>
      <c r="G335" s="11" t="n">
        <v>0</v>
      </c>
      <c r="H335" s="9" t="inlineStr">
        <is>
          <t xml:space="preserve">82020     </t>
        </is>
      </c>
      <c r="I335" s="9" t="inlineStr">
        <is>
          <t xml:space="preserve">Варфоломеев Максим Сергеевич </t>
        </is>
      </c>
      <c r="J335" s="9" t="inlineStr">
        <is>
          <t>доцент</t>
        </is>
      </c>
      <c r="K335" s="9" t="n"/>
      <c r="L335" s="9" t="inlineStr">
        <is>
          <t>не более двух дней в неделю</t>
        </is>
      </c>
      <c r="M335" s="12">
        <f>SUMIFS($E$2:$E$1130,$A$2:$A$1130,"осень",$I$2:$I$1130,I335)</f>
        <v/>
      </c>
      <c r="N335" s="13">
        <f>SUMIFS($E$2:$E$1130,$A$2:$A$1130,"весна",$I$2:$I$1130,I335)</f>
        <v/>
      </c>
      <c r="O335" s="14">
        <f>M335+N335</f>
        <v/>
      </c>
      <c r="P335" s="15">
        <f>O335/$P$1</f>
        <v/>
      </c>
    </row>
    <row r="336" hidden="1" ht="15.75" customHeight="1" s="2">
      <c r="A336" s="8" t="inlineStr">
        <is>
          <t>осень</t>
        </is>
      </c>
      <c r="B336" s="9" t="inlineStr">
        <is>
          <t>Оборудование и автоматизация литейных цехов</t>
        </is>
      </c>
      <c r="C336" s="9" t="inlineStr">
        <is>
          <t>ПЗ</t>
        </is>
      </c>
      <c r="D336" s="9" t="inlineStr">
        <is>
          <t>Т1О-402Б-17</t>
        </is>
      </c>
      <c r="E336" s="10" t="n">
        <v>32</v>
      </c>
      <c r="F336" s="9" t="inlineStr">
        <is>
          <t>04517</t>
        </is>
      </c>
      <c r="G336" s="10" t="n">
        <v>32</v>
      </c>
      <c r="H336" s="9" t="inlineStr">
        <is>
          <t xml:space="preserve">82020     </t>
        </is>
      </c>
      <c r="I336" s="9" t="inlineStr">
        <is>
          <t xml:space="preserve">Варфоломеев Максим Сергеевич </t>
        </is>
      </c>
      <c r="J336" s="9" t="inlineStr">
        <is>
          <t>доцент</t>
        </is>
      </c>
      <c r="K336" s="9" t="n"/>
      <c r="L336" s="9" t="inlineStr">
        <is>
          <t>не более двух дней в неделю</t>
        </is>
      </c>
      <c r="M336" s="12">
        <f>SUMIFS($E$2:$E$1130,$A$2:$A$1130,"осень",$I$2:$I$1130,I336)</f>
        <v/>
      </c>
      <c r="N336" s="13">
        <f>SUMIFS($E$2:$E$1130,$A$2:$A$1130,"весна",$I$2:$I$1130,I336)</f>
        <v/>
      </c>
      <c r="O336" s="14">
        <f>M336+N336</f>
        <v/>
      </c>
      <c r="P336" s="15">
        <f>O336/$P$1</f>
        <v/>
      </c>
    </row>
    <row r="337" hidden="1" ht="15.75" customHeight="1" s="2">
      <c r="A337" s="8" t="inlineStr">
        <is>
          <t>осень</t>
        </is>
      </c>
      <c r="B337" s="9" t="inlineStr">
        <is>
          <t>Оборудование и автоматизация литейных цехов</t>
        </is>
      </c>
      <c r="C337" s="9" t="inlineStr">
        <is>
          <t>Консультация</t>
        </is>
      </c>
      <c r="D337" s="9" t="inlineStr">
        <is>
          <t>Т1О-402Б-17</t>
        </is>
      </c>
      <c r="E337" s="10" t="n">
        <v>1</v>
      </c>
      <c r="F337" s="9" t="inlineStr">
        <is>
          <t>04517</t>
        </is>
      </c>
      <c r="G337" s="11" t="n">
        <v>0</v>
      </c>
      <c r="H337" s="9" t="inlineStr">
        <is>
          <t xml:space="preserve">82020     </t>
        </is>
      </c>
      <c r="I337" s="9" t="inlineStr">
        <is>
          <t xml:space="preserve">Варфоломеев Максим Сергеевич </t>
        </is>
      </c>
      <c r="J337" s="9" t="inlineStr">
        <is>
          <t>доцент</t>
        </is>
      </c>
      <c r="K337" s="9" t="n"/>
      <c r="L337" s="9" t="inlineStr">
        <is>
          <t>не более двух дней в неделю</t>
        </is>
      </c>
      <c r="M337" s="12">
        <f>SUMIFS($E$2:$E$1130,$A$2:$A$1130,"осень",$I$2:$I$1130,I337)</f>
        <v/>
      </c>
      <c r="N337" s="13">
        <f>SUMIFS($E$2:$E$1130,$A$2:$A$1130,"весна",$I$2:$I$1130,I337)</f>
        <v/>
      </c>
      <c r="O337" s="14">
        <f>M337+N337</f>
        <v/>
      </c>
      <c r="P337" s="15">
        <f>O337/$P$1</f>
        <v/>
      </c>
    </row>
    <row r="338" hidden="1" ht="15.75" customHeight="1" s="2">
      <c r="A338" s="8" t="inlineStr">
        <is>
          <t>осень</t>
        </is>
      </c>
      <c r="B338" s="9" t="inlineStr">
        <is>
          <t>Прикладные системы ИПИ технологий</t>
        </is>
      </c>
      <c r="C338" s="9" t="inlineStr">
        <is>
          <t>ЛК</t>
        </is>
      </c>
      <c r="D338" s="9" t="inlineStr">
        <is>
          <t>М3О-434Б-17</t>
        </is>
      </c>
      <c r="E338" s="10" t="n">
        <v>24</v>
      </c>
      <c r="F338" s="9" t="inlineStr">
        <is>
          <t>08457</t>
        </is>
      </c>
      <c r="G338" s="10" t="n">
        <v>24</v>
      </c>
      <c r="H338" s="9" t="inlineStr">
        <is>
          <t xml:space="preserve">81724     </t>
        </is>
      </c>
      <c r="I338" s="9" t="inlineStr">
        <is>
          <t xml:space="preserve">Галкин Евгений Владимирович </t>
        </is>
      </c>
      <c r="J338" s="9" t="inlineStr">
        <is>
          <t>доцент</t>
        </is>
      </c>
      <c r="K338" s="9" t="n"/>
      <c r="L338" s="9" t="inlineStr">
        <is>
          <t>кроме пятницы (525 А)</t>
        </is>
      </c>
      <c r="M338" s="12">
        <f>SUMIFS($E$2:$E$1130,$A$2:$A$1130,"осень",$I$2:$I$1130,I338)</f>
        <v/>
      </c>
      <c r="N338" s="13">
        <f>SUMIFS($E$2:$E$1130,$A$2:$A$1130,"весна",$I$2:$I$1130,I338)</f>
        <v/>
      </c>
      <c r="O338" s="14">
        <f>M338+N338</f>
        <v/>
      </c>
      <c r="P338" s="15">
        <f>O338/$P$1</f>
        <v/>
      </c>
    </row>
    <row r="339" hidden="1" ht="15.75" customHeight="1" s="2">
      <c r="A339" s="8" t="inlineStr">
        <is>
          <t>осень</t>
        </is>
      </c>
      <c r="B339" s="9" t="inlineStr">
        <is>
          <t>Прикладные системы ИПИ технологий</t>
        </is>
      </c>
      <c r="C339" s="9" t="inlineStr">
        <is>
          <t>КР</t>
        </is>
      </c>
      <c r="D339" s="9" t="inlineStr">
        <is>
          <t>М3О-434Б-17</t>
        </is>
      </c>
      <c r="E339" s="10" t="n">
        <v>54</v>
      </c>
      <c r="F339" s="9" t="inlineStr">
        <is>
          <t>08457</t>
        </is>
      </c>
      <c r="G339" s="11" t="n">
        <v>0</v>
      </c>
      <c r="H339" s="9" t="inlineStr">
        <is>
          <t xml:space="preserve">81724     </t>
        </is>
      </c>
      <c r="I339" s="9" t="inlineStr">
        <is>
          <t xml:space="preserve">Галкин Евгений Владимирович </t>
        </is>
      </c>
      <c r="J339" s="9" t="inlineStr">
        <is>
          <t>доцент</t>
        </is>
      </c>
      <c r="K339" s="9" t="n"/>
      <c r="L339" s="9" t="inlineStr">
        <is>
          <t>кроме пятницы (525 А)</t>
        </is>
      </c>
      <c r="M339" s="12">
        <f>SUMIFS($E$2:$E$1130,$A$2:$A$1130,"осень",$I$2:$I$1130,I339)</f>
        <v/>
      </c>
      <c r="N339" s="13">
        <f>SUMIFS($E$2:$E$1130,$A$2:$A$1130,"весна",$I$2:$I$1130,I339)</f>
        <v/>
      </c>
      <c r="O339" s="14">
        <f>M339+N339</f>
        <v/>
      </c>
      <c r="P339" s="15">
        <f>O339/$P$1</f>
        <v/>
      </c>
    </row>
    <row r="340" hidden="1" ht="15.75" customHeight="1" s="2">
      <c r="A340" s="8" t="inlineStr">
        <is>
          <t>осень</t>
        </is>
      </c>
      <c r="B340" s="9" t="inlineStr">
        <is>
          <t>Прикладные системы ИПИ технологий</t>
        </is>
      </c>
      <c r="C340" s="9" t="inlineStr">
        <is>
          <t>ПЗ</t>
        </is>
      </c>
      <c r="D340" s="9" t="inlineStr">
        <is>
          <t>М3О-434Б-17</t>
        </is>
      </c>
      <c r="E340" s="10" t="n">
        <v>26</v>
      </c>
      <c r="F340" s="9" t="inlineStr">
        <is>
          <t>08457</t>
        </is>
      </c>
      <c r="G340" s="10" t="n">
        <v>26</v>
      </c>
      <c r="H340" s="9" t="inlineStr">
        <is>
          <t xml:space="preserve">81724     </t>
        </is>
      </c>
      <c r="I340" s="9" t="inlineStr">
        <is>
          <t xml:space="preserve">Галкин Евгений Владимирович </t>
        </is>
      </c>
      <c r="J340" s="9" t="inlineStr">
        <is>
          <t>доцент</t>
        </is>
      </c>
      <c r="K340" s="9" t="n"/>
      <c r="L340" s="9" t="inlineStr">
        <is>
          <t>кроме пятницы (525 А)</t>
        </is>
      </c>
      <c r="M340" s="12">
        <f>SUMIFS($E$2:$E$1130,$A$2:$A$1130,"осень",$I$2:$I$1130,I340)</f>
        <v/>
      </c>
      <c r="N340" s="13">
        <f>SUMIFS($E$2:$E$1130,$A$2:$A$1130,"весна",$I$2:$I$1130,I340)</f>
        <v/>
      </c>
      <c r="O340" s="14">
        <f>M340+N340</f>
        <v/>
      </c>
      <c r="P340" s="15">
        <f>O340/$P$1</f>
        <v/>
      </c>
    </row>
    <row r="341" hidden="1" ht="15.75" customHeight="1" s="2">
      <c r="A341" s="8" t="inlineStr">
        <is>
          <t>осень</t>
        </is>
      </c>
      <c r="B341" s="9" t="inlineStr">
        <is>
          <t>Прикладные системы ИПИ технологий</t>
        </is>
      </c>
      <c r="C341" s="9" t="inlineStr">
        <is>
          <t>ЛР</t>
        </is>
      </c>
      <c r="D341" s="9" t="inlineStr">
        <is>
          <t>М3О-434Б-17</t>
        </is>
      </c>
      <c r="E341" s="10" t="n">
        <v>32</v>
      </c>
      <c r="F341" s="9" t="inlineStr">
        <is>
          <t>08457</t>
        </is>
      </c>
      <c r="G341" s="10" t="n">
        <v>16</v>
      </c>
      <c r="H341" s="9" t="inlineStr">
        <is>
          <t xml:space="preserve">81724     </t>
        </is>
      </c>
      <c r="I341" s="9" t="inlineStr">
        <is>
          <t xml:space="preserve">Галкин Евгений Владимирович </t>
        </is>
      </c>
      <c r="J341" s="9" t="inlineStr">
        <is>
          <t>доцент</t>
        </is>
      </c>
      <c r="K341" s="9" t="n"/>
      <c r="L341" s="9" t="inlineStr">
        <is>
          <t>кроме пятницы (525 А)</t>
        </is>
      </c>
      <c r="M341" s="12">
        <f>SUMIFS($E$2:$E$1130,$A$2:$A$1130,"осень",$I$2:$I$1130,I341)</f>
        <v/>
      </c>
      <c r="N341" s="13">
        <f>SUMIFS($E$2:$E$1130,$A$2:$A$1130,"весна",$I$2:$I$1130,I341)</f>
        <v/>
      </c>
      <c r="O341" s="14">
        <f>M341+N341</f>
        <v/>
      </c>
      <c r="P341" s="15">
        <f>O341/$P$1</f>
        <v/>
      </c>
    </row>
    <row r="342" hidden="1" ht="15.75" customHeight="1" s="2">
      <c r="A342" s="8" t="inlineStr">
        <is>
          <t>осень</t>
        </is>
      </c>
      <c r="B342" s="9" t="inlineStr">
        <is>
          <t>Прикладные системы ИПИ технологий</t>
        </is>
      </c>
      <c r="C342" s="9" t="inlineStr">
        <is>
          <t>Экзамен</t>
        </is>
      </c>
      <c r="D342" s="9" t="inlineStr">
        <is>
          <t>М3О-434Б-17</t>
        </is>
      </c>
      <c r="E342" s="10" t="n">
        <v>9</v>
      </c>
      <c r="F342" s="9" t="inlineStr">
        <is>
          <t>08457</t>
        </is>
      </c>
      <c r="G342" s="11" t="n">
        <v>0</v>
      </c>
      <c r="H342" s="9" t="inlineStr">
        <is>
          <t xml:space="preserve">81724     </t>
        </is>
      </c>
      <c r="I342" s="9" t="inlineStr">
        <is>
          <t xml:space="preserve">Галкин Евгений Владимирович </t>
        </is>
      </c>
      <c r="J342" s="9" t="inlineStr">
        <is>
          <t>доцент</t>
        </is>
      </c>
      <c r="K342" s="9" t="n"/>
      <c r="L342" s="9" t="inlineStr">
        <is>
          <t>кроме пятницы (525 А)</t>
        </is>
      </c>
      <c r="M342" s="12">
        <f>SUMIFS($E$2:$E$1130,$A$2:$A$1130,"осень",$I$2:$I$1130,I342)</f>
        <v/>
      </c>
      <c r="N342" s="13">
        <f>SUMIFS($E$2:$E$1130,$A$2:$A$1130,"весна",$I$2:$I$1130,I342)</f>
        <v/>
      </c>
      <c r="O342" s="14">
        <f>M342+N342</f>
        <v/>
      </c>
      <c r="P342" s="15">
        <f>O342/$P$1</f>
        <v/>
      </c>
    </row>
    <row r="343" hidden="1" ht="15.75" customHeight="1" s="2">
      <c r="A343" s="8" t="inlineStr">
        <is>
          <t>осень</t>
        </is>
      </c>
      <c r="B343" s="9" t="inlineStr">
        <is>
          <t>Прикладные системы ИПИ технологий</t>
        </is>
      </c>
      <c r="C343" s="9" t="inlineStr">
        <is>
          <t>Консультация</t>
        </is>
      </c>
      <c r="D343" s="9" t="inlineStr">
        <is>
          <t>М3О-434Б-17</t>
        </is>
      </c>
      <c r="E343" s="10" t="n">
        <v>3</v>
      </c>
      <c r="F343" s="9" t="inlineStr">
        <is>
          <t>08457</t>
        </is>
      </c>
      <c r="G343" s="11" t="n">
        <v>0</v>
      </c>
      <c r="H343" s="9" t="inlineStr">
        <is>
          <t xml:space="preserve">81724     </t>
        </is>
      </c>
      <c r="I343" s="9" t="inlineStr">
        <is>
          <t xml:space="preserve">Галкин Евгений Владимирович </t>
        </is>
      </c>
      <c r="J343" s="9" t="inlineStr">
        <is>
          <t>доцент</t>
        </is>
      </c>
      <c r="K343" s="9" t="n"/>
      <c r="L343" s="9" t="inlineStr">
        <is>
          <t>кроме пятницы (525 А)</t>
        </is>
      </c>
      <c r="M343" s="12">
        <f>SUMIFS($E$2:$E$1130,$A$2:$A$1130,"осень",$I$2:$I$1130,I343)</f>
        <v/>
      </c>
      <c r="N343" s="13">
        <f>SUMIFS($E$2:$E$1130,$A$2:$A$1130,"весна",$I$2:$I$1130,I343)</f>
        <v/>
      </c>
      <c r="O343" s="14">
        <f>M343+N343</f>
        <v/>
      </c>
      <c r="P343" s="15">
        <f>O343/$P$1</f>
        <v/>
      </c>
    </row>
    <row r="344" hidden="1" ht="15.75" customHeight="1" s="2">
      <c r="A344" s="8" t="inlineStr">
        <is>
          <t>осень</t>
        </is>
      </c>
      <c r="B344" s="9" t="inlineStr">
        <is>
          <t>Спецглавы теории литейных процессов</t>
        </is>
      </c>
      <c r="C344" s="9" t="inlineStr">
        <is>
          <t>Зачет с оценкой</t>
        </is>
      </c>
      <c r="D344" s="9" t="inlineStr">
        <is>
          <t>Т11О-202М-19</t>
        </is>
      </c>
      <c r="E344" s="10" t="n">
        <v>2</v>
      </c>
      <c r="F344" s="9" t="inlineStr">
        <is>
          <t>12880</t>
        </is>
      </c>
      <c r="G344" s="11" t="n">
        <v>0</v>
      </c>
      <c r="H344" s="9" t="inlineStr">
        <is>
          <t xml:space="preserve">89067     </t>
        </is>
      </c>
      <c r="I344" s="9" t="inlineStr">
        <is>
          <t xml:space="preserve">Ряховский Александр Павлович </t>
        </is>
      </c>
      <c r="J344" s="9" t="inlineStr">
        <is>
          <t>доцент</t>
        </is>
      </c>
      <c r="K344" s="9" t="n"/>
      <c r="L344" s="9" t="inlineStr">
        <is>
          <t>только ПН, ЧТ</t>
        </is>
      </c>
      <c r="M344" s="12">
        <f>SUMIFS($E$2:$E$1130,$A$2:$A$1130,"осень",$I$2:$I$1130,I344)</f>
        <v/>
      </c>
      <c r="N344" s="13">
        <f>SUMIFS($E$2:$E$1130,$A$2:$A$1130,"весна",$I$2:$I$1130,I344)</f>
        <v/>
      </c>
      <c r="O344" s="14">
        <f>M344+N344</f>
        <v/>
      </c>
      <c r="P344" s="15">
        <f>O344/$P$1</f>
        <v/>
      </c>
    </row>
    <row r="345" hidden="1" ht="15.75" customHeight="1" s="2">
      <c r="A345" s="8" t="inlineStr">
        <is>
          <t>осень</t>
        </is>
      </c>
      <c r="B345" s="9" t="inlineStr">
        <is>
          <t>Спецглавы теории литейных процессов</t>
        </is>
      </c>
      <c r="C345" s="9" t="inlineStr">
        <is>
          <t>ПЗ</t>
        </is>
      </c>
      <c r="D345" s="9" t="inlineStr">
        <is>
          <t>Т11О-202М-19</t>
        </is>
      </c>
      <c r="E345" s="10" t="n">
        <v>36</v>
      </c>
      <c r="F345" s="9" t="inlineStr">
        <is>
          <t>12880</t>
        </is>
      </c>
      <c r="G345" s="10" t="n">
        <v>36</v>
      </c>
      <c r="H345" s="9" t="inlineStr">
        <is>
          <t xml:space="preserve">89067     </t>
        </is>
      </c>
      <c r="I345" s="9" t="inlineStr">
        <is>
          <t xml:space="preserve">Ряховский Александр Павлович </t>
        </is>
      </c>
      <c r="J345" s="9" t="inlineStr">
        <is>
          <t>доцент</t>
        </is>
      </c>
      <c r="K345" s="9" t="n"/>
      <c r="L345" s="9" t="inlineStr">
        <is>
          <t>только ПН, ЧТ</t>
        </is>
      </c>
      <c r="M345" s="12">
        <f>SUMIFS($E$2:$E$1130,$A$2:$A$1130,"осень",$I$2:$I$1130,I345)</f>
        <v/>
      </c>
      <c r="N345" s="13">
        <f>SUMIFS($E$2:$E$1130,$A$2:$A$1130,"весна",$I$2:$I$1130,I345)</f>
        <v/>
      </c>
      <c r="O345" s="14">
        <f>M345+N345</f>
        <v/>
      </c>
      <c r="P345" s="15">
        <f>O345/$P$1</f>
        <v/>
      </c>
    </row>
    <row r="346" hidden="1" ht="15.75" customHeight="1" s="2">
      <c r="A346" s="8" t="inlineStr">
        <is>
          <t>осень</t>
        </is>
      </c>
      <c r="B346" s="9" t="inlineStr">
        <is>
          <t>Спецглавы теории литейных процессов</t>
        </is>
      </c>
      <c r="C346" s="9" t="inlineStr">
        <is>
          <t>Консультация</t>
        </is>
      </c>
      <c r="D346" s="9" t="inlineStr">
        <is>
          <t>Т11О-202М-19</t>
        </is>
      </c>
      <c r="E346" s="10" t="n">
        <v>1</v>
      </c>
      <c r="F346" s="9" t="inlineStr">
        <is>
          <t>12880</t>
        </is>
      </c>
      <c r="G346" s="11" t="n">
        <v>0</v>
      </c>
      <c r="H346" s="9" t="inlineStr">
        <is>
          <t xml:space="preserve">89067     </t>
        </is>
      </c>
      <c r="I346" s="9" t="inlineStr">
        <is>
          <t xml:space="preserve">Ряховский Александр Павлович </t>
        </is>
      </c>
      <c r="J346" s="9" t="inlineStr">
        <is>
          <t>доцент</t>
        </is>
      </c>
      <c r="K346" s="9" t="n"/>
      <c r="L346" s="9" t="inlineStr">
        <is>
          <t>только ПН, ЧТ</t>
        </is>
      </c>
      <c r="M346" s="12">
        <f>SUMIFS($E$2:$E$1130,$A$2:$A$1130,"осень",$I$2:$I$1130,I346)</f>
        <v/>
      </c>
      <c r="N346" s="13">
        <f>SUMIFS($E$2:$E$1130,$A$2:$A$1130,"весна",$I$2:$I$1130,I346)</f>
        <v/>
      </c>
      <c r="O346" s="14">
        <f>M346+N346</f>
        <v/>
      </c>
      <c r="P346" s="15">
        <f>O346/$P$1</f>
        <v/>
      </c>
    </row>
    <row r="347" hidden="1" ht="15.75" customHeight="1" s="2">
      <c r="A347" s="8" t="inlineStr">
        <is>
          <t>осень</t>
        </is>
      </c>
      <c r="B347" s="9" t="inlineStr">
        <is>
          <t>Технология листовой штамповки</t>
        </is>
      </c>
      <c r="C347" s="9" t="inlineStr">
        <is>
          <t>ЛК</t>
        </is>
      </c>
      <c r="D347" s="9" t="inlineStr">
        <is>
          <t>Т1О-401Б-17</t>
        </is>
      </c>
      <c r="E347" s="10" t="n">
        <v>46</v>
      </c>
      <c r="F347" s="9" t="inlineStr">
        <is>
          <t>06256</t>
        </is>
      </c>
      <c r="G347" s="10" t="n">
        <v>46</v>
      </c>
      <c r="H347" s="9" t="inlineStr">
        <is>
          <t xml:space="preserve">81716     </t>
        </is>
      </c>
      <c r="I347" s="9" t="inlineStr">
        <is>
          <t xml:space="preserve">Жаров Максим Владимирович </t>
        </is>
      </c>
      <c r="J347" s="9" t="inlineStr">
        <is>
          <t>доцент</t>
        </is>
      </c>
      <c r="K347" s="9" t="n"/>
      <c r="L347" s="9" t="inlineStr">
        <is>
          <t>по первым неделям</t>
        </is>
      </c>
      <c r="M347" s="12">
        <f>SUMIFS($E$2:$E$1130,$A$2:$A$1130,"осень",$I$2:$I$1130,I347)</f>
        <v/>
      </c>
      <c r="N347" s="13">
        <f>SUMIFS($E$2:$E$1130,$A$2:$A$1130,"весна",$I$2:$I$1130,I347)</f>
        <v/>
      </c>
      <c r="O347" s="14">
        <f>M347+N347</f>
        <v/>
      </c>
      <c r="P347" s="15">
        <f>O347/$P$1</f>
        <v/>
      </c>
    </row>
    <row r="348" hidden="1" ht="15.75" customHeight="1" s="2">
      <c r="A348" s="8" t="inlineStr">
        <is>
          <t>осень</t>
        </is>
      </c>
      <c r="B348" s="9" t="inlineStr">
        <is>
          <t>Технология листовой штамповки</t>
        </is>
      </c>
      <c r="C348" s="9" t="inlineStr">
        <is>
          <t>КР</t>
        </is>
      </c>
      <c r="D348" s="9" t="inlineStr">
        <is>
          <t>Т1О-401Б-17</t>
        </is>
      </c>
      <c r="E348" s="10" t="n">
        <v>48</v>
      </c>
      <c r="F348" s="9" t="inlineStr">
        <is>
          <t>06256</t>
        </is>
      </c>
      <c r="G348" s="11" t="n">
        <v>0</v>
      </c>
      <c r="H348" s="9" t="inlineStr">
        <is>
          <t xml:space="preserve">81716     </t>
        </is>
      </c>
      <c r="I348" s="9" t="inlineStr">
        <is>
          <t xml:space="preserve">Жаров Максим Владимирович </t>
        </is>
      </c>
      <c r="J348" s="9" t="inlineStr">
        <is>
          <t>доцент</t>
        </is>
      </c>
      <c r="K348" s="9" t="n"/>
      <c r="L348" s="9" t="n"/>
      <c r="M348" s="12">
        <f>SUMIFS($E$2:$E$1130,$A$2:$A$1130,"осень",$I$2:$I$1130,I348)</f>
        <v/>
      </c>
      <c r="N348" s="13">
        <f>SUMIFS($E$2:$E$1130,$A$2:$A$1130,"весна",$I$2:$I$1130,I348)</f>
        <v/>
      </c>
      <c r="O348" s="14">
        <f>M348+N348</f>
        <v/>
      </c>
      <c r="P348" s="15">
        <f>O348/$P$1</f>
        <v/>
      </c>
    </row>
    <row r="349" hidden="1" ht="15.75" customHeight="1" s="2">
      <c r="A349" s="8" t="inlineStr">
        <is>
          <t>осень</t>
        </is>
      </c>
      <c r="B349" s="9" t="inlineStr">
        <is>
          <t>Технология листовой штамповки</t>
        </is>
      </c>
      <c r="C349" s="9" t="inlineStr">
        <is>
          <t>ПЗ</t>
        </is>
      </c>
      <c r="D349" s="9" t="inlineStr">
        <is>
          <t>Т1О-401Б-17</t>
        </is>
      </c>
      <c r="E349" s="10" t="n">
        <v>80</v>
      </c>
      <c r="F349" s="9" t="inlineStr">
        <is>
          <t>06256</t>
        </is>
      </c>
      <c r="G349" s="10" t="n">
        <v>80</v>
      </c>
      <c r="H349" s="9" t="inlineStr">
        <is>
          <t xml:space="preserve">81716     </t>
        </is>
      </c>
      <c r="I349" s="9" t="inlineStr">
        <is>
          <t xml:space="preserve">Жаров Максим Владимирович </t>
        </is>
      </c>
      <c r="J349" s="9" t="inlineStr">
        <is>
          <t>доцент</t>
        </is>
      </c>
      <c r="K349" s="9" t="n"/>
      <c r="L349" s="9" t="inlineStr">
        <is>
          <t>по первым неделям</t>
        </is>
      </c>
      <c r="M349" s="12">
        <f>SUMIFS($E$2:$E$1130,$A$2:$A$1130,"осень",$I$2:$I$1130,I349)</f>
        <v/>
      </c>
      <c r="N349" s="13">
        <f>SUMIFS($E$2:$E$1130,$A$2:$A$1130,"весна",$I$2:$I$1130,I349)</f>
        <v/>
      </c>
      <c r="O349" s="14">
        <f>M349+N349</f>
        <v/>
      </c>
      <c r="P349" s="15">
        <f>O349/$P$1</f>
        <v/>
      </c>
    </row>
    <row r="350" hidden="1" ht="15.75" customHeight="1" s="2">
      <c r="A350" s="8" t="inlineStr">
        <is>
          <t>осень</t>
        </is>
      </c>
      <c r="B350" s="9" t="inlineStr">
        <is>
          <t>Технология листовой штамповки</t>
        </is>
      </c>
      <c r="C350" s="9" t="inlineStr">
        <is>
          <t>Экзамен</t>
        </is>
      </c>
      <c r="D350" s="9" t="inlineStr">
        <is>
          <t>Т1О-401Б-17</t>
        </is>
      </c>
      <c r="E350" s="10" t="n">
        <v>8</v>
      </c>
      <c r="F350" s="9" t="inlineStr">
        <is>
          <t>06256</t>
        </is>
      </c>
      <c r="G350" s="11" t="n">
        <v>0</v>
      </c>
      <c r="H350" s="9" t="inlineStr">
        <is>
          <t xml:space="preserve">81716     </t>
        </is>
      </c>
      <c r="I350" s="9" t="inlineStr">
        <is>
          <t xml:space="preserve">Жаров Максим Владимирович </t>
        </is>
      </c>
      <c r="J350" s="9" t="inlineStr">
        <is>
          <t>доцент</t>
        </is>
      </c>
      <c r="K350" s="9" t="n"/>
      <c r="L350" s="9" t="inlineStr">
        <is>
          <t>по первым неделям</t>
        </is>
      </c>
      <c r="M350" s="12">
        <f>SUMIFS($E$2:$E$1130,$A$2:$A$1130,"осень",$I$2:$I$1130,I350)</f>
        <v/>
      </c>
      <c r="N350" s="13">
        <f>SUMIFS($E$2:$E$1130,$A$2:$A$1130,"весна",$I$2:$I$1130,I350)</f>
        <v/>
      </c>
      <c r="O350" s="14">
        <f>M350+N350</f>
        <v/>
      </c>
      <c r="P350" s="15">
        <f>O350/$P$1</f>
        <v/>
      </c>
    </row>
    <row r="351" hidden="1" ht="15.75" customHeight="1" s="2">
      <c r="A351" s="8" t="inlineStr">
        <is>
          <t>осень</t>
        </is>
      </c>
      <c r="B351" s="9" t="inlineStr">
        <is>
          <t>Технология листовой штамповки</t>
        </is>
      </c>
      <c r="C351" s="9" t="inlineStr">
        <is>
          <t>Консультация</t>
        </is>
      </c>
      <c r="D351" s="9" t="inlineStr">
        <is>
          <t>Т1О-401Б-17</t>
        </is>
      </c>
      <c r="E351" s="10" t="n">
        <v>4</v>
      </c>
      <c r="F351" s="9" t="inlineStr">
        <is>
          <t>06256</t>
        </is>
      </c>
      <c r="G351" s="11" t="n">
        <v>0</v>
      </c>
      <c r="H351" s="9" t="inlineStr">
        <is>
          <t xml:space="preserve">81716     </t>
        </is>
      </c>
      <c r="I351" s="9" t="inlineStr">
        <is>
          <t xml:space="preserve">Жаров Максим Владимирович </t>
        </is>
      </c>
      <c r="J351" s="9" t="inlineStr">
        <is>
          <t>доцент</t>
        </is>
      </c>
      <c r="K351" s="9" t="n"/>
      <c r="L351" s="9" t="inlineStr">
        <is>
          <t>по первым неделям</t>
        </is>
      </c>
      <c r="M351" s="12">
        <f>SUMIFS($E$2:$E$1130,$A$2:$A$1130,"осень",$I$2:$I$1130,I351)</f>
        <v/>
      </c>
      <c r="N351" s="13">
        <f>SUMIFS($E$2:$E$1130,$A$2:$A$1130,"весна",$I$2:$I$1130,I351)</f>
        <v/>
      </c>
      <c r="O351" s="14">
        <f>M351+N351</f>
        <v/>
      </c>
      <c r="P351" s="15">
        <f>O351/$P$1</f>
        <v/>
      </c>
    </row>
    <row r="352" hidden="1" ht="15.75" customHeight="1" s="2">
      <c r="A352" s="8" t="inlineStr">
        <is>
          <t>осень</t>
        </is>
      </c>
      <c r="B352" s="9" t="inlineStr">
        <is>
          <t>Нагревательные печи и устройства</t>
        </is>
      </c>
      <c r="C352" s="9" t="inlineStr">
        <is>
          <t>ЛК</t>
        </is>
      </c>
      <c r="D352" s="9" t="inlineStr">
        <is>
          <t>Т1О-401Б-17</t>
        </is>
      </c>
      <c r="E352" s="10" t="n">
        <v>24</v>
      </c>
      <c r="F352" s="9" t="inlineStr">
        <is>
          <t>06256</t>
        </is>
      </c>
      <c r="G352" s="10" t="n">
        <v>24</v>
      </c>
      <c r="H352" s="9" t="inlineStr">
        <is>
          <t xml:space="preserve">81729     </t>
        </is>
      </c>
      <c r="I352" s="9" t="inlineStr">
        <is>
          <t xml:space="preserve">Соколов Алексей Викторович </t>
        </is>
      </c>
      <c r="J352" s="9" t="inlineStr">
        <is>
          <t>доцент</t>
        </is>
      </c>
      <c r="K352" s="9" t="n"/>
      <c r="L352" s="9" t="inlineStr">
        <is>
          <t>кроме пятницы (523 А)</t>
        </is>
      </c>
      <c r="M352" s="12">
        <f>SUMIFS($E$2:$E$1130,$A$2:$A$1130,"осень",$I$2:$I$1130,I352)</f>
        <v/>
      </c>
      <c r="N352" s="13">
        <f>SUMIFS($E$2:$E$1130,$A$2:$A$1130,"весна",$I$2:$I$1130,I352)</f>
        <v/>
      </c>
      <c r="O352" s="14">
        <f>M352+N352</f>
        <v/>
      </c>
      <c r="P352" s="15">
        <f>O352/$P$1</f>
        <v/>
      </c>
    </row>
    <row r="353" hidden="1" ht="15.75" customHeight="1" s="2">
      <c r="A353" s="8" t="inlineStr">
        <is>
          <t>осень</t>
        </is>
      </c>
      <c r="B353" s="9" t="inlineStr">
        <is>
          <t>Нагревательные печи и устройства</t>
        </is>
      </c>
      <c r="C353" s="9" t="inlineStr">
        <is>
          <t>ЛК</t>
        </is>
      </c>
      <c r="D353" s="9" t="inlineStr">
        <is>
          <t>Т1В-412Б-17</t>
        </is>
      </c>
      <c r="E353" s="10" t="n">
        <v>24</v>
      </c>
      <c r="F353" s="9" t="inlineStr">
        <is>
          <t>08769</t>
        </is>
      </c>
      <c r="G353" s="10" t="n">
        <v>24</v>
      </c>
      <c r="H353" s="9" t="inlineStr">
        <is>
          <t xml:space="preserve">81729     </t>
        </is>
      </c>
      <c r="I353" s="9" t="inlineStr">
        <is>
          <t xml:space="preserve">Соколов Алексей Викторович </t>
        </is>
      </c>
      <c r="J353" s="9" t="inlineStr">
        <is>
          <t>доцент</t>
        </is>
      </c>
      <c r="K353" s="9" t="n"/>
      <c r="L353" s="9" t="inlineStr">
        <is>
          <t>кроме пятницы (523 А)</t>
        </is>
      </c>
      <c r="M353" s="12">
        <f>SUMIFS($E$2:$E$1130,$A$2:$A$1130,"осень",$I$2:$I$1130,I353)</f>
        <v/>
      </c>
      <c r="N353" s="13">
        <f>SUMIFS($E$2:$E$1130,$A$2:$A$1130,"весна",$I$2:$I$1130,I353)</f>
        <v/>
      </c>
      <c r="O353" s="14">
        <f>M353+N353</f>
        <v/>
      </c>
      <c r="P353" s="15">
        <f>O353/$P$1</f>
        <v/>
      </c>
    </row>
    <row r="354" hidden="1" ht="15.75" customHeight="1" s="2">
      <c r="A354" s="8" t="inlineStr">
        <is>
          <t>осень</t>
        </is>
      </c>
      <c r="B354" s="9" t="inlineStr">
        <is>
          <t>Нагревательные печи и устройства</t>
        </is>
      </c>
      <c r="C354" s="9" t="inlineStr">
        <is>
          <t>КР</t>
        </is>
      </c>
      <c r="D354" s="9" t="inlineStr">
        <is>
          <t>Т1В-412Б-17</t>
        </is>
      </c>
      <c r="E354" s="10" t="n">
        <v>33</v>
      </c>
      <c r="F354" s="9" t="inlineStr">
        <is>
          <t>08769</t>
        </is>
      </c>
      <c r="G354" s="11" t="n">
        <v>0</v>
      </c>
      <c r="H354" s="9" t="inlineStr">
        <is>
          <t xml:space="preserve">81729     </t>
        </is>
      </c>
      <c r="I354" s="9" t="inlineStr">
        <is>
          <t xml:space="preserve">Соколов Алексей Викторович </t>
        </is>
      </c>
      <c r="J354" s="9" t="inlineStr">
        <is>
          <t>доцент</t>
        </is>
      </c>
      <c r="K354" s="9" t="n"/>
      <c r="L354" s="9" t="inlineStr">
        <is>
          <t>кроме пятницы</t>
        </is>
      </c>
      <c r="M354" s="12">
        <f>SUMIFS($E$2:$E$1130,$A$2:$A$1130,"осень",$I$2:$I$1130,I354)</f>
        <v/>
      </c>
      <c r="N354" s="13">
        <f>SUMIFS($E$2:$E$1130,$A$2:$A$1130,"весна",$I$2:$I$1130,I354)</f>
        <v/>
      </c>
      <c r="O354" s="14">
        <f>M354+N354</f>
        <v/>
      </c>
      <c r="P354" s="15">
        <f>O354/$P$1</f>
        <v/>
      </c>
    </row>
    <row r="355" hidden="1" ht="15.75" customHeight="1" s="2">
      <c r="A355" s="8" t="inlineStr">
        <is>
          <t>осень</t>
        </is>
      </c>
      <c r="B355" s="9" t="inlineStr">
        <is>
          <t>Нагревательные печи и устройства</t>
        </is>
      </c>
      <c r="C355" s="9" t="inlineStr">
        <is>
          <t>ПЗ</t>
        </is>
      </c>
      <c r="D355" s="9" t="inlineStr">
        <is>
          <t>Т1О-401Б-17</t>
        </is>
      </c>
      <c r="E355" s="10" t="n">
        <v>36</v>
      </c>
      <c r="F355" s="9" t="inlineStr">
        <is>
          <t>06256</t>
        </is>
      </c>
      <c r="G355" s="10" t="n">
        <v>36</v>
      </c>
      <c r="H355" s="9" t="inlineStr">
        <is>
          <t xml:space="preserve">81729     </t>
        </is>
      </c>
      <c r="I355" s="9" t="inlineStr">
        <is>
          <t xml:space="preserve">Соколов Алексей Викторович </t>
        </is>
      </c>
      <c r="J355" s="9" t="inlineStr">
        <is>
          <t>доцент</t>
        </is>
      </c>
      <c r="K355" s="9" t="n"/>
      <c r="L355" s="9" t="inlineStr">
        <is>
          <t>кроме пятницы (521А, 522А)</t>
        </is>
      </c>
      <c r="M355" s="12">
        <f>SUMIFS($E$2:$E$1130,$A$2:$A$1130,"осень",$I$2:$I$1130,I355)</f>
        <v/>
      </c>
      <c r="N355" s="13">
        <f>SUMIFS($E$2:$E$1130,$A$2:$A$1130,"весна",$I$2:$I$1130,I355)</f>
        <v/>
      </c>
      <c r="O355" s="14">
        <f>M355+N355</f>
        <v/>
      </c>
      <c r="P355" s="15">
        <f>O355/$P$1</f>
        <v/>
      </c>
    </row>
    <row r="356" hidden="1" ht="15.75" customHeight="1" s="2">
      <c r="A356" s="8" t="inlineStr">
        <is>
          <t>осень</t>
        </is>
      </c>
      <c r="B356" s="9" t="inlineStr">
        <is>
          <t>Нагревательные печи и устройства</t>
        </is>
      </c>
      <c r="C356" s="9" t="inlineStr">
        <is>
          <t>ПЗ</t>
        </is>
      </c>
      <c r="D356" s="9" t="inlineStr">
        <is>
          <t>Т1В-412Б-17</t>
        </is>
      </c>
      <c r="E356" s="10" t="n">
        <v>30</v>
      </c>
      <c r="F356" s="9" t="inlineStr">
        <is>
          <t>08769</t>
        </is>
      </c>
      <c r="G356" s="10" t="n">
        <v>30</v>
      </c>
      <c r="H356" s="9" t="inlineStr">
        <is>
          <t xml:space="preserve">81729     </t>
        </is>
      </c>
      <c r="I356" s="9" t="inlineStr">
        <is>
          <t xml:space="preserve">Соколов Алексей Викторович </t>
        </is>
      </c>
      <c r="J356" s="9" t="inlineStr">
        <is>
          <t>доцент</t>
        </is>
      </c>
      <c r="K356" s="9" t="n"/>
      <c r="L356" s="9" t="inlineStr">
        <is>
          <t>кроме пятницы (521А, 522А)</t>
        </is>
      </c>
      <c r="M356" s="12">
        <f>SUMIFS($E$2:$E$1130,$A$2:$A$1130,"осень",$I$2:$I$1130,I356)</f>
        <v/>
      </c>
      <c r="N356" s="13">
        <f>SUMIFS($E$2:$E$1130,$A$2:$A$1130,"весна",$I$2:$I$1130,I356)</f>
        <v/>
      </c>
      <c r="O356" s="14">
        <f>M356+N356</f>
        <v/>
      </c>
      <c r="P356" s="15">
        <f>O356/$P$1</f>
        <v/>
      </c>
    </row>
    <row r="357" hidden="1" ht="15.75" customHeight="1" s="2">
      <c r="A357" s="8" t="inlineStr">
        <is>
          <t>осень</t>
        </is>
      </c>
      <c r="B357" s="9" t="inlineStr">
        <is>
          <t>Нагревательные печи и устройства</t>
        </is>
      </c>
      <c r="C357" s="9" t="inlineStr">
        <is>
          <t>Экзамен</t>
        </is>
      </c>
      <c r="D357" s="9" t="inlineStr">
        <is>
          <t>Т1В-412Б-17</t>
        </is>
      </c>
      <c r="E357" s="10" t="n">
        <v>6</v>
      </c>
      <c r="F357" s="9" t="inlineStr">
        <is>
          <t>08769</t>
        </is>
      </c>
      <c r="G357" s="11" t="n">
        <v>0</v>
      </c>
      <c r="H357" s="9" t="inlineStr">
        <is>
          <t xml:space="preserve">81729     </t>
        </is>
      </c>
      <c r="I357" s="9" t="inlineStr">
        <is>
          <t xml:space="preserve">Соколов Алексей Викторович </t>
        </is>
      </c>
      <c r="J357" s="9" t="inlineStr">
        <is>
          <t>доцент</t>
        </is>
      </c>
      <c r="K357" s="9" t="n"/>
      <c r="L357" s="9" t="inlineStr">
        <is>
          <t>кроме пятницы</t>
        </is>
      </c>
      <c r="M357" s="12">
        <f>SUMIFS($E$2:$E$1130,$A$2:$A$1130,"осень",$I$2:$I$1130,I357)</f>
        <v/>
      </c>
      <c r="N357" s="13">
        <f>SUMIFS($E$2:$E$1130,$A$2:$A$1130,"весна",$I$2:$I$1130,I357)</f>
        <v/>
      </c>
      <c r="O357" s="14">
        <f>M357+N357</f>
        <v/>
      </c>
      <c r="P357" s="15">
        <f>O357/$P$1</f>
        <v/>
      </c>
    </row>
    <row r="358" hidden="1" ht="15.75" customHeight="1" s="2">
      <c r="A358" s="8" t="inlineStr">
        <is>
          <t>осень</t>
        </is>
      </c>
      <c r="B358" s="9" t="inlineStr">
        <is>
          <t>Нагревательные печи и устройства</t>
        </is>
      </c>
      <c r="C358" s="9" t="inlineStr">
        <is>
          <t>Зачет</t>
        </is>
      </c>
      <c r="D358" s="9" t="inlineStr">
        <is>
          <t>Т1О-401Б-17</t>
        </is>
      </c>
      <c r="E358" s="10" t="n">
        <v>6</v>
      </c>
      <c r="F358" s="9" t="inlineStr">
        <is>
          <t>06256</t>
        </is>
      </c>
      <c r="G358" s="11" t="n">
        <v>0</v>
      </c>
      <c r="H358" s="9" t="inlineStr">
        <is>
          <t xml:space="preserve">81729     </t>
        </is>
      </c>
      <c r="I358" s="9" t="inlineStr">
        <is>
          <t xml:space="preserve">Соколов Алексей Викторович </t>
        </is>
      </c>
      <c r="J358" s="9" t="inlineStr">
        <is>
          <t>доцент</t>
        </is>
      </c>
      <c r="K358" s="9" t="n"/>
      <c r="L358" s="9" t="inlineStr">
        <is>
          <t>кроме пятницы</t>
        </is>
      </c>
      <c r="M358" s="12">
        <f>SUMIFS($E$2:$E$1130,$A$2:$A$1130,"осень",$I$2:$I$1130,I358)</f>
        <v/>
      </c>
      <c r="N358" s="13">
        <f>SUMIFS($E$2:$E$1130,$A$2:$A$1130,"весна",$I$2:$I$1130,I358)</f>
        <v/>
      </c>
      <c r="O358" s="14">
        <f>M358+N358</f>
        <v/>
      </c>
      <c r="P358" s="15">
        <f>O358/$P$1</f>
        <v/>
      </c>
    </row>
    <row r="359" hidden="1" ht="15.75" customHeight="1" s="2">
      <c r="A359" s="8" t="inlineStr">
        <is>
          <t>осень</t>
        </is>
      </c>
      <c r="B359" s="9" t="inlineStr">
        <is>
          <t>Нагревательные печи и устройства</t>
        </is>
      </c>
      <c r="C359" s="9" t="inlineStr">
        <is>
          <t>Консультация</t>
        </is>
      </c>
      <c r="D359" s="9" t="inlineStr">
        <is>
          <t>Т1О-401Б-17</t>
        </is>
      </c>
      <c r="E359" s="10" t="n">
        <v>1</v>
      </c>
      <c r="F359" s="9" t="inlineStr">
        <is>
          <t>06256</t>
        </is>
      </c>
      <c r="G359" s="11" t="n">
        <v>0</v>
      </c>
      <c r="H359" s="9" t="inlineStr">
        <is>
          <t xml:space="preserve">81729     </t>
        </is>
      </c>
      <c r="I359" s="9" t="inlineStr">
        <is>
          <t xml:space="preserve">Соколов Алексей Викторович </t>
        </is>
      </c>
      <c r="J359" s="9" t="inlineStr">
        <is>
          <t>доцент</t>
        </is>
      </c>
      <c r="K359" s="9" t="n"/>
      <c r="L359" s="9" t="inlineStr">
        <is>
          <t>кроме пятницы</t>
        </is>
      </c>
      <c r="M359" s="12">
        <f>SUMIFS($E$2:$E$1130,$A$2:$A$1130,"осень",$I$2:$I$1130,I359)</f>
        <v/>
      </c>
      <c r="N359" s="13">
        <f>SUMIFS($E$2:$E$1130,$A$2:$A$1130,"весна",$I$2:$I$1130,I359)</f>
        <v/>
      </c>
      <c r="O359" s="14">
        <f>M359+N359</f>
        <v/>
      </c>
      <c r="P359" s="15">
        <f>O359/$P$1</f>
        <v/>
      </c>
    </row>
    <row r="360" hidden="1" ht="15.75" customHeight="1" s="2">
      <c r="A360" s="8" t="inlineStr">
        <is>
          <t>осень</t>
        </is>
      </c>
      <c r="B360" s="9" t="inlineStr">
        <is>
          <t>Нагревательные печи и устройства</t>
        </is>
      </c>
      <c r="C360" s="9" t="inlineStr">
        <is>
          <t>Консультация</t>
        </is>
      </c>
      <c r="D360" s="9" t="inlineStr">
        <is>
          <t>Т1В-412Б-17</t>
        </is>
      </c>
      <c r="E360" s="10" t="n">
        <v>4</v>
      </c>
      <c r="F360" s="9" t="inlineStr">
        <is>
          <t>08769</t>
        </is>
      </c>
      <c r="G360" s="11" t="n">
        <v>0</v>
      </c>
      <c r="H360" s="9" t="inlineStr">
        <is>
          <t xml:space="preserve">81729     </t>
        </is>
      </c>
      <c r="I360" s="9" t="inlineStr">
        <is>
          <t xml:space="preserve">Соколов Алексей Викторович </t>
        </is>
      </c>
      <c r="J360" s="9" t="inlineStr">
        <is>
          <t>доцент</t>
        </is>
      </c>
      <c r="K360" s="9" t="n"/>
      <c r="L360" s="9" t="inlineStr">
        <is>
          <t>кроме пятницы</t>
        </is>
      </c>
      <c r="M360" s="12">
        <f>SUMIFS($E$2:$E$1130,$A$2:$A$1130,"осень",$I$2:$I$1130,I360)</f>
        <v/>
      </c>
      <c r="N360" s="13">
        <f>SUMIFS($E$2:$E$1130,$A$2:$A$1130,"весна",$I$2:$I$1130,I360)</f>
        <v/>
      </c>
      <c r="O360" s="14">
        <f>M360+N360</f>
        <v/>
      </c>
      <c r="P360" s="15">
        <f>O360/$P$1</f>
        <v/>
      </c>
    </row>
    <row r="361" hidden="1" ht="15.75" customHeight="1" s="2">
      <c r="A361" s="8" t="inlineStr">
        <is>
          <t>осень</t>
        </is>
      </c>
      <c r="B361" s="9" t="inlineStr">
        <is>
          <t>Процессы порошковой металлургии - 2</t>
        </is>
      </c>
      <c r="C361" s="9" t="inlineStr">
        <is>
          <t>ЛК</t>
        </is>
      </c>
      <c r="D361" s="9" t="inlineStr">
        <is>
          <t>Т1О-402Б-17</t>
        </is>
      </c>
      <c r="E361" s="10" t="n">
        <v>44</v>
      </c>
      <c r="F361" s="9" t="inlineStr">
        <is>
          <t>04517</t>
        </is>
      </c>
      <c r="G361" s="10" t="n">
        <v>44</v>
      </c>
      <c r="H361" s="9" t="inlineStr">
        <is>
          <t xml:space="preserve">82066     </t>
        </is>
      </c>
      <c r="I361" s="9" t="inlineStr">
        <is>
          <t xml:space="preserve">Серов Михаил Михайлович </t>
        </is>
      </c>
      <c r="J361" s="9" t="inlineStr">
        <is>
          <t>профессор</t>
        </is>
      </c>
      <c r="K361" s="9" t="n"/>
      <c r="L361" s="9" t="n"/>
      <c r="M361" s="12">
        <f>SUMIFS($E$2:$E$1130,$A$2:$A$1130,"осень",$I$2:$I$1130,I361)</f>
        <v/>
      </c>
      <c r="N361" s="13">
        <f>SUMIFS($E$2:$E$1130,$A$2:$A$1130,"весна",$I$2:$I$1130,I361)</f>
        <v/>
      </c>
      <c r="O361" s="14">
        <f>M361+N361</f>
        <v/>
      </c>
      <c r="P361" s="15">
        <f>O361/$P$1</f>
        <v/>
      </c>
    </row>
    <row r="362" hidden="1" ht="15.75" customHeight="1" s="2">
      <c r="A362" s="8" t="inlineStr">
        <is>
          <t>осень</t>
        </is>
      </c>
      <c r="B362" s="9" t="inlineStr">
        <is>
          <t>Процессы порошковой металлургии - 2</t>
        </is>
      </c>
      <c r="C362" s="9" t="inlineStr">
        <is>
          <t>КР</t>
        </is>
      </c>
      <c r="D362" s="9" t="inlineStr">
        <is>
          <t>Т1О-402Б-17</t>
        </is>
      </c>
      <c r="E362" s="10" t="n">
        <v>51</v>
      </c>
      <c r="F362" s="9" t="inlineStr">
        <is>
          <t>04517</t>
        </is>
      </c>
      <c r="G362" s="11" t="n">
        <v>0</v>
      </c>
      <c r="H362" s="9" t="inlineStr">
        <is>
          <t xml:space="preserve">82066     </t>
        </is>
      </c>
      <c r="I362" s="9" t="inlineStr">
        <is>
          <t xml:space="preserve">Серов Михаил Михайлович </t>
        </is>
      </c>
      <c r="J362" s="9" t="inlineStr">
        <is>
          <t>профессор</t>
        </is>
      </c>
      <c r="K362" s="9" t="n"/>
      <c r="L362" s="9" t="n"/>
      <c r="M362" s="12">
        <f>SUMIFS($E$2:$E$1130,$A$2:$A$1130,"осень",$I$2:$I$1130,I362)</f>
        <v/>
      </c>
      <c r="N362" s="13">
        <f>SUMIFS($E$2:$E$1130,$A$2:$A$1130,"весна",$I$2:$I$1130,I362)</f>
        <v/>
      </c>
      <c r="O362" s="14">
        <f>M362+N362</f>
        <v/>
      </c>
      <c r="P362" s="15">
        <f>O362/$P$1</f>
        <v/>
      </c>
    </row>
    <row r="363" hidden="1" ht="15.75" customHeight="1" s="2">
      <c r="A363" s="8" t="inlineStr">
        <is>
          <t>осень</t>
        </is>
      </c>
      <c r="B363" s="9" t="inlineStr">
        <is>
          <t>Процессы порошковой металлургии - 2</t>
        </is>
      </c>
      <c r="C363" s="9" t="inlineStr">
        <is>
          <t>ПЗ</t>
        </is>
      </c>
      <c r="D363" s="9" t="inlineStr">
        <is>
          <t>Т1О-402Б-17</t>
        </is>
      </c>
      <c r="E363" s="10" t="n">
        <v>30</v>
      </c>
      <c r="F363" s="9" t="inlineStr">
        <is>
          <t>04517</t>
        </is>
      </c>
      <c r="G363" s="10" t="n">
        <v>30</v>
      </c>
      <c r="H363" s="9" t="inlineStr">
        <is>
          <t xml:space="preserve">82066     </t>
        </is>
      </c>
      <c r="I363" s="9" t="inlineStr">
        <is>
          <t xml:space="preserve">Серов Михаил Михайлович </t>
        </is>
      </c>
      <c r="J363" s="9" t="inlineStr">
        <is>
          <t>профессор</t>
        </is>
      </c>
      <c r="K363" s="9" t="n"/>
      <c r="L363" s="9" t="n"/>
      <c r="M363" s="12">
        <f>SUMIFS($E$2:$E$1130,$A$2:$A$1130,"осень",$I$2:$I$1130,I363)</f>
        <v/>
      </c>
      <c r="N363" s="13">
        <f>SUMIFS($E$2:$E$1130,$A$2:$A$1130,"весна",$I$2:$I$1130,I363)</f>
        <v/>
      </c>
      <c r="O363" s="14">
        <f>M363+N363</f>
        <v/>
      </c>
      <c r="P363" s="15">
        <f>O363/$P$1</f>
        <v/>
      </c>
    </row>
    <row r="364" hidden="1" ht="15.75" customHeight="1" s="2">
      <c r="A364" s="8" t="inlineStr">
        <is>
          <t>осень</t>
        </is>
      </c>
      <c r="B364" s="9" t="inlineStr">
        <is>
          <t>Процессы порошковой металлургии - 2</t>
        </is>
      </c>
      <c r="C364" s="9" t="inlineStr">
        <is>
          <t>ЛР</t>
        </is>
      </c>
      <c r="D364" s="9" t="inlineStr">
        <is>
          <t>Т1О-402Б-17</t>
        </is>
      </c>
      <c r="E364" s="10" t="n">
        <v>32</v>
      </c>
      <c r="F364" s="9" t="inlineStr">
        <is>
          <t>04517</t>
        </is>
      </c>
      <c r="G364" s="10" t="n">
        <v>16</v>
      </c>
      <c r="H364" s="9" t="inlineStr">
        <is>
          <t xml:space="preserve">82066     </t>
        </is>
      </c>
      <c r="I364" s="9" t="inlineStr">
        <is>
          <t xml:space="preserve">Серов Михаил Михайлович </t>
        </is>
      </c>
      <c r="J364" s="9" t="inlineStr">
        <is>
          <t>профессор</t>
        </is>
      </c>
      <c r="K364" s="9" t="n"/>
      <c r="L364" s="9" t="n"/>
      <c r="M364" s="12">
        <f>SUMIFS($E$2:$E$1130,$A$2:$A$1130,"осень",$I$2:$I$1130,I364)</f>
        <v/>
      </c>
      <c r="N364" s="13">
        <f>SUMIFS($E$2:$E$1130,$A$2:$A$1130,"весна",$I$2:$I$1130,I364)</f>
        <v/>
      </c>
      <c r="O364" s="14">
        <f>M364+N364</f>
        <v/>
      </c>
      <c r="P364" s="15">
        <f>O364/$P$1</f>
        <v/>
      </c>
    </row>
    <row r="365" hidden="1" ht="15.75" customHeight="1" s="2">
      <c r="A365" s="8" t="inlineStr">
        <is>
          <t>осень</t>
        </is>
      </c>
      <c r="B365" s="9" t="inlineStr">
        <is>
          <t>Процессы порошковой металлургии - 2</t>
        </is>
      </c>
      <c r="C365" s="9" t="inlineStr">
        <is>
          <t>Экзамен</t>
        </is>
      </c>
      <c r="D365" s="9" t="inlineStr">
        <is>
          <t>Т1О-402Б-17</t>
        </is>
      </c>
      <c r="E365" s="10" t="n">
        <v>9</v>
      </c>
      <c r="F365" s="9" t="inlineStr">
        <is>
          <t>04517</t>
        </is>
      </c>
      <c r="G365" s="11" t="n">
        <v>0</v>
      </c>
      <c r="H365" s="9" t="inlineStr">
        <is>
          <t xml:space="preserve">82066     </t>
        </is>
      </c>
      <c r="I365" s="9" t="inlineStr">
        <is>
          <t xml:space="preserve">Серов Михаил Михайлович </t>
        </is>
      </c>
      <c r="J365" s="9" t="inlineStr">
        <is>
          <t>профессор</t>
        </is>
      </c>
      <c r="K365" s="9" t="n"/>
      <c r="L365" s="9" t="n"/>
      <c r="M365" s="12">
        <f>SUMIFS($E$2:$E$1130,$A$2:$A$1130,"осень",$I$2:$I$1130,I365)</f>
        <v/>
      </c>
      <c r="N365" s="13">
        <f>SUMIFS($E$2:$E$1130,$A$2:$A$1130,"весна",$I$2:$I$1130,I365)</f>
        <v/>
      </c>
      <c r="O365" s="14">
        <f>M365+N365</f>
        <v/>
      </c>
      <c r="P365" s="15">
        <f>O365/$P$1</f>
        <v/>
      </c>
    </row>
    <row r="366" hidden="1" ht="15.75" customHeight="1" s="2">
      <c r="A366" s="8" t="inlineStr">
        <is>
          <t>осень</t>
        </is>
      </c>
      <c r="B366" s="9" t="inlineStr">
        <is>
          <t>Процессы порошковой металлургии - 2</t>
        </is>
      </c>
      <c r="C366" s="9" t="inlineStr">
        <is>
          <t>Консультация</t>
        </is>
      </c>
      <c r="D366" s="9" t="inlineStr">
        <is>
          <t>Т1О-402Б-17</t>
        </is>
      </c>
      <c r="E366" s="10" t="n">
        <v>4</v>
      </c>
      <c r="F366" s="9" t="inlineStr">
        <is>
          <t>04517</t>
        </is>
      </c>
      <c r="G366" s="11" t="n">
        <v>0</v>
      </c>
      <c r="H366" s="9" t="inlineStr">
        <is>
          <t xml:space="preserve">82066     </t>
        </is>
      </c>
      <c r="I366" s="9" t="inlineStr">
        <is>
          <t xml:space="preserve">Серов Михаил Михайлович </t>
        </is>
      </c>
      <c r="J366" s="9" t="inlineStr">
        <is>
          <t>профессор</t>
        </is>
      </c>
      <c r="K366" s="9" t="n"/>
      <c r="L366" s="9" t="n"/>
      <c r="M366" s="12">
        <f>SUMIFS($E$2:$E$1130,$A$2:$A$1130,"осень",$I$2:$I$1130,I366)</f>
        <v/>
      </c>
      <c r="N366" s="13">
        <f>SUMIFS($E$2:$E$1130,$A$2:$A$1130,"весна",$I$2:$I$1130,I366)</f>
        <v/>
      </c>
      <c r="O366" s="14">
        <f>M366+N366</f>
        <v/>
      </c>
      <c r="P366" s="15">
        <f>O366/$P$1</f>
        <v/>
      </c>
    </row>
    <row r="367" hidden="1" ht="15.75" customHeight="1" s="2">
      <c r="A367" s="8" t="inlineStr">
        <is>
          <t>осень</t>
        </is>
      </c>
      <c r="B367" s="9" t="inlineStr">
        <is>
          <t>Теория, технология и оборудование нанесения покрытий</t>
        </is>
      </c>
      <c r="C367" s="9" t="inlineStr">
        <is>
          <t>ЛК</t>
        </is>
      </c>
      <c r="D367" s="9" t="inlineStr">
        <is>
          <t>Т1О-402Б-17</t>
        </is>
      </c>
      <c r="E367" s="10" t="n">
        <v>36</v>
      </c>
      <c r="F367" s="9" t="inlineStr">
        <is>
          <t>04517</t>
        </is>
      </c>
      <c r="G367" s="10" t="n">
        <v>36</v>
      </c>
      <c r="H367" s="9" t="inlineStr">
        <is>
          <t xml:space="preserve">93685     </t>
        </is>
      </c>
      <c r="I367" s="9" t="inlineStr">
        <is>
          <t xml:space="preserve">Банишев Александр Федорович </t>
        </is>
      </c>
      <c r="J367" s="9" t="n"/>
      <c r="K367" s="9" t="n"/>
      <c r="L367" s="9" t="inlineStr">
        <is>
          <t>Только понедельник</t>
        </is>
      </c>
      <c r="M367" s="12">
        <f>SUMIFS($E$2:$E$1130,$A$2:$A$1130,"осень",$I$2:$I$1130,I367)</f>
        <v/>
      </c>
      <c r="N367" s="13">
        <f>SUMIFS($E$2:$E$1130,$A$2:$A$1130,"весна",$I$2:$I$1130,I367)</f>
        <v/>
      </c>
      <c r="O367" s="14">
        <f>M367+N367</f>
        <v/>
      </c>
      <c r="P367" s="15">
        <f>O367/$P$1</f>
        <v/>
      </c>
    </row>
    <row r="368" hidden="1" ht="15.75" customHeight="1" s="2">
      <c r="A368" s="8" t="inlineStr">
        <is>
          <t>осень</t>
        </is>
      </c>
      <c r="B368" s="9" t="inlineStr">
        <is>
          <t>Теория, технология и оборудование нанесения покрытий</t>
        </is>
      </c>
      <c r="C368" s="9" t="inlineStr">
        <is>
          <t>ЛК</t>
        </is>
      </c>
      <c r="D368" s="9" t="inlineStr">
        <is>
          <t>Т11О-103М-20</t>
        </is>
      </c>
      <c r="E368" s="10" t="n">
        <v>8</v>
      </c>
      <c r="F368" s="9" t="inlineStr">
        <is>
          <t>06203</t>
        </is>
      </c>
      <c r="G368" s="10" t="n">
        <v>8</v>
      </c>
      <c r="H368" s="9" t="inlineStr">
        <is>
          <t xml:space="preserve">93685     </t>
        </is>
      </c>
      <c r="I368" s="9" t="inlineStr">
        <is>
          <t xml:space="preserve">Банишев Александр Федорович </t>
        </is>
      </c>
      <c r="J368" s="9" t="n"/>
      <c r="K368" s="9" t="n"/>
      <c r="L368" s="9" t="inlineStr">
        <is>
          <t>Понедельник</t>
        </is>
      </c>
      <c r="M368" s="12">
        <f>SUMIFS($E$2:$E$1130,$A$2:$A$1130,"осень",$I$2:$I$1130,I368)</f>
        <v/>
      </c>
      <c r="N368" s="13">
        <f>SUMIFS($E$2:$E$1130,$A$2:$A$1130,"весна",$I$2:$I$1130,I368)</f>
        <v/>
      </c>
      <c r="O368" s="14">
        <f>M368+N368</f>
        <v/>
      </c>
      <c r="P368" s="15">
        <f>O368/$P$1</f>
        <v/>
      </c>
    </row>
    <row r="369" hidden="1" ht="15.75" customHeight="1" s="2">
      <c r="A369" s="8" t="inlineStr">
        <is>
          <t>осень</t>
        </is>
      </c>
      <c r="B369" s="9" t="inlineStr">
        <is>
          <t>Теория, технология и оборудование нанесения покрытий</t>
        </is>
      </c>
      <c r="C369" s="9" t="inlineStr">
        <is>
          <t>КР</t>
        </is>
      </c>
      <c r="D369" s="9" t="inlineStr">
        <is>
          <t>Т11О-103М-20</t>
        </is>
      </c>
      <c r="E369" s="10" t="n">
        <v>15</v>
      </c>
      <c r="F369" s="9" t="inlineStr">
        <is>
          <t>06203</t>
        </is>
      </c>
      <c r="G369" s="11" t="n">
        <v>0</v>
      </c>
      <c r="H369" s="9" t="inlineStr">
        <is>
          <t xml:space="preserve">93685     </t>
        </is>
      </c>
      <c r="I369" s="9" t="inlineStr">
        <is>
          <t xml:space="preserve">Банишев Александр Федорович </t>
        </is>
      </c>
      <c r="J369" s="9" t="n"/>
      <c r="K369" s="9" t="n"/>
      <c r="L369" s="9" t="inlineStr">
        <is>
          <t>Понедельник</t>
        </is>
      </c>
      <c r="M369" s="12">
        <f>SUMIFS($E$2:$E$1130,$A$2:$A$1130,"осень",$I$2:$I$1130,I369)</f>
        <v/>
      </c>
      <c r="N369" s="13">
        <f>SUMIFS($E$2:$E$1130,$A$2:$A$1130,"весна",$I$2:$I$1130,I369)</f>
        <v/>
      </c>
      <c r="O369" s="14">
        <f>M369+N369</f>
        <v/>
      </c>
      <c r="P369" s="15">
        <f>O369/$P$1</f>
        <v/>
      </c>
    </row>
    <row r="370" hidden="1" ht="15.75" customHeight="1" s="2">
      <c r="A370" s="8" t="inlineStr">
        <is>
          <t>осень</t>
        </is>
      </c>
      <c r="B370" s="9" t="inlineStr">
        <is>
          <t>Теория, технология и оборудование нанесения покрытий</t>
        </is>
      </c>
      <c r="C370" s="9" t="inlineStr">
        <is>
          <t>Зачет с оценкой</t>
        </is>
      </c>
      <c r="D370" s="9" t="inlineStr">
        <is>
          <t>Т1О-402Б-17</t>
        </is>
      </c>
      <c r="E370" s="10" t="n">
        <v>6</v>
      </c>
      <c r="F370" s="9" t="inlineStr">
        <is>
          <t>04517</t>
        </is>
      </c>
      <c r="G370" s="11" t="n">
        <v>0</v>
      </c>
      <c r="H370" s="9" t="inlineStr">
        <is>
          <t xml:space="preserve">93685     </t>
        </is>
      </c>
      <c r="I370" s="9" t="inlineStr">
        <is>
          <t xml:space="preserve">Банишев Александр Федорович </t>
        </is>
      </c>
      <c r="J370" s="9" t="n"/>
      <c r="K370" s="9" t="n"/>
      <c r="L370" s="9" t="inlineStr">
        <is>
          <t>Только понедельник</t>
        </is>
      </c>
      <c r="M370" s="12">
        <f>SUMIFS($E$2:$E$1130,$A$2:$A$1130,"осень",$I$2:$I$1130,I370)</f>
        <v/>
      </c>
      <c r="N370" s="13">
        <f>SUMIFS($E$2:$E$1130,$A$2:$A$1130,"весна",$I$2:$I$1130,I370)</f>
        <v/>
      </c>
      <c r="O370" s="14">
        <f>M370+N370</f>
        <v/>
      </c>
      <c r="P370" s="15">
        <f>O370/$P$1</f>
        <v/>
      </c>
    </row>
    <row r="371" hidden="1" ht="15.75" customHeight="1" s="2">
      <c r="A371" s="8" t="inlineStr">
        <is>
          <t>осень</t>
        </is>
      </c>
      <c r="B371" s="9" t="inlineStr">
        <is>
          <t>Теория, технология и оборудование нанесения покрытий</t>
        </is>
      </c>
      <c r="C371" s="9" t="inlineStr">
        <is>
          <t>ПЗ</t>
        </is>
      </c>
      <c r="D371" s="9" t="inlineStr">
        <is>
          <t>Т1О-402Б-17</t>
        </is>
      </c>
      <c r="E371" s="10" t="n">
        <v>20</v>
      </c>
      <c r="F371" s="9" t="inlineStr">
        <is>
          <t>04517</t>
        </is>
      </c>
      <c r="G371" s="10" t="n">
        <v>20</v>
      </c>
      <c r="H371" s="9" t="inlineStr">
        <is>
          <t xml:space="preserve">93685     </t>
        </is>
      </c>
      <c r="I371" s="9" t="inlineStr">
        <is>
          <t xml:space="preserve">Банишев Александр Федорович </t>
        </is>
      </c>
      <c r="J371" s="9" t="n"/>
      <c r="K371" s="9" t="n"/>
      <c r="L371" s="9" t="inlineStr">
        <is>
          <t>Только понедельник</t>
        </is>
      </c>
      <c r="M371" s="12">
        <f>SUMIFS($E$2:$E$1130,$A$2:$A$1130,"осень",$I$2:$I$1130,I371)</f>
        <v/>
      </c>
      <c r="N371" s="13">
        <f>SUMIFS($E$2:$E$1130,$A$2:$A$1130,"весна",$I$2:$I$1130,I371)</f>
        <v/>
      </c>
      <c r="O371" s="14">
        <f>M371+N371</f>
        <v/>
      </c>
      <c r="P371" s="15">
        <f>O371/$P$1</f>
        <v/>
      </c>
    </row>
    <row r="372" hidden="1" ht="15.75" customHeight="1" s="2">
      <c r="A372" s="8" t="inlineStr">
        <is>
          <t>осень</t>
        </is>
      </c>
      <c r="B372" s="9" t="inlineStr">
        <is>
          <t>Теория, технология и оборудование нанесения покрытий</t>
        </is>
      </c>
      <c r="C372" s="9" t="inlineStr">
        <is>
          <t>ПЗ</t>
        </is>
      </c>
      <c r="D372" s="9" t="inlineStr">
        <is>
          <t>Т11О-103М-20</t>
        </is>
      </c>
      <c r="E372" s="10" t="n">
        <v>22</v>
      </c>
      <c r="F372" s="9" t="inlineStr">
        <is>
          <t>06203</t>
        </is>
      </c>
      <c r="G372" s="10" t="n">
        <v>22</v>
      </c>
      <c r="H372" s="9" t="inlineStr">
        <is>
          <t xml:space="preserve">93685     </t>
        </is>
      </c>
      <c r="I372" s="9" t="inlineStr">
        <is>
          <t xml:space="preserve">Банишев Александр Федорович </t>
        </is>
      </c>
      <c r="J372" s="9" t="n"/>
      <c r="K372" s="9" t="n"/>
      <c r="L372" s="9" t="inlineStr">
        <is>
          <t>Понедельник</t>
        </is>
      </c>
      <c r="M372" s="12">
        <f>SUMIFS($E$2:$E$1130,$A$2:$A$1130,"осень",$I$2:$I$1130,I372)</f>
        <v/>
      </c>
      <c r="N372" s="13">
        <f>SUMIFS($E$2:$E$1130,$A$2:$A$1130,"весна",$I$2:$I$1130,I372)</f>
        <v/>
      </c>
      <c r="O372" s="14">
        <f>M372+N372</f>
        <v/>
      </c>
      <c r="P372" s="15">
        <f>O372/$P$1</f>
        <v/>
      </c>
    </row>
    <row r="373" hidden="1" ht="15.75" customHeight="1" s="2">
      <c r="A373" s="8" t="inlineStr">
        <is>
          <t>осень</t>
        </is>
      </c>
      <c r="B373" s="9" t="inlineStr">
        <is>
          <t>Теория, технология и оборудование нанесения покрытий</t>
        </is>
      </c>
      <c r="C373" s="9" t="inlineStr">
        <is>
          <t>ЛР</t>
        </is>
      </c>
      <c r="D373" s="9" t="inlineStr">
        <is>
          <t>Т1О-402Б-17</t>
        </is>
      </c>
      <c r="E373" s="10" t="n">
        <v>32</v>
      </c>
      <c r="F373" s="9" t="inlineStr">
        <is>
          <t>04517</t>
        </is>
      </c>
      <c r="G373" s="10" t="n">
        <v>16</v>
      </c>
      <c r="H373" s="9" t="inlineStr">
        <is>
          <t xml:space="preserve">95460     </t>
        </is>
      </c>
      <c r="I373" s="9" t="inlineStr">
        <is>
          <t>Кубатина Екатерина Павловна</t>
        </is>
      </c>
      <c r="J373" s="9" t="n"/>
      <c r="K373" s="9" t="n"/>
      <c r="L373" s="9" t="inlineStr">
        <is>
          <t xml:space="preserve">будни после 13.00 либо суббота в любое время </t>
        </is>
      </c>
      <c r="M373" s="12">
        <f>SUMIFS($E$2:$E$1130,$A$2:$A$1130,"осень",$I$2:$I$1130,I373)</f>
        <v/>
      </c>
      <c r="N373" s="13">
        <f>SUMIFS($E$2:$E$1130,$A$2:$A$1130,"весна",$I$2:$I$1130,I373)</f>
        <v/>
      </c>
      <c r="O373" s="14">
        <f>M373+N373</f>
        <v/>
      </c>
      <c r="P373" s="15">
        <f>O373/$P$1</f>
        <v/>
      </c>
    </row>
    <row r="374" hidden="1" ht="15.75" customHeight="1" s="2">
      <c r="A374" s="8" t="inlineStr">
        <is>
          <t>осень</t>
        </is>
      </c>
      <c r="B374" s="9" t="inlineStr">
        <is>
          <t>Теория, технология и оборудование нанесения покрытий</t>
        </is>
      </c>
      <c r="C374" s="9" t="inlineStr">
        <is>
          <t>Зачет</t>
        </is>
      </c>
      <c r="D374" s="9" t="inlineStr">
        <is>
          <t>Т11О-103М-20</t>
        </is>
      </c>
      <c r="E374" s="10" t="n">
        <v>2</v>
      </c>
      <c r="F374" s="9" t="inlineStr">
        <is>
          <t>06203</t>
        </is>
      </c>
      <c r="G374" s="11" t="n">
        <v>0</v>
      </c>
      <c r="H374" s="9" t="inlineStr">
        <is>
          <t xml:space="preserve">93685     </t>
        </is>
      </c>
      <c r="I374" s="9" t="inlineStr">
        <is>
          <t xml:space="preserve">Банишев Александр Федорович </t>
        </is>
      </c>
      <c r="J374" s="9" t="n"/>
      <c r="K374" s="9" t="n"/>
      <c r="L374" s="9" t="inlineStr">
        <is>
          <t>Понедельник</t>
        </is>
      </c>
      <c r="M374" s="12">
        <f>SUMIFS($E$2:$E$1130,$A$2:$A$1130,"осень",$I$2:$I$1130,I374)</f>
        <v/>
      </c>
      <c r="N374" s="13">
        <f>SUMIFS($E$2:$E$1130,$A$2:$A$1130,"весна",$I$2:$I$1130,I374)</f>
        <v/>
      </c>
      <c r="O374" s="14">
        <f>M374+N374</f>
        <v/>
      </c>
      <c r="P374" s="15">
        <f>O374/$P$1</f>
        <v/>
      </c>
    </row>
    <row r="375" hidden="1" ht="15.75" customHeight="1" s="2">
      <c r="A375" s="8" t="inlineStr">
        <is>
          <t>осень</t>
        </is>
      </c>
      <c r="B375" s="9" t="inlineStr">
        <is>
          <t>Теория, технология и оборудование нанесения покрытий</t>
        </is>
      </c>
      <c r="C375" s="9" t="inlineStr">
        <is>
          <t>Консультация</t>
        </is>
      </c>
      <c r="D375" s="9" t="inlineStr">
        <is>
          <t>Т1О-402Б-17</t>
        </is>
      </c>
      <c r="E375" s="10" t="n">
        <v>2</v>
      </c>
      <c r="F375" s="9" t="inlineStr">
        <is>
          <t>04517</t>
        </is>
      </c>
      <c r="G375" s="11" t="n">
        <v>0</v>
      </c>
      <c r="H375" s="9" t="inlineStr">
        <is>
          <t xml:space="preserve">93685     </t>
        </is>
      </c>
      <c r="I375" s="9" t="inlineStr">
        <is>
          <t xml:space="preserve">Банишев Александр Федорович </t>
        </is>
      </c>
      <c r="J375" s="9" t="n"/>
      <c r="K375" s="9" t="n"/>
      <c r="L375" s="9" t="inlineStr">
        <is>
          <t>Только понедельник</t>
        </is>
      </c>
      <c r="M375" s="12">
        <f>SUMIFS($E$2:$E$1130,$A$2:$A$1130,"осень",$I$2:$I$1130,I375)</f>
        <v/>
      </c>
      <c r="N375" s="13">
        <f>SUMIFS($E$2:$E$1130,$A$2:$A$1130,"весна",$I$2:$I$1130,I375)</f>
        <v/>
      </c>
      <c r="O375" s="14">
        <f>M375+N375</f>
        <v/>
      </c>
      <c r="P375" s="15">
        <f>O375/$P$1</f>
        <v/>
      </c>
    </row>
    <row r="376" hidden="1" ht="15.75" customHeight="1" s="2">
      <c r="A376" s="8" t="inlineStr">
        <is>
          <t>осень</t>
        </is>
      </c>
      <c r="B376" s="9" t="inlineStr">
        <is>
          <t>Композиционные материалы в авиастроении</t>
        </is>
      </c>
      <c r="C376" s="9" t="inlineStr">
        <is>
          <t>ЛК</t>
        </is>
      </c>
      <c r="D376" s="9" t="inlineStr">
        <is>
          <t>М9О-204М-19</t>
        </is>
      </c>
      <c r="E376" s="10" t="n">
        <v>18</v>
      </c>
      <c r="F376" s="9" t="inlineStr">
        <is>
          <t>12598</t>
        </is>
      </c>
      <c r="G376" s="10" t="n">
        <v>18</v>
      </c>
      <c r="H376" s="9" t="inlineStr">
        <is>
          <t xml:space="preserve">81724     </t>
        </is>
      </c>
      <c r="I376" s="9" t="inlineStr">
        <is>
          <t xml:space="preserve">Галкин Евгений Владимирович </t>
        </is>
      </c>
      <c r="J376" s="9" t="inlineStr">
        <is>
          <t>доцент</t>
        </is>
      </c>
      <c r="K376" s="9" t="n"/>
      <c r="L376" s="9" t="inlineStr">
        <is>
          <t>кроме пятницы (525 А)</t>
        </is>
      </c>
      <c r="M376" s="12">
        <f>SUMIFS($E$2:$E$1130,$A$2:$A$1130,"осень",$I$2:$I$1130,I376)</f>
        <v/>
      </c>
      <c r="N376" s="13">
        <f>SUMIFS($E$2:$E$1130,$A$2:$A$1130,"весна",$I$2:$I$1130,I376)</f>
        <v/>
      </c>
      <c r="O376" s="14">
        <f>M376+N376</f>
        <v/>
      </c>
      <c r="P376" s="15">
        <f>O376/$P$1</f>
        <v/>
      </c>
    </row>
    <row r="377" hidden="1" ht="15.75" customHeight="1" s="2">
      <c r="A377" s="8" t="inlineStr">
        <is>
          <t>осень</t>
        </is>
      </c>
      <c r="B377" s="9" t="inlineStr">
        <is>
          <t>Композиционные материалы в авиастроении</t>
        </is>
      </c>
      <c r="C377" s="9" t="inlineStr">
        <is>
          <t>КР</t>
        </is>
      </c>
      <c r="D377" s="9" t="inlineStr">
        <is>
          <t>М9О-204М-19</t>
        </is>
      </c>
      <c r="E377" s="10" t="n">
        <v>21</v>
      </c>
      <c r="F377" s="9" t="inlineStr">
        <is>
          <t>12598</t>
        </is>
      </c>
      <c r="G377" s="11" t="n">
        <v>0</v>
      </c>
      <c r="H377" s="9" t="inlineStr">
        <is>
          <t xml:space="preserve">81724     </t>
        </is>
      </c>
      <c r="I377" s="9" t="inlineStr">
        <is>
          <t xml:space="preserve">Галкин Евгений Владимирович </t>
        </is>
      </c>
      <c r="J377" s="9" t="inlineStr">
        <is>
          <t>доцент</t>
        </is>
      </c>
      <c r="K377" s="9" t="n"/>
      <c r="L377" s="9" t="inlineStr">
        <is>
          <t>кроме пятницы (525 А)</t>
        </is>
      </c>
      <c r="M377" s="12">
        <f>SUMIFS($E$2:$E$1130,$A$2:$A$1130,"осень",$I$2:$I$1130,I377)</f>
        <v/>
      </c>
      <c r="N377" s="13">
        <f>SUMIFS($E$2:$E$1130,$A$2:$A$1130,"весна",$I$2:$I$1130,I377)</f>
        <v/>
      </c>
      <c r="O377" s="14">
        <f>M377+N377</f>
        <v/>
      </c>
      <c r="P377" s="15">
        <f>O377/$P$1</f>
        <v/>
      </c>
    </row>
    <row r="378" hidden="1" ht="15.75" customHeight="1" s="2">
      <c r="A378" s="8" t="inlineStr">
        <is>
          <t>осень</t>
        </is>
      </c>
      <c r="B378" s="9" t="inlineStr">
        <is>
          <t>Композиционные материалы в авиастроении</t>
        </is>
      </c>
      <c r="C378" s="9" t="inlineStr">
        <is>
          <t>ПЗ</t>
        </is>
      </c>
      <c r="D378" s="9" t="inlineStr">
        <is>
          <t>М9О-204М-19</t>
        </is>
      </c>
      <c r="E378" s="10" t="n">
        <v>72</v>
      </c>
      <c r="F378" s="9" t="inlineStr">
        <is>
          <t>12598</t>
        </is>
      </c>
      <c r="G378" s="10" t="n">
        <v>72</v>
      </c>
      <c r="H378" s="9" t="inlineStr">
        <is>
          <t xml:space="preserve">81724     </t>
        </is>
      </c>
      <c r="I378" s="9" t="inlineStr">
        <is>
          <t xml:space="preserve">Галкин Евгений Владимирович </t>
        </is>
      </c>
      <c r="J378" s="9" t="inlineStr">
        <is>
          <t>доцент</t>
        </is>
      </c>
      <c r="K378" s="9" t="n"/>
      <c r="L378" s="9" t="inlineStr">
        <is>
          <t>кроме пятницы (525 А)</t>
        </is>
      </c>
      <c r="M378" s="12">
        <f>SUMIFS($E$2:$E$1130,$A$2:$A$1130,"осень",$I$2:$I$1130,I378)</f>
        <v/>
      </c>
      <c r="N378" s="13">
        <f>SUMIFS($E$2:$E$1130,$A$2:$A$1130,"весна",$I$2:$I$1130,I378)</f>
        <v/>
      </c>
      <c r="O378" s="14">
        <f>M378+N378</f>
        <v/>
      </c>
      <c r="P378" s="15">
        <f>O378/$P$1</f>
        <v/>
      </c>
    </row>
    <row r="379" hidden="1" ht="15.75" customHeight="1" s="2">
      <c r="A379" s="8" t="inlineStr">
        <is>
          <t>осень</t>
        </is>
      </c>
      <c r="B379" s="9" t="inlineStr">
        <is>
          <t>Композиционные материалы в авиастроении</t>
        </is>
      </c>
      <c r="C379" s="9" t="inlineStr">
        <is>
          <t>Экзамен</t>
        </is>
      </c>
      <c r="D379" s="9" t="inlineStr">
        <is>
          <t>М9О-204М-19</t>
        </is>
      </c>
      <c r="E379" s="10" t="n">
        <v>4</v>
      </c>
      <c r="F379" s="9" t="inlineStr">
        <is>
          <t>12598</t>
        </is>
      </c>
      <c r="G379" s="11" t="n">
        <v>0</v>
      </c>
      <c r="H379" s="9" t="inlineStr">
        <is>
          <t xml:space="preserve">81724     </t>
        </is>
      </c>
      <c r="I379" s="9" t="inlineStr">
        <is>
          <t xml:space="preserve">Галкин Евгений Владимирович </t>
        </is>
      </c>
      <c r="J379" s="9" t="inlineStr">
        <is>
          <t>доцент</t>
        </is>
      </c>
      <c r="K379" s="9" t="n"/>
      <c r="L379" s="9" t="inlineStr">
        <is>
          <t>кроме пятницы (525 А)</t>
        </is>
      </c>
      <c r="M379" s="12">
        <f>SUMIFS($E$2:$E$1130,$A$2:$A$1130,"осень",$I$2:$I$1130,I379)</f>
        <v/>
      </c>
      <c r="N379" s="13">
        <f>SUMIFS($E$2:$E$1130,$A$2:$A$1130,"весна",$I$2:$I$1130,I379)</f>
        <v/>
      </c>
      <c r="O379" s="14">
        <f>M379+N379</f>
        <v/>
      </c>
      <c r="P379" s="15">
        <f>O379/$P$1</f>
        <v/>
      </c>
    </row>
    <row r="380" hidden="1" ht="15.75" customHeight="1" s="2">
      <c r="A380" s="8" t="inlineStr">
        <is>
          <t>осень</t>
        </is>
      </c>
      <c r="B380" s="9" t="inlineStr">
        <is>
          <t>Композиционные материалы в авиастроении</t>
        </is>
      </c>
      <c r="C380" s="9" t="inlineStr">
        <is>
          <t>Консультация</t>
        </is>
      </c>
      <c r="D380" s="9" t="inlineStr">
        <is>
          <t>М9О-204М-19</t>
        </is>
      </c>
      <c r="E380" s="10" t="n">
        <v>3</v>
      </c>
      <c r="F380" s="9" t="inlineStr">
        <is>
          <t>12598</t>
        </is>
      </c>
      <c r="G380" s="11" t="n">
        <v>0</v>
      </c>
      <c r="H380" s="9" t="inlineStr">
        <is>
          <t xml:space="preserve">81724     </t>
        </is>
      </c>
      <c r="I380" s="9" t="inlineStr">
        <is>
          <t xml:space="preserve">Галкин Евгений Владимирович </t>
        </is>
      </c>
      <c r="J380" s="9" t="inlineStr">
        <is>
          <t>доцент</t>
        </is>
      </c>
      <c r="K380" s="9" t="n"/>
      <c r="L380" s="9" t="inlineStr">
        <is>
          <t>кроме пятницы (525 А)</t>
        </is>
      </c>
      <c r="M380" s="12">
        <f>SUMIFS($E$2:$E$1130,$A$2:$A$1130,"осень",$I$2:$I$1130,I380)</f>
        <v/>
      </c>
      <c r="N380" s="13">
        <f>SUMIFS($E$2:$E$1130,$A$2:$A$1130,"весна",$I$2:$I$1130,I380)</f>
        <v/>
      </c>
      <c r="O380" s="14">
        <f>M380+N380</f>
        <v/>
      </c>
      <c r="P380" s="15">
        <f>O380/$P$1</f>
        <v/>
      </c>
    </row>
    <row r="381" hidden="1" ht="15.75" customHeight="1" s="2">
      <c r="A381" s="8" t="inlineStr">
        <is>
          <t>осень</t>
        </is>
      </c>
      <c r="B381" s="9" t="inlineStr">
        <is>
          <t>Сварка, родственные процессы и технологии</t>
        </is>
      </c>
      <c r="C381" s="9" t="inlineStr">
        <is>
          <t>ЛК</t>
        </is>
      </c>
      <c r="D381" s="9" t="inlineStr">
        <is>
          <t>Т11О-302А-18</t>
        </is>
      </c>
      <c r="E381" s="10" t="n">
        <v>34</v>
      </c>
      <c r="F381" s="9" t="inlineStr">
        <is>
          <t>10740</t>
        </is>
      </c>
      <c r="G381" s="10" t="n">
        <v>68</v>
      </c>
      <c r="H381" s="9" t="inlineStr">
        <is>
          <t xml:space="preserve">87438     </t>
        </is>
      </c>
      <c r="I381" s="9" t="inlineStr">
        <is>
          <t xml:space="preserve">Конкевич Валентин Юрьевич </t>
        </is>
      </c>
      <c r="J381" s="9" t="n"/>
      <c r="K381" s="9" t="n"/>
      <c r="L381" s="9" t="inlineStr">
        <is>
          <t>Мисников Валерий Евгеньевич</t>
        </is>
      </c>
      <c r="M381" s="12">
        <f>SUMIFS($E$2:$E$1130,$A$2:$A$1130,"осень",$I$2:$I$1130,I381)</f>
        <v/>
      </c>
      <c r="N381" s="13">
        <f>SUMIFS($E$2:$E$1130,$A$2:$A$1130,"весна",$I$2:$I$1130,I381)</f>
        <v/>
      </c>
      <c r="O381" s="14">
        <f>M381+N381</f>
        <v/>
      </c>
      <c r="P381" s="15">
        <f>O381/$P$1</f>
        <v/>
      </c>
    </row>
    <row r="382" hidden="1" ht="14.25" customHeight="1" s="2">
      <c r="A382" s="8" t="inlineStr">
        <is>
          <t>осень</t>
        </is>
      </c>
      <c r="B382" s="9" t="inlineStr">
        <is>
          <t>Сварка, родственные процессы и технологии</t>
        </is>
      </c>
      <c r="C382" s="9" t="inlineStr">
        <is>
          <t>ЛК</t>
        </is>
      </c>
      <c r="D382" s="9" t="inlineStr">
        <is>
          <t>Т11О-302А-18</t>
        </is>
      </c>
      <c r="E382" s="10" t="n">
        <v>34</v>
      </c>
      <c r="F382" s="9" t="inlineStr">
        <is>
          <t>10740</t>
        </is>
      </c>
      <c r="G382" s="10" t="n">
        <v>68</v>
      </c>
      <c r="H382" s="9" t="inlineStr">
        <is>
          <t xml:space="preserve">82075     </t>
        </is>
      </c>
      <c r="I382" s="9" t="inlineStr">
        <is>
          <t>Сидякин Виталий Александрович</t>
        </is>
      </c>
      <c r="J382" s="9" t="n"/>
      <c r="K382" s="9" t="n"/>
      <c r="L382" s="21" t="inlineStr">
        <is>
          <t>Мисников Валерий Евгеньевич</t>
        </is>
      </c>
      <c r="M382" s="12">
        <f>SUMIFS($E$2:$E$1130,$A$2:$A$1130,"осень",$I$2:$I$1130,I382)</f>
        <v/>
      </c>
      <c r="N382" s="13">
        <f>SUMIFS($E$2:$E$1130,$A$2:$A$1130,"весна",$I$2:$I$1130,I382)</f>
        <v/>
      </c>
      <c r="O382" s="14">
        <f>M382+N382</f>
        <v/>
      </c>
      <c r="P382" s="15">
        <f>O382/$P$1</f>
        <v/>
      </c>
    </row>
    <row r="383" hidden="1" ht="15.75" customHeight="1" s="2">
      <c r="A383" s="8" t="inlineStr">
        <is>
          <t>осень</t>
        </is>
      </c>
      <c r="B383" s="9" t="inlineStr">
        <is>
          <t>Сварка, родственные процессы и технологии</t>
        </is>
      </c>
      <c r="C383" s="9" t="inlineStr">
        <is>
          <t>ПЗ</t>
        </is>
      </c>
      <c r="D383" s="9" t="inlineStr">
        <is>
          <t>Т11О-302А-18</t>
        </is>
      </c>
      <c r="E383" s="10" t="n">
        <v>10</v>
      </c>
      <c r="F383" s="9" t="inlineStr">
        <is>
          <t>10740</t>
        </is>
      </c>
      <c r="G383" s="10" t="n">
        <v>20</v>
      </c>
      <c r="H383" s="9" t="inlineStr">
        <is>
          <t xml:space="preserve">82075     </t>
        </is>
      </c>
      <c r="I383" s="9" t="inlineStr">
        <is>
          <t>Сидякин Виталий Александрович</t>
        </is>
      </c>
      <c r="J383" s="9" t="n"/>
      <c r="K383" s="9" t="n"/>
      <c r="L383" s="21" t="inlineStr">
        <is>
          <t>Мисников Валерий Евгеньевич</t>
        </is>
      </c>
      <c r="M383" s="12">
        <f>SUMIFS($E$2:$E$1130,$A$2:$A$1130,"осень",$I$2:$I$1130,I383)</f>
        <v/>
      </c>
      <c r="N383" s="13">
        <f>SUMIFS($E$2:$E$1130,$A$2:$A$1130,"весна",$I$2:$I$1130,I383)</f>
        <v/>
      </c>
      <c r="O383" s="14">
        <f>M383+N383</f>
        <v/>
      </c>
      <c r="P383" s="15">
        <f>O383/$P$1</f>
        <v/>
      </c>
    </row>
    <row r="384" hidden="1" ht="15.75" customHeight="1" s="2">
      <c r="A384" s="8" t="inlineStr">
        <is>
          <t>осень</t>
        </is>
      </c>
      <c r="B384" s="9" t="inlineStr">
        <is>
          <t>Сварка, родственные процессы и технологии</t>
        </is>
      </c>
      <c r="C384" s="9" t="inlineStr">
        <is>
          <t>ПЗ</t>
        </is>
      </c>
      <c r="D384" s="9" t="inlineStr">
        <is>
          <t>Т11О-302А-18</t>
        </is>
      </c>
      <c r="E384" s="10" t="n">
        <v>10</v>
      </c>
      <c r="F384" s="9" t="inlineStr">
        <is>
          <t>10740</t>
        </is>
      </c>
      <c r="G384" s="10" t="n">
        <v>20</v>
      </c>
      <c r="H384" s="9" t="inlineStr">
        <is>
          <t xml:space="preserve">87438     </t>
        </is>
      </c>
      <c r="I384" s="9" t="inlineStr">
        <is>
          <t xml:space="preserve">Конкевич Валентин Юрьевич </t>
        </is>
      </c>
      <c r="J384" s="9" t="n"/>
      <c r="K384" s="9" t="n"/>
      <c r="L384" s="21" t="inlineStr">
        <is>
          <t>Мисников Валерий Евгеньевич</t>
        </is>
      </c>
      <c r="M384" s="12">
        <f>SUMIFS($E$2:$E$1130,$A$2:$A$1130,"осень",$I$2:$I$1130,I384)</f>
        <v/>
      </c>
      <c r="N384" s="13">
        <f>SUMIFS($E$2:$E$1130,$A$2:$A$1130,"весна",$I$2:$I$1130,I384)</f>
        <v/>
      </c>
      <c r="O384" s="14">
        <f>M384+N384</f>
        <v/>
      </c>
      <c r="P384" s="15">
        <f>O384/$P$1</f>
        <v/>
      </c>
    </row>
    <row r="385" hidden="1" ht="15.75" customHeight="1" s="2">
      <c r="A385" s="8" t="inlineStr">
        <is>
          <t>осень</t>
        </is>
      </c>
      <c r="B385" s="9" t="inlineStr">
        <is>
          <t>Сварка, родственные процессы и технологии</t>
        </is>
      </c>
      <c r="C385" s="9" t="inlineStr">
        <is>
          <t>Экзамен</t>
        </is>
      </c>
      <c r="D385" s="9" t="inlineStr">
        <is>
          <t>Т11О-302А-18</t>
        </is>
      </c>
      <c r="E385" s="10" t="n">
        <v>1</v>
      </c>
      <c r="F385" s="9" t="inlineStr">
        <is>
          <t>10740</t>
        </is>
      </c>
      <c r="G385" s="11" t="n">
        <v>0</v>
      </c>
      <c r="H385" s="9" t="inlineStr">
        <is>
          <t xml:space="preserve">87438     </t>
        </is>
      </c>
      <c r="I385" s="9" t="inlineStr">
        <is>
          <t xml:space="preserve">Конкевич Валентин Юрьевич </t>
        </is>
      </c>
      <c r="J385" s="9" t="n"/>
      <c r="K385" s="9" t="n"/>
      <c r="L385" s="9" t="inlineStr">
        <is>
          <t>Мисников Валерий Евгеньевич</t>
        </is>
      </c>
      <c r="M385" s="12">
        <f>SUMIFS($E$2:$E$1130,$A$2:$A$1130,"осень",$I$2:$I$1130,I385)</f>
        <v/>
      </c>
      <c r="N385" s="13">
        <f>SUMIFS($E$2:$E$1130,$A$2:$A$1130,"весна",$I$2:$I$1130,I385)</f>
        <v/>
      </c>
      <c r="O385" s="14">
        <f>M385+N385</f>
        <v/>
      </c>
      <c r="P385" s="15">
        <f>O385/$P$1</f>
        <v/>
      </c>
    </row>
    <row r="386" hidden="1" ht="15.75" customHeight="1" s="2">
      <c r="A386" s="8" t="inlineStr">
        <is>
          <t>осень</t>
        </is>
      </c>
      <c r="B386" s="9" t="inlineStr">
        <is>
          <t>Сварка, родственные процессы и технологии</t>
        </is>
      </c>
      <c r="C386" s="9" t="inlineStr">
        <is>
          <t>Консультация</t>
        </is>
      </c>
      <c r="D386" s="9" t="inlineStr">
        <is>
          <t>Т11О-302А-18</t>
        </is>
      </c>
      <c r="E386" s="10" t="n">
        <v>5</v>
      </c>
      <c r="F386" s="9" t="inlineStr">
        <is>
          <t>10740</t>
        </is>
      </c>
      <c r="G386" s="11" t="n">
        <v>0</v>
      </c>
      <c r="H386" s="9" t="inlineStr">
        <is>
          <t xml:space="preserve">87438     </t>
        </is>
      </c>
      <c r="I386" s="9" t="inlineStr">
        <is>
          <t xml:space="preserve">Конкевич Валентин Юрьевич </t>
        </is>
      </c>
      <c r="J386" s="9" t="n"/>
      <c r="K386" s="9" t="n"/>
      <c r="L386" s="9" t="inlineStr">
        <is>
          <t>Мисников Валерий Евгеньевич</t>
        </is>
      </c>
      <c r="M386" s="12">
        <f>SUMIFS($E$2:$E$1130,$A$2:$A$1130,"осень",$I$2:$I$1130,I386)</f>
        <v/>
      </c>
      <c r="N386" s="13">
        <f>SUMIFS($E$2:$E$1130,$A$2:$A$1130,"весна",$I$2:$I$1130,I386)</f>
        <v/>
      </c>
      <c r="O386" s="14">
        <f>M386+N386</f>
        <v/>
      </c>
      <c r="P386" s="15">
        <f>O386/$P$1</f>
        <v/>
      </c>
    </row>
    <row r="387" hidden="1" ht="15.75" customHeight="1" s="2">
      <c r="A387" s="8" t="inlineStr">
        <is>
          <t>осень</t>
        </is>
      </c>
      <c r="B387" s="9" t="inlineStr">
        <is>
          <t>Спецглавы информатики</t>
        </is>
      </c>
      <c r="C387" s="9" t="inlineStr">
        <is>
          <t>ЛК</t>
        </is>
      </c>
      <c r="D387" s="9" t="inlineStr">
        <is>
          <t>Т11О-201Б-19, Т11О-202Б-19</t>
        </is>
      </c>
      <c r="E387" s="10" t="n">
        <v>24</v>
      </c>
      <c r="F387" s="9" t="inlineStr">
        <is>
          <t>08947</t>
        </is>
      </c>
      <c r="G387" s="10" t="n">
        <v>24</v>
      </c>
      <c r="H387" s="9" t="inlineStr">
        <is>
          <t xml:space="preserve">82026     </t>
        </is>
      </c>
      <c r="I387" s="9" t="inlineStr">
        <is>
          <t xml:space="preserve">Александрова Светлана Сергеевна </t>
        </is>
      </c>
      <c r="J387" s="9" t="inlineStr">
        <is>
          <t>доцент</t>
        </is>
      </c>
      <c r="K387" s="9" t="n"/>
      <c r="L387" s="9" t="inlineStr">
        <is>
          <t>кроме чт и сб (509)</t>
        </is>
      </c>
      <c r="M387" s="12">
        <f>SUMIFS($E$2:$E$1130,$A$2:$A$1130,"осень",$I$2:$I$1130,I387)</f>
        <v/>
      </c>
      <c r="N387" s="13">
        <f>SUMIFS($E$2:$E$1130,$A$2:$A$1130,"весна",$I$2:$I$1130,I387)</f>
        <v/>
      </c>
      <c r="O387" s="14">
        <f>M387+N387</f>
        <v/>
      </c>
      <c r="P387" s="15">
        <f>O387/$P$1</f>
        <v/>
      </c>
    </row>
    <row r="388" hidden="1" ht="15.75" customHeight="1" s="2">
      <c r="A388" s="8" t="inlineStr">
        <is>
          <t>осень</t>
        </is>
      </c>
      <c r="B388" s="9" t="inlineStr">
        <is>
          <t>Спецглавы информатики</t>
        </is>
      </c>
      <c r="C388" s="9" t="inlineStr">
        <is>
          <t>Зачет с оценкой</t>
        </is>
      </c>
      <c r="D388" s="9" t="inlineStr">
        <is>
          <t>Т11О-201Б-19</t>
        </is>
      </c>
      <c r="E388" s="10" t="n">
        <v>6</v>
      </c>
      <c r="F388" s="9" t="inlineStr">
        <is>
          <t>08947</t>
        </is>
      </c>
      <c r="G388" s="11" t="n">
        <v>0</v>
      </c>
      <c r="H388" s="9" t="inlineStr">
        <is>
          <t xml:space="preserve">82026     </t>
        </is>
      </c>
      <c r="I388" s="9" t="inlineStr">
        <is>
          <t xml:space="preserve">Александрова Светлана Сергеевна </t>
        </is>
      </c>
      <c r="J388" s="9" t="inlineStr">
        <is>
          <t>доцент</t>
        </is>
      </c>
      <c r="K388" s="9" t="n"/>
      <c r="L388" s="9" t="inlineStr">
        <is>
          <t>кроме чт и сб (509)</t>
        </is>
      </c>
      <c r="M388" s="12">
        <f>SUMIFS($E$2:$E$1130,$A$2:$A$1130,"осень",$I$2:$I$1130,I388)</f>
        <v/>
      </c>
      <c r="N388" s="13">
        <f>SUMIFS($E$2:$E$1130,$A$2:$A$1130,"весна",$I$2:$I$1130,I388)</f>
        <v/>
      </c>
      <c r="O388" s="14">
        <f>M388+N388</f>
        <v/>
      </c>
      <c r="P388" s="15">
        <f>O388/$P$1</f>
        <v/>
      </c>
    </row>
    <row r="389" hidden="1" ht="15.75" customHeight="1" s="2">
      <c r="A389" s="8" t="inlineStr">
        <is>
          <t>осень</t>
        </is>
      </c>
      <c r="B389" s="9" t="inlineStr">
        <is>
          <t>Спецглавы информатики</t>
        </is>
      </c>
      <c r="C389" s="9" t="inlineStr">
        <is>
          <t>Зачет с оценкой</t>
        </is>
      </c>
      <c r="D389" s="9" t="inlineStr">
        <is>
          <t>Т11О-202Б-19</t>
        </is>
      </c>
      <c r="E389" s="10" t="n">
        <v>8</v>
      </c>
      <c r="F389" s="9" t="inlineStr">
        <is>
          <t>08947</t>
        </is>
      </c>
      <c r="G389" s="11" t="n">
        <v>0</v>
      </c>
      <c r="H389" s="9" t="inlineStr">
        <is>
          <t xml:space="preserve">82026     </t>
        </is>
      </c>
      <c r="I389" s="9" t="inlineStr">
        <is>
          <t xml:space="preserve">Александрова Светлана Сергеевна </t>
        </is>
      </c>
      <c r="J389" s="9" t="inlineStr">
        <is>
          <t>доцент</t>
        </is>
      </c>
      <c r="K389" s="9" t="n"/>
      <c r="L389" s="9" t="inlineStr">
        <is>
          <t>кроме чт и сб (509)</t>
        </is>
      </c>
      <c r="M389" s="12">
        <f>SUMIFS($E$2:$E$1130,$A$2:$A$1130,"осень",$I$2:$I$1130,I389)</f>
        <v/>
      </c>
      <c r="N389" s="13">
        <f>SUMIFS($E$2:$E$1130,$A$2:$A$1130,"весна",$I$2:$I$1130,I389)</f>
        <v/>
      </c>
      <c r="O389" s="14">
        <f>M389+N389</f>
        <v/>
      </c>
      <c r="P389" s="15">
        <f>O389/$P$1</f>
        <v/>
      </c>
    </row>
    <row r="390" hidden="1" ht="15.75" customHeight="1" s="2">
      <c r="A390" s="8" t="inlineStr">
        <is>
          <t>осень</t>
        </is>
      </c>
      <c r="B390" s="9" t="inlineStr">
        <is>
          <t>Спецглавы информатики</t>
        </is>
      </c>
      <c r="C390" s="9" t="inlineStr">
        <is>
          <t>ПЗ</t>
        </is>
      </c>
      <c r="D390" s="9" t="inlineStr">
        <is>
          <t>Т11О-201Б-19</t>
        </is>
      </c>
      <c r="E390" s="10" t="n">
        <v>48</v>
      </c>
      <c r="F390" s="9" t="inlineStr">
        <is>
          <t>08947</t>
        </is>
      </c>
      <c r="G390" s="10" t="n">
        <v>48</v>
      </c>
      <c r="H390" s="9" t="inlineStr">
        <is>
          <t xml:space="preserve">82026     </t>
        </is>
      </c>
      <c r="I390" s="9" t="inlineStr">
        <is>
          <t xml:space="preserve">Александрова Светлана Сергеевна </t>
        </is>
      </c>
      <c r="J390" s="9" t="inlineStr">
        <is>
          <t>доцент</t>
        </is>
      </c>
      <c r="K390" s="9" t="n"/>
      <c r="L390" s="9" t="inlineStr">
        <is>
          <t>кроме чт и сб (509)</t>
        </is>
      </c>
      <c r="M390" s="12">
        <f>SUMIFS($E$2:$E$1130,$A$2:$A$1130,"осень",$I$2:$I$1130,I390)</f>
        <v/>
      </c>
      <c r="N390" s="13">
        <f>SUMIFS($E$2:$E$1130,$A$2:$A$1130,"весна",$I$2:$I$1130,I390)</f>
        <v/>
      </c>
      <c r="O390" s="14">
        <f>M390+N390</f>
        <v/>
      </c>
      <c r="P390" s="15">
        <f>O390/$P$1</f>
        <v/>
      </c>
    </row>
    <row r="391" hidden="1" ht="15.75" customHeight="1" s="2">
      <c r="A391" s="8" t="inlineStr">
        <is>
          <t>осень</t>
        </is>
      </c>
      <c r="B391" s="9" t="inlineStr">
        <is>
          <t>Спецглавы информатики</t>
        </is>
      </c>
      <c r="C391" s="9" t="inlineStr">
        <is>
          <t>ПЗ</t>
        </is>
      </c>
      <c r="D391" s="9" t="inlineStr">
        <is>
          <t>Т11О-202Б-19</t>
        </is>
      </c>
      <c r="E391" s="10" t="n">
        <v>48</v>
      </c>
      <c r="F391" s="9" t="inlineStr">
        <is>
          <t>08947</t>
        </is>
      </c>
      <c r="G391" s="10" t="n">
        <v>48</v>
      </c>
      <c r="H391" s="9" t="inlineStr">
        <is>
          <t xml:space="preserve">82026     </t>
        </is>
      </c>
      <c r="I391" s="9" t="inlineStr">
        <is>
          <t xml:space="preserve">Александрова Светлана Сергеевна </t>
        </is>
      </c>
      <c r="J391" s="9" t="inlineStr">
        <is>
          <t>доцент</t>
        </is>
      </c>
      <c r="K391" s="9" t="n"/>
      <c r="L391" s="9" t="inlineStr">
        <is>
          <t>кроме чт и сб (509)</t>
        </is>
      </c>
      <c r="M391" s="12">
        <f>SUMIFS($E$2:$E$1130,$A$2:$A$1130,"осень",$I$2:$I$1130,I391)</f>
        <v/>
      </c>
      <c r="N391" s="13">
        <f>SUMIFS($E$2:$E$1130,$A$2:$A$1130,"весна",$I$2:$I$1130,I391)</f>
        <v/>
      </c>
      <c r="O391" s="14">
        <f>M391+N391</f>
        <v/>
      </c>
      <c r="P391" s="15">
        <f>O391/$P$1</f>
        <v/>
      </c>
    </row>
    <row r="392" hidden="1" ht="15.75" customHeight="1" s="2">
      <c r="A392" s="8" t="inlineStr">
        <is>
          <t>осень</t>
        </is>
      </c>
      <c r="B392" s="9" t="inlineStr">
        <is>
          <t>Спецглавы информатики</t>
        </is>
      </c>
      <c r="C392" s="9" t="inlineStr">
        <is>
          <t>Консультация</t>
        </is>
      </c>
      <c r="D392" s="9" t="inlineStr">
        <is>
          <t>Т11О-201Б-19</t>
        </is>
      </c>
      <c r="E392" s="10" t="n">
        <v>1</v>
      </c>
      <c r="F392" s="9" t="inlineStr">
        <is>
          <t>08947</t>
        </is>
      </c>
      <c r="G392" s="11" t="n">
        <v>0</v>
      </c>
      <c r="H392" s="9" t="inlineStr">
        <is>
          <t xml:space="preserve">82026     </t>
        </is>
      </c>
      <c r="I392" s="9" t="inlineStr">
        <is>
          <t xml:space="preserve">Александрова Светлана Сергеевна </t>
        </is>
      </c>
      <c r="J392" s="9" t="inlineStr">
        <is>
          <t>доцент</t>
        </is>
      </c>
      <c r="K392" s="9" t="n"/>
      <c r="L392" s="9" t="inlineStr">
        <is>
          <t>кроме чт и сб (509)</t>
        </is>
      </c>
      <c r="M392" s="12">
        <f>SUMIFS($E$2:$E$1130,$A$2:$A$1130,"осень",$I$2:$I$1130,I392)</f>
        <v/>
      </c>
      <c r="N392" s="13">
        <f>SUMIFS($E$2:$E$1130,$A$2:$A$1130,"весна",$I$2:$I$1130,I392)</f>
        <v/>
      </c>
      <c r="O392" s="14">
        <f>M392+N392</f>
        <v/>
      </c>
      <c r="P392" s="15">
        <f>O392/$P$1</f>
        <v/>
      </c>
    </row>
    <row r="393" hidden="1" ht="15.75" customHeight="1" s="2">
      <c r="A393" s="8" t="inlineStr">
        <is>
          <t>осень</t>
        </is>
      </c>
      <c r="B393" s="9" t="inlineStr">
        <is>
          <t>Спецглавы информатики</t>
        </is>
      </c>
      <c r="C393" s="9" t="inlineStr">
        <is>
          <t>Консультация</t>
        </is>
      </c>
      <c r="D393" s="9" t="inlineStr">
        <is>
          <t>Т11О-202Б-19</t>
        </is>
      </c>
      <c r="E393" s="10" t="n">
        <v>1</v>
      </c>
      <c r="F393" s="9" t="inlineStr">
        <is>
          <t>08947</t>
        </is>
      </c>
      <c r="G393" s="11" t="n">
        <v>0</v>
      </c>
      <c r="H393" s="9" t="inlineStr">
        <is>
          <t xml:space="preserve">82026     </t>
        </is>
      </c>
      <c r="I393" s="9" t="inlineStr">
        <is>
          <t xml:space="preserve">Александрова Светлана Сергеевна </t>
        </is>
      </c>
      <c r="J393" s="9" t="inlineStr">
        <is>
          <t>доцент</t>
        </is>
      </c>
      <c r="K393" s="9" t="n"/>
      <c r="L393" s="9" t="inlineStr">
        <is>
          <t>кроме чт и сб (509)</t>
        </is>
      </c>
      <c r="M393" s="12">
        <f>SUMIFS($E$2:$E$1130,$A$2:$A$1130,"осень",$I$2:$I$1130,I393)</f>
        <v/>
      </c>
      <c r="N393" s="13">
        <f>SUMIFS($E$2:$E$1130,$A$2:$A$1130,"весна",$I$2:$I$1130,I393)</f>
        <v/>
      </c>
      <c r="O393" s="14">
        <f>M393+N393</f>
        <v/>
      </c>
      <c r="P393" s="15">
        <f>O393/$P$1</f>
        <v/>
      </c>
    </row>
    <row r="394" hidden="1" ht="15.75" customHeight="1" s="2">
      <c r="A394" s="8" t="inlineStr">
        <is>
          <t>осень</t>
        </is>
      </c>
      <c r="B394" s="9" t="inlineStr">
        <is>
          <t>Вакуумные технологии в металлургии</t>
        </is>
      </c>
      <c r="C394" s="9" t="inlineStr">
        <is>
          <t>ЛК</t>
        </is>
      </c>
      <c r="D394" s="9" t="inlineStr">
        <is>
          <t>Т1О-402Б-17</t>
        </is>
      </c>
      <c r="E394" s="10" t="n">
        <v>30</v>
      </c>
      <c r="F394" s="9" t="inlineStr">
        <is>
          <t>04517</t>
        </is>
      </c>
      <c r="G394" s="10" t="n">
        <v>30</v>
      </c>
      <c r="H394" s="9" t="inlineStr">
        <is>
          <t xml:space="preserve">95460     </t>
        </is>
      </c>
      <c r="I394" s="9" t="inlineStr">
        <is>
          <t>Кубатина Екатерина Павловна</t>
        </is>
      </c>
      <c r="J394" s="9" t="n"/>
      <c r="K394" s="9" t="n"/>
      <c r="L394" s="9" t="inlineStr">
        <is>
          <t>будни после 13.00 либо суббота в любое время</t>
        </is>
      </c>
      <c r="M394" s="12">
        <f>SUMIFS($E$2:$E$1130,$A$2:$A$1130,"осень",$I$2:$I$1130,I394)</f>
        <v/>
      </c>
      <c r="N394" s="13">
        <f>SUMIFS($E$2:$E$1130,$A$2:$A$1130,"весна",$I$2:$I$1130,I394)</f>
        <v/>
      </c>
      <c r="O394" s="14">
        <f>M394+N394</f>
        <v/>
      </c>
      <c r="P394" s="15">
        <f>O394/$P$1</f>
        <v/>
      </c>
    </row>
    <row r="395" hidden="1" ht="15.75" customHeight="1" s="2">
      <c r="A395" s="8" t="inlineStr">
        <is>
          <t>осень</t>
        </is>
      </c>
      <c r="B395" s="9" t="inlineStr">
        <is>
          <t>Вакуумные технологии в металлургии</t>
        </is>
      </c>
      <c r="C395" s="9" t="inlineStr">
        <is>
          <t>Зачет с оценкой</t>
        </is>
      </c>
      <c r="D395" s="9" t="inlineStr">
        <is>
          <t>Т1О-402Б-17</t>
        </is>
      </c>
      <c r="E395" s="10" t="n">
        <v>6</v>
      </c>
      <c r="F395" s="9" t="inlineStr">
        <is>
          <t>04517</t>
        </is>
      </c>
      <c r="G395" s="11" t="n">
        <v>0</v>
      </c>
      <c r="H395" s="9" t="inlineStr">
        <is>
          <t xml:space="preserve">95460     </t>
        </is>
      </c>
      <c r="I395" s="9" t="inlineStr">
        <is>
          <t>Кубатина Екатерина Павловна</t>
        </is>
      </c>
      <c r="J395" s="9" t="n"/>
      <c r="K395" s="9" t="n"/>
      <c r="L395" s="9" t="inlineStr">
        <is>
          <t xml:space="preserve">будни после 13.00 либо суббота в любое время </t>
        </is>
      </c>
      <c r="M395" s="12">
        <f>SUMIFS($E$2:$E$1130,$A$2:$A$1130,"осень",$I$2:$I$1130,I395)</f>
        <v/>
      </c>
      <c r="N395" s="13">
        <f>SUMIFS($E$2:$E$1130,$A$2:$A$1130,"весна",$I$2:$I$1130,I395)</f>
        <v/>
      </c>
      <c r="O395" s="14">
        <f>M395+N395</f>
        <v/>
      </c>
      <c r="P395" s="15">
        <f>O395/$P$1</f>
        <v/>
      </c>
    </row>
    <row r="396" hidden="1" ht="15.75" customHeight="1" s="2">
      <c r="A396" s="8" t="inlineStr">
        <is>
          <t>осень</t>
        </is>
      </c>
      <c r="B396" s="9" t="inlineStr">
        <is>
          <t>Вакуумные технологии в металлургии</t>
        </is>
      </c>
      <c r="C396" s="9" t="inlineStr">
        <is>
          <t>ПЗ</t>
        </is>
      </c>
      <c r="D396" s="9" t="inlineStr">
        <is>
          <t>Т1О-402Б-17</t>
        </is>
      </c>
      <c r="E396" s="10" t="n">
        <v>18</v>
      </c>
      <c r="F396" s="9" t="inlineStr">
        <is>
          <t>04517</t>
        </is>
      </c>
      <c r="G396" s="10" t="n">
        <v>18</v>
      </c>
      <c r="H396" s="9" t="inlineStr">
        <is>
          <t xml:space="preserve">95460     </t>
        </is>
      </c>
      <c r="I396" s="9" t="inlineStr">
        <is>
          <t>Кубатина Екатерина Павловна</t>
        </is>
      </c>
      <c r="J396" s="9" t="n"/>
      <c r="K396" s="9" t="n"/>
      <c r="L396" s="9" t="inlineStr">
        <is>
          <t xml:space="preserve">будни после 13.00 либо суббота в любое время </t>
        </is>
      </c>
      <c r="M396" s="12">
        <f>SUMIFS($E$2:$E$1130,$A$2:$A$1130,"осень",$I$2:$I$1130,I396)</f>
        <v/>
      </c>
      <c r="N396" s="13">
        <f>SUMIFS($E$2:$E$1130,$A$2:$A$1130,"весна",$I$2:$I$1130,I396)</f>
        <v/>
      </c>
      <c r="O396" s="14">
        <f>M396+N396</f>
        <v/>
      </c>
      <c r="P396" s="15">
        <f>O396/$P$1</f>
        <v/>
      </c>
    </row>
    <row r="397" hidden="1" ht="15.75" customHeight="1" s="2">
      <c r="A397" s="8" t="inlineStr">
        <is>
          <t>осень</t>
        </is>
      </c>
      <c r="B397" s="9" t="inlineStr">
        <is>
          <t>Вакуумные технологии в металлургии</t>
        </is>
      </c>
      <c r="C397" s="9" t="inlineStr">
        <is>
          <t>ЛР</t>
        </is>
      </c>
      <c r="D397" s="9" t="inlineStr">
        <is>
          <t>Т1О-402Б-17</t>
        </is>
      </c>
      <c r="E397" s="10" t="n">
        <v>24</v>
      </c>
      <c r="F397" s="9" t="inlineStr">
        <is>
          <t>04517</t>
        </is>
      </c>
      <c r="G397" s="10" t="n">
        <v>12</v>
      </c>
      <c r="H397" s="9" t="inlineStr">
        <is>
          <t xml:space="preserve">95460     </t>
        </is>
      </c>
      <c r="I397" s="9" t="inlineStr">
        <is>
          <t>Кубатина Екатерина Павловна</t>
        </is>
      </c>
      <c r="J397" s="9" t="n"/>
      <c r="K397" s="9" t="n"/>
      <c r="L397" s="9" t="inlineStr">
        <is>
          <t xml:space="preserve">будни после 13.00 либо суббота в любое время </t>
        </is>
      </c>
      <c r="M397" s="12">
        <f>SUMIFS($E$2:$E$1130,$A$2:$A$1130,"осень",$I$2:$I$1130,I397)</f>
        <v/>
      </c>
      <c r="N397" s="13">
        <f>SUMIFS($E$2:$E$1130,$A$2:$A$1130,"весна",$I$2:$I$1130,I397)</f>
        <v/>
      </c>
      <c r="O397" s="14">
        <f>M397+N397</f>
        <v/>
      </c>
      <c r="P397" s="15">
        <f>O397/$P$1</f>
        <v/>
      </c>
    </row>
    <row r="398" hidden="1" ht="15.75" customHeight="1" s="2">
      <c r="A398" s="8" t="inlineStr">
        <is>
          <t>осень</t>
        </is>
      </c>
      <c r="B398" s="9" t="inlineStr">
        <is>
          <t>Вакуумные технологии в металлургии</t>
        </is>
      </c>
      <c r="C398" s="9" t="inlineStr">
        <is>
          <t>Консультация</t>
        </is>
      </c>
      <c r="D398" s="9" t="inlineStr">
        <is>
          <t>Т1О-402Б-17</t>
        </is>
      </c>
      <c r="E398" s="10" t="n">
        <v>2</v>
      </c>
      <c r="F398" s="9" t="inlineStr">
        <is>
          <t>04517</t>
        </is>
      </c>
      <c r="G398" s="11" t="n">
        <v>0</v>
      </c>
      <c r="H398" s="9" t="inlineStr">
        <is>
          <t xml:space="preserve">95460     </t>
        </is>
      </c>
      <c r="I398" s="9" t="inlineStr">
        <is>
          <t>Кубатина Екатерина Павловна</t>
        </is>
      </c>
      <c r="J398" s="9" t="n"/>
      <c r="K398" s="9" t="n"/>
      <c r="L398" s="9" t="inlineStr">
        <is>
          <t xml:space="preserve">будни после 13.00 либо суббота в любое время </t>
        </is>
      </c>
      <c r="M398" s="12">
        <f>SUMIFS($E$2:$E$1130,$A$2:$A$1130,"осень",$I$2:$I$1130,I398)</f>
        <v/>
      </c>
      <c r="N398" s="13">
        <f>SUMIFS($E$2:$E$1130,$A$2:$A$1130,"весна",$I$2:$I$1130,I398)</f>
        <v/>
      </c>
      <c r="O398" s="14">
        <f>M398+N398</f>
        <v/>
      </c>
      <c r="P398" s="15">
        <f>O398/$P$1</f>
        <v/>
      </c>
    </row>
    <row r="399" hidden="1" ht="15.75" customHeight="1" s="2">
      <c r="A399" s="8" t="inlineStr">
        <is>
          <t>осень</t>
        </is>
      </c>
      <c r="B399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9" s="9" t="inlineStr">
        <is>
          <t>ЛК</t>
        </is>
      </c>
      <c r="D399" s="9" t="inlineStr">
        <is>
          <t>Т11О-201М-19, Т11О-202М-19, Т11О-203М-19, Т11О-204М-19</t>
        </is>
      </c>
      <c r="E399" s="10" t="n">
        <v>10</v>
      </c>
      <c r="F399" s="9" t="inlineStr">
        <is>
          <t>07987</t>
        </is>
      </c>
      <c r="G399" s="10" t="n">
        <v>10</v>
      </c>
      <c r="H399" s="9" t="inlineStr">
        <is>
          <t xml:space="preserve">81730     </t>
        </is>
      </c>
      <c r="I399" s="9" t="inlineStr">
        <is>
          <t>Федоров Анатолий Александрович</t>
        </is>
      </c>
      <c r="J399" s="9" t="inlineStr">
        <is>
          <t>профессор</t>
        </is>
      </c>
      <c r="K399" s="9" t="n"/>
      <c r="L399" s="9" t="n"/>
      <c r="M399" s="12">
        <f>SUMIFS($E$2:$E$1130,$A$2:$A$1130,"осень",$I$2:$I$1130,I399)</f>
        <v/>
      </c>
      <c r="N399" s="13">
        <f>SUMIFS($E$2:$E$1130,$A$2:$A$1130,"весна",$I$2:$I$1130,I399)</f>
        <v/>
      </c>
      <c r="O399" s="14">
        <f>M399+N399</f>
        <v/>
      </c>
      <c r="P399" s="15">
        <f>O399/$P$1</f>
        <v/>
      </c>
    </row>
    <row r="400" hidden="1" ht="15.75" customHeight="1" s="2">
      <c r="A400" s="8" t="inlineStr">
        <is>
          <t>осень</t>
        </is>
      </c>
      <c r="B400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0" s="9" t="inlineStr">
        <is>
          <t>ПЗ</t>
        </is>
      </c>
      <c r="D400" s="9" t="inlineStr">
        <is>
          <t>Т11О-201М-19</t>
        </is>
      </c>
      <c r="E400" s="10" t="n">
        <v>44</v>
      </c>
      <c r="F400" s="9" t="inlineStr">
        <is>
          <t>07987</t>
        </is>
      </c>
      <c r="G400" s="10" t="n">
        <v>44</v>
      </c>
      <c r="H400" s="9" t="inlineStr">
        <is>
          <t xml:space="preserve">81730     </t>
        </is>
      </c>
      <c r="I400" s="9" t="inlineStr">
        <is>
          <t>Федоров Анатолий Александрович</t>
        </is>
      </c>
      <c r="J400" s="9" t="inlineStr">
        <is>
          <t>профессор</t>
        </is>
      </c>
      <c r="K400" s="9" t="n"/>
      <c r="L400" s="9" t="n"/>
      <c r="M400" s="12">
        <f>SUMIFS($E$2:$E$1130,$A$2:$A$1130,"осень",$I$2:$I$1130,I400)</f>
        <v/>
      </c>
      <c r="N400" s="13">
        <f>SUMIFS($E$2:$E$1130,$A$2:$A$1130,"весна",$I$2:$I$1130,I400)</f>
        <v/>
      </c>
      <c r="O400" s="14">
        <f>M400+N400</f>
        <v/>
      </c>
      <c r="P400" s="15">
        <f>O400/$P$1</f>
        <v/>
      </c>
    </row>
    <row r="401" hidden="1" ht="15.75" customHeight="1" s="2">
      <c r="A401" s="8" t="inlineStr">
        <is>
          <t>осень</t>
        </is>
      </c>
      <c r="B401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1" s="9" t="inlineStr">
        <is>
          <t>ПЗ</t>
        </is>
      </c>
      <c r="D401" s="9" t="inlineStr">
        <is>
          <t>Т11О-202М-19</t>
        </is>
      </c>
      <c r="E401" s="10" t="n">
        <v>44</v>
      </c>
      <c r="F401" s="9" t="inlineStr">
        <is>
          <t>07987</t>
        </is>
      </c>
      <c r="G401" s="10" t="n">
        <v>44</v>
      </c>
      <c r="H401" s="9" t="inlineStr">
        <is>
          <t xml:space="preserve">81730     </t>
        </is>
      </c>
      <c r="I401" s="9" t="inlineStr">
        <is>
          <t>Федоров Анатолий Александрович</t>
        </is>
      </c>
      <c r="J401" s="9" t="inlineStr">
        <is>
          <t>профессор</t>
        </is>
      </c>
      <c r="K401" s="9" t="n"/>
      <c r="L401" s="9" t="n"/>
      <c r="M401" s="12">
        <f>SUMIFS($E$2:$E$1130,$A$2:$A$1130,"осень",$I$2:$I$1130,I401)</f>
        <v/>
      </c>
      <c r="N401" s="13">
        <f>SUMIFS($E$2:$E$1130,$A$2:$A$1130,"весна",$I$2:$I$1130,I401)</f>
        <v/>
      </c>
      <c r="O401" s="14">
        <f>M401+N401</f>
        <v/>
      </c>
      <c r="P401" s="15">
        <f>O401/$P$1</f>
        <v/>
      </c>
    </row>
    <row r="402" hidden="1" ht="15.75" customHeight="1" s="2">
      <c r="A402" s="8" t="inlineStr">
        <is>
          <t>осень</t>
        </is>
      </c>
      <c r="B402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2" s="9" t="inlineStr">
        <is>
          <t>ПЗ</t>
        </is>
      </c>
      <c r="D402" s="9" t="inlineStr">
        <is>
          <t>Т11О-203М-19</t>
        </is>
      </c>
      <c r="E402" s="10" t="n">
        <v>44</v>
      </c>
      <c r="F402" s="9" t="inlineStr">
        <is>
          <t>07987</t>
        </is>
      </c>
      <c r="G402" s="10" t="n">
        <v>44</v>
      </c>
      <c r="H402" s="9" t="inlineStr">
        <is>
          <t xml:space="preserve">81730     </t>
        </is>
      </c>
      <c r="I402" s="9" t="inlineStr">
        <is>
          <t>Федоров Анатолий Александрович</t>
        </is>
      </c>
      <c r="J402" s="9" t="inlineStr">
        <is>
          <t>профессор</t>
        </is>
      </c>
      <c r="K402" s="9" t="n"/>
      <c r="L402" s="9" t="n"/>
      <c r="M402" s="12">
        <f>SUMIFS($E$2:$E$1130,$A$2:$A$1130,"осень",$I$2:$I$1130,I402)</f>
        <v/>
      </c>
      <c r="N402" s="13">
        <f>SUMIFS($E$2:$E$1130,$A$2:$A$1130,"весна",$I$2:$I$1130,I402)</f>
        <v/>
      </c>
      <c r="O402" s="14">
        <f>M402+N402</f>
        <v/>
      </c>
      <c r="P402" s="15">
        <f>O402/$P$1</f>
        <v/>
      </c>
    </row>
    <row r="403" hidden="1" ht="15.75" customHeight="1" s="2">
      <c r="A403" s="8" t="inlineStr">
        <is>
          <t>осень</t>
        </is>
      </c>
      <c r="B403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3" s="9" t="inlineStr">
        <is>
          <t>ПЗ</t>
        </is>
      </c>
      <c r="D403" s="9" t="inlineStr">
        <is>
          <t>Т11О-204М-19</t>
        </is>
      </c>
      <c r="E403" s="10" t="n">
        <v>44</v>
      </c>
      <c r="F403" s="9" t="inlineStr">
        <is>
          <t>07987</t>
        </is>
      </c>
      <c r="G403" s="10" t="n">
        <v>44</v>
      </c>
      <c r="H403" s="9" t="inlineStr">
        <is>
          <t xml:space="preserve">81730     </t>
        </is>
      </c>
      <c r="I403" s="9" t="inlineStr">
        <is>
          <t>Федоров Анатолий Александрович</t>
        </is>
      </c>
      <c r="J403" s="9" t="inlineStr">
        <is>
          <t>профессор</t>
        </is>
      </c>
      <c r="K403" s="9" t="n"/>
      <c r="L403" s="9" t="n"/>
      <c r="M403" s="12">
        <f>SUMIFS($E$2:$E$1130,$A$2:$A$1130,"осень",$I$2:$I$1130,I403)</f>
        <v/>
      </c>
      <c r="N403" s="13">
        <f>SUMIFS($E$2:$E$1130,$A$2:$A$1130,"весна",$I$2:$I$1130,I403)</f>
        <v/>
      </c>
      <c r="O403" s="14">
        <f>M403+N403</f>
        <v/>
      </c>
      <c r="P403" s="15">
        <f>O403/$P$1</f>
        <v/>
      </c>
    </row>
    <row r="404" hidden="1" ht="15.75" customHeight="1" s="2">
      <c r="A404" s="8" t="inlineStr">
        <is>
          <t>осень</t>
        </is>
      </c>
      <c r="B404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4" s="9" t="inlineStr">
        <is>
          <t>Экзамен</t>
        </is>
      </c>
      <c r="D404" s="9" t="inlineStr">
        <is>
          <t>Т11О-201М-19</t>
        </is>
      </c>
      <c r="E404" s="10" t="n">
        <v>4</v>
      </c>
      <c r="F404" s="9" t="inlineStr">
        <is>
          <t>07987</t>
        </is>
      </c>
      <c r="G404" s="11" t="n">
        <v>0</v>
      </c>
      <c r="H404" s="9" t="inlineStr">
        <is>
          <t xml:space="preserve">81730     </t>
        </is>
      </c>
      <c r="I404" s="9" t="inlineStr">
        <is>
          <t>Федоров Анатолий Александрович</t>
        </is>
      </c>
      <c r="J404" s="9" t="inlineStr">
        <is>
          <t>профессор</t>
        </is>
      </c>
      <c r="K404" s="9" t="n"/>
      <c r="L404" s="9" t="n"/>
      <c r="M404" s="12">
        <f>SUMIFS($E$2:$E$1130,$A$2:$A$1130,"осень",$I$2:$I$1130,I404)</f>
        <v/>
      </c>
      <c r="N404" s="13">
        <f>SUMIFS($E$2:$E$1130,$A$2:$A$1130,"весна",$I$2:$I$1130,I404)</f>
        <v/>
      </c>
      <c r="O404" s="14">
        <f>M404+N404</f>
        <v/>
      </c>
      <c r="P404" s="15">
        <f>O404/$P$1</f>
        <v/>
      </c>
    </row>
    <row r="405" hidden="1" ht="15.75" customHeight="1" s="2">
      <c r="A405" s="8" t="inlineStr">
        <is>
          <t>осень</t>
        </is>
      </c>
      <c r="B405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5" s="9" t="inlineStr">
        <is>
          <t>Экзамен</t>
        </is>
      </c>
      <c r="D405" s="9" t="inlineStr">
        <is>
          <t>Т11О-202М-19</t>
        </is>
      </c>
      <c r="E405" s="10" t="n">
        <v>3</v>
      </c>
      <c r="F405" s="9" t="inlineStr">
        <is>
          <t>07987</t>
        </is>
      </c>
      <c r="G405" s="11" t="n">
        <v>0</v>
      </c>
      <c r="H405" s="9" t="inlineStr">
        <is>
          <t xml:space="preserve">81730     </t>
        </is>
      </c>
      <c r="I405" s="9" t="inlineStr">
        <is>
          <t>Федоров Анатолий Александрович</t>
        </is>
      </c>
      <c r="J405" s="9" t="inlineStr">
        <is>
          <t>профессор</t>
        </is>
      </c>
      <c r="K405" s="9" t="n"/>
      <c r="L405" s="9" t="n"/>
      <c r="M405" s="12">
        <f>SUMIFS($E$2:$E$1130,$A$2:$A$1130,"осень",$I$2:$I$1130,I405)</f>
        <v/>
      </c>
      <c r="N405" s="13">
        <f>SUMIFS($E$2:$E$1130,$A$2:$A$1130,"весна",$I$2:$I$1130,I405)</f>
        <v/>
      </c>
      <c r="O405" s="14">
        <f>M405+N405</f>
        <v/>
      </c>
      <c r="P405" s="15">
        <f>O405/$P$1</f>
        <v/>
      </c>
    </row>
    <row r="406" hidden="1" ht="15.75" customHeight="1" s="2">
      <c r="A406" s="8" t="inlineStr">
        <is>
          <t>осень</t>
        </is>
      </c>
      <c r="B406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6" s="9" t="inlineStr">
        <is>
          <t>Экзамен</t>
        </is>
      </c>
      <c r="D406" s="9" t="inlineStr">
        <is>
          <t>Т11О-203М-19</t>
        </is>
      </c>
      <c r="E406" s="10" t="n">
        <v>4</v>
      </c>
      <c r="F406" s="9" t="inlineStr">
        <is>
          <t>07987</t>
        </is>
      </c>
      <c r="G406" s="11" t="n">
        <v>0</v>
      </c>
      <c r="H406" s="9" t="inlineStr">
        <is>
          <t xml:space="preserve">81730     </t>
        </is>
      </c>
      <c r="I406" s="9" t="inlineStr">
        <is>
          <t>Федоров Анатолий Александрович</t>
        </is>
      </c>
      <c r="J406" s="9" t="inlineStr">
        <is>
          <t>профессор</t>
        </is>
      </c>
      <c r="K406" s="9" t="n"/>
      <c r="L406" s="9" t="n"/>
      <c r="M406" s="12">
        <f>SUMIFS($E$2:$E$1130,$A$2:$A$1130,"осень",$I$2:$I$1130,I406)</f>
        <v/>
      </c>
      <c r="N406" s="13">
        <f>SUMIFS($E$2:$E$1130,$A$2:$A$1130,"весна",$I$2:$I$1130,I406)</f>
        <v/>
      </c>
      <c r="O406" s="14">
        <f>M406+N406</f>
        <v/>
      </c>
      <c r="P406" s="15">
        <f>O406/$P$1</f>
        <v/>
      </c>
    </row>
    <row r="407" hidden="1" ht="15.75" customHeight="1" s="2">
      <c r="A407" s="8" t="inlineStr">
        <is>
          <t>осень</t>
        </is>
      </c>
      <c r="B407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7" s="9" t="inlineStr">
        <is>
          <t>Экзамен</t>
        </is>
      </c>
      <c r="D407" s="9" t="inlineStr">
        <is>
          <t>Т11О-204М-19</t>
        </is>
      </c>
      <c r="E407" s="10" t="n">
        <v>5</v>
      </c>
      <c r="F407" s="9" t="inlineStr">
        <is>
          <t>07987</t>
        </is>
      </c>
      <c r="G407" s="11" t="n">
        <v>0</v>
      </c>
      <c r="H407" s="9" t="inlineStr">
        <is>
          <t xml:space="preserve">81730     </t>
        </is>
      </c>
      <c r="I407" s="9" t="inlineStr">
        <is>
          <t>Федоров Анатолий Александрович</t>
        </is>
      </c>
      <c r="J407" s="9" t="inlineStr">
        <is>
          <t>профессор</t>
        </is>
      </c>
      <c r="K407" s="9" t="n"/>
      <c r="L407" s="9" t="n"/>
      <c r="M407" s="12">
        <f>SUMIFS($E$2:$E$1130,$A$2:$A$1130,"осень",$I$2:$I$1130,I407)</f>
        <v/>
      </c>
      <c r="N407" s="13">
        <f>SUMIFS($E$2:$E$1130,$A$2:$A$1130,"весна",$I$2:$I$1130,I407)</f>
        <v/>
      </c>
      <c r="O407" s="14">
        <f>M407+N407</f>
        <v/>
      </c>
      <c r="P407" s="15">
        <f>O407/$P$1</f>
        <v/>
      </c>
    </row>
    <row r="408" hidden="1" ht="12.75" customHeight="1" s="2">
      <c r="A408" s="8" t="inlineStr">
        <is>
          <t>осень</t>
        </is>
      </c>
      <c r="B408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8" s="9" t="inlineStr">
        <is>
          <t>Консультация</t>
        </is>
      </c>
      <c r="D408" s="9" t="inlineStr">
        <is>
          <t>Т11О-201М-19</t>
        </is>
      </c>
      <c r="E408" s="10" t="n">
        <v>3</v>
      </c>
      <c r="F408" s="9" t="inlineStr">
        <is>
          <t>07987</t>
        </is>
      </c>
      <c r="G408" s="11" t="n">
        <v>0</v>
      </c>
      <c r="H408" s="9" t="inlineStr">
        <is>
          <t xml:space="preserve">81730     </t>
        </is>
      </c>
      <c r="I408" s="9" t="inlineStr">
        <is>
          <t>Федоров Анатолий Александрович</t>
        </is>
      </c>
      <c r="J408" s="9" t="inlineStr">
        <is>
          <t>профессор</t>
        </is>
      </c>
      <c r="K408" s="9" t="n"/>
      <c r="L408" s="9" t="n"/>
      <c r="M408" s="12">
        <f>SUMIFS($E$2:$E$1130,$A$2:$A$1130,"осень",$I$2:$I$1130,I408)</f>
        <v/>
      </c>
      <c r="N408" s="13">
        <f>SUMIFS($E$2:$E$1130,$A$2:$A$1130,"весна",$I$2:$I$1130,I408)</f>
        <v/>
      </c>
      <c r="O408" s="14">
        <f>M408+N408</f>
        <v/>
      </c>
      <c r="P408" s="15">
        <f>O408/$P$1</f>
        <v/>
      </c>
    </row>
    <row r="409" hidden="1" ht="15.75" customHeight="1" s="2">
      <c r="A409" s="8" t="inlineStr">
        <is>
          <t>осень</t>
        </is>
      </c>
      <c r="B409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9" s="9" t="inlineStr">
        <is>
          <t>Консультация</t>
        </is>
      </c>
      <c r="D409" s="9" t="inlineStr">
        <is>
          <t>Т11О-202М-19</t>
        </is>
      </c>
      <c r="E409" s="10" t="n">
        <v>3</v>
      </c>
      <c r="F409" s="9" t="inlineStr">
        <is>
          <t>07987</t>
        </is>
      </c>
      <c r="G409" s="11" t="n">
        <v>0</v>
      </c>
      <c r="H409" s="9" t="inlineStr">
        <is>
          <t xml:space="preserve">81730     </t>
        </is>
      </c>
      <c r="I409" s="9" t="inlineStr">
        <is>
          <t>Федоров Анатолий Александрович</t>
        </is>
      </c>
      <c r="J409" s="9" t="inlineStr">
        <is>
          <t>профессор</t>
        </is>
      </c>
      <c r="K409" s="9" t="n"/>
      <c r="L409" s="9" t="n"/>
      <c r="M409" s="12">
        <f>SUMIFS($E$2:$E$1130,$A$2:$A$1130,"осень",$I$2:$I$1130,I409)</f>
        <v/>
      </c>
      <c r="N409" s="13">
        <f>SUMIFS($E$2:$E$1130,$A$2:$A$1130,"весна",$I$2:$I$1130,I409)</f>
        <v/>
      </c>
      <c r="O409" s="14">
        <f>M409+N409</f>
        <v/>
      </c>
      <c r="P409" s="15">
        <f>O409/$P$1</f>
        <v/>
      </c>
    </row>
    <row r="410" hidden="1" ht="15.75" customHeight="1" s="2">
      <c r="A410" s="8" t="inlineStr">
        <is>
          <t>осень</t>
        </is>
      </c>
      <c r="B410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10" s="9" t="inlineStr">
        <is>
          <t>Консультация</t>
        </is>
      </c>
      <c r="D410" s="9" t="inlineStr">
        <is>
          <t>Т11О-203М-19</t>
        </is>
      </c>
      <c r="E410" s="10" t="n">
        <v>3</v>
      </c>
      <c r="F410" s="9" t="inlineStr">
        <is>
          <t>07987</t>
        </is>
      </c>
      <c r="G410" s="11" t="n">
        <v>0</v>
      </c>
      <c r="H410" s="9" t="inlineStr">
        <is>
          <t xml:space="preserve">81730     </t>
        </is>
      </c>
      <c r="I410" s="9" t="inlineStr">
        <is>
          <t>Федоров Анатолий Александрович</t>
        </is>
      </c>
      <c r="J410" s="9" t="inlineStr">
        <is>
          <t>профессор</t>
        </is>
      </c>
      <c r="K410" s="9" t="n"/>
      <c r="L410" s="9" t="n"/>
      <c r="M410" s="12">
        <f>SUMIFS($E$2:$E$1130,$A$2:$A$1130,"осень",$I$2:$I$1130,I410)</f>
        <v/>
      </c>
      <c r="N410" s="13">
        <f>SUMIFS($E$2:$E$1130,$A$2:$A$1130,"весна",$I$2:$I$1130,I410)</f>
        <v/>
      </c>
      <c r="O410" s="14">
        <f>M410+N410</f>
        <v/>
      </c>
      <c r="P410" s="15">
        <f>O410/$P$1</f>
        <v/>
      </c>
    </row>
    <row r="411" hidden="1" ht="15.75" customHeight="1" s="2">
      <c r="A411" s="8" t="inlineStr">
        <is>
          <t>осень</t>
        </is>
      </c>
      <c r="B411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11" s="9" t="inlineStr">
        <is>
          <t>Консультация</t>
        </is>
      </c>
      <c r="D411" s="9" t="inlineStr">
        <is>
          <t>Т11О-204М-19</t>
        </is>
      </c>
      <c r="E411" s="10" t="n">
        <v>3</v>
      </c>
      <c r="F411" s="9" t="inlineStr">
        <is>
          <t>07987</t>
        </is>
      </c>
      <c r="G411" s="11" t="n">
        <v>0</v>
      </c>
      <c r="H411" s="9" t="inlineStr">
        <is>
          <t xml:space="preserve">81730     </t>
        </is>
      </c>
      <c r="I411" s="9" t="inlineStr">
        <is>
          <t>Федоров Анатолий Александрович</t>
        </is>
      </c>
      <c r="J411" s="9" t="inlineStr">
        <is>
          <t>профессор</t>
        </is>
      </c>
      <c r="K411" s="9" t="n"/>
      <c r="L411" s="9" t="n"/>
      <c r="M411" s="12">
        <f>SUMIFS($E$2:$E$1130,$A$2:$A$1130,"осень",$I$2:$I$1130,I411)</f>
        <v/>
      </c>
      <c r="N411" s="13">
        <f>SUMIFS($E$2:$E$1130,$A$2:$A$1130,"весна",$I$2:$I$1130,I411)</f>
        <v/>
      </c>
      <c r="O411" s="14">
        <f>M411+N411</f>
        <v/>
      </c>
      <c r="P411" s="15">
        <f>O411/$P$1</f>
        <v/>
      </c>
    </row>
    <row r="412" hidden="1" ht="15.75" customHeight="1" s="2">
      <c r="A412" s="8" t="inlineStr">
        <is>
          <t>осень</t>
        </is>
      </c>
      <c r="B412" s="9" t="inlineStr">
        <is>
          <t>Современное состояние, перспективы и тенденции развития металлургии</t>
        </is>
      </c>
      <c r="C412" s="9" t="inlineStr">
        <is>
          <t>ЛК</t>
        </is>
      </c>
      <c r="D412" s="9" t="inlineStr">
        <is>
          <t>Т11О-201М-19, Т11О-202М-19, Т11О-203М-19, Т11О-204М-19</t>
        </is>
      </c>
      <c r="E412" s="10" t="n">
        <v>8</v>
      </c>
      <c r="F412" s="9" t="inlineStr">
        <is>
          <t>07987</t>
        </is>
      </c>
      <c r="G412" s="10" t="n">
        <v>8</v>
      </c>
      <c r="H412" s="9" t="inlineStr">
        <is>
          <t xml:space="preserve">81732     </t>
        </is>
      </c>
      <c r="I412" s="9" t="inlineStr">
        <is>
          <t xml:space="preserve">Петров Анатолий Павлович </t>
        </is>
      </c>
      <c r="J412" s="9" t="inlineStr">
        <is>
          <t>профессор</t>
        </is>
      </c>
      <c r="K412" s="9" t="inlineStr">
        <is>
          <t>Орш. А-523</t>
        </is>
      </c>
      <c r="L412" s="9" t="inlineStr">
        <is>
          <t xml:space="preserve">кроме понедельника, желательно все занятия в один день </t>
        </is>
      </c>
      <c r="M412" s="12">
        <f>SUMIFS($E$2:$E$1130,$A$2:$A$1130,"осень",$I$2:$I$1130,I412)</f>
        <v/>
      </c>
      <c r="N412" s="13">
        <f>SUMIFS($E$2:$E$1130,$A$2:$A$1130,"весна",$I$2:$I$1130,I412)</f>
        <v/>
      </c>
      <c r="O412" s="14">
        <f>M412+N412</f>
        <v/>
      </c>
      <c r="P412" s="15">
        <f>O412/$P$1</f>
        <v/>
      </c>
    </row>
    <row r="413" hidden="1" ht="15.75" customHeight="1" s="2">
      <c r="A413" s="8" t="inlineStr">
        <is>
          <t>осень</t>
        </is>
      </c>
      <c r="B413" s="9" t="inlineStr">
        <is>
          <t>Современное состояние, перспективы и тенденции развития металлургии</t>
        </is>
      </c>
      <c r="C413" s="9" t="inlineStr">
        <is>
          <t>ПЗ</t>
        </is>
      </c>
      <c r="D413" s="9" t="inlineStr">
        <is>
          <t>Т11О-201М-19</t>
        </is>
      </c>
      <c r="E413" s="10" t="n">
        <v>28</v>
      </c>
      <c r="F413" s="9" t="inlineStr">
        <is>
          <t>07987</t>
        </is>
      </c>
      <c r="G413" s="10" t="n">
        <v>28</v>
      </c>
      <c r="H413" s="9" t="inlineStr">
        <is>
          <t xml:space="preserve">81732     </t>
        </is>
      </c>
      <c r="I413" s="9" t="inlineStr">
        <is>
          <t xml:space="preserve">Петров Анатолий Павлович </t>
        </is>
      </c>
      <c r="J413" s="9" t="inlineStr">
        <is>
          <t>профессор</t>
        </is>
      </c>
      <c r="K413" s="9" t="inlineStr">
        <is>
          <t>Орш. А-523</t>
        </is>
      </c>
      <c r="L413" s="9" t="inlineStr">
        <is>
          <t>кроме понедельника, желательно все занятия в один день</t>
        </is>
      </c>
      <c r="M413" s="12">
        <f>SUMIFS($E$2:$E$1130,$A$2:$A$1130,"осень",$I$2:$I$1130,I413)</f>
        <v/>
      </c>
      <c r="N413" s="13">
        <f>SUMIFS($E$2:$E$1130,$A$2:$A$1130,"весна",$I$2:$I$1130,I413)</f>
        <v/>
      </c>
      <c r="O413" s="14">
        <f>M413+N413</f>
        <v/>
      </c>
      <c r="P413" s="15">
        <f>O413/$P$1</f>
        <v/>
      </c>
    </row>
    <row r="414" hidden="1" ht="15.75" customHeight="1" s="2">
      <c r="A414" s="8" t="inlineStr">
        <is>
          <t>осень</t>
        </is>
      </c>
      <c r="B414" s="9" t="inlineStr">
        <is>
          <t>Современное состояние, перспективы и тенденции развития металлургии</t>
        </is>
      </c>
      <c r="C414" s="9" t="inlineStr">
        <is>
          <t>ПЗ</t>
        </is>
      </c>
      <c r="D414" s="9" t="inlineStr">
        <is>
          <t>Т11О-202М-19</t>
        </is>
      </c>
      <c r="E414" s="10" t="n">
        <v>28</v>
      </c>
      <c r="F414" s="9" t="inlineStr">
        <is>
          <t>07987</t>
        </is>
      </c>
      <c r="G414" s="10" t="n">
        <v>28</v>
      </c>
      <c r="H414" s="9" t="inlineStr">
        <is>
          <t xml:space="preserve">81732     </t>
        </is>
      </c>
      <c r="I414" s="9" t="inlineStr">
        <is>
          <t xml:space="preserve">Петров Анатолий Павлович </t>
        </is>
      </c>
      <c r="J414" s="9" t="inlineStr">
        <is>
          <t>профессор</t>
        </is>
      </c>
      <c r="K414" s="9" t="inlineStr">
        <is>
          <t>Орш. А-523</t>
        </is>
      </c>
      <c r="L414" s="9" t="inlineStr">
        <is>
          <t>кроме понедельника, желательно все занятия в один день</t>
        </is>
      </c>
      <c r="M414" s="12">
        <f>SUMIFS($E$2:$E$1130,$A$2:$A$1130,"осень",$I$2:$I$1130,I414)</f>
        <v/>
      </c>
      <c r="N414" s="13">
        <f>SUMIFS($E$2:$E$1130,$A$2:$A$1130,"весна",$I$2:$I$1130,I414)</f>
        <v/>
      </c>
      <c r="O414" s="14">
        <f>M414+N414</f>
        <v/>
      </c>
      <c r="P414" s="15">
        <f>O414/$P$1</f>
        <v/>
      </c>
    </row>
    <row r="415" hidden="1" ht="15.75" customHeight="1" s="2">
      <c r="A415" s="8" t="inlineStr">
        <is>
          <t>осень</t>
        </is>
      </c>
      <c r="B415" s="9" t="inlineStr">
        <is>
          <t>Современное состояние, перспективы и тенденции развития металлургии</t>
        </is>
      </c>
      <c r="C415" s="9" t="inlineStr">
        <is>
          <t>ПЗ</t>
        </is>
      </c>
      <c r="D415" s="9" t="inlineStr">
        <is>
          <t>Т11О-203М-19</t>
        </is>
      </c>
      <c r="E415" s="10" t="n">
        <v>28</v>
      </c>
      <c r="F415" s="9" t="inlineStr">
        <is>
          <t>07987</t>
        </is>
      </c>
      <c r="G415" s="10" t="n">
        <v>28</v>
      </c>
      <c r="H415" s="9" t="inlineStr">
        <is>
          <t xml:space="preserve">81732     </t>
        </is>
      </c>
      <c r="I415" s="9" t="inlineStr">
        <is>
          <t xml:space="preserve">Петров Анатолий Павлович </t>
        </is>
      </c>
      <c r="J415" s="9" t="inlineStr">
        <is>
          <t>профессор</t>
        </is>
      </c>
      <c r="K415" s="9" t="inlineStr">
        <is>
          <t>Орш. А-523</t>
        </is>
      </c>
      <c r="L415" s="9" t="inlineStr">
        <is>
          <t>кроме понедельника, желательно все занятия в один день</t>
        </is>
      </c>
      <c r="M415" s="12">
        <f>SUMIFS($E$2:$E$1130,$A$2:$A$1130,"осень",$I$2:$I$1130,I415)</f>
        <v/>
      </c>
      <c r="N415" s="13">
        <f>SUMIFS($E$2:$E$1130,$A$2:$A$1130,"весна",$I$2:$I$1130,I415)</f>
        <v/>
      </c>
      <c r="O415" s="14">
        <f>M415+N415</f>
        <v/>
      </c>
      <c r="P415" s="15">
        <f>O415/$P$1</f>
        <v/>
      </c>
    </row>
    <row r="416" hidden="1" ht="15.75" customHeight="1" s="2">
      <c r="A416" s="8" t="inlineStr">
        <is>
          <t>осень</t>
        </is>
      </c>
      <c r="B416" s="9" t="inlineStr">
        <is>
          <t>Современное состояние, перспективы и тенденции развития металлургии</t>
        </is>
      </c>
      <c r="C416" s="9" t="inlineStr">
        <is>
          <t>ПЗ</t>
        </is>
      </c>
      <c r="D416" s="9" t="inlineStr">
        <is>
          <t>Т11О-204М-19</t>
        </is>
      </c>
      <c r="E416" s="10" t="n">
        <v>28</v>
      </c>
      <c r="F416" s="9" t="inlineStr">
        <is>
          <t>07987</t>
        </is>
      </c>
      <c r="G416" s="10" t="n">
        <v>28</v>
      </c>
      <c r="H416" s="9" t="inlineStr">
        <is>
          <t xml:space="preserve">81732     </t>
        </is>
      </c>
      <c r="I416" s="9" t="inlineStr">
        <is>
          <t xml:space="preserve">Петров Анатолий Павлович </t>
        </is>
      </c>
      <c r="J416" s="9" t="inlineStr">
        <is>
          <t>профессор</t>
        </is>
      </c>
      <c r="K416" s="9" t="inlineStr">
        <is>
          <t>Орш. А-523</t>
        </is>
      </c>
      <c r="L416" s="9" t="inlineStr">
        <is>
          <t>кроме понедельника, желательно все занятия в один день</t>
        </is>
      </c>
      <c r="M416" s="12">
        <f>SUMIFS($E$2:$E$1130,$A$2:$A$1130,"осень",$I$2:$I$1130,I416)</f>
        <v/>
      </c>
      <c r="N416" s="13">
        <f>SUMIFS($E$2:$E$1130,$A$2:$A$1130,"весна",$I$2:$I$1130,I416)</f>
        <v/>
      </c>
      <c r="O416" s="14">
        <f>M416+N416</f>
        <v/>
      </c>
      <c r="P416" s="15">
        <f>O416/$P$1</f>
        <v/>
      </c>
    </row>
    <row r="417" hidden="1" ht="15.75" customHeight="1" s="2">
      <c r="A417" s="8" t="inlineStr">
        <is>
          <t>осень</t>
        </is>
      </c>
      <c r="B417" s="9" t="inlineStr">
        <is>
          <t>Современное состояние, перспективы и тенденции развития металлургии</t>
        </is>
      </c>
      <c r="C417" s="9" t="inlineStr">
        <is>
          <t>Зачет</t>
        </is>
      </c>
      <c r="D417" s="9" t="inlineStr">
        <is>
          <t>Т11О-201М-19</t>
        </is>
      </c>
      <c r="E417" s="10" t="n">
        <v>2</v>
      </c>
      <c r="F417" s="9" t="inlineStr">
        <is>
          <t>07987</t>
        </is>
      </c>
      <c r="G417" s="11" t="n">
        <v>0</v>
      </c>
      <c r="H417" s="9" t="inlineStr">
        <is>
          <t xml:space="preserve">81732     </t>
        </is>
      </c>
      <c r="I417" s="9" t="inlineStr">
        <is>
          <t xml:space="preserve">Петров Анатолий Павлович </t>
        </is>
      </c>
      <c r="J417" s="9" t="inlineStr">
        <is>
          <t>профессор</t>
        </is>
      </c>
      <c r="K417" s="9" t="inlineStr">
        <is>
          <t>Орш. А-523</t>
        </is>
      </c>
      <c r="L417" s="9" t="inlineStr">
        <is>
          <t>кроме понедельника, желательно все занятия в один день</t>
        </is>
      </c>
      <c r="M417" s="12">
        <f>SUMIFS($E$2:$E$1130,$A$2:$A$1130,"осень",$I$2:$I$1130,I417)</f>
        <v/>
      </c>
      <c r="N417" s="13">
        <f>SUMIFS($E$2:$E$1130,$A$2:$A$1130,"весна",$I$2:$I$1130,I417)</f>
        <v/>
      </c>
      <c r="O417" s="14">
        <f>M417+N417</f>
        <v/>
      </c>
      <c r="P417" s="15">
        <f>O417/$P$1</f>
        <v/>
      </c>
    </row>
    <row r="418" hidden="1" ht="15.75" customHeight="1" s="2">
      <c r="A418" s="8" t="inlineStr">
        <is>
          <t>осень</t>
        </is>
      </c>
      <c r="B418" s="9" t="inlineStr">
        <is>
          <t>Современное состояние, перспективы и тенденции развития металлургии</t>
        </is>
      </c>
      <c r="C418" s="9" t="inlineStr">
        <is>
          <t>Зачет</t>
        </is>
      </c>
      <c r="D418" s="9" t="inlineStr">
        <is>
          <t>Т11О-202М-19</t>
        </is>
      </c>
      <c r="E418" s="10" t="n">
        <v>2</v>
      </c>
      <c r="F418" s="9" t="inlineStr">
        <is>
          <t>07987</t>
        </is>
      </c>
      <c r="G418" s="11" t="n">
        <v>0</v>
      </c>
      <c r="H418" s="9" t="inlineStr">
        <is>
          <t xml:space="preserve">81732     </t>
        </is>
      </c>
      <c r="I418" s="9" t="inlineStr">
        <is>
          <t xml:space="preserve">Петров Анатолий Павлович </t>
        </is>
      </c>
      <c r="J418" s="9" t="inlineStr">
        <is>
          <t>профессор</t>
        </is>
      </c>
      <c r="K418" s="9" t="inlineStr">
        <is>
          <t>Орш. А-523</t>
        </is>
      </c>
      <c r="L418" s="9" t="inlineStr">
        <is>
          <t>кроме понедельника, желательно все занятия в один день</t>
        </is>
      </c>
      <c r="M418" s="12">
        <f>SUMIFS($E$2:$E$1130,$A$2:$A$1130,"осень",$I$2:$I$1130,I418)</f>
        <v/>
      </c>
      <c r="N418" s="13">
        <f>SUMIFS($E$2:$E$1130,$A$2:$A$1130,"весна",$I$2:$I$1130,I418)</f>
        <v/>
      </c>
      <c r="O418" s="14">
        <f>M418+N418</f>
        <v/>
      </c>
      <c r="P418" s="15">
        <f>O418/$P$1</f>
        <v/>
      </c>
    </row>
    <row r="419" hidden="1" ht="15.75" customHeight="1" s="2">
      <c r="A419" s="8" t="inlineStr">
        <is>
          <t>осень</t>
        </is>
      </c>
      <c r="B419" s="9" t="inlineStr">
        <is>
          <t>Современное состояние, перспективы и тенденции развития металлургии</t>
        </is>
      </c>
      <c r="C419" s="9" t="inlineStr">
        <is>
          <t>Зачет</t>
        </is>
      </c>
      <c r="D419" s="9" t="inlineStr">
        <is>
          <t>Т11О-203М-19</t>
        </is>
      </c>
      <c r="E419" s="10" t="n">
        <v>2</v>
      </c>
      <c r="F419" s="9" t="inlineStr">
        <is>
          <t>07987</t>
        </is>
      </c>
      <c r="G419" s="11" t="n">
        <v>0</v>
      </c>
      <c r="H419" s="9" t="inlineStr">
        <is>
          <t xml:space="preserve">81732     </t>
        </is>
      </c>
      <c r="I419" s="9" t="inlineStr">
        <is>
          <t xml:space="preserve">Петров Анатолий Павлович </t>
        </is>
      </c>
      <c r="J419" s="9" t="inlineStr">
        <is>
          <t>профессор</t>
        </is>
      </c>
      <c r="K419" s="9" t="inlineStr">
        <is>
          <t>Орш. А-523</t>
        </is>
      </c>
      <c r="L419" s="9" t="inlineStr">
        <is>
          <t>кроме понедельника, желательно все занятия в один день</t>
        </is>
      </c>
      <c r="M419" s="12">
        <f>SUMIFS($E$2:$E$1130,$A$2:$A$1130,"осень",$I$2:$I$1130,I419)</f>
        <v/>
      </c>
      <c r="N419" s="13">
        <f>SUMIFS($E$2:$E$1130,$A$2:$A$1130,"весна",$I$2:$I$1130,I419)</f>
        <v/>
      </c>
      <c r="O419" s="14">
        <f>M419+N419</f>
        <v/>
      </c>
      <c r="P419" s="15">
        <f>O419/$P$1</f>
        <v/>
      </c>
    </row>
    <row r="420" hidden="1" ht="15.75" customHeight="1" s="2">
      <c r="A420" s="8" t="inlineStr">
        <is>
          <t>осень</t>
        </is>
      </c>
      <c r="B420" s="9" t="inlineStr">
        <is>
          <t>Современное состояние, перспективы и тенденции развития металлургии</t>
        </is>
      </c>
      <c r="C420" s="9" t="inlineStr">
        <is>
          <t>Зачет</t>
        </is>
      </c>
      <c r="D420" s="9" t="inlineStr">
        <is>
          <t>Т11О-204М-19</t>
        </is>
      </c>
      <c r="E420" s="10" t="n">
        <v>3</v>
      </c>
      <c r="F420" s="9" t="inlineStr">
        <is>
          <t>07987</t>
        </is>
      </c>
      <c r="G420" s="11" t="n">
        <v>0</v>
      </c>
      <c r="H420" s="9" t="inlineStr">
        <is>
          <t xml:space="preserve">81732     </t>
        </is>
      </c>
      <c r="I420" s="9" t="inlineStr">
        <is>
          <t xml:space="preserve">Петров Анатолий Павлович </t>
        </is>
      </c>
      <c r="J420" s="9" t="inlineStr">
        <is>
          <t>профессор</t>
        </is>
      </c>
      <c r="K420" s="9" t="inlineStr">
        <is>
          <t>Орш. А-523</t>
        </is>
      </c>
      <c r="L420" s="9" t="inlineStr">
        <is>
          <t>кроме понедельника, желательно все занятия в один день</t>
        </is>
      </c>
      <c r="M420" s="12">
        <f>SUMIFS($E$2:$E$1130,$A$2:$A$1130,"осень",$I$2:$I$1130,I420)</f>
        <v/>
      </c>
      <c r="N420" s="13">
        <f>SUMIFS($E$2:$E$1130,$A$2:$A$1130,"весна",$I$2:$I$1130,I420)</f>
        <v/>
      </c>
      <c r="O420" s="14">
        <f>M420+N420</f>
        <v/>
      </c>
      <c r="P420" s="15">
        <f>O420/$P$1</f>
        <v/>
      </c>
    </row>
    <row r="421" hidden="1" ht="15.75" customHeight="1" s="2">
      <c r="A421" s="8" t="inlineStr">
        <is>
          <t>осень</t>
        </is>
      </c>
      <c r="B421" s="9" t="inlineStr">
        <is>
          <t>Основы вакуумной металлургии</t>
        </is>
      </c>
      <c r="C421" s="9" t="inlineStr">
        <is>
          <t>ЛК</t>
        </is>
      </c>
      <c r="D421" s="9" t="inlineStr">
        <is>
          <t>Т11О-201М-19, Т11О-202М-19, Т11О-203М-19, Т11О-204М-19</t>
        </is>
      </c>
      <c r="E421" s="10" t="n">
        <v>12</v>
      </c>
      <c r="F421" s="9" t="inlineStr">
        <is>
          <t>07987</t>
        </is>
      </c>
      <c r="G421" s="10" t="n">
        <v>12</v>
      </c>
      <c r="H421" s="9" t="inlineStr">
        <is>
          <t xml:space="preserve">82026     </t>
        </is>
      </c>
      <c r="I421" s="9" t="inlineStr">
        <is>
          <t xml:space="preserve">Александрова Светлана Сергеевна </t>
        </is>
      </c>
      <c r="J421" s="9" t="inlineStr">
        <is>
          <t>доцент</t>
        </is>
      </c>
      <c r="K421" s="9" t="n"/>
      <c r="L421" s="9" t="inlineStr">
        <is>
          <t>кроме чт и сб (509)</t>
        </is>
      </c>
      <c r="M421" s="12">
        <f>SUMIFS($E$2:$E$1130,$A$2:$A$1130,"осень",$I$2:$I$1130,I421)</f>
        <v/>
      </c>
      <c r="N421" s="13">
        <f>SUMIFS($E$2:$E$1130,$A$2:$A$1130,"весна",$I$2:$I$1130,I421)</f>
        <v/>
      </c>
      <c r="O421" s="14">
        <f>M421+N421</f>
        <v/>
      </c>
      <c r="P421" s="15">
        <f>O421/$P$1</f>
        <v/>
      </c>
    </row>
    <row r="422" hidden="1" ht="15.75" customHeight="1" s="2">
      <c r="A422" s="8" t="inlineStr">
        <is>
          <t>осень</t>
        </is>
      </c>
      <c r="B422" s="9" t="inlineStr">
        <is>
          <t>Основы вакуумной металлургии</t>
        </is>
      </c>
      <c r="C422" s="9" t="inlineStr">
        <is>
          <t>ПЗ</t>
        </is>
      </c>
      <c r="D422" s="9" t="inlineStr">
        <is>
          <t>Т11О-201М-19</t>
        </is>
      </c>
      <c r="E422" s="10" t="n">
        <v>24</v>
      </c>
      <c r="F422" s="9" t="inlineStr">
        <is>
          <t>07987</t>
        </is>
      </c>
      <c r="G422" s="10" t="n">
        <v>24</v>
      </c>
      <c r="H422" s="9" t="inlineStr">
        <is>
          <t xml:space="preserve">82026     </t>
        </is>
      </c>
      <c r="I422" s="9" t="inlineStr">
        <is>
          <t xml:space="preserve">Александрова Светлана Сергеевна </t>
        </is>
      </c>
      <c r="J422" s="9" t="inlineStr">
        <is>
          <t>доцент</t>
        </is>
      </c>
      <c r="K422" s="9" t="n"/>
      <c r="L422" s="9" t="inlineStr">
        <is>
          <t>кроме чт и сб (509)</t>
        </is>
      </c>
      <c r="M422" s="12">
        <f>SUMIFS($E$2:$E$1130,$A$2:$A$1130,"осень",$I$2:$I$1130,I422)</f>
        <v/>
      </c>
      <c r="N422" s="13">
        <f>SUMIFS($E$2:$E$1130,$A$2:$A$1130,"весна",$I$2:$I$1130,I422)</f>
        <v/>
      </c>
      <c r="O422" s="14">
        <f>M422+N422</f>
        <v/>
      </c>
      <c r="P422" s="15">
        <f>O422/$P$1</f>
        <v/>
      </c>
    </row>
    <row r="423" hidden="1" ht="15.75" customHeight="1" s="2">
      <c r="A423" s="8" t="inlineStr">
        <is>
          <t>осень</t>
        </is>
      </c>
      <c r="B423" s="9" t="inlineStr">
        <is>
          <t>Основы вакуумной металлургии</t>
        </is>
      </c>
      <c r="C423" s="9" t="inlineStr">
        <is>
          <t>ПЗ</t>
        </is>
      </c>
      <c r="D423" s="9" t="inlineStr">
        <is>
          <t>Т11О-202М-19</t>
        </is>
      </c>
      <c r="E423" s="10" t="n">
        <v>24</v>
      </c>
      <c r="F423" s="9" t="inlineStr">
        <is>
          <t>07987</t>
        </is>
      </c>
      <c r="G423" s="10" t="n">
        <v>24</v>
      </c>
      <c r="H423" s="9" t="inlineStr">
        <is>
          <t xml:space="preserve">82026     </t>
        </is>
      </c>
      <c r="I423" s="9" t="inlineStr">
        <is>
          <t xml:space="preserve">Александрова Светлана Сергеевна </t>
        </is>
      </c>
      <c r="J423" s="9" t="inlineStr">
        <is>
          <t>доцент</t>
        </is>
      </c>
      <c r="K423" s="9" t="n"/>
      <c r="L423" s="9" t="inlineStr">
        <is>
          <t>кроме чт и сб (509)</t>
        </is>
      </c>
      <c r="M423" s="12">
        <f>SUMIFS($E$2:$E$1130,$A$2:$A$1130,"осень",$I$2:$I$1130,I423)</f>
        <v/>
      </c>
      <c r="N423" s="13">
        <f>SUMIFS($E$2:$E$1130,$A$2:$A$1130,"весна",$I$2:$I$1130,I423)</f>
        <v/>
      </c>
      <c r="O423" s="14">
        <f>M423+N423</f>
        <v/>
      </c>
      <c r="P423" s="15">
        <f>O423/$P$1</f>
        <v/>
      </c>
    </row>
    <row r="424" hidden="1" ht="15.75" customHeight="1" s="2">
      <c r="A424" s="8" t="inlineStr">
        <is>
          <t>осень</t>
        </is>
      </c>
      <c r="B424" s="9" t="inlineStr">
        <is>
          <t>Основы вакуумной металлургии</t>
        </is>
      </c>
      <c r="C424" s="9" t="inlineStr">
        <is>
          <t>ПЗ</t>
        </is>
      </c>
      <c r="D424" s="9" t="inlineStr">
        <is>
          <t>Т11О-203М-19</t>
        </is>
      </c>
      <c r="E424" s="10" t="n">
        <v>24</v>
      </c>
      <c r="F424" s="9" t="inlineStr">
        <is>
          <t>07987</t>
        </is>
      </c>
      <c r="G424" s="10" t="n">
        <v>24</v>
      </c>
      <c r="H424" s="9" t="inlineStr">
        <is>
          <t xml:space="preserve">82026     </t>
        </is>
      </c>
      <c r="I424" s="9" t="inlineStr">
        <is>
          <t xml:space="preserve">Александрова Светлана Сергеевна </t>
        </is>
      </c>
      <c r="J424" s="9" t="inlineStr">
        <is>
          <t>доцент</t>
        </is>
      </c>
      <c r="K424" s="9" t="n"/>
      <c r="L424" s="9" t="inlineStr">
        <is>
          <t>кроме чт и сб (509)</t>
        </is>
      </c>
      <c r="M424" s="12">
        <f>SUMIFS($E$2:$E$1130,$A$2:$A$1130,"осень",$I$2:$I$1130,I424)</f>
        <v/>
      </c>
      <c r="N424" s="13">
        <f>SUMIFS($E$2:$E$1130,$A$2:$A$1130,"весна",$I$2:$I$1130,I424)</f>
        <v/>
      </c>
      <c r="O424" s="14">
        <f>M424+N424</f>
        <v/>
      </c>
      <c r="P424" s="15">
        <f>O424/$P$1</f>
        <v/>
      </c>
    </row>
    <row r="425" hidden="1" ht="15.75" customHeight="1" s="2">
      <c r="A425" s="8" t="inlineStr">
        <is>
          <t>осень</t>
        </is>
      </c>
      <c r="B425" s="9" t="inlineStr">
        <is>
          <t>Основы вакуумной металлургии</t>
        </is>
      </c>
      <c r="C425" s="9" t="inlineStr">
        <is>
          <t>ПЗ</t>
        </is>
      </c>
      <c r="D425" s="9" t="inlineStr">
        <is>
          <t>Т11О-204М-19</t>
        </is>
      </c>
      <c r="E425" s="10" t="n">
        <v>24</v>
      </c>
      <c r="F425" s="9" t="inlineStr">
        <is>
          <t>07987</t>
        </is>
      </c>
      <c r="G425" s="10" t="n">
        <v>24</v>
      </c>
      <c r="H425" s="9" t="inlineStr">
        <is>
          <t xml:space="preserve">82026     </t>
        </is>
      </c>
      <c r="I425" s="9" t="inlineStr">
        <is>
          <t xml:space="preserve">Александрова Светлана Сергеевна </t>
        </is>
      </c>
      <c r="J425" s="9" t="inlineStr">
        <is>
          <t>доцент</t>
        </is>
      </c>
      <c r="K425" s="9" t="n"/>
      <c r="L425" s="9" t="inlineStr">
        <is>
          <t>кроме чт и сб (509)</t>
        </is>
      </c>
      <c r="M425" s="12">
        <f>SUMIFS($E$2:$E$1130,$A$2:$A$1130,"осень",$I$2:$I$1130,I425)</f>
        <v/>
      </c>
      <c r="N425" s="13">
        <f>SUMIFS($E$2:$E$1130,$A$2:$A$1130,"весна",$I$2:$I$1130,I425)</f>
        <v/>
      </c>
      <c r="O425" s="14">
        <f>M425+N425</f>
        <v/>
      </c>
      <c r="P425" s="15">
        <f>O425/$P$1</f>
        <v/>
      </c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n"/>
      <c r="AI425" s="16" t="n"/>
      <c r="AJ425" s="16" t="n"/>
    </row>
    <row r="426" hidden="1" ht="15.75" customHeight="1" s="2">
      <c r="A426" s="8" t="inlineStr">
        <is>
          <t>осень</t>
        </is>
      </c>
      <c r="B426" s="9" t="inlineStr">
        <is>
          <t>Основы вакуумной металлургии</t>
        </is>
      </c>
      <c r="C426" s="9" t="inlineStr">
        <is>
          <t>Зачет</t>
        </is>
      </c>
      <c r="D426" s="9" t="inlineStr">
        <is>
          <t>Т11О-201М-19</t>
        </is>
      </c>
      <c r="E426" s="10" t="n">
        <v>2</v>
      </c>
      <c r="F426" s="9" t="inlineStr">
        <is>
          <t>07987</t>
        </is>
      </c>
      <c r="G426" s="11" t="n">
        <v>0</v>
      </c>
      <c r="H426" s="9" t="inlineStr">
        <is>
          <t xml:space="preserve">82026     </t>
        </is>
      </c>
      <c r="I426" s="9" t="inlineStr">
        <is>
          <t xml:space="preserve">Александрова Светлана Сергеевна </t>
        </is>
      </c>
      <c r="J426" s="9" t="inlineStr">
        <is>
          <t>доцент</t>
        </is>
      </c>
      <c r="K426" s="9" t="n"/>
      <c r="L426" s="9" t="inlineStr">
        <is>
          <t>кроме чт и сб (509)</t>
        </is>
      </c>
      <c r="M426" s="12">
        <f>SUMIFS($E$2:$E$1130,$A$2:$A$1130,"осень",$I$2:$I$1130,I426)</f>
        <v/>
      </c>
      <c r="N426" s="13">
        <f>SUMIFS($E$2:$E$1130,$A$2:$A$1130,"весна",$I$2:$I$1130,I426)</f>
        <v/>
      </c>
      <c r="O426" s="14">
        <f>M426+N426</f>
        <v/>
      </c>
      <c r="P426" s="15">
        <f>O426/$P$1</f>
        <v/>
      </c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  <c r="AF426" s="16" t="n"/>
      <c r="AG426" s="16" t="n"/>
      <c r="AH426" s="16" t="n"/>
      <c r="AI426" s="16" t="n"/>
      <c r="AJ426" s="16" t="n"/>
    </row>
    <row r="427" hidden="1" ht="15.75" customHeight="1" s="2">
      <c r="A427" s="8" t="inlineStr">
        <is>
          <t>осень</t>
        </is>
      </c>
      <c r="B427" s="9" t="inlineStr">
        <is>
          <t>Основы вакуумной металлургии</t>
        </is>
      </c>
      <c r="C427" s="9" t="inlineStr">
        <is>
          <t>Зачет</t>
        </is>
      </c>
      <c r="D427" s="9" t="inlineStr">
        <is>
          <t>Т11О-202М-19</t>
        </is>
      </c>
      <c r="E427" s="10" t="n">
        <v>2</v>
      </c>
      <c r="F427" s="9" t="inlineStr">
        <is>
          <t>07987</t>
        </is>
      </c>
      <c r="G427" s="11" t="n">
        <v>0</v>
      </c>
      <c r="H427" s="9" t="inlineStr">
        <is>
          <t xml:space="preserve">82026     </t>
        </is>
      </c>
      <c r="I427" s="9" t="inlineStr">
        <is>
          <t xml:space="preserve">Александрова Светлана Сергеевна </t>
        </is>
      </c>
      <c r="J427" s="9" t="inlineStr">
        <is>
          <t>доцент</t>
        </is>
      </c>
      <c r="K427" s="9" t="n"/>
      <c r="L427" s="9" t="inlineStr">
        <is>
          <t>кроме чт и сб (509)</t>
        </is>
      </c>
      <c r="M427" s="12">
        <f>SUMIFS($E$2:$E$1130,$A$2:$A$1130,"осень",$I$2:$I$1130,I427)</f>
        <v/>
      </c>
      <c r="N427" s="13">
        <f>SUMIFS($E$2:$E$1130,$A$2:$A$1130,"весна",$I$2:$I$1130,I427)</f>
        <v/>
      </c>
      <c r="O427" s="14">
        <f>M427+N427</f>
        <v/>
      </c>
      <c r="P427" s="15">
        <f>O427/$P$1</f>
        <v/>
      </c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6" t="n"/>
      <c r="AI427" s="16" t="n"/>
      <c r="AJ427" s="16" t="n"/>
    </row>
    <row r="428" hidden="1" ht="15.75" customHeight="1" s="2">
      <c r="A428" s="8" t="inlineStr">
        <is>
          <t>осень</t>
        </is>
      </c>
      <c r="B428" s="9" t="inlineStr">
        <is>
          <t>Основы вакуумной металлургии</t>
        </is>
      </c>
      <c r="C428" s="9" t="inlineStr">
        <is>
          <t>Зачет</t>
        </is>
      </c>
      <c r="D428" s="9" t="inlineStr">
        <is>
          <t>Т11О-203М-19</t>
        </is>
      </c>
      <c r="E428" s="10" t="n">
        <v>2</v>
      </c>
      <c r="F428" s="9" t="inlineStr">
        <is>
          <t>07987</t>
        </is>
      </c>
      <c r="G428" s="11" t="n">
        <v>0</v>
      </c>
      <c r="H428" s="9" t="inlineStr">
        <is>
          <t xml:space="preserve">82026     </t>
        </is>
      </c>
      <c r="I428" s="9" t="inlineStr">
        <is>
          <t xml:space="preserve">Александрова Светлана Сергеевна </t>
        </is>
      </c>
      <c r="J428" s="9" t="inlineStr">
        <is>
          <t>доцент</t>
        </is>
      </c>
      <c r="K428" s="9" t="n"/>
      <c r="L428" s="9" t="inlineStr">
        <is>
          <t>кроме чт и сб (509)</t>
        </is>
      </c>
      <c r="M428" s="12">
        <f>SUMIFS($E$2:$E$1130,$A$2:$A$1130,"осень",$I$2:$I$1130,I428)</f>
        <v/>
      </c>
      <c r="N428" s="13">
        <f>SUMIFS($E$2:$E$1130,$A$2:$A$1130,"весна",$I$2:$I$1130,I428)</f>
        <v/>
      </c>
      <c r="O428" s="14">
        <f>M428+N428</f>
        <v/>
      </c>
      <c r="P428" s="15">
        <f>O428/$P$1</f>
        <v/>
      </c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  <c r="AF428" s="16" t="n"/>
      <c r="AG428" s="16" t="n"/>
      <c r="AH428" s="16" t="n"/>
      <c r="AI428" s="16" t="n"/>
      <c r="AJ428" s="16" t="n"/>
    </row>
    <row r="429" hidden="1" ht="15.75" customHeight="1" s="2">
      <c r="A429" s="8" t="inlineStr">
        <is>
          <t>осень</t>
        </is>
      </c>
      <c r="B429" s="9" t="inlineStr">
        <is>
          <t>Основы вакуумной металлургии</t>
        </is>
      </c>
      <c r="C429" s="9" t="inlineStr">
        <is>
          <t>Зачет</t>
        </is>
      </c>
      <c r="D429" s="9" t="inlineStr">
        <is>
          <t>Т11О-204М-19</t>
        </is>
      </c>
      <c r="E429" s="10" t="n">
        <v>3</v>
      </c>
      <c r="F429" s="9" t="inlineStr">
        <is>
          <t>07987</t>
        </is>
      </c>
      <c r="G429" s="11" t="n">
        <v>0</v>
      </c>
      <c r="H429" s="9" t="inlineStr">
        <is>
          <t xml:space="preserve">82026     </t>
        </is>
      </c>
      <c r="I429" s="9" t="inlineStr">
        <is>
          <t xml:space="preserve">Александрова Светлана Сергеевна </t>
        </is>
      </c>
      <c r="J429" s="9" t="inlineStr">
        <is>
          <t>доцент</t>
        </is>
      </c>
      <c r="K429" s="9" t="n"/>
      <c r="L429" s="9" t="inlineStr">
        <is>
          <t>кроме чт и сб (509)</t>
        </is>
      </c>
      <c r="M429" s="12">
        <f>SUMIFS($E$2:$E$1130,$A$2:$A$1130,"осень",$I$2:$I$1130,I429)</f>
        <v/>
      </c>
      <c r="N429" s="13">
        <f>SUMIFS($E$2:$E$1130,$A$2:$A$1130,"весна",$I$2:$I$1130,I429)</f>
        <v/>
      </c>
      <c r="O429" s="14">
        <f>M429+N429</f>
        <v/>
      </c>
      <c r="P429" s="15">
        <f>O429/$P$1</f>
        <v/>
      </c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6" t="n"/>
      <c r="AI429" s="16" t="n"/>
      <c r="AJ429" s="16" t="n"/>
    </row>
    <row r="430" hidden="1" ht="15.75" customHeight="1" s="2">
      <c r="A430" s="8" t="inlineStr">
        <is>
          <t>осень</t>
        </is>
      </c>
      <c r="B430" s="9" t="inlineStr">
        <is>
          <t>Основы вакуумной металлургии</t>
        </is>
      </c>
      <c r="C430" s="9" t="inlineStr">
        <is>
          <t>Консультация</t>
        </is>
      </c>
      <c r="D430" s="9" t="inlineStr">
        <is>
          <t>Т11О-201М-19</t>
        </is>
      </c>
      <c r="E430" s="10" t="n">
        <v>1</v>
      </c>
      <c r="F430" s="9" t="inlineStr">
        <is>
          <t>07987</t>
        </is>
      </c>
      <c r="G430" s="11" t="n">
        <v>0</v>
      </c>
      <c r="H430" s="9" t="inlineStr">
        <is>
          <t xml:space="preserve">82026     </t>
        </is>
      </c>
      <c r="I430" s="9" t="inlineStr">
        <is>
          <t xml:space="preserve">Александрова Светлана Сергеевна </t>
        </is>
      </c>
      <c r="J430" s="9" t="inlineStr">
        <is>
          <t>доцент</t>
        </is>
      </c>
      <c r="K430" s="9" t="n"/>
      <c r="L430" s="9" t="inlineStr">
        <is>
          <t>кроме чт и сб (509)</t>
        </is>
      </c>
      <c r="M430" s="12">
        <f>SUMIFS($E$2:$E$1130,$A$2:$A$1130,"осень",$I$2:$I$1130,I430)</f>
        <v/>
      </c>
      <c r="N430" s="13">
        <f>SUMIFS($E$2:$E$1130,$A$2:$A$1130,"весна",$I$2:$I$1130,I430)</f>
        <v/>
      </c>
      <c r="O430" s="14">
        <f>M430+N430</f>
        <v/>
      </c>
      <c r="P430" s="15">
        <f>O430/$P$1</f>
        <v/>
      </c>
    </row>
    <row r="431" hidden="1" ht="15.75" customHeight="1" s="2">
      <c r="A431" s="8" t="inlineStr">
        <is>
          <t>осень</t>
        </is>
      </c>
      <c r="B431" s="9" t="inlineStr">
        <is>
          <t>Основы вакуумной металлургии</t>
        </is>
      </c>
      <c r="C431" s="9" t="inlineStr">
        <is>
          <t>Консультация</t>
        </is>
      </c>
      <c r="D431" s="9" t="inlineStr">
        <is>
          <t>Т11О-202М-19</t>
        </is>
      </c>
      <c r="E431" s="10" t="n">
        <v>1</v>
      </c>
      <c r="F431" s="9" t="inlineStr">
        <is>
          <t>07987</t>
        </is>
      </c>
      <c r="G431" s="11" t="n">
        <v>0</v>
      </c>
      <c r="H431" s="9" t="inlineStr">
        <is>
          <t xml:space="preserve">82026     </t>
        </is>
      </c>
      <c r="I431" s="9" t="inlineStr">
        <is>
          <t xml:space="preserve">Александрова Светлана Сергеевна </t>
        </is>
      </c>
      <c r="J431" s="9" t="inlineStr">
        <is>
          <t>доцент</t>
        </is>
      </c>
      <c r="K431" s="9" t="n"/>
      <c r="L431" s="9" t="inlineStr">
        <is>
          <t>кроме чт и сб (509)</t>
        </is>
      </c>
      <c r="M431" s="12">
        <f>SUMIFS($E$2:$E$1130,$A$2:$A$1130,"осень",$I$2:$I$1130,I431)</f>
        <v/>
      </c>
      <c r="N431" s="13">
        <f>SUMIFS($E$2:$E$1130,$A$2:$A$1130,"весна",$I$2:$I$1130,I431)</f>
        <v/>
      </c>
      <c r="O431" s="14">
        <f>M431+N431</f>
        <v/>
      </c>
      <c r="P431" s="15">
        <f>O431/$P$1</f>
        <v/>
      </c>
    </row>
    <row r="432" hidden="1" ht="15.75" customHeight="1" s="2">
      <c r="A432" s="8" t="inlineStr">
        <is>
          <t>осень</t>
        </is>
      </c>
      <c r="B432" s="9" t="inlineStr">
        <is>
          <t>Основы вакуумной металлургии</t>
        </is>
      </c>
      <c r="C432" s="9" t="inlineStr">
        <is>
          <t>Консультация</t>
        </is>
      </c>
      <c r="D432" s="9" t="inlineStr">
        <is>
          <t>Т11О-203М-19</t>
        </is>
      </c>
      <c r="E432" s="10" t="n">
        <v>1</v>
      </c>
      <c r="F432" s="9" t="inlineStr">
        <is>
          <t>07987</t>
        </is>
      </c>
      <c r="G432" s="11" t="n">
        <v>0</v>
      </c>
      <c r="H432" s="9" t="inlineStr">
        <is>
          <t xml:space="preserve">82026     </t>
        </is>
      </c>
      <c r="I432" s="9" t="inlineStr">
        <is>
          <t xml:space="preserve">Александрова Светлана Сергеевна </t>
        </is>
      </c>
      <c r="J432" s="9" t="inlineStr">
        <is>
          <t>доцент</t>
        </is>
      </c>
      <c r="K432" s="9" t="n"/>
      <c r="L432" s="9" t="inlineStr">
        <is>
          <t>кроме чт и сб (509)</t>
        </is>
      </c>
      <c r="M432" s="12">
        <f>SUMIFS($E$2:$E$1130,$A$2:$A$1130,"осень",$I$2:$I$1130,I432)</f>
        <v/>
      </c>
      <c r="N432" s="13">
        <f>SUMIFS($E$2:$E$1130,$A$2:$A$1130,"весна",$I$2:$I$1130,I432)</f>
        <v/>
      </c>
      <c r="O432" s="14">
        <f>M432+N432</f>
        <v/>
      </c>
      <c r="P432" s="15">
        <f>O432/$P$1</f>
        <v/>
      </c>
    </row>
    <row r="433" hidden="1" ht="15.75" customHeight="1" s="2">
      <c r="A433" s="8" t="inlineStr">
        <is>
          <t>осень</t>
        </is>
      </c>
      <c r="B433" s="9" t="inlineStr">
        <is>
          <t>Основы вакуумной металлургии</t>
        </is>
      </c>
      <c r="C433" s="9" t="inlineStr">
        <is>
          <t>Консультация</t>
        </is>
      </c>
      <c r="D433" s="9" t="inlineStr">
        <is>
          <t>Т11О-204М-19</t>
        </is>
      </c>
      <c r="E433" s="10" t="n">
        <v>1</v>
      </c>
      <c r="F433" s="9" t="inlineStr">
        <is>
          <t>07987</t>
        </is>
      </c>
      <c r="G433" s="11" t="n">
        <v>0</v>
      </c>
      <c r="H433" s="9" t="inlineStr">
        <is>
          <t xml:space="preserve">82026     </t>
        </is>
      </c>
      <c r="I433" s="9" t="inlineStr">
        <is>
          <t xml:space="preserve">Александрова Светлана Сергеевна </t>
        </is>
      </c>
      <c r="J433" s="9" t="inlineStr">
        <is>
          <t>доцент</t>
        </is>
      </c>
      <c r="K433" s="9" t="n"/>
      <c r="L433" s="9" t="inlineStr">
        <is>
          <t>кроме чт и сб (509)</t>
        </is>
      </c>
      <c r="M433" s="12">
        <f>SUMIFS($E$2:$E$1130,$A$2:$A$1130,"осень",$I$2:$I$1130,I433)</f>
        <v/>
      </c>
      <c r="N433" s="13">
        <f>SUMIFS($E$2:$E$1130,$A$2:$A$1130,"весна",$I$2:$I$1130,I433)</f>
        <v/>
      </c>
      <c r="O433" s="14">
        <f>M433+N433</f>
        <v/>
      </c>
      <c r="P433" s="15">
        <f>O433/$P$1</f>
        <v/>
      </c>
    </row>
    <row r="434" hidden="1" ht="15.75" customHeight="1" s="2">
      <c r="A434" s="8" t="inlineStr">
        <is>
          <t>осень</t>
        </is>
      </c>
      <c r="B434" s="9" t="inlineStr">
        <is>
          <t>Основы статистического управления технологическими процессами</t>
        </is>
      </c>
      <c r="C434" s="9" t="inlineStr">
        <is>
          <t>ЛК</t>
        </is>
      </c>
      <c r="D434" s="9" t="inlineStr">
        <is>
          <t>Т11О-201М-19, Т11О-202М-19, Т11О-203М-19, Т11О-204М-19</t>
        </is>
      </c>
      <c r="E434" s="10" t="n">
        <v>20</v>
      </c>
      <c r="F434" s="9" t="inlineStr">
        <is>
          <t>07987</t>
        </is>
      </c>
      <c r="G434" s="10" t="n">
        <v>20</v>
      </c>
      <c r="H434" s="9" t="inlineStr">
        <is>
          <t xml:space="preserve">82090     </t>
        </is>
      </c>
      <c r="I434" s="9" t="inlineStr">
        <is>
          <t xml:space="preserve">Барабанова Ольга Алексеевна </t>
        </is>
      </c>
      <c r="J434" s="9" t="n"/>
      <c r="K434" s="9" t="n"/>
      <c r="L434" s="9" t="inlineStr">
        <is>
          <t>вт с 13:00</t>
        </is>
      </c>
      <c r="M434" s="12">
        <f>SUMIFS($E$2:$E$1130,$A$2:$A$1130,"осень",$I$2:$I$1130,I434)</f>
        <v/>
      </c>
      <c r="N434" s="13">
        <f>SUMIFS($E$2:$E$1130,$A$2:$A$1130,"весна",$I$2:$I$1130,I434)</f>
        <v/>
      </c>
      <c r="O434" s="14">
        <f>M434+N434</f>
        <v/>
      </c>
      <c r="P434" s="15">
        <f>O434/$P$1</f>
        <v/>
      </c>
    </row>
    <row r="435" hidden="1" ht="15.75" customHeight="1" s="2">
      <c r="A435" s="8" t="inlineStr">
        <is>
          <t>осень</t>
        </is>
      </c>
      <c r="B435" s="9" t="inlineStr">
        <is>
          <t>Основы статистического управления технологическими процессами</t>
        </is>
      </c>
      <c r="C435" s="9" t="inlineStr">
        <is>
          <t>Зачет с оценкой</t>
        </is>
      </c>
      <c r="D435" s="9" t="inlineStr">
        <is>
          <t>Т11О-201М-19</t>
        </is>
      </c>
      <c r="E435" s="10" t="n">
        <v>2</v>
      </c>
      <c r="F435" s="9" t="inlineStr">
        <is>
          <t>07987</t>
        </is>
      </c>
      <c r="G435" s="11" t="n">
        <v>0</v>
      </c>
      <c r="H435" s="9" t="inlineStr">
        <is>
          <t xml:space="preserve">82090     </t>
        </is>
      </c>
      <c r="I435" s="9" t="inlineStr">
        <is>
          <t xml:space="preserve">Барабанова Ольга Алексеевна </t>
        </is>
      </c>
      <c r="J435" s="9" t="n"/>
      <c r="K435" s="9" t="n"/>
      <c r="L435" s="9" t="inlineStr">
        <is>
          <t>вт с 13:00</t>
        </is>
      </c>
      <c r="M435" s="12">
        <f>SUMIFS($E$2:$E$1130,$A$2:$A$1130,"осень",$I$2:$I$1130,I435)</f>
        <v/>
      </c>
      <c r="N435" s="13">
        <f>SUMIFS($E$2:$E$1130,$A$2:$A$1130,"весна",$I$2:$I$1130,I435)</f>
        <v/>
      </c>
      <c r="O435" s="14">
        <f>M435+N435</f>
        <v/>
      </c>
      <c r="P435" s="15">
        <f>O435/$P$1</f>
        <v/>
      </c>
    </row>
    <row r="436" hidden="1" ht="15.75" customHeight="1" s="2">
      <c r="A436" s="8" t="inlineStr">
        <is>
          <t>осень</t>
        </is>
      </c>
      <c r="B436" s="9" t="inlineStr">
        <is>
          <t>Основы статистического управления технологическими процессами</t>
        </is>
      </c>
      <c r="C436" s="9" t="inlineStr">
        <is>
          <t>Зачет с оценкой</t>
        </is>
      </c>
      <c r="D436" s="9" t="inlineStr">
        <is>
          <t>Т11О-202М-19</t>
        </is>
      </c>
      <c r="E436" s="10" t="n">
        <v>2</v>
      </c>
      <c r="F436" s="9" t="inlineStr">
        <is>
          <t>07987</t>
        </is>
      </c>
      <c r="G436" s="11" t="n">
        <v>0</v>
      </c>
      <c r="H436" s="9" t="inlineStr">
        <is>
          <t xml:space="preserve">82090     </t>
        </is>
      </c>
      <c r="I436" s="9" t="inlineStr">
        <is>
          <t xml:space="preserve">Барабанова Ольга Алексеевна </t>
        </is>
      </c>
      <c r="J436" s="9" t="n"/>
      <c r="K436" s="9" t="n"/>
      <c r="L436" s="9" t="inlineStr">
        <is>
          <t>вт с 13:00</t>
        </is>
      </c>
      <c r="M436" s="12">
        <f>SUMIFS($E$2:$E$1130,$A$2:$A$1130,"осень",$I$2:$I$1130,I436)</f>
        <v/>
      </c>
      <c r="N436" s="13">
        <f>SUMIFS($E$2:$E$1130,$A$2:$A$1130,"весна",$I$2:$I$1130,I436)</f>
        <v/>
      </c>
      <c r="O436" s="14">
        <f>M436+N436</f>
        <v/>
      </c>
      <c r="P436" s="15">
        <f>O436/$P$1</f>
        <v/>
      </c>
    </row>
    <row r="437" hidden="1" ht="15.75" customHeight="1" s="2">
      <c r="A437" s="8" t="inlineStr">
        <is>
          <t>осень</t>
        </is>
      </c>
      <c r="B437" s="9" t="inlineStr">
        <is>
          <t>Основы статистического управления технологическими процессами</t>
        </is>
      </c>
      <c r="C437" s="9" t="inlineStr">
        <is>
          <t>Зачет с оценкой</t>
        </is>
      </c>
      <c r="D437" s="9" t="inlineStr">
        <is>
          <t>Т11О-203М-19</t>
        </is>
      </c>
      <c r="E437" s="10" t="n">
        <v>2</v>
      </c>
      <c r="F437" s="9" t="inlineStr">
        <is>
          <t>07987</t>
        </is>
      </c>
      <c r="G437" s="11" t="n">
        <v>0</v>
      </c>
      <c r="H437" s="9" t="inlineStr">
        <is>
          <t xml:space="preserve">82090     </t>
        </is>
      </c>
      <c r="I437" s="9" t="inlineStr">
        <is>
          <t xml:space="preserve">Барабанова Ольга Алексеевна </t>
        </is>
      </c>
      <c r="J437" s="9" t="n"/>
      <c r="K437" s="9" t="n"/>
      <c r="L437" s="9" t="inlineStr">
        <is>
          <t>вт с 13:00</t>
        </is>
      </c>
      <c r="M437" s="12">
        <f>SUMIFS($E$2:$E$1130,$A$2:$A$1130,"осень",$I$2:$I$1130,I437)</f>
        <v/>
      </c>
      <c r="N437" s="13">
        <f>SUMIFS($E$2:$E$1130,$A$2:$A$1130,"весна",$I$2:$I$1130,I437)</f>
        <v/>
      </c>
      <c r="O437" s="14">
        <f>M437+N437</f>
        <v/>
      </c>
      <c r="P437" s="15">
        <f>O437/$P$1</f>
        <v/>
      </c>
    </row>
    <row r="438" hidden="1" ht="15.75" customHeight="1" s="2">
      <c r="A438" s="8" t="inlineStr">
        <is>
          <t>осень</t>
        </is>
      </c>
      <c r="B438" s="9" t="inlineStr">
        <is>
          <t>Основы статистического управления технологическими процессами</t>
        </is>
      </c>
      <c r="C438" s="9" t="inlineStr">
        <is>
          <t>Зачет с оценкой</t>
        </is>
      </c>
      <c r="D438" s="9" t="inlineStr">
        <is>
          <t>Т11О-204М-19</t>
        </is>
      </c>
      <c r="E438" s="10" t="n">
        <v>3</v>
      </c>
      <c r="F438" s="9" t="inlineStr">
        <is>
          <t>07987</t>
        </is>
      </c>
      <c r="G438" s="11" t="n">
        <v>0</v>
      </c>
      <c r="H438" s="9" t="inlineStr">
        <is>
          <t xml:space="preserve">82090     </t>
        </is>
      </c>
      <c r="I438" s="9" t="inlineStr">
        <is>
          <t xml:space="preserve">Барабанова Ольга Алексеевна </t>
        </is>
      </c>
      <c r="J438" s="9" t="n"/>
      <c r="K438" s="9" t="n"/>
      <c r="L438" s="9" t="inlineStr">
        <is>
          <t>вт с 13:00</t>
        </is>
      </c>
      <c r="M438" s="12">
        <f>SUMIFS($E$2:$E$1130,$A$2:$A$1130,"осень",$I$2:$I$1130,I438)</f>
        <v/>
      </c>
      <c r="N438" s="13">
        <f>SUMIFS($E$2:$E$1130,$A$2:$A$1130,"весна",$I$2:$I$1130,I438)</f>
        <v/>
      </c>
      <c r="O438" s="14">
        <f>M438+N438</f>
        <v/>
      </c>
      <c r="P438" s="15">
        <f>O438/$P$1</f>
        <v/>
      </c>
    </row>
    <row r="439" hidden="1" ht="15.75" customHeight="1" s="2">
      <c r="A439" s="8" t="inlineStr">
        <is>
          <t>осень</t>
        </is>
      </c>
      <c r="B439" s="9" t="inlineStr">
        <is>
          <t>Основы статистического управления технологическими процессами</t>
        </is>
      </c>
      <c r="C439" s="9" t="inlineStr">
        <is>
          <t>ПЗ</t>
        </is>
      </c>
      <c r="D439" s="9" t="inlineStr">
        <is>
          <t>Т11О-201М-19</t>
        </is>
      </c>
      <c r="E439" s="10" t="n">
        <v>34</v>
      </c>
      <c r="F439" s="9" t="inlineStr">
        <is>
          <t>07987</t>
        </is>
      </c>
      <c r="G439" s="10" t="n">
        <v>34</v>
      </c>
      <c r="H439" s="9" t="inlineStr">
        <is>
          <t xml:space="preserve">93689     </t>
        </is>
      </c>
      <c r="I439" s="9" t="inlineStr">
        <is>
          <t xml:space="preserve">Ленковец Александр Сергеевич </t>
        </is>
      </c>
      <c r="J439" s="9" t="n"/>
      <c r="K439" s="9" t="n"/>
      <c r="L439" s="9" t="inlineStr">
        <is>
          <t>сб</t>
        </is>
      </c>
      <c r="M439" s="12">
        <f>SUMIFS($E$2:$E$1130,$A$2:$A$1130,"осень",$I$2:$I$1130,I439)</f>
        <v/>
      </c>
      <c r="N439" s="13">
        <f>SUMIFS($E$2:$E$1130,$A$2:$A$1130,"весна",$I$2:$I$1130,I439)</f>
        <v/>
      </c>
      <c r="O439" s="14">
        <f>M439+N439</f>
        <v/>
      </c>
      <c r="P439" s="15">
        <f>O439/$P$1</f>
        <v/>
      </c>
    </row>
    <row r="440" hidden="1" ht="15.75" customHeight="1" s="2">
      <c r="A440" s="8" t="inlineStr">
        <is>
          <t>осень</t>
        </is>
      </c>
      <c r="B440" s="9" t="inlineStr">
        <is>
          <t>Основы статистического управления технологическими процессами</t>
        </is>
      </c>
      <c r="C440" s="9" t="inlineStr">
        <is>
          <t>ПЗ</t>
        </is>
      </c>
      <c r="D440" s="9" t="inlineStr">
        <is>
          <t>Т11О-202М-19</t>
        </is>
      </c>
      <c r="E440" s="10" t="n">
        <v>34</v>
      </c>
      <c r="F440" s="9" t="inlineStr">
        <is>
          <t>07987</t>
        </is>
      </c>
      <c r="G440" s="10" t="n">
        <v>34</v>
      </c>
      <c r="H440" s="9" t="inlineStr">
        <is>
          <t xml:space="preserve">93689     </t>
        </is>
      </c>
      <c r="I440" s="9" t="inlineStr">
        <is>
          <t xml:space="preserve">Ленковец Александр Сергеевич </t>
        </is>
      </c>
      <c r="J440" s="9" t="n"/>
      <c r="K440" s="9" t="n"/>
      <c r="L440" s="9" t="inlineStr">
        <is>
          <t>сб</t>
        </is>
      </c>
      <c r="M440" s="12">
        <f>SUMIFS($E$2:$E$1130,$A$2:$A$1130,"осень",$I$2:$I$1130,I440)</f>
        <v/>
      </c>
      <c r="N440" s="13">
        <f>SUMIFS($E$2:$E$1130,$A$2:$A$1130,"весна",$I$2:$I$1130,I440)</f>
        <v/>
      </c>
      <c r="O440" s="14">
        <f>M440+N440</f>
        <v/>
      </c>
      <c r="P440" s="15">
        <f>O440/$P$1</f>
        <v/>
      </c>
    </row>
    <row r="441" hidden="1" ht="15.75" customHeight="1" s="2">
      <c r="A441" s="8" t="inlineStr">
        <is>
          <t>осень</t>
        </is>
      </c>
      <c r="B441" s="9" t="inlineStr">
        <is>
          <t>Основы статистического управления технологическими процессами</t>
        </is>
      </c>
      <c r="C441" s="9" t="inlineStr">
        <is>
          <t>ПЗ</t>
        </is>
      </c>
      <c r="D441" s="9" t="inlineStr">
        <is>
          <t>Т11О-203М-19</t>
        </is>
      </c>
      <c r="E441" s="10" t="n">
        <v>34</v>
      </c>
      <c r="F441" s="9" t="inlineStr">
        <is>
          <t>07987</t>
        </is>
      </c>
      <c r="G441" s="10" t="n">
        <v>34</v>
      </c>
      <c r="H441" s="9" t="inlineStr">
        <is>
          <t xml:space="preserve">82090     </t>
        </is>
      </c>
      <c r="I441" s="9" t="inlineStr">
        <is>
          <t xml:space="preserve">Барабанова Ольга Алексеевна </t>
        </is>
      </c>
      <c r="J441" s="9" t="n"/>
      <c r="K441" s="9" t="n"/>
      <c r="L441" s="9" t="inlineStr">
        <is>
          <t>вт с 13:00</t>
        </is>
      </c>
      <c r="M441" s="12">
        <f>SUMIFS($E$2:$E$1130,$A$2:$A$1130,"осень",$I$2:$I$1130,I441)</f>
        <v/>
      </c>
      <c r="N441" s="13">
        <f>SUMIFS($E$2:$E$1130,$A$2:$A$1130,"весна",$I$2:$I$1130,I441)</f>
        <v/>
      </c>
      <c r="O441" s="14">
        <f>M441+N441</f>
        <v/>
      </c>
      <c r="P441" s="15">
        <f>O441/$P$1</f>
        <v/>
      </c>
    </row>
    <row r="442" hidden="1" ht="15.75" customHeight="1" s="2">
      <c r="A442" s="8" t="inlineStr">
        <is>
          <t>осень</t>
        </is>
      </c>
      <c r="B442" s="9" t="inlineStr">
        <is>
          <t>Основы статистического управления технологическими процессами</t>
        </is>
      </c>
      <c r="C442" s="9" t="inlineStr">
        <is>
          <t>ПЗ</t>
        </is>
      </c>
      <c r="D442" s="9" t="inlineStr">
        <is>
          <t>Т11О-204М-19</t>
        </is>
      </c>
      <c r="E442" s="10" t="n">
        <v>34</v>
      </c>
      <c r="F442" s="9" t="inlineStr">
        <is>
          <t>07987</t>
        </is>
      </c>
      <c r="G442" s="10" t="n">
        <v>34</v>
      </c>
      <c r="H442" s="9" t="inlineStr">
        <is>
          <t xml:space="preserve">82090     </t>
        </is>
      </c>
      <c r="I442" s="9" t="inlineStr">
        <is>
          <t xml:space="preserve">Барабанова Ольга Алексеевна </t>
        </is>
      </c>
      <c r="J442" s="9" t="n"/>
      <c r="K442" s="9" t="n"/>
      <c r="L442" s="9" t="inlineStr">
        <is>
          <t>вт с 13:00</t>
        </is>
      </c>
      <c r="M442" s="12">
        <f>SUMIFS($E$2:$E$1130,$A$2:$A$1130,"осень",$I$2:$I$1130,I442)</f>
        <v/>
      </c>
      <c r="N442" s="13">
        <f>SUMIFS($E$2:$E$1130,$A$2:$A$1130,"весна",$I$2:$I$1130,I442)</f>
        <v/>
      </c>
      <c r="O442" s="14">
        <f>M442+N442</f>
        <v/>
      </c>
      <c r="P442" s="15">
        <f>O442/$P$1</f>
        <v/>
      </c>
    </row>
    <row r="443" hidden="1" ht="15.75" customHeight="1" s="2">
      <c r="A443" s="8" t="inlineStr">
        <is>
          <t>осень</t>
        </is>
      </c>
      <c r="B443" s="9" t="inlineStr">
        <is>
          <t>Основы статистического управления технологическими процессами</t>
        </is>
      </c>
      <c r="C443" s="9" t="inlineStr">
        <is>
          <t>Консультация</t>
        </is>
      </c>
      <c r="D443" s="9" t="inlineStr">
        <is>
          <t>Т11О-201М-19</t>
        </is>
      </c>
      <c r="E443" s="10" t="n">
        <v>1</v>
      </c>
      <c r="F443" s="9" t="inlineStr">
        <is>
          <t>07987</t>
        </is>
      </c>
      <c r="G443" s="11" t="n">
        <v>0</v>
      </c>
      <c r="H443" s="9" t="inlineStr">
        <is>
          <t xml:space="preserve">82090     </t>
        </is>
      </c>
      <c r="I443" s="9" t="inlineStr">
        <is>
          <t xml:space="preserve">Барабанова Ольга Алексеевна </t>
        </is>
      </c>
      <c r="J443" s="9" t="n"/>
      <c r="K443" s="9" t="n"/>
      <c r="L443" s="9" t="inlineStr">
        <is>
          <t>вт с 13:00</t>
        </is>
      </c>
      <c r="M443" s="12">
        <f>SUMIFS($E$2:$E$1130,$A$2:$A$1130,"осень",$I$2:$I$1130,I443)</f>
        <v/>
      </c>
      <c r="N443" s="13">
        <f>SUMIFS($E$2:$E$1130,$A$2:$A$1130,"весна",$I$2:$I$1130,I443)</f>
        <v/>
      </c>
      <c r="O443" s="14">
        <f>M443+N443</f>
        <v/>
      </c>
      <c r="P443" s="15">
        <f>O443/$P$1</f>
        <v/>
      </c>
    </row>
    <row r="444" hidden="1" ht="15.75" customHeight="1" s="2">
      <c r="A444" s="8" t="inlineStr">
        <is>
          <t>осень</t>
        </is>
      </c>
      <c r="B444" s="9" t="inlineStr">
        <is>
          <t>Основы статистического управления технологическими процессами</t>
        </is>
      </c>
      <c r="C444" s="9" t="inlineStr">
        <is>
          <t>Консультация</t>
        </is>
      </c>
      <c r="D444" s="9" t="inlineStr">
        <is>
          <t>Т11О-202М-19</t>
        </is>
      </c>
      <c r="E444" s="10" t="n">
        <v>1</v>
      </c>
      <c r="F444" s="9" t="inlineStr">
        <is>
          <t>07987</t>
        </is>
      </c>
      <c r="G444" s="11" t="n">
        <v>0</v>
      </c>
      <c r="H444" s="9" t="inlineStr">
        <is>
          <t xml:space="preserve">82090     </t>
        </is>
      </c>
      <c r="I444" s="9" t="inlineStr">
        <is>
          <t xml:space="preserve">Барабанова Ольга Алексеевна </t>
        </is>
      </c>
      <c r="J444" s="9" t="n"/>
      <c r="K444" s="9" t="n"/>
      <c r="L444" s="9" t="inlineStr">
        <is>
          <t>вт с 13:00</t>
        </is>
      </c>
      <c r="M444" s="12">
        <f>SUMIFS($E$2:$E$1130,$A$2:$A$1130,"осень",$I$2:$I$1130,I444)</f>
        <v/>
      </c>
      <c r="N444" s="13">
        <f>SUMIFS($E$2:$E$1130,$A$2:$A$1130,"весна",$I$2:$I$1130,I444)</f>
        <v/>
      </c>
      <c r="O444" s="14">
        <f>M444+N444</f>
        <v/>
      </c>
      <c r="P444" s="15">
        <f>O444/$P$1</f>
        <v/>
      </c>
    </row>
    <row r="445" hidden="1" ht="15.75" customHeight="1" s="2">
      <c r="A445" s="8" t="inlineStr">
        <is>
          <t>осень</t>
        </is>
      </c>
      <c r="B445" s="9" t="inlineStr">
        <is>
          <t>Основы статистического управления технологическими процессами</t>
        </is>
      </c>
      <c r="C445" s="9" t="inlineStr">
        <is>
          <t>Консультация</t>
        </is>
      </c>
      <c r="D445" s="9" t="inlineStr">
        <is>
          <t>Т11О-203М-19</t>
        </is>
      </c>
      <c r="E445" s="10" t="n">
        <v>1</v>
      </c>
      <c r="F445" s="9" t="inlineStr">
        <is>
          <t>07987</t>
        </is>
      </c>
      <c r="G445" s="11" t="n">
        <v>0</v>
      </c>
      <c r="H445" s="9" t="inlineStr">
        <is>
          <t xml:space="preserve">82090     </t>
        </is>
      </c>
      <c r="I445" s="9" t="inlineStr">
        <is>
          <t xml:space="preserve">Барабанова Ольга Алексеевна </t>
        </is>
      </c>
      <c r="J445" s="9" t="n"/>
      <c r="K445" s="9" t="n"/>
      <c r="L445" s="9" t="inlineStr">
        <is>
          <t>вт с 13:00</t>
        </is>
      </c>
      <c r="M445" s="12">
        <f>SUMIFS($E$2:$E$1130,$A$2:$A$1130,"осень",$I$2:$I$1130,I445)</f>
        <v/>
      </c>
      <c r="N445" s="13">
        <f>SUMIFS($E$2:$E$1130,$A$2:$A$1130,"весна",$I$2:$I$1130,I445)</f>
        <v/>
      </c>
      <c r="O445" s="14">
        <f>M445+N445</f>
        <v/>
      </c>
      <c r="P445" s="15">
        <f>O445/$P$1</f>
        <v/>
      </c>
    </row>
    <row r="446" hidden="1" ht="15.75" customHeight="1" s="2">
      <c r="A446" s="8" t="inlineStr">
        <is>
          <t>осень</t>
        </is>
      </c>
      <c r="B446" s="9" t="inlineStr">
        <is>
          <t>Основы статистического управления технологическими процессами</t>
        </is>
      </c>
      <c r="C446" s="9" t="inlineStr">
        <is>
          <t>Консультация</t>
        </is>
      </c>
      <c r="D446" s="9" t="inlineStr">
        <is>
          <t>Т11О-204М-19</t>
        </is>
      </c>
      <c r="E446" s="10" t="n">
        <v>1</v>
      </c>
      <c r="F446" s="9" t="inlineStr">
        <is>
          <t>07987</t>
        </is>
      </c>
      <c r="G446" s="11" t="n">
        <v>0</v>
      </c>
      <c r="H446" s="9" t="inlineStr">
        <is>
          <t xml:space="preserve">82090     </t>
        </is>
      </c>
      <c r="I446" s="9" t="inlineStr">
        <is>
          <t xml:space="preserve">Барабанова Ольга Алексеевна </t>
        </is>
      </c>
      <c r="J446" s="9" t="n"/>
      <c r="K446" s="9" t="n"/>
      <c r="L446" s="9" t="inlineStr">
        <is>
          <t>вт с 13:00</t>
        </is>
      </c>
      <c r="M446" s="12">
        <f>SUMIFS($E$2:$E$1130,$A$2:$A$1130,"осень",$I$2:$I$1130,I446)</f>
        <v/>
      </c>
      <c r="N446" s="13">
        <f>SUMIFS($E$2:$E$1130,$A$2:$A$1130,"весна",$I$2:$I$1130,I446)</f>
        <v/>
      </c>
      <c r="O446" s="14">
        <f>M446+N446</f>
        <v/>
      </c>
      <c r="P446" s="15">
        <f>O446/$P$1</f>
        <v/>
      </c>
    </row>
    <row r="447" hidden="1" ht="15.75" customHeight="1" s="2">
      <c r="A447" s="8" t="inlineStr">
        <is>
          <t>осень</t>
        </is>
      </c>
      <c r="B447" s="9" t="inlineStr">
        <is>
          <t>Автоматизированные системы технологической подготовки производства</t>
        </is>
      </c>
      <c r="C447" s="9" t="inlineStr">
        <is>
          <t>ЛК</t>
        </is>
      </c>
      <c r="D447" s="9" t="inlineStr">
        <is>
          <t>Т11О-101М-20</t>
        </is>
      </c>
      <c r="E447" s="10" t="n">
        <v>16</v>
      </c>
      <c r="F447" s="9" t="inlineStr">
        <is>
          <t>04489</t>
        </is>
      </c>
      <c r="G447" s="10" t="n">
        <v>16</v>
      </c>
      <c r="H447" s="9" t="inlineStr">
        <is>
          <t xml:space="preserve">81721     </t>
        </is>
      </c>
      <c r="I447" s="9" t="inlineStr">
        <is>
          <t xml:space="preserve">Преображенский Евгений Владимирович </t>
        </is>
      </c>
      <c r="J447" s="9" t="inlineStr">
        <is>
          <t>доцент</t>
        </is>
      </c>
      <c r="K447" s="9" t="n"/>
      <c r="L447" s="9" t="inlineStr">
        <is>
          <t>525 А</t>
        </is>
      </c>
      <c r="M447" s="12">
        <f>SUMIFS($E$2:$E$1130,$A$2:$A$1130,"осень",$I$2:$I$1130,I447)</f>
        <v/>
      </c>
      <c r="N447" s="13">
        <f>SUMIFS($E$2:$E$1130,$A$2:$A$1130,"весна",$I$2:$I$1130,I447)</f>
        <v/>
      </c>
      <c r="O447" s="14">
        <f>M447+N447</f>
        <v/>
      </c>
      <c r="P447" s="15">
        <f>O447/$P$1</f>
        <v/>
      </c>
    </row>
    <row r="448" hidden="1" ht="15.75" customHeight="1" s="2">
      <c r="A448" s="8" t="inlineStr">
        <is>
          <t>осень</t>
        </is>
      </c>
      <c r="B448" s="9" t="inlineStr">
        <is>
          <t>Автоматизированные системы технологической подготовки производства</t>
        </is>
      </c>
      <c r="C448" s="9" t="inlineStr">
        <is>
          <t>КР</t>
        </is>
      </c>
      <c r="D448" s="9" t="inlineStr">
        <is>
          <t>Т11О-101М-20</t>
        </is>
      </c>
      <c r="E448" s="10" t="n">
        <v>18</v>
      </c>
      <c r="F448" s="9" t="inlineStr">
        <is>
          <t>04489</t>
        </is>
      </c>
      <c r="G448" s="11" t="n">
        <v>0</v>
      </c>
      <c r="H448" s="9" t="inlineStr">
        <is>
          <t xml:space="preserve">81721     </t>
        </is>
      </c>
      <c r="I448" s="9" t="inlineStr">
        <is>
          <t xml:space="preserve">Преображенский Евгений Владимирович </t>
        </is>
      </c>
      <c r="J448" s="9" t="inlineStr">
        <is>
          <t>доцент</t>
        </is>
      </c>
      <c r="K448" s="9" t="n"/>
      <c r="L448" s="9" t="inlineStr">
        <is>
          <t>525 А</t>
        </is>
      </c>
      <c r="M448" s="12">
        <f>SUMIFS($E$2:$E$1130,$A$2:$A$1130,"осень",$I$2:$I$1130,I448)</f>
        <v/>
      </c>
      <c r="N448" s="13">
        <f>SUMIFS($E$2:$E$1130,$A$2:$A$1130,"весна",$I$2:$I$1130,I448)</f>
        <v/>
      </c>
      <c r="O448" s="14">
        <f>M448+N448</f>
        <v/>
      </c>
      <c r="P448" s="15">
        <f>O448/$P$1</f>
        <v/>
      </c>
    </row>
    <row r="449" hidden="1" ht="15.75" customHeight="1" s="2">
      <c r="A449" s="8" t="inlineStr">
        <is>
          <t>осень</t>
        </is>
      </c>
      <c r="B449" s="9" t="inlineStr">
        <is>
          <t>Автоматизированные системы технологической подготовки производства</t>
        </is>
      </c>
      <c r="C449" s="9" t="inlineStr">
        <is>
          <t>ПЗ</t>
        </is>
      </c>
      <c r="D449" s="9" t="inlineStr">
        <is>
          <t>Т11О-101М-20</t>
        </is>
      </c>
      <c r="E449" s="10" t="n">
        <v>28</v>
      </c>
      <c r="F449" s="9" t="inlineStr">
        <is>
          <t>04489</t>
        </is>
      </c>
      <c r="G449" s="10" t="n">
        <v>28</v>
      </c>
      <c r="H449" s="9" t="inlineStr">
        <is>
          <t xml:space="preserve">81721     </t>
        </is>
      </c>
      <c r="I449" s="9" t="inlineStr">
        <is>
          <t xml:space="preserve">Преображенский Евгений Владимирович </t>
        </is>
      </c>
      <c r="J449" s="9" t="inlineStr">
        <is>
          <t>доцент</t>
        </is>
      </c>
      <c r="K449" s="9" t="n"/>
      <c r="L449" s="9" t="inlineStr">
        <is>
          <t>525 А</t>
        </is>
      </c>
      <c r="M449" s="12">
        <f>SUMIFS($E$2:$E$1130,$A$2:$A$1130,"осень",$I$2:$I$1130,I449)</f>
        <v/>
      </c>
      <c r="N449" s="13">
        <f>SUMIFS($E$2:$E$1130,$A$2:$A$1130,"весна",$I$2:$I$1130,I449)</f>
        <v/>
      </c>
      <c r="O449" s="14">
        <f>M449+N449</f>
        <v/>
      </c>
      <c r="P449" s="15">
        <f>O449/$P$1</f>
        <v/>
      </c>
    </row>
    <row r="450" hidden="1" ht="15.75" customHeight="1" s="2">
      <c r="A450" s="8" t="inlineStr">
        <is>
          <t>осень</t>
        </is>
      </c>
      <c r="B450" s="9" t="inlineStr">
        <is>
          <t>Автоматизированные системы технологической подготовки производства</t>
        </is>
      </c>
      <c r="C450" s="9" t="inlineStr">
        <is>
          <t>Экзамен</t>
        </is>
      </c>
      <c r="D450" s="9" t="inlineStr">
        <is>
          <t>Т11О-101М-20</t>
        </is>
      </c>
      <c r="E450" s="10" t="n">
        <v>3</v>
      </c>
      <c r="F450" s="9" t="inlineStr">
        <is>
          <t>04489</t>
        </is>
      </c>
      <c r="G450" s="11" t="n">
        <v>0</v>
      </c>
      <c r="H450" s="9" t="inlineStr">
        <is>
          <t xml:space="preserve">81721     </t>
        </is>
      </c>
      <c r="I450" s="9" t="inlineStr">
        <is>
          <t xml:space="preserve">Преображенский Евгений Владимирович </t>
        </is>
      </c>
      <c r="J450" s="9" t="inlineStr">
        <is>
          <t>доцент</t>
        </is>
      </c>
      <c r="K450" s="9" t="n"/>
      <c r="L450" s="9" t="inlineStr">
        <is>
          <t>525 А</t>
        </is>
      </c>
      <c r="M450" s="12">
        <f>SUMIFS($E$2:$E$1130,$A$2:$A$1130,"осень",$I$2:$I$1130,I450)</f>
        <v/>
      </c>
      <c r="N450" s="13">
        <f>SUMIFS($E$2:$E$1130,$A$2:$A$1130,"весна",$I$2:$I$1130,I450)</f>
        <v/>
      </c>
      <c r="O450" s="14">
        <f>M450+N450</f>
        <v/>
      </c>
      <c r="P450" s="15">
        <f>O450/$P$1</f>
        <v/>
      </c>
    </row>
    <row r="451" hidden="1" ht="15.75" customHeight="1" s="2">
      <c r="A451" s="8" t="inlineStr">
        <is>
          <t>осень</t>
        </is>
      </c>
      <c r="B451" s="9" t="inlineStr">
        <is>
          <t>Автоматизированные системы технологической подготовки производства</t>
        </is>
      </c>
      <c r="C451" s="9" t="inlineStr">
        <is>
          <t>Консультация</t>
        </is>
      </c>
      <c r="D451" s="9" t="inlineStr">
        <is>
          <t>Т11О-101М-20</t>
        </is>
      </c>
      <c r="E451" s="10" t="n">
        <v>3</v>
      </c>
      <c r="F451" s="9" t="inlineStr">
        <is>
          <t>04489</t>
        </is>
      </c>
      <c r="G451" s="11" t="n">
        <v>0</v>
      </c>
      <c r="H451" s="9" t="inlineStr">
        <is>
          <t xml:space="preserve">81721     </t>
        </is>
      </c>
      <c r="I451" s="9" t="inlineStr">
        <is>
          <t xml:space="preserve">Преображенский Евгений Владимирович </t>
        </is>
      </c>
      <c r="J451" s="9" t="inlineStr">
        <is>
          <t>доцент</t>
        </is>
      </c>
      <c r="K451" s="9" t="n"/>
      <c r="L451" s="9" t="inlineStr">
        <is>
          <t>525 А</t>
        </is>
      </c>
      <c r="M451" s="12">
        <f>SUMIFS($E$2:$E$1130,$A$2:$A$1130,"осень",$I$2:$I$1130,I451)</f>
        <v/>
      </c>
      <c r="N451" s="13">
        <f>SUMIFS($E$2:$E$1130,$A$2:$A$1130,"весна",$I$2:$I$1130,I451)</f>
        <v/>
      </c>
      <c r="O451" s="14">
        <f>M451+N451</f>
        <v/>
      </c>
      <c r="P451" s="15">
        <f>O451/$P$1</f>
        <v/>
      </c>
    </row>
    <row r="452" hidden="1" ht="15.75" customHeight="1" s="2">
      <c r="A452" s="17" t="inlineStr">
        <is>
          <t>осень</t>
        </is>
      </c>
      <c r="B452" s="9" t="inlineStr">
        <is>
          <t>Основы САПР в металлургии</t>
        </is>
      </c>
      <c r="C452" s="9" t="inlineStr">
        <is>
          <t>ЛК</t>
        </is>
      </c>
      <c r="D452" s="9" t="inlineStr">
        <is>
          <t>Т1В-412Б-17</t>
        </is>
      </c>
      <c r="E452" s="10" t="n">
        <v>28</v>
      </c>
      <c r="F452" s="9" t="inlineStr">
        <is>
          <t>08769</t>
        </is>
      </c>
      <c r="G452" s="10" t="n">
        <v>28</v>
      </c>
      <c r="H452" s="9" t="inlineStr">
        <is>
          <t xml:space="preserve">82018     </t>
        </is>
      </c>
      <c r="I452" s="9" t="inlineStr">
        <is>
          <t>Бережной Дмитрий Васильевич</t>
        </is>
      </c>
      <c r="J452" s="9" t="inlineStr">
        <is>
          <t>доцент</t>
        </is>
      </c>
      <c r="K452" s="9" t="n"/>
      <c r="L452" s="9" t="inlineStr">
        <is>
          <t>кроме одного любого дня и субботы</t>
        </is>
      </c>
      <c r="M452" s="12">
        <f>SUMIFS($E$2:$E$1130,$A$2:$A$1130,"осень",$I$2:$I$1130,I452)</f>
        <v/>
      </c>
      <c r="N452" s="13">
        <f>SUMIFS($E$2:$E$1130,$A$2:$A$1130,"весна",$I$2:$I$1130,I452)</f>
        <v/>
      </c>
      <c r="O452" s="14">
        <f>M452+N452</f>
        <v/>
      </c>
      <c r="P452" s="15">
        <f>O452/$P$1</f>
        <v/>
      </c>
    </row>
    <row r="453" hidden="1" ht="15.75" customHeight="1" s="2">
      <c r="A453" s="17" t="inlineStr">
        <is>
          <t>осень</t>
        </is>
      </c>
      <c r="B453" s="9" t="inlineStr">
        <is>
          <t>Основы САПР в металлургии</t>
        </is>
      </c>
      <c r="C453" s="9" t="inlineStr">
        <is>
          <t>ЛК</t>
        </is>
      </c>
      <c r="D453" s="9" t="inlineStr">
        <is>
          <t>Т11О-301Б-18, Т11О-302Б-18</t>
        </is>
      </c>
      <c r="E453" s="10" t="n">
        <v>24</v>
      </c>
      <c r="F453" s="9" t="inlineStr">
        <is>
          <t>08947</t>
        </is>
      </c>
      <c r="G453" s="10" t="n">
        <v>24</v>
      </c>
      <c r="H453" s="9" t="inlineStr">
        <is>
          <t xml:space="preserve">82018     </t>
        </is>
      </c>
      <c r="I453" s="9" t="inlineStr">
        <is>
          <t>Бережной Дмитрий Васильевич</t>
        </is>
      </c>
      <c r="J453" s="9" t="inlineStr">
        <is>
          <t>доцент</t>
        </is>
      </c>
      <c r="K453" s="9" t="n"/>
      <c r="L453" s="9" t="inlineStr">
        <is>
          <t>кроме одного любого дня и субботы</t>
        </is>
      </c>
      <c r="M453" s="12">
        <f>SUMIFS($E$2:$E$1130,$A$2:$A$1130,"осень",$I$2:$I$1130,I453)</f>
        <v/>
      </c>
      <c r="N453" s="13">
        <f>SUMIFS($E$2:$E$1130,$A$2:$A$1130,"весна",$I$2:$I$1130,I453)</f>
        <v/>
      </c>
      <c r="O453" s="14">
        <f>M453+N453</f>
        <v/>
      </c>
      <c r="P453" s="15">
        <f>O453/$P$1</f>
        <v/>
      </c>
    </row>
    <row r="454" hidden="1" ht="15.75" customHeight="1" s="2">
      <c r="A454" s="17" t="inlineStr">
        <is>
          <t>осень</t>
        </is>
      </c>
      <c r="B454" s="9" t="inlineStr">
        <is>
          <t>Основы САПР в металлургии</t>
        </is>
      </c>
      <c r="C454" s="9" t="inlineStr">
        <is>
          <t>Зачет с оценкой</t>
        </is>
      </c>
      <c r="D454" s="9" t="inlineStr">
        <is>
          <t>Т11О-301Б-18</t>
        </is>
      </c>
      <c r="E454" s="10" t="n">
        <v>6</v>
      </c>
      <c r="F454" s="9" t="inlineStr">
        <is>
          <t>08947</t>
        </is>
      </c>
      <c r="G454" s="11" t="n">
        <v>0</v>
      </c>
      <c r="H454" s="9" t="inlineStr">
        <is>
          <t xml:space="preserve">82018     </t>
        </is>
      </c>
      <c r="I454" s="9" t="inlineStr">
        <is>
          <t>Бережной Дмитрий Васильевич</t>
        </is>
      </c>
      <c r="J454" s="9" t="inlineStr">
        <is>
          <t>доцент</t>
        </is>
      </c>
      <c r="K454" s="9" t="n"/>
      <c r="L454" s="9" t="inlineStr">
        <is>
          <t>кроме одного любого дня и субботы</t>
        </is>
      </c>
      <c r="M454" s="12">
        <f>SUMIFS($E$2:$E$1130,$A$2:$A$1130,"осень",$I$2:$I$1130,I454)</f>
        <v/>
      </c>
      <c r="N454" s="13">
        <f>SUMIFS($E$2:$E$1130,$A$2:$A$1130,"весна",$I$2:$I$1130,I454)</f>
        <v/>
      </c>
      <c r="O454" s="14">
        <f>M454+N454</f>
        <v/>
      </c>
      <c r="P454" s="15">
        <f>O454/$P$1</f>
        <v/>
      </c>
    </row>
    <row r="455" hidden="1" ht="15.75" customHeight="1" s="2">
      <c r="A455" s="17" t="inlineStr">
        <is>
          <t>осень</t>
        </is>
      </c>
      <c r="B455" s="9" t="inlineStr">
        <is>
          <t>Основы САПР в металлургии</t>
        </is>
      </c>
      <c r="C455" s="9" t="inlineStr">
        <is>
          <t>Зачет с оценкой</t>
        </is>
      </c>
      <c r="D455" s="9" t="inlineStr">
        <is>
          <t>Т11О-302Б-18</t>
        </is>
      </c>
      <c r="E455" s="10" t="n">
        <v>5</v>
      </c>
      <c r="F455" s="9" t="inlineStr">
        <is>
          <t>08947</t>
        </is>
      </c>
      <c r="G455" s="11" t="n">
        <v>0</v>
      </c>
      <c r="H455" s="9" t="inlineStr">
        <is>
          <t xml:space="preserve">82018     </t>
        </is>
      </c>
      <c r="I455" s="9" t="inlineStr">
        <is>
          <t>Бережной Дмитрий Васильевич</t>
        </is>
      </c>
      <c r="J455" s="9" t="inlineStr">
        <is>
          <t>доцент</t>
        </is>
      </c>
      <c r="K455" s="9" t="n"/>
      <c r="L455" s="9" t="inlineStr">
        <is>
          <t>кроме одного любого дня и субботы</t>
        </is>
      </c>
      <c r="M455" s="12">
        <f>SUMIFS($E$2:$E$1130,$A$2:$A$1130,"осень",$I$2:$I$1130,I455)</f>
        <v/>
      </c>
      <c r="N455" s="13">
        <f>SUMIFS($E$2:$E$1130,$A$2:$A$1130,"весна",$I$2:$I$1130,I455)</f>
        <v/>
      </c>
      <c r="O455" s="14">
        <f>M455+N455</f>
        <v/>
      </c>
      <c r="P455" s="15">
        <f>O455/$P$1</f>
        <v/>
      </c>
    </row>
    <row r="456" hidden="1" ht="15.75" customHeight="1" s="2">
      <c r="A456" s="17" t="inlineStr">
        <is>
          <t>осень</t>
        </is>
      </c>
      <c r="B456" s="9" t="inlineStr">
        <is>
          <t>Основы САПР в металлургии</t>
        </is>
      </c>
      <c r="C456" s="9" t="inlineStr">
        <is>
          <t>ПЗ</t>
        </is>
      </c>
      <c r="D456" s="9" t="inlineStr">
        <is>
          <t>Т11О-301Б-18</t>
        </is>
      </c>
      <c r="E456" s="10" t="n">
        <v>30</v>
      </c>
      <c r="F456" s="9" t="inlineStr">
        <is>
          <t>08947</t>
        </is>
      </c>
      <c r="G456" s="10" t="n">
        <v>30</v>
      </c>
      <c r="H456" s="9" t="inlineStr">
        <is>
          <t xml:space="preserve">82018     </t>
        </is>
      </c>
      <c r="I456" s="9" t="inlineStr">
        <is>
          <t>Бережной Дмитрий Васильевич</t>
        </is>
      </c>
      <c r="J456" s="9" t="inlineStr">
        <is>
          <t>доцент</t>
        </is>
      </c>
      <c r="K456" s="9" t="n"/>
      <c r="L456" s="9" t="inlineStr">
        <is>
          <t>кроме одного любого дня и субботы</t>
        </is>
      </c>
      <c r="M456" s="12">
        <f>SUMIFS($E$2:$E$1130,$A$2:$A$1130,"осень",$I$2:$I$1130,I456)</f>
        <v/>
      </c>
      <c r="N456" s="13">
        <f>SUMIFS($E$2:$E$1130,$A$2:$A$1130,"весна",$I$2:$I$1130,I456)</f>
        <v/>
      </c>
      <c r="O456" s="14">
        <f>M456+N456</f>
        <v/>
      </c>
      <c r="P456" s="15">
        <f>O456/$P$1</f>
        <v/>
      </c>
    </row>
    <row r="457" hidden="1" ht="15.75" customHeight="1" s="2">
      <c r="A457" s="17" t="inlineStr">
        <is>
          <t>осень</t>
        </is>
      </c>
      <c r="B457" s="9" t="inlineStr">
        <is>
          <t>Основы САПР в металлургии</t>
        </is>
      </c>
      <c r="C457" s="9" t="inlineStr">
        <is>
          <t>ПЗ</t>
        </is>
      </c>
      <c r="D457" s="9" t="inlineStr">
        <is>
          <t>Т11О-302Б-18</t>
        </is>
      </c>
      <c r="E457" s="10" t="n">
        <v>30</v>
      </c>
      <c r="F457" s="9" t="inlineStr">
        <is>
          <t>08947</t>
        </is>
      </c>
      <c r="G457" s="10" t="n">
        <v>30</v>
      </c>
      <c r="H457" s="9" t="inlineStr">
        <is>
          <t xml:space="preserve">82018     </t>
        </is>
      </c>
      <c r="I457" s="9" t="inlineStr">
        <is>
          <t>Бережной Дмитрий Васильевич</t>
        </is>
      </c>
      <c r="J457" s="9" t="inlineStr">
        <is>
          <t>доцент</t>
        </is>
      </c>
      <c r="K457" s="9" t="n"/>
      <c r="L457" s="9" t="inlineStr">
        <is>
          <t>кроме одного любого дня и субботы</t>
        </is>
      </c>
      <c r="M457" s="12">
        <f>SUMIFS($E$2:$E$1130,$A$2:$A$1130,"осень",$I$2:$I$1130,I457)</f>
        <v/>
      </c>
      <c r="N457" s="13">
        <f>SUMIFS($E$2:$E$1130,$A$2:$A$1130,"весна",$I$2:$I$1130,I457)</f>
        <v/>
      </c>
      <c r="O457" s="14">
        <f>M457+N457</f>
        <v/>
      </c>
      <c r="P457" s="15">
        <f>O457/$P$1</f>
        <v/>
      </c>
    </row>
    <row r="458" hidden="1" ht="15.75" customHeight="1" s="2">
      <c r="A458" s="8" t="inlineStr">
        <is>
          <t>осень</t>
        </is>
      </c>
      <c r="B458" s="9" t="inlineStr">
        <is>
          <t>Основы САПР в металлургии</t>
        </is>
      </c>
      <c r="C458" s="9" t="inlineStr">
        <is>
          <t>ЛР</t>
        </is>
      </c>
      <c r="D458" s="9" t="inlineStr">
        <is>
          <t>Т1В-412Б-17</t>
        </is>
      </c>
      <c r="E458" s="10" t="n">
        <v>44</v>
      </c>
      <c r="F458" s="9" t="inlineStr">
        <is>
          <t>08769</t>
        </is>
      </c>
      <c r="G458" s="10" t="n">
        <v>44</v>
      </c>
      <c r="H458" s="9" t="inlineStr">
        <is>
          <t xml:space="preserve">81720     </t>
        </is>
      </c>
      <c r="I458" s="9" t="inlineStr">
        <is>
          <t xml:space="preserve">Палтиевич Андрей Романович </t>
        </is>
      </c>
      <c r="J458" s="9" t="n"/>
      <c r="K458" s="9" t="n"/>
      <c r="L458" s="9" t="inlineStr">
        <is>
          <t>кроме вторника</t>
        </is>
      </c>
      <c r="M458" s="12">
        <f>SUMIFS($E$2:$E$1130,$A$2:$A$1130,"осень",$I$2:$I$1130,I458)</f>
        <v/>
      </c>
      <c r="N458" s="13">
        <f>SUMIFS($E$2:$E$1130,$A$2:$A$1130,"весна",$I$2:$I$1130,I458)</f>
        <v/>
      </c>
      <c r="O458" s="14">
        <f>M458+N458</f>
        <v/>
      </c>
      <c r="P458" s="15">
        <f>O458/$P$1</f>
        <v/>
      </c>
    </row>
    <row r="459" hidden="1" ht="15.75" customHeight="1" s="2">
      <c r="A459" s="8" t="inlineStr">
        <is>
          <t>осень</t>
        </is>
      </c>
      <c r="B459" s="9" t="inlineStr">
        <is>
          <t>Основы САПР в металлургии</t>
        </is>
      </c>
      <c r="C459" s="9" t="inlineStr">
        <is>
          <t>Экзамен</t>
        </is>
      </c>
      <c r="D459" s="9" t="inlineStr">
        <is>
          <t>Т1В-412Б-17</t>
        </is>
      </c>
      <c r="E459" s="10" t="n">
        <v>6</v>
      </c>
      <c r="F459" s="9" t="inlineStr">
        <is>
          <t>08769</t>
        </is>
      </c>
      <c r="G459" s="11" t="n">
        <v>0</v>
      </c>
      <c r="H459" s="9" t="inlineStr">
        <is>
          <t xml:space="preserve">81720     </t>
        </is>
      </c>
      <c r="I459" s="9" t="inlineStr">
        <is>
          <t xml:space="preserve">Палтиевич Андрей Романович </t>
        </is>
      </c>
      <c r="J459" s="9" t="n"/>
      <c r="K459" s="9" t="n"/>
      <c r="L459" s="9" t="inlineStr">
        <is>
          <t>кроме вторника</t>
        </is>
      </c>
      <c r="M459" s="12">
        <f>SUMIFS($E$2:$E$1130,$A$2:$A$1130,"осень",$I$2:$I$1130,I459)</f>
        <v/>
      </c>
      <c r="N459" s="13">
        <f>SUMIFS($E$2:$E$1130,$A$2:$A$1130,"весна",$I$2:$I$1130,I459)</f>
        <v/>
      </c>
      <c r="O459" s="14">
        <f>M459+N459</f>
        <v/>
      </c>
      <c r="P459" s="15">
        <f>O459/$P$1</f>
        <v/>
      </c>
    </row>
    <row r="460" hidden="1" ht="15.75" customHeight="1" s="2">
      <c r="A460" s="17" t="inlineStr">
        <is>
          <t>осень</t>
        </is>
      </c>
      <c r="B460" s="9" t="inlineStr">
        <is>
          <t>Основы САПР в металлургии</t>
        </is>
      </c>
      <c r="C460" s="9" t="inlineStr">
        <is>
          <t>Консультация</t>
        </is>
      </c>
      <c r="D460" s="9" t="inlineStr">
        <is>
          <t>Т1В-412Б-17</t>
        </is>
      </c>
      <c r="E460" s="10" t="n">
        <v>5</v>
      </c>
      <c r="F460" s="9" t="inlineStr">
        <is>
          <t>08769</t>
        </is>
      </c>
      <c r="G460" s="11" t="n">
        <v>0</v>
      </c>
      <c r="H460" s="9" t="inlineStr">
        <is>
          <t xml:space="preserve">95799     </t>
        </is>
      </c>
      <c r="I460" s="9" t="inlineStr">
        <is>
          <t>Монастырский Алексей Валерьевич</t>
        </is>
      </c>
      <c r="J460" s="9" t="n"/>
      <c r="K460" s="9" t="n"/>
      <c r="L460" s="9" t="inlineStr">
        <is>
          <t>кроме вторника</t>
        </is>
      </c>
      <c r="M460" s="12">
        <f>SUMIFS($E$2:$E$1130,$A$2:$A$1130,"осень",$I$2:$I$1130,I460)</f>
        <v/>
      </c>
      <c r="N460" s="13">
        <f>SUMIFS($E$2:$E$1130,$A$2:$A$1130,"весна",$I$2:$I$1130,I460)</f>
        <v/>
      </c>
      <c r="O460" s="14">
        <f>M460+N460</f>
        <v/>
      </c>
      <c r="P460" s="15">
        <f>O460/$P$1</f>
        <v/>
      </c>
    </row>
    <row r="461" hidden="1" ht="15.75" customHeight="1" s="2">
      <c r="A461" s="17" t="inlineStr">
        <is>
          <t>осень</t>
        </is>
      </c>
      <c r="B461" s="9" t="inlineStr">
        <is>
          <t>Основы САПР в металлургии</t>
        </is>
      </c>
      <c r="C461" s="9" t="inlineStr">
        <is>
          <t>Консультация</t>
        </is>
      </c>
      <c r="D461" s="9" t="inlineStr">
        <is>
          <t>Т11О-301Б-18</t>
        </is>
      </c>
      <c r="E461" s="10" t="n">
        <v>1</v>
      </c>
      <c r="F461" s="9" t="inlineStr">
        <is>
          <t>08947</t>
        </is>
      </c>
      <c r="G461" s="11" t="n">
        <v>0</v>
      </c>
      <c r="H461" s="9" t="inlineStr">
        <is>
          <t xml:space="preserve">82018     </t>
        </is>
      </c>
      <c r="I461" s="9" t="inlineStr">
        <is>
          <t>Бережной Дмитрий Васильевич</t>
        </is>
      </c>
      <c r="J461" s="9" t="inlineStr">
        <is>
          <t>доцент</t>
        </is>
      </c>
      <c r="K461" s="9" t="n"/>
      <c r="L461" s="9" t="inlineStr">
        <is>
          <t>кроме одного любого дня и субботы</t>
        </is>
      </c>
      <c r="M461" s="12">
        <f>SUMIFS($E$2:$E$1130,$A$2:$A$1130,"осень",$I$2:$I$1130,I461)</f>
        <v/>
      </c>
      <c r="N461" s="13">
        <f>SUMIFS($E$2:$E$1130,$A$2:$A$1130,"весна",$I$2:$I$1130,I461)</f>
        <v/>
      </c>
      <c r="O461" s="14">
        <f>M461+N461</f>
        <v/>
      </c>
      <c r="P461" s="15">
        <f>O461/$P$1</f>
        <v/>
      </c>
    </row>
    <row r="462" hidden="1" ht="15.75" customHeight="1" s="2">
      <c r="A462" s="17" t="inlineStr">
        <is>
          <t>осень</t>
        </is>
      </c>
      <c r="B462" s="9" t="inlineStr">
        <is>
          <t>Основы САПР в металлургии</t>
        </is>
      </c>
      <c r="C462" s="9" t="inlineStr">
        <is>
          <t>Консультация</t>
        </is>
      </c>
      <c r="D462" s="9" t="inlineStr">
        <is>
          <t>Т11О-302Б-18</t>
        </is>
      </c>
      <c r="E462" s="10" t="n">
        <v>1</v>
      </c>
      <c r="F462" s="9" t="inlineStr">
        <is>
          <t>08947</t>
        </is>
      </c>
      <c r="G462" s="11" t="n">
        <v>0</v>
      </c>
      <c r="H462" s="9" t="inlineStr">
        <is>
          <t xml:space="preserve">82018     </t>
        </is>
      </c>
      <c r="I462" s="9" t="inlineStr">
        <is>
          <t>Бережной Дмитрий Васильевич</t>
        </is>
      </c>
      <c r="J462" s="9" t="inlineStr">
        <is>
          <t>доцент</t>
        </is>
      </c>
      <c r="K462" s="9" t="n"/>
      <c r="L462" s="9" t="inlineStr">
        <is>
          <t>кроме одного любого дня и субботы</t>
        </is>
      </c>
      <c r="M462" s="12">
        <f>SUMIFS($E$2:$E$1130,$A$2:$A$1130,"осень",$I$2:$I$1130,I462)</f>
        <v/>
      </c>
      <c r="N462" s="13">
        <f>SUMIFS($E$2:$E$1130,$A$2:$A$1130,"весна",$I$2:$I$1130,I462)</f>
        <v/>
      </c>
      <c r="O462" s="14">
        <f>M462+N462</f>
        <v/>
      </c>
      <c r="P462" s="15">
        <f>O462/$P$1</f>
        <v/>
      </c>
    </row>
    <row r="463" hidden="1" ht="15.75" customHeight="1" s="2">
      <c r="A463" s="8" t="inlineStr">
        <is>
          <t>осень</t>
        </is>
      </c>
      <c r="B463" s="9" t="inlineStr">
        <is>
          <t>Теплотехника и основы теплопередачи</t>
        </is>
      </c>
      <c r="C463" s="9" t="inlineStr">
        <is>
          <t>ЛК</t>
        </is>
      </c>
      <c r="D463" s="9" t="inlineStr">
        <is>
          <t>Т11О-301Б-18, Т11О-302Б-18, Т11О-305Б-18, Т11О-307Б-18, Т11О-308Б-18, Т11О-309Б-18</t>
        </is>
      </c>
      <c r="E463" s="10" t="n">
        <v>24</v>
      </c>
      <c r="F463" s="9" t="inlineStr">
        <is>
          <t>12881</t>
        </is>
      </c>
      <c r="G463" s="10" t="n">
        <v>24</v>
      </c>
      <c r="H463" s="9" t="inlineStr">
        <is>
          <t xml:space="preserve">82086     </t>
        </is>
      </c>
      <c r="I463" s="9" t="inlineStr">
        <is>
          <t xml:space="preserve">Смыков Андрей Федорович </t>
        </is>
      </c>
      <c r="J463" s="9" t="inlineStr">
        <is>
          <t>профессор</t>
        </is>
      </c>
      <c r="K463" s="9" t="n"/>
      <c r="L463" s="9" t="n"/>
      <c r="M463" s="12">
        <f>SUMIFS($E$2:$E$1130,$A$2:$A$1130,"осень",$I$2:$I$1130,I463)</f>
        <v/>
      </c>
      <c r="N463" s="13">
        <f>SUMIFS($E$2:$E$1130,$A$2:$A$1130,"весна",$I$2:$I$1130,I463)</f>
        <v/>
      </c>
      <c r="O463" s="14">
        <f>M463+N463</f>
        <v/>
      </c>
      <c r="P463" s="15">
        <f>O463/$P$1</f>
        <v/>
      </c>
    </row>
    <row r="464" hidden="1" ht="15.75" customHeight="1" s="2">
      <c r="A464" s="8" t="inlineStr">
        <is>
          <t>осень</t>
        </is>
      </c>
      <c r="B464" s="9" t="inlineStr">
        <is>
          <t>Теплотехника и основы теплопередачи</t>
        </is>
      </c>
      <c r="C464" s="9" t="inlineStr">
        <is>
          <t>ПЗ</t>
        </is>
      </c>
      <c r="D464" s="9" t="inlineStr">
        <is>
          <t>Т11О-309Б-18</t>
        </is>
      </c>
      <c r="E464" s="10" t="n">
        <v>16</v>
      </c>
      <c r="F464" s="9" t="inlineStr">
        <is>
          <t>12881</t>
        </is>
      </c>
      <c r="G464" s="10" t="n">
        <v>16</v>
      </c>
      <c r="H464" s="9" t="inlineStr">
        <is>
          <t xml:space="preserve">82086     </t>
        </is>
      </c>
      <c r="I464" s="9" t="inlineStr">
        <is>
          <t xml:space="preserve">Смыков Андрей Федорович </t>
        </is>
      </c>
      <c r="J464" s="9" t="inlineStr">
        <is>
          <t>профессор</t>
        </is>
      </c>
      <c r="K464" s="9" t="n"/>
      <c r="L464" s="9" t="n"/>
      <c r="M464" s="12">
        <f>SUMIFS($E$2:$E$1130,$A$2:$A$1130,"осень",$I$2:$I$1130,I464)</f>
        <v/>
      </c>
      <c r="N464" s="13">
        <f>SUMIFS($E$2:$E$1130,$A$2:$A$1130,"весна",$I$2:$I$1130,I464)</f>
        <v/>
      </c>
      <c r="O464" s="14">
        <f>M464+N464</f>
        <v/>
      </c>
      <c r="P464" s="15">
        <f>O464/$P$1</f>
        <v/>
      </c>
    </row>
    <row r="465" hidden="1" ht="15.75" customHeight="1" s="2">
      <c r="A465" s="8" t="inlineStr">
        <is>
          <t>осень</t>
        </is>
      </c>
      <c r="B465" s="9" t="inlineStr">
        <is>
          <t>Теплотехника и основы теплопередачи</t>
        </is>
      </c>
      <c r="C465" s="9" t="inlineStr">
        <is>
          <t>ПЗ</t>
        </is>
      </c>
      <c r="D465" s="9" t="inlineStr">
        <is>
          <t>Т11О-307Б-18</t>
        </is>
      </c>
      <c r="E465" s="10" t="n">
        <v>16</v>
      </c>
      <c r="F465" s="9" t="inlineStr">
        <is>
          <t>12881</t>
        </is>
      </c>
      <c r="G465" s="10" t="n">
        <v>16</v>
      </c>
      <c r="H465" s="9" t="inlineStr">
        <is>
          <t xml:space="preserve">82086     </t>
        </is>
      </c>
      <c r="I465" s="9" t="inlineStr">
        <is>
          <t xml:space="preserve">Смыков Андрей Федорович </t>
        </is>
      </c>
      <c r="J465" s="9" t="inlineStr">
        <is>
          <t>профессор</t>
        </is>
      </c>
      <c r="K465" s="9" t="n"/>
      <c r="L465" s="9" t="n"/>
      <c r="M465" s="12">
        <f>SUMIFS($E$2:$E$1130,$A$2:$A$1130,"осень",$I$2:$I$1130,I465)</f>
        <v/>
      </c>
      <c r="N465" s="13">
        <f>SUMIFS($E$2:$E$1130,$A$2:$A$1130,"весна",$I$2:$I$1130,I465)</f>
        <v/>
      </c>
      <c r="O465" s="14">
        <f>M465+N465</f>
        <v/>
      </c>
      <c r="P465" s="15">
        <f>O465/$P$1</f>
        <v/>
      </c>
    </row>
    <row r="466" hidden="1" ht="15.75" customHeight="1" s="2">
      <c r="A466" s="8" t="inlineStr">
        <is>
          <t>осень</t>
        </is>
      </c>
      <c r="B466" s="9" t="inlineStr">
        <is>
          <t>Теплотехника и основы теплопередачи</t>
        </is>
      </c>
      <c r="C466" s="9" t="inlineStr">
        <is>
          <t>ПЗ</t>
        </is>
      </c>
      <c r="D466" s="9" t="inlineStr">
        <is>
          <t>Т11О-301Б-18</t>
        </is>
      </c>
      <c r="E466" s="10" t="n">
        <v>16</v>
      </c>
      <c r="F466" s="9" t="inlineStr">
        <is>
          <t>12881</t>
        </is>
      </c>
      <c r="G466" s="10" t="n">
        <v>16</v>
      </c>
      <c r="H466" s="9" t="inlineStr">
        <is>
          <t xml:space="preserve">82086     </t>
        </is>
      </c>
      <c r="I466" s="9" t="inlineStr">
        <is>
          <t xml:space="preserve">Смыков Андрей Федорович </t>
        </is>
      </c>
      <c r="J466" s="9" t="inlineStr">
        <is>
          <t>профессор</t>
        </is>
      </c>
      <c r="K466" s="9" t="n"/>
      <c r="L466" s="9" t="n"/>
      <c r="M466" s="12">
        <f>SUMIFS($E$2:$E$1130,$A$2:$A$1130,"осень",$I$2:$I$1130,I466)</f>
        <v/>
      </c>
      <c r="N466" s="13">
        <f>SUMIFS($E$2:$E$1130,$A$2:$A$1130,"весна",$I$2:$I$1130,I466)</f>
        <v/>
      </c>
      <c r="O466" s="14">
        <f>M466+N466</f>
        <v/>
      </c>
      <c r="P466" s="15">
        <f>O466/$P$1</f>
        <v/>
      </c>
    </row>
    <row r="467" hidden="1" ht="15.75" customHeight="1" s="2">
      <c r="A467" s="8" t="inlineStr">
        <is>
          <t>осень</t>
        </is>
      </c>
      <c r="B467" s="9" t="inlineStr">
        <is>
          <t>Теплотехника и основы теплопередачи</t>
        </is>
      </c>
      <c r="C467" s="9" t="inlineStr">
        <is>
          <t>ПЗ</t>
        </is>
      </c>
      <c r="D467" s="9" t="inlineStr">
        <is>
          <t>Т11О-305Б-18</t>
        </is>
      </c>
      <c r="E467" s="10" t="n">
        <v>16</v>
      </c>
      <c r="F467" s="9" t="inlineStr">
        <is>
          <t>12881</t>
        </is>
      </c>
      <c r="G467" s="10" t="n">
        <v>16</v>
      </c>
      <c r="H467" s="9" t="inlineStr">
        <is>
          <t xml:space="preserve">82086     </t>
        </is>
      </c>
      <c r="I467" s="9" t="inlineStr">
        <is>
          <t xml:space="preserve">Смыков Андрей Федорович </t>
        </is>
      </c>
      <c r="J467" s="9" t="inlineStr">
        <is>
          <t>профессор</t>
        </is>
      </c>
      <c r="K467" s="9" t="n"/>
      <c r="L467" s="9" t="n"/>
      <c r="M467" s="12">
        <f>SUMIFS($E$2:$E$1130,$A$2:$A$1130,"осень",$I$2:$I$1130,I467)</f>
        <v/>
      </c>
      <c r="N467" s="13">
        <f>SUMIFS($E$2:$E$1130,$A$2:$A$1130,"весна",$I$2:$I$1130,I467)</f>
        <v/>
      </c>
      <c r="O467" s="14">
        <f>M467+N467</f>
        <v/>
      </c>
      <c r="P467" s="15">
        <f>O467/$P$1</f>
        <v/>
      </c>
    </row>
    <row r="468" hidden="1" ht="15.75" customHeight="1" s="2">
      <c r="A468" s="8" t="inlineStr">
        <is>
          <t>осень</t>
        </is>
      </c>
      <c r="B468" s="9" t="inlineStr">
        <is>
          <t>Теплотехника и основы теплопередачи</t>
        </is>
      </c>
      <c r="C468" s="9" t="inlineStr">
        <is>
          <t>ПЗ</t>
        </is>
      </c>
      <c r="D468" s="9" t="inlineStr">
        <is>
          <t>Т11О-308Б-18</t>
        </is>
      </c>
      <c r="E468" s="10" t="n">
        <v>16</v>
      </c>
      <c r="F468" s="9" t="inlineStr">
        <is>
          <t>12881</t>
        </is>
      </c>
      <c r="G468" s="10" t="n">
        <v>16</v>
      </c>
      <c r="H468" s="9" t="inlineStr">
        <is>
          <t xml:space="preserve">82086     </t>
        </is>
      </c>
      <c r="I468" s="9" t="inlineStr">
        <is>
          <t xml:space="preserve">Смыков Андрей Федорович </t>
        </is>
      </c>
      <c r="J468" s="9" t="inlineStr">
        <is>
          <t>профессор</t>
        </is>
      </c>
      <c r="K468" s="9" t="n"/>
      <c r="L468" s="9" t="n"/>
      <c r="M468" s="12">
        <f>SUMIFS($E$2:$E$1130,$A$2:$A$1130,"осень",$I$2:$I$1130,I468)</f>
        <v/>
      </c>
      <c r="N468" s="13">
        <f>SUMIFS($E$2:$E$1130,$A$2:$A$1130,"весна",$I$2:$I$1130,I468)</f>
        <v/>
      </c>
      <c r="O468" s="14">
        <f>M468+N468</f>
        <v/>
      </c>
      <c r="P468" s="15">
        <f>O468/$P$1</f>
        <v/>
      </c>
    </row>
    <row r="469" hidden="1" ht="15.75" customHeight="1" s="2">
      <c r="A469" s="8" t="inlineStr">
        <is>
          <t>осень</t>
        </is>
      </c>
      <c r="B469" s="9" t="inlineStr">
        <is>
          <t>Теплотехника и основы теплопередачи</t>
        </is>
      </c>
      <c r="C469" s="9" t="inlineStr">
        <is>
          <t>ПЗ</t>
        </is>
      </c>
      <c r="D469" s="9" t="inlineStr">
        <is>
          <t>Т11О-302Б-18</t>
        </is>
      </c>
      <c r="E469" s="10" t="n">
        <v>16</v>
      </c>
      <c r="F469" s="9" t="inlineStr">
        <is>
          <t>12881</t>
        </is>
      </c>
      <c r="G469" s="10" t="n">
        <v>16</v>
      </c>
      <c r="H469" s="9" t="inlineStr">
        <is>
          <t xml:space="preserve">82086     </t>
        </is>
      </c>
      <c r="I469" s="9" t="inlineStr">
        <is>
          <t xml:space="preserve">Смыков Андрей Федорович </t>
        </is>
      </c>
      <c r="J469" s="9" t="inlineStr">
        <is>
          <t>профессор</t>
        </is>
      </c>
      <c r="K469" s="9" t="n"/>
      <c r="L469" s="9" t="n"/>
      <c r="M469" s="12">
        <f>SUMIFS($E$2:$E$1130,$A$2:$A$1130,"осень",$I$2:$I$1130,I469)</f>
        <v/>
      </c>
      <c r="N469" s="13">
        <f>SUMIFS($E$2:$E$1130,$A$2:$A$1130,"весна",$I$2:$I$1130,I469)</f>
        <v/>
      </c>
      <c r="O469" s="14">
        <f>M469+N469</f>
        <v/>
      </c>
      <c r="P469" s="15">
        <f>O469/$P$1</f>
        <v/>
      </c>
    </row>
    <row r="470" hidden="1" ht="15.75" customHeight="1" s="2">
      <c r="A470" s="8" t="inlineStr">
        <is>
          <t>осень</t>
        </is>
      </c>
      <c r="B470" s="9" t="inlineStr">
        <is>
          <t>Теплотехника и основы теплопередачи</t>
        </is>
      </c>
      <c r="C470" s="9" t="inlineStr">
        <is>
          <t>ЛР</t>
        </is>
      </c>
      <c r="D470" s="9" t="inlineStr">
        <is>
          <t>Т11О-309Б-18</t>
        </is>
      </c>
      <c r="E470" s="10" t="n">
        <v>48</v>
      </c>
      <c r="F470" s="9" t="inlineStr">
        <is>
          <t>12881</t>
        </is>
      </c>
      <c r="G470" s="10" t="n">
        <v>24</v>
      </c>
      <c r="H470" s="9" t="inlineStr">
        <is>
          <t xml:space="preserve">95790     </t>
        </is>
      </c>
      <c r="I470" s="21" t="inlineStr">
        <is>
          <t xml:space="preserve">Смыков Андрей Федорович </t>
        </is>
      </c>
      <c r="J470" s="21" t="inlineStr">
        <is>
          <t>профессор</t>
        </is>
      </c>
      <c r="K470" s="9" t="n"/>
      <c r="L470" s="9" t="n"/>
      <c r="M470" s="12">
        <f>SUMIFS($E$2:$E$1130,$A$2:$A$1130,"осень",$I$2:$I$1130,I470)</f>
        <v/>
      </c>
      <c r="N470" s="13">
        <f>SUMIFS($E$2:$E$1130,$A$2:$A$1130,"весна",$I$2:$I$1130,I470)</f>
        <v/>
      </c>
      <c r="O470" s="14">
        <f>M470+N470</f>
        <v/>
      </c>
      <c r="P470" s="15">
        <f>O470/$P$1</f>
        <v/>
      </c>
    </row>
    <row r="471" hidden="1" ht="15.75" customHeight="1" s="2">
      <c r="A471" s="8" t="inlineStr">
        <is>
          <t>осень</t>
        </is>
      </c>
      <c r="B471" s="9" t="inlineStr">
        <is>
          <t>Теплотехника и основы теплопередачи</t>
        </is>
      </c>
      <c r="C471" s="9" t="inlineStr">
        <is>
          <t>ЛР</t>
        </is>
      </c>
      <c r="D471" s="9" t="inlineStr">
        <is>
          <t>Т11О-307Б-18</t>
        </is>
      </c>
      <c r="E471" s="10" t="n">
        <v>24</v>
      </c>
      <c r="F471" s="9" t="inlineStr">
        <is>
          <t>12881</t>
        </is>
      </c>
      <c r="G471" s="10" t="n">
        <v>24</v>
      </c>
      <c r="H471" s="9" t="inlineStr">
        <is>
          <t xml:space="preserve">82086     </t>
        </is>
      </c>
      <c r="I471" s="9" t="inlineStr">
        <is>
          <t xml:space="preserve">Смыков Андрей Федорович </t>
        </is>
      </c>
      <c r="J471" s="9" t="inlineStr">
        <is>
          <t>профессор</t>
        </is>
      </c>
      <c r="K471" s="9" t="n"/>
      <c r="L471" s="9" t="n"/>
      <c r="M471" s="12">
        <f>SUMIFS($E$2:$E$1130,$A$2:$A$1130,"осень",$I$2:$I$1130,I471)</f>
        <v/>
      </c>
      <c r="N471" s="13">
        <f>SUMIFS($E$2:$E$1130,$A$2:$A$1130,"весна",$I$2:$I$1130,I471)</f>
        <v/>
      </c>
      <c r="O471" s="14">
        <f>M471+N471</f>
        <v/>
      </c>
      <c r="P471" s="15">
        <f>O471/$P$1</f>
        <v/>
      </c>
    </row>
    <row r="472" hidden="1" ht="15.75" customHeight="1" s="2">
      <c r="A472" s="8" t="inlineStr">
        <is>
          <t>осень</t>
        </is>
      </c>
      <c r="B472" s="9" t="inlineStr">
        <is>
          <t>Теплотехника и основы теплопередачи</t>
        </is>
      </c>
      <c r="C472" s="9" t="inlineStr">
        <is>
          <t>ЛР</t>
        </is>
      </c>
      <c r="D472" s="9" t="inlineStr">
        <is>
          <t>Т11О-301Б-18</t>
        </is>
      </c>
      <c r="E472" s="10" t="n">
        <v>48</v>
      </c>
      <c r="F472" s="9" t="inlineStr">
        <is>
          <t>12881</t>
        </is>
      </c>
      <c r="G472" s="10" t="n">
        <v>24</v>
      </c>
      <c r="H472" s="9" t="inlineStr">
        <is>
          <t xml:space="preserve">82086     </t>
        </is>
      </c>
      <c r="I472" s="9" t="inlineStr">
        <is>
          <t xml:space="preserve">Смыков Андрей Федорович </t>
        </is>
      </c>
      <c r="J472" s="9" t="inlineStr">
        <is>
          <t>профессор</t>
        </is>
      </c>
      <c r="K472" s="9" t="n"/>
      <c r="L472" s="9" t="n"/>
      <c r="M472" s="12">
        <f>SUMIFS($E$2:$E$1130,$A$2:$A$1130,"осень",$I$2:$I$1130,I472)</f>
        <v/>
      </c>
      <c r="N472" s="13">
        <f>SUMIFS($E$2:$E$1130,$A$2:$A$1130,"весна",$I$2:$I$1130,I472)</f>
        <v/>
      </c>
      <c r="O472" s="14">
        <f>M472+N472</f>
        <v/>
      </c>
      <c r="P472" s="15">
        <f>O472/$P$1</f>
        <v/>
      </c>
    </row>
    <row r="473" hidden="1" ht="15.75" customHeight="1" s="2">
      <c r="A473" s="8" t="inlineStr">
        <is>
          <t>осень</t>
        </is>
      </c>
      <c r="B473" s="9" t="inlineStr">
        <is>
          <t>Теплотехника и основы теплопередачи</t>
        </is>
      </c>
      <c r="C473" s="9" t="inlineStr">
        <is>
          <t>ЛР</t>
        </is>
      </c>
      <c r="D473" s="9" t="inlineStr">
        <is>
          <t>Т11О-305Б-18</t>
        </is>
      </c>
      <c r="E473" s="10" t="n">
        <v>48</v>
      </c>
      <c r="F473" s="9" t="inlineStr">
        <is>
          <t>12881</t>
        </is>
      </c>
      <c r="G473" s="10" t="n">
        <v>24</v>
      </c>
      <c r="H473" s="9" t="inlineStr">
        <is>
          <t xml:space="preserve">82086     </t>
        </is>
      </c>
      <c r="I473" s="9" t="inlineStr">
        <is>
          <t xml:space="preserve">Смыков Андрей Федорович </t>
        </is>
      </c>
      <c r="J473" s="9" t="inlineStr">
        <is>
          <t>профессор</t>
        </is>
      </c>
      <c r="K473" s="9" t="n"/>
      <c r="L473" s="9" t="n"/>
      <c r="M473" s="12">
        <f>SUMIFS($E$2:$E$1130,$A$2:$A$1130,"осень",$I$2:$I$1130,I473)</f>
        <v/>
      </c>
      <c r="N473" s="13">
        <f>SUMIFS($E$2:$E$1130,$A$2:$A$1130,"весна",$I$2:$I$1130,I473)</f>
        <v/>
      </c>
      <c r="O473" s="14">
        <f>M473+N473</f>
        <v/>
      </c>
      <c r="P473" s="15">
        <f>O473/$P$1</f>
        <v/>
      </c>
    </row>
    <row r="474" hidden="1" ht="15.75" customHeight="1" s="2">
      <c r="A474" s="8" t="inlineStr">
        <is>
          <t>осень</t>
        </is>
      </c>
      <c r="B474" s="9" t="inlineStr">
        <is>
          <t>Теплотехника и основы теплопередачи</t>
        </is>
      </c>
      <c r="C474" s="9" t="inlineStr">
        <is>
          <t>ЛР</t>
        </is>
      </c>
      <c r="D474" s="9" t="inlineStr">
        <is>
          <t>Т11О-308Б-18</t>
        </is>
      </c>
      <c r="E474" s="10" t="n">
        <v>48</v>
      </c>
      <c r="F474" s="9" t="inlineStr">
        <is>
          <t>12881</t>
        </is>
      </c>
      <c r="G474" s="10" t="n">
        <v>24</v>
      </c>
      <c r="H474" s="9" t="inlineStr">
        <is>
          <t xml:space="preserve">95790     </t>
        </is>
      </c>
      <c r="I474" s="21" t="inlineStr">
        <is>
          <t xml:space="preserve">Смыков Андрей Федорович </t>
        </is>
      </c>
      <c r="J474" s="21" t="inlineStr">
        <is>
          <t>профессор</t>
        </is>
      </c>
      <c r="K474" s="9" t="n"/>
      <c r="L474" s="9" t="n"/>
      <c r="M474" s="12">
        <f>SUMIFS($E$2:$E$1130,$A$2:$A$1130,"осень",$I$2:$I$1130,I474)</f>
        <v/>
      </c>
      <c r="N474" s="13">
        <f>SUMIFS($E$2:$E$1130,$A$2:$A$1130,"весна",$I$2:$I$1130,I474)</f>
        <v/>
      </c>
      <c r="O474" s="14">
        <f>M474+N474</f>
        <v/>
      </c>
      <c r="P474" s="15">
        <f>O474/$P$1</f>
        <v/>
      </c>
    </row>
    <row r="475" hidden="1" ht="15.75" customHeight="1" s="2">
      <c r="A475" s="8" t="inlineStr">
        <is>
          <t>осень</t>
        </is>
      </c>
      <c r="B475" s="9" t="inlineStr">
        <is>
          <t>Теплотехника и основы теплопередачи</t>
        </is>
      </c>
      <c r="C475" s="9" t="inlineStr">
        <is>
          <t>ЛР</t>
        </is>
      </c>
      <c r="D475" s="9" t="inlineStr">
        <is>
          <t>Т11О-302Б-18</t>
        </is>
      </c>
      <c r="E475" s="10" t="n">
        <v>24</v>
      </c>
      <c r="F475" s="9" t="inlineStr">
        <is>
          <t>12881</t>
        </is>
      </c>
      <c r="G475" s="10" t="n">
        <v>24</v>
      </c>
      <c r="H475" s="9" t="inlineStr">
        <is>
          <t xml:space="preserve">82086     </t>
        </is>
      </c>
      <c r="I475" s="9" t="inlineStr">
        <is>
          <t xml:space="preserve">Смыков Андрей Федорович </t>
        </is>
      </c>
      <c r="J475" s="9" t="inlineStr">
        <is>
          <t>профессор</t>
        </is>
      </c>
      <c r="K475" s="9" t="n"/>
      <c r="L475" s="9" t="n"/>
      <c r="M475" s="12">
        <f>SUMIFS($E$2:$E$1130,$A$2:$A$1130,"осень",$I$2:$I$1130,I475)</f>
        <v/>
      </c>
      <c r="N475" s="13">
        <f>SUMIFS($E$2:$E$1130,$A$2:$A$1130,"весна",$I$2:$I$1130,I475)</f>
        <v/>
      </c>
      <c r="O475" s="14">
        <f>M475+N475</f>
        <v/>
      </c>
      <c r="P475" s="15">
        <f>O475/$P$1</f>
        <v/>
      </c>
    </row>
    <row r="476" hidden="1" ht="15.75" customHeight="1" s="2">
      <c r="A476" s="8" t="inlineStr">
        <is>
          <t>осень</t>
        </is>
      </c>
      <c r="B476" s="9" t="inlineStr">
        <is>
          <t>Теплотехника и основы теплопередачи</t>
        </is>
      </c>
      <c r="C476" s="9" t="inlineStr">
        <is>
          <t>Экзамен</t>
        </is>
      </c>
      <c r="D476" s="9" t="inlineStr">
        <is>
          <t>Т11О-309Б-18</t>
        </is>
      </c>
      <c r="E476" s="10" t="n">
        <v>8</v>
      </c>
      <c r="F476" s="9" t="inlineStr">
        <is>
          <t>12881</t>
        </is>
      </c>
      <c r="G476" s="11" t="n">
        <v>0</v>
      </c>
      <c r="H476" s="9" t="inlineStr">
        <is>
          <t xml:space="preserve">82086     </t>
        </is>
      </c>
      <c r="I476" s="9" t="inlineStr">
        <is>
          <t xml:space="preserve">Смыков Андрей Федорович </t>
        </is>
      </c>
      <c r="J476" s="9" t="inlineStr">
        <is>
          <t>профессор</t>
        </is>
      </c>
      <c r="K476" s="9" t="n"/>
      <c r="L476" s="9" t="n"/>
      <c r="M476" s="12">
        <f>SUMIFS($E$2:$E$1130,$A$2:$A$1130,"осень",$I$2:$I$1130,I476)</f>
        <v/>
      </c>
      <c r="N476" s="13">
        <f>SUMIFS($E$2:$E$1130,$A$2:$A$1130,"весна",$I$2:$I$1130,I476)</f>
        <v/>
      </c>
      <c r="O476" s="14">
        <f>M476+N476</f>
        <v/>
      </c>
      <c r="P476" s="15">
        <f>O476/$P$1</f>
        <v/>
      </c>
    </row>
    <row r="477" hidden="1" ht="15.75" customHeight="1" s="2">
      <c r="A477" s="8" t="inlineStr">
        <is>
          <t>осень</t>
        </is>
      </c>
      <c r="B477" s="9" t="inlineStr">
        <is>
          <t>Теплотехника и основы теплопередачи</t>
        </is>
      </c>
      <c r="C477" s="9" t="inlineStr">
        <is>
          <t>Экзамен</t>
        </is>
      </c>
      <c r="D477" s="9" t="inlineStr">
        <is>
          <t>Т11О-307Б-18</t>
        </is>
      </c>
      <c r="E477" s="10" t="n">
        <v>8</v>
      </c>
      <c r="F477" s="9" t="inlineStr">
        <is>
          <t>12881</t>
        </is>
      </c>
      <c r="G477" s="11" t="n">
        <v>0</v>
      </c>
      <c r="H477" s="9" t="inlineStr">
        <is>
          <t xml:space="preserve">82086     </t>
        </is>
      </c>
      <c r="I477" s="9" t="inlineStr">
        <is>
          <t xml:space="preserve">Смыков Андрей Федорович </t>
        </is>
      </c>
      <c r="J477" s="9" t="inlineStr">
        <is>
          <t>профессор</t>
        </is>
      </c>
      <c r="K477" s="9" t="n"/>
      <c r="L477" s="9" t="n"/>
      <c r="M477" s="12">
        <f>SUMIFS($E$2:$E$1130,$A$2:$A$1130,"осень",$I$2:$I$1130,I477)</f>
        <v/>
      </c>
      <c r="N477" s="13">
        <f>SUMIFS($E$2:$E$1130,$A$2:$A$1130,"весна",$I$2:$I$1130,I477)</f>
        <v/>
      </c>
      <c r="O477" s="14">
        <f>M477+N477</f>
        <v/>
      </c>
      <c r="P477" s="15">
        <f>O477/$P$1</f>
        <v/>
      </c>
    </row>
    <row r="478" hidden="1" ht="15.75" customHeight="1" s="2">
      <c r="A478" s="8" t="inlineStr">
        <is>
          <t>осень</t>
        </is>
      </c>
      <c r="B478" s="9" t="inlineStr">
        <is>
          <t>Теплотехника и основы теплопередачи</t>
        </is>
      </c>
      <c r="C478" s="9" t="inlineStr">
        <is>
          <t>Экзамен</t>
        </is>
      </c>
      <c r="D478" s="9" t="inlineStr">
        <is>
          <t>Т11О-301Б-18</t>
        </is>
      </c>
      <c r="E478" s="10" t="n">
        <v>9</v>
      </c>
      <c r="F478" s="9" t="inlineStr">
        <is>
          <t>12881</t>
        </is>
      </c>
      <c r="G478" s="11" t="n">
        <v>0</v>
      </c>
      <c r="H478" s="9" t="inlineStr">
        <is>
          <t xml:space="preserve">82086     </t>
        </is>
      </c>
      <c r="I478" s="9" t="inlineStr">
        <is>
          <t xml:space="preserve">Смыков Андрей Федорович </t>
        </is>
      </c>
      <c r="J478" s="9" t="inlineStr">
        <is>
          <t>профессор</t>
        </is>
      </c>
      <c r="K478" s="9" t="n"/>
      <c r="L478" s="9" t="n"/>
      <c r="M478" s="12">
        <f>SUMIFS($E$2:$E$1130,$A$2:$A$1130,"осень",$I$2:$I$1130,I478)</f>
        <v/>
      </c>
      <c r="N478" s="13">
        <f>SUMIFS($E$2:$E$1130,$A$2:$A$1130,"весна",$I$2:$I$1130,I478)</f>
        <v/>
      </c>
      <c r="O478" s="14">
        <f>M478+N478</f>
        <v/>
      </c>
      <c r="P478" s="15">
        <f>O478/$P$1</f>
        <v/>
      </c>
    </row>
    <row r="479" hidden="1" ht="15.75" customHeight="1" s="2">
      <c r="A479" s="8" t="inlineStr">
        <is>
          <t>осень</t>
        </is>
      </c>
      <c r="B479" s="9" t="inlineStr">
        <is>
          <t>Теплотехника и основы теплопередачи</t>
        </is>
      </c>
      <c r="C479" s="9" t="inlineStr">
        <is>
          <t>Экзамен</t>
        </is>
      </c>
      <c r="D479" s="9" t="inlineStr">
        <is>
          <t>Т11О-305Б-18</t>
        </is>
      </c>
      <c r="E479" s="10" t="n">
        <v>9</v>
      </c>
      <c r="F479" s="9" t="inlineStr">
        <is>
          <t>12881</t>
        </is>
      </c>
      <c r="G479" s="11" t="n">
        <v>0</v>
      </c>
      <c r="H479" s="9" t="inlineStr">
        <is>
          <t xml:space="preserve">82086     </t>
        </is>
      </c>
      <c r="I479" s="9" t="inlineStr">
        <is>
          <t xml:space="preserve">Смыков Андрей Федорович </t>
        </is>
      </c>
      <c r="J479" s="9" t="inlineStr">
        <is>
          <t>профессор</t>
        </is>
      </c>
      <c r="K479" s="9" t="n"/>
      <c r="L479" s="9" t="n"/>
      <c r="M479" s="12">
        <f>SUMIFS($E$2:$E$1130,$A$2:$A$1130,"осень",$I$2:$I$1130,I479)</f>
        <v/>
      </c>
      <c r="N479" s="13">
        <f>SUMIFS($E$2:$E$1130,$A$2:$A$1130,"весна",$I$2:$I$1130,I479)</f>
        <v/>
      </c>
      <c r="O479" s="14">
        <f>M479+N479</f>
        <v/>
      </c>
      <c r="P479" s="15">
        <f>O479/$P$1</f>
        <v/>
      </c>
    </row>
    <row r="480" hidden="1" ht="15.75" customHeight="1" s="2">
      <c r="A480" s="8" t="inlineStr">
        <is>
          <t>осень</t>
        </is>
      </c>
      <c r="B480" s="9" t="inlineStr">
        <is>
          <t>Теплотехника и основы теплопередачи</t>
        </is>
      </c>
      <c r="C480" s="9" t="inlineStr">
        <is>
          <t>Экзамен</t>
        </is>
      </c>
      <c r="D480" s="9" t="inlineStr">
        <is>
          <t>Т11О-308Б-18</t>
        </is>
      </c>
      <c r="E480" s="10" t="n">
        <v>12</v>
      </c>
      <c r="F480" s="9" t="inlineStr">
        <is>
          <t>12881</t>
        </is>
      </c>
      <c r="G480" s="11" t="n">
        <v>0</v>
      </c>
      <c r="H480" s="9" t="inlineStr">
        <is>
          <t xml:space="preserve">82086     </t>
        </is>
      </c>
      <c r="I480" s="9" t="inlineStr">
        <is>
          <t xml:space="preserve">Смыков Андрей Федорович </t>
        </is>
      </c>
      <c r="J480" s="9" t="inlineStr">
        <is>
          <t>профессор</t>
        </is>
      </c>
      <c r="K480" s="9" t="n"/>
      <c r="L480" s="9" t="n"/>
      <c r="M480" s="12">
        <f>SUMIFS($E$2:$E$1130,$A$2:$A$1130,"осень",$I$2:$I$1130,I480)</f>
        <v/>
      </c>
      <c r="N480" s="13">
        <f>SUMIFS($E$2:$E$1130,$A$2:$A$1130,"весна",$I$2:$I$1130,I480)</f>
        <v/>
      </c>
      <c r="O480" s="14">
        <f>M480+N480</f>
        <v/>
      </c>
      <c r="P480" s="15">
        <f>O480/$P$1</f>
        <v/>
      </c>
    </row>
    <row r="481" hidden="1" ht="15.75" customHeight="1" s="2">
      <c r="A481" s="8" t="inlineStr">
        <is>
          <t>осень</t>
        </is>
      </c>
      <c r="B481" s="9" t="inlineStr">
        <is>
          <t>Теплотехника и основы теплопередачи</t>
        </is>
      </c>
      <c r="C481" s="9" t="inlineStr">
        <is>
          <t>Экзамен</t>
        </is>
      </c>
      <c r="D481" s="9" t="inlineStr">
        <is>
          <t>Т11О-302Б-18</t>
        </is>
      </c>
      <c r="E481" s="10" t="n">
        <v>7</v>
      </c>
      <c r="F481" s="9" t="inlineStr">
        <is>
          <t>12881</t>
        </is>
      </c>
      <c r="G481" s="11" t="n">
        <v>0</v>
      </c>
      <c r="H481" s="9" t="inlineStr">
        <is>
          <t xml:space="preserve">82086     </t>
        </is>
      </c>
      <c r="I481" s="9" t="inlineStr">
        <is>
          <t xml:space="preserve">Смыков Андрей Федорович </t>
        </is>
      </c>
      <c r="J481" s="9" t="inlineStr">
        <is>
          <t>профессор</t>
        </is>
      </c>
      <c r="K481" s="9" t="n"/>
      <c r="L481" s="9" t="n"/>
      <c r="M481" s="12">
        <f>SUMIFS($E$2:$E$1130,$A$2:$A$1130,"осень",$I$2:$I$1130,I481)</f>
        <v/>
      </c>
      <c r="N481" s="13">
        <f>SUMIFS($E$2:$E$1130,$A$2:$A$1130,"весна",$I$2:$I$1130,I481)</f>
        <v/>
      </c>
      <c r="O481" s="14">
        <f>M481+N481</f>
        <v/>
      </c>
      <c r="P481" s="15">
        <f>O481/$P$1</f>
        <v/>
      </c>
    </row>
    <row r="482" hidden="1" ht="15.75" customHeight="1" s="2">
      <c r="A482" s="8" t="inlineStr">
        <is>
          <t>осень</t>
        </is>
      </c>
      <c r="B482" s="9" t="inlineStr">
        <is>
          <t>Теплотехника и основы теплопередачи</t>
        </is>
      </c>
      <c r="C482" s="9" t="inlineStr">
        <is>
          <t>Консультация</t>
        </is>
      </c>
      <c r="D482" s="9" t="inlineStr">
        <is>
          <t>Т11О-309Б-18</t>
        </is>
      </c>
      <c r="E482" s="10" t="n">
        <v>3</v>
      </c>
      <c r="F482" s="9" t="inlineStr">
        <is>
          <t>12881</t>
        </is>
      </c>
      <c r="G482" s="11" t="n">
        <v>0</v>
      </c>
      <c r="H482" s="9" t="inlineStr">
        <is>
          <t xml:space="preserve">82086     </t>
        </is>
      </c>
      <c r="I482" s="9" t="inlineStr">
        <is>
          <t xml:space="preserve">Смыков Андрей Федорович </t>
        </is>
      </c>
      <c r="J482" s="9" t="inlineStr">
        <is>
          <t>профессор</t>
        </is>
      </c>
      <c r="K482" s="9" t="n"/>
      <c r="L482" s="9" t="n"/>
      <c r="M482" s="12">
        <f>SUMIFS($E$2:$E$1130,$A$2:$A$1130,"осень",$I$2:$I$1130,I482)</f>
        <v/>
      </c>
      <c r="N482" s="13">
        <f>SUMIFS($E$2:$E$1130,$A$2:$A$1130,"весна",$I$2:$I$1130,I482)</f>
        <v/>
      </c>
      <c r="O482" s="14">
        <f>M482+N482</f>
        <v/>
      </c>
      <c r="P482" s="15">
        <f>O482/$P$1</f>
        <v/>
      </c>
    </row>
    <row r="483" hidden="1" ht="15.75" customHeight="1" s="2">
      <c r="A483" s="8" t="inlineStr">
        <is>
          <t>осень</t>
        </is>
      </c>
      <c r="B483" s="9" t="inlineStr">
        <is>
          <t>Теплотехника и основы теплопередачи</t>
        </is>
      </c>
      <c r="C483" s="9" t="inlineStr">
        <is>
          <t>Консультация</t>
        </is>
      </c>
      <c r="D483" s="9" t="inlineStr">
        <is>
          <t>Т11О-307Б-18</t>
        </is>
      </c>
      <c r="E483" s="10" t="n">
        <v>3</v>
      </c>
      <c r="F483" s="9" t="inlineStr">
        <is>
          <t>12881</t>
        </is>
      </c>
      <c r="G483" s="11" t="n">
        <v>0</v>
      </c>
      <c r="H483" s="9" t="inlineStr">
        <is>
          <t xml:space="preserve">82086     </t>
        </is>
      </c>
      <c r="I483" s="9" t="inlineStr">
        <is>
          <t xml:space="preserve">Смыков Андрей Федорович </t>
        </is>
      </c>
      <c r="J483" s="9" t="inlineStr">
        <is>
          <t>профессор</t>
        </is>
      </c>
      <c r="K483" s="9" t="n"/>
      <c r="L483" s="9" t="n"/>
      <c r="M483" s="12">
        <f>SUMIFS($E$2:$E$1130,$A$2:$A$1130,"осень",$I$2:$I$1130,I483)</f>
        <v/>
      </c>
      <c r="N483" s="13">
        <f>SUMIFS($E$2:$E$1130,$A$2:$A$1130,"весна",$I$2:$I$1130,I483)</f>
        <v/>
      </c>
      <c r="O483" s="14">
        <f>M483+N483</f>
        <v/>
      </c>
      <c r="P483" s="15">
        <f>O483/$P$1</f>
        <v/>
      </c>
    </row>
    <row r="484" hidden="1" ht="15.75" customHeight="1" s="2">
      <c r="A484" s="8" t="inlineStr">
        <is>
          <t>осень</t>
        </is>
      </c>
      <c r="B484" s="9" t="inlineStr">
        <is>
          <t>Теплотехника и основы теплопередачи</t>
        </is>
      </c>
      <c r="C484" s="9" t="inlineStr">
        <is>
          <t>Консультация</t>
        </is>
      </c>
      <c r="D484" s="9" t="inlineStr">
        <is>
          <t>Т11О-301Б-18</t>
        </is>
      </c>
      <c r="E484" s="10" t="n">
        <v>3</v>
      </c>
      <c r="F484" s="9" t="inlineStr">
        <is>
          <t>12881</t>
        </is>
      </c>
      <c r="G484" s="11" t="n">
        <v>0</v>
      </c>
      <c r="H484" s="9" t="inlineStr">
        <is>
          <t xml:space="preserve">82086     </t>
        </is>
      </c>
      <c r="I484" s="9" t="inlineStr">
        <is>
          <t xml:space="preserve">Смыков Андрей Федорович </t>
        </is>
      </c>
      <c r="J484" s="9" t="inlineStr">
        <is>
          <t>профессор</t>
        </is>
      </c>
      <c r="K484" s="9" t="n"/>
      <c r="L484" s="9" t="n"/>
      <c r="M484" s="12">
        <f>SUMIFS($E$2:$E$1130,$A$2:$A$1130,"осень",$I$2:$I$1130,I484)</f>
        <v/>
      </c>
      <c r="N484" s="13">
        <f>SUMIFS($E$2:$E$1130,$A$2:$A$1130,"весна",$I$2:$I$1130,I484)</f>
        <v/>
      </c>
      <c r="O484" s="14">
        <f>M484+N484</f>
        <v/>
      </c>
      <c r="P484" s="15">
        <f>O484/$P$1</f>
        <v/>
      </c>
    </row>
    <row r="485" hidden="1" ht="15.75" customHeight="1" s="2">
      <c r="A485" s="8" t="inlineStr">
        <is>
          <t>осень</t>
        </is>
      </c>
      <c r="B485" s="9" t="inlineStr">
        <is>
          <t>Теплотехника и основы теплопередачи</t>
        </is>
      </c>
      <c r="C485" s="9" t="inlineStr">
        <is>
          <t>Консультация</t>
        </is>
      </c>
      <c r="D485" s="9" t="inlineStr">
        <is>
          <t>Т11О-305Б-18</t>
        </is>
      </c>
      <c r="E485" s="10" t="n">
        <v>3</v>
      </c>
      <c r="F485" s="9" t="inlineStr">
        <is>
          <t>12881</t>
        </is>
      </c>
      <c r="G485" s="11" t="n">
        <v>0</v>
      </c>
      <c r="H485" s="9" t="inlineStr">
        <is>
          <t xml:space="preserve">82086     </t>
        </is>
      </c>
      <c r="I485" s="9" t="inlineStr">
        <is>
          <t xml:space="preserve">Смыков Андрей Федорович </t>
        </is>
      </c>
      <c r="J485" s="9" t="inlineStr">
        <is>
          <t>профессор</t>
        </is>
      </c>
      <c r="K485" s="9" t="n"/>
      <c r="L485" s="9" t="n"/>
      <c r="M485" s="12">
        <f>SUMIFS($E$2:$E$1130,$A$2:$A$1130,"осень",$I$2:$I$1130,I485)</f>
        <v/>
      </c>
      <c r="N485" s="13">
        <f>SUMIFS($E$2:$E$1130,$A$2:$A$1130,"весна",$I$2:$I$1130,I485)</f>
        <v/>
      </c>
      <c r="O485" s="14">
        <f>M485+N485</f>
        <v/>
      </c>
      <c r="P485" s="15">
        <f>O485/$P$1</f>
        <v/>
      </c>
    </row>
    <row r="486" hidden="1" ht="15.75" customHeight="1" s="2">
      <c r="A486" s="8" t="inlineStr">
        <is>
          <t>осень</t>
        </is>
      </c>
      <c r="B486" s="9" t="inlineStr">
        <is>
          <t>Теплотехника и основы теплопередачи</t>
        </is>
      </c>
      <c r="C486" s="9" t="inlineStr">
        <is>
          <t>Консультация</t>
        </is>
      </c>
      <c r="D486" s="9" t="inlineStr">
        <is>
          <t>Т11О-308Б-18</t>
        </is>
      </c>
      <c r="E486" s="10" t="n">
        <v>3</v>
      </c>
      <c r="F486" s="9" t="inlineStr">
        <is>
          <t>12881</t>
        </is>
      </c>
      <c r="G486" s="11" t="n">
        <v>0</v>
      </c>
      <c r="H486" s="9" t="inlineStr">
        <is>
          <t xml:space="preserve">82086     </t>
        </is>
      </c>
      <c r="I486" s="9" t="inlineStr">
        <is>
          <t xml:space="preserve">Смыков Андрей Федорович </t>
        </is>
      </c>
      <c r="J486" s="9" t="inlineStr">
        <is>
          <t>профессор</t>
        </is>
      </c>
      <c r="K486" s="9" t="n"/>
      <c r="L486" s="9" t="n"/>
      <c r="M486" s="12">
        <f>SUMIFS($E$2:$E$1130,$A$2:$A$1130,"осень",$I$2:$I$1130,I486)</f>
        <v/>
      </c>
      <c r="N486" s="13">
        <f>SUMIFS($E$2:$E$1130,$A$2:$A$1130,"весна",$I$2:$I$1130,I486)</f>
        <v/>
      </c>
      <c r="O486" s="14">
        <f>M486+N486</f>
        <v/>
      </c>
      <c r="P486" s="15">
        <f>O486/$P$1</f>
        <v/>
      </c>
    </row>
    <row r="487" hidden="1" ht="15.75" customHeight="1" s="2">
      <c r="A487" s="8" t="inlineStr">
        <is>
          <t>осень</t>
        </is>
      </c>
      <c r="B487" s="9" t="inlineStr">
        <is>
          <t>Теплотехника и основы теплопередачи</t>
        </is>
      </c>
      <c r="C487" s="9" t="inlineStr">
        <is>
          <t>Консультация</t>
        </is>
      </c>
      <c r="D487" s="9" t="inlineStr">
        <is>
          <t>Т11О-302Б-18</t>
        </is>
      </c>
      <c r="E487" s="10" t="n">
        <v>3</v>
      </c>
      <c r="F487" s="9" t="inlineStr">
        <is>
          <t>12881</t>
        </is>
      </c>
      <c r="G487" s="11" t="n">
        <v>0</v>
      </c>
      <c r="H487" s="9" t="inlineStr">
        <is>
          <t xml:space="preserve">82086     </t>
        </is>
      </c>
      <c r="I487" s="9" t="inlineStr">
        <is>
          <t xml:space="preserve">Смыков Андрей Федорович </t>
        </is>
      </c>
      <c r="J487" s="9" t="inlineStr">
        <is>
          <t>профессор</t>
        </is>
      </c>
      <c r="K487" s="9" t="n"/>
      <c r="L487" s="9" t="n"/>
      <c r="M487" s="12">
        <f>SUMIFS($E$2:$E$1130,$A$2:$A$1130,"осень",$I$2:$I$1130,I487)</f>
        <v/>
      </c>
      <c r="N487" s="13">
        <f>SUMIFS($E$2:$E$1130,$A$2:$A$1130,"весна",$I$2:$I$1130,I487)</f>
        <v/>
      </c>
      <c r="O487" s="14">
        <f>M487+N487</f>
        <v/>
      </c>
      <c r="P487" s="15">
        <f>O487/$P$1</f>
        <v/>
      </c>
    </row>
    <row r="488" hidden="1" ht="15.75" customHeight="1" s="2">
      <c r="A488" s="8" t="inlineStr">
        <is>
          <t>осень</t>
        </is>
      </c>
      <c r="B488" s="9" t="inlineStr">
        <is>
          <t>Теория процессов создания современных материалов и покрытий</t>
        </is>
      </c>
      <c r="C488" s="9" t="inlineStr">
        <is>
          <t>ЛК</t>
        </is>
      </c>
      <c r="D488" s="9" t="inlineStr">
        <is>
          <t>Т11О-207А-19</t>
        </is>
      </c>
      <c r="E488" s="10" t="n">
        <v>24</v>
      </c>
      <c r="F488" s="9" t="inlineStr">
        <is>
          <t>11292</t>
        </is>
      </c>
      <c r="G488" s="10" t="n">
        <v>24</v>
      </c>
      <c r="H488" s="9" t="inlineStr">
        <is>
          <t xml:space="preserve">82060     </t>
        </is>
      </c>
      <c r="I488" s="9" t="inlineStr">
        <is>
          <t xml:space="preserve">Лозован Александр Александрович </t>
        </is>
      </c>
      <c r="J488" s="9" t="inlineStr">
        <is>
          <t>профессор</t>
        </is>
      </c>
      <c r="K488" s="9" t="n"/>
      <c r="L488" s="9" t="n"/>
      <c r="M488" s="12">
        <f>SUMIFS($E$2:$E$1130,$A$2:$A$1130,"осень",$I$2:$I$1130,I488)</f>
        <v/>
      </c>
      <c r="N488" s="13">
        <f>SUMIFS($E$2:$E$1130,$A$2:$A$1130,"весна",$I$2:$I$1130,I488)</f>
        <v/>
      </c>
      <c r="O488" s="14">
        <f>M488+N488</f>
        <v/>
      </c>
      <c r="P488" s="15">
        <f>O488/$P$1</f>
        <v/>
      </c>
    </row>
    <row r="489" hidden="1" ht="15.75" customHeight="1" s="2">
      <c r="A489" s="8" t="inlineStr">
        <is>
          <t>осень</t>
        </is>
      </c>
      <c r="B489" s="9" t="inlineStr">
        <is>
          <t>Теория процессов создания современных материалов и покрытий</t>
        </is>
      </c>
      <c r="C489" s="9" t="inlineStr">
        <is>
          <t>Зачет с оценкой</t>
        </is>
      </c>
      <c r="D489" s="9" t="inlineStr">
        <is>
          <t>Т11О-207А-19</t>
        </is>
      </c>
      <c r="E489" s="10" t="n">
        <v>1</v>
      </c>
      <c r="F489" s="9" t="inlineStr">
        <is>
          <t>11292</t>
        </is>
      </c>
      <c r="G489" s="11" t="n">
        <v>0</v>
      </c>
      <c r="H489" s="9" t="inlineStr">
        <is>
          <t xml:space="preserve">82060     </t>
        </is>
      </c>
      <c r="I489" s="9" t="inlineStr">
        <is>
          <t xml:space="preserve">Лозован Александр Александрович </t>
        </is>
      </c>
      <c r="J489" s="9" t="inlineStr">
        <is>
          <t>профессор</t>
        </is>
      </c>
      <c r="K489" s="9" t="n"/>
      <c r="L489" s="9" t="n"/>
      <c r="M489" s="12">
        <f>SUMIFS($E$2:$E$1130,$A$2:$A$1130,"осень",$I$2:$I$1130,I489)</f>
        <v/>
      </c>
      <c r="N489" s="13">
        <f>SUMIFS($E$2:$E$1130,$A$2:$A$1130,"весна",$I$2:$I$1130,I489)</f>
        <v/>
      </c>
      <c r="O489" s="14">
        <f>M489+N489</f>
        <v/>
      </c>
      <c r="P489" s="15">
        <f>O489/$P$1</f>
        <v/>
      </c>
    </row>
    <row r="490" hidden="1" ht="15.75" customHeight="1" s="2">
      <c r="A490" s="8" t="inlineStr">
        <is>
          <t>осень</t>
        </is>
      </c>
      <c r="B490" s="9" t="inlineStr">
        <is>
          <t>Теория процессов создания современных материалов и покрытий</t>
        </is>
      </c>
      <c r="C490" s="9" t="inlineStr">
        <is>
          <t>ПЗ</t>
        </is>
      </c>
      <c r="D490" s="9" t="inlineStr">
        <is>
          <t>Т11О-207А-19</t>
        </is>
      </c>
      <c r="E490" s="10" t="n">
        <v>8</v>
      </c>
      <c r="F490" s="9" t="inlineStr">
        <is>
          <t>11292</t>
        </is>
      </c>
      <c r="G490" s="10" t="n">
        <v>8</v>
      </c>
      <c r="H490" s="9" t="inlineStr">
        <is>
          <t xml:space="preserve">82060     </t>
        </is>
      </c>
      <c r="I490" s="9" t="inlineStr">
        <is>
          <t xml:space="preserve">Лозован Александр Александрович </t>
        </is>
      </c>
      <c r="J490" s="9" t="inlineStr">
        <is>
          <t>профессор</t>
        </is>
      </c>
      <c r="K490" s="9" t="n"/>
      <c r="L490" s="9" t="n"/>
      <c r="M490" s="12">
        <f>SUMIFS($E$2:$E$1130,$A$2:$A$1130,"осень",$I$2:$I$1130,I490)</f>
        <v/>
      </c>
      <c r="N490" s="13">
        <f>SUMIFS($E$2:$E$1130,$A$2:$A$1130,"весна",$I$2:$I$1130,I490)</f>
        <v/>
      </c>
      <c r="O490" s="14">
        <f>M490+N490</f>
        <v/>
      </c>
      <c r="P490" s="15">
        <f>O490/$P$1</f>
        <v/>
      </c>
    </row>
    <row r="491" hidden="1" ht="15.75" customHeight="1" s="2">
      <c r="A491" s="8" t="inlineStr">
        <is>
          <t>осень</t>
        </is>
      </c>
      <c r="B491" s="9" t="inlineStr">
        <is>
          <t>Теория процессов создания современных материалов и покрытий</t>
        </is>
      </c>
      <c r="C491" s="9" t="inlineStr">
        <is>
          <t>Консультация</t>
        </is>
      </c>
      <c r="D491" s="9" t="inlineStr">
        <is>
          <t>Т11О-207А-19</t>
        </is>
      </c>
      <c r="E491" s="10" t="n">
        <v>1</v>
      </c>
      <c r="F491" s="9" t="inlineStr">
        <is>
          <t>11292</t>
        </is>
      </c>
      <c r="G491" s="11" t="n">
        <v>0</v>
      </c>
      <c r="H491" s="9" t="inlineStr">
        <is>
          <t xml:space="preserve">82060     </t>
        </is>
      </c>
      <c r="I491" s="9" t="inlineStr">
        <is>
          <t xml:space="preserve">Лозован Александр Александрович </t>
        </is>
      </c>
      <c r="J491" s="9" t="inlineStr">
        <is>
          <t>профессор</t>
        </is>
      </c>
      <c r="K491" s="9" t="n"/>
      <c r="L491" s="9" t="n"/>
      <c r="M491" s="12">
        <f>SUMIFS($E$2:$E$1130,$A$2:$A$1130,"осень",$I$2:$I$1130,I491)</f>
        <v/>
      </c>
      <c r="N491" s="13">
        <f>SUMIFS($E$2:$E$1130,$A$2:$A$1130,"весна",$I$2:$I$1130,I491)</f>
        <v/>
      </c>
      <c r="O491" s="14">
        <f>M491+N491</f>
        <v/>
      </c>
      <c r="P491" s="15">
        <f>O491/$P$1</f>
        <v/>
      </c>
    </row>
    <row r="492" hidden="1" ht="15.75" customHeight="1" s="2">
      <c r="A492" s="8" t="inlineStr">
        <is>
          <t>осень</t>
        </is>
      </c>
      <c r="B492" s="9" t="inlineStr">
        <is>
          <t>Обработка металлов давлением</t>
        </is>
      </c>
      <c r="C492" s="9" t="inlineStr">
        <is>
          <t>ЛК</t>
        </is>
      </c>
      <c r="D492" s="9" t="inlineStr">
        <is>
          <t>Т1О-310А-18</t>
        </is>
      </c>
      <c r="E492" s="10" t="n">
        <v>68</v>
      </c>
      <c r="F492" s="9" t="inlineStr">
        <is>
          <t>14083</t>
        </is>
      </c>
      <c r="G492" s="10" t="n">
        <v>68</v>
      </c>
      <c r="H492" s="9" t="inlineStr">
        <is>
          <t xml:space="preserve">81732     </t>
        </is>
      </c>
      <c r="I492" s="9" t="inlineStr">
        <is>
          <t xml:space="preserve">Петров Анатолий Павлович </t>
        </is>
      </c>
      <c r="J492" s="9" t="inlineStr">
        <is>
          <t>профессор</t>
        </is>
      </c>
      <c r="K492" s="9" t="n"/>
      <c r="L492" s="9" t="inlineStr">
        <is>
          <t>Захарова (Борунова) Татьяна Ивановна</t>
        </is>
      </c>
      <c r="M492" s="12">
        <f>SUMIFS($E$2:$E$1130,$A$2:$A$1130,"осень",$I$2:$I$1130,I492)</f>
        <v/>
      </c>
      <c r="N492" s="13">
        <f>SUMIFS($E$2:$E$1130,$A$2:$A$1130,"весна",$I$2:$I$1130,I492)</f>
        <v/>
      </c>
      <c r="O492" s="14">
        <f>M492+N492</f>
        <v/>
      </c>
      <c r="P492" s="15">
        <f>O492/$P$1</f>
        <v/>
      </c>
    </row>
    <row r="493" hidden="1" ht="15.75" customHeight="1" s="2">
      <c r="A493" s="8" t="inlineStr">
        <is>
          <t>осень</t>
        </is>
      </c>
      <c r="B493" s="9" t="inlineStr">
        <is>
          <t>Обработка металлов давлением</t>
        </is>
      </c>
      <c r="C493" s="9" t="inlineStr">
        <is>
          <t>ПЗ</t>
        </is>
      </c>
      <c r="D493" s="9" t="inlineStr">
        <is>
          <t>Т1О-310А-18</t>
        </is>
      </c>
      <c r="E493" s="10" t="n">
        <v>20</v>
      </c>
      <c r="F493" s="9" t="inlineStr">
        <is>
          <t>14083</t>
        </is>
      </c>
      <c r="G493" s="10" t="n">
        <v>20</v>
      </c>
      <c r="H493" s="9" t="inlineStr">
        <is>
          <t xml:space="preserve">81732     </t>
        </is>
      </c>
      <c r="I493" s="9" t="inlineStr">
        <is>
          <t xml:space="preserve">Петров Анатолий Павлович </t>
        </is>
      </c>
      <c r="J493" s="9" t="inlineStr">
        <is>
          <t>профессор</t>
        </is>
      </c>
      <c r="K493" s="9" t="n"/>
      <c r="L493" s="9" t="inlineStr">
        <is>
          <t>Захарова (Борунова) Татьяна Ивановна</t>
        </is>
      </c>
      <c r="M493" s="12">
        <f>SUMIFS($E$2:$E$1130,$A$2:$A$1130,"осень",$I$2:$I$1130,I493)</f>
        <v/>
      </c>
      <c r="N493" s="13">
        <f>SUMIFS($E$2:$E$1130,$A$2:$A$1130,"весна",$I$2:$I$1130,I493)</f>
        <v/>
      </c>
      <c r="O493" s="14">
        <f>M493+N493</f>
        <v/>
      </c>
      <c r="P493" s="15">
        <f>O493/$P$1</f>
        <v/>
      </c>
    </row>
    <row r="494" hidden="1" ht="15.75" customHeight="1" s="2">
      <c r="A494" s="8" t="inlineStr">
        <is>
          <t>осень</t>
        </is>
      </c>
      <c r="B494" s="9" t="inlineStr">
        <is>
          <t>Обработка металлов давлением</t>
        </is>
      </c>
      <c r="C494" s="9" t="inlineStr">
        <is>
          <t>Экзамен</t>
        </is>
      </c>
      <c r="D494" s="9" t="inlineStr">
        <is>
          <t>Т1О-310А-18</t>
        </is>
      </c>
      <c r="E494" s="10" t="n">
        <v>1</v>
      </c>
      <c r="F494" s="9" t="inlineStr">
        <is>
          <t>14083</t>
        </is>
      </c>
      <c r="G494" s="11" t="n">
        <v>0</v>
      </c>
      <c r="H494" s="9" t="inlineStr">
        <is>
          <t xml:space="preserve">81732     </t>
        </is>
      </c>
      <c r="I494" s="9" t="inlineStr">
        <is>
          <t xml:space="preserve">Петров Анатолий Павлович </t>
        </is>
      </c>
      <c r="J494" s="9" t="inlineStr">
        <is>
          <t>профессор</t>
        </is>
      </c>
      <c r="K494" s="9" t="n"/>
      <c r="L494" s="9" t="inlineStr">
        <is>
          <t>Захарова (Борунова) Татьяна Ивановна</t>
        </is>
      </c>
      <c r="M494" s="12">
        <f>SUMIFS($E$2:$E$1130,$A$2:$A$1130,"осень",$I$2:$I$1130,I494)</f>
        <v/>
      </c>
      <c r="N494" s="13">
        <f>SUMIFS($E$2:$E$1130,$A$2:$A$1130,"весна",$I$2:$I$1130,I494)</f>
        <v/>
      </c>
      <c r="O494" s="14">
        <f>M494+N494</f>
        <v/>
      </c>
      <c r="P494" s="15">
        <f>O494/$P$1</f>
        <v/>
      </c>
    </row>
    <row r="495" hidden="1" ht="15.75" customHeight="1" s="2">
      <c r="A495" s="8" t="inlineStr">
        <is>
          <t>осень</t>
        </is>
      </c>
      <c r="B495" s="9" t="inlineStr">
        <is>
          <t>Обработка металлов давлением</t>
        </is>
      </c>
      <c r="C495" s="9" t="inlineStr">
        <is>
          <t>Консультация</t>
        </is>
      </c>
      <c r="D495" s="9" t="inlineStr">
        <is>
          <t>Т1О-310А-18</t>
        </is>
      </c>
      <c r="E495" s="10" t="n">
        <v>5</v>
      </c>
      <c r="F495" s="9" t="inlineStr">
        <is>
          <t>14083</t>
        </is>
      </c>
      <c r="G495" s="11" t="n">
        <v>0</v>
      </c>
      <c r="H495" s="9" t="inlineStr">
        <is>
          <t xml:space="preserve">81732     </t>
        </is>
      </c>
      <c r="I495" s="9" t="inlineStr">
        <is>
          <t xml:space="preserve">Петров Анатолий Павлович </t>
        </is>
      </c>
      <c r="J495" s="9" t="inlineStr">
        <is>
          <t>профессор</t>
        </is>
      </c>
      <c r="K495" s="9" t="n"/>
      <c r="L495" s="9" t="inlineStr">
        <is>
          <t>Захарова (Борунова) Татьяна Ивановна</t>
        </is>
      </c>
      <c r="M495" s="12">
        <f>SUMIFS($E$2:$E$1130,$A$2:$A$1130,"осень",$I$2:$I$1130,I495)</f>
        <v/>
      </c>
      <c r="N495" s="13">
        <f>SUMIFS($E$2:$E$1130,$A$2:$A$1130,"весна",$I$2:$I$1130,I495)</f>
        <v/>
      </c>
      <c r="O495" s="14">
        <f>M495+N495</f>
        <v/>
      </c>
      <c r="P495" s="15">
        <f>O495/$P$1</f>
        <v/>
      </c>
    </row>
    <row r="496" hidden="1" ht="15.75" customHeight="1" s="2">
      <c r="A496" s="8" t="inlineStr">
        <is>
          <t>осень</t>
        </is>
      </c>
      <c r="B496" s="9" t="inlineStr">
        <is>
          <t>Порошковая металлургия и композиционные материалы</t>
        </is>
      </c>
      <c r="C496" s="9" t="inlineStr">
        <is>
          <t>ЛК</t>
        </is>
      </c>
      <c r="D496" s="9" t="inlineStr">
        <is>
          <t>Т11О-307А-18</t>
        </is>
      </c>
      <c r="E496" s="10" t="n">
        <v>68</v>
      </c>
      <c r="F496" s="9" t="inlineStr">
        <is>
          <t>11292</t>
        </is>
      </c>
      <c r="G496" s="10" t="n">
        <v>68</v>
      </c>
      <c r="H496" s="9" t="inlineStr">
        <is>
          <t xml:space="preserve">82060     </t>
        </is>
      </c>
      <c r="I496" s="22" t="inlineStr">
        <is>
          <t xml:space="preserve">Серов Михаил Михайлович </t>
        </is>
      </c>
      <c r="J496" s="9" t="inlineStr">
        <is>
          <t>профессор</t>
        </is>
      </c>
      <c r="K496" s="9" t="n"/>
      <c r="L496" s="9" t="inlineStr">
        <is>
          <t>Быкадоров Кубатина Иванов</t>
        </is>
      </c>
      <c r="M496" s="12">
        <f>SUMIFS($E$2:$E$1130,$A$2:$A$1130,"осень",$I$2:$I$1130,I496)</f>
        <v/>
      </c>
      <c r="N496" s="13">
        <f>SUMIFS($E$2:$E$1130,$A$2:$A$1130,"весна",$I$2:$I$1130,I496)</f>
        <v/>
      </c>
      <c r="O496" s="14">
        <f>M496+N496</f>
        <v/>
      </c>
      <c r="P496" s="15">
        <f>O496/$P$1</f>
        <v/>
      </c>
    </row>
    <row r="497" hidden="1" ht="15.75" customHeight="1" s="2">
      <c r="A497" s="8" t="inlineStr">
        <is>
          <t>осень</t>
        </is>
      </c>
      <c r="B497" s="9" t="inlineStr">
        <is>
          <t>Порошковая металлургия и композиционные материалы</t>
        </is>
      </c>
      <c r="C497" s="9" t="inlineStr">
        <is>
          <t>ПЗ</t>
        </is>
      </c>
      <c r="D497" s="9" t="inlineStr">
        <is>
          <t>Т11О-307А-18</t>
        </is>
      </c>
      <c r="E497" s="10" t="n">
        <v>20</v>
      </c>
      <c r="F497" s="9" t="inlineStr">
        <is>
          <t>11292</t>
        </is>
      </c>
      <c r="G497" s="10" t="n">
        <v>20</v>
      </c>
      <c r="H497" s="9" t="inlineStr">
        <is>
          <t xml:space="preserve">82060     </t>
        </is>
      </c>
      <c r="I497" s="22" t="inlineStr">
        <is>
          <t xml:space="preserve">Серов Михаил Михайлович </t>
        </is>
      </c>
      <c r="J497" s="9" t="inlineStr">
        <is>
          <t>профессор</t>
        </is>
      </c>
      <c r="K497" s="9" t="n"/>
      <c r="L497" s="9" t="inlineStr">
        <is>
          <t>Быкадоров Кубатина Иванов</t>
        </is>
      </c>
      <c r="M497" s="12">
        <f>SUMIFS($E$2:$E$1130,$A$2:$A$1130,"осень",$I$2:$I$1130,I497)</f>
        <v/>
      </c>
      <c r="N497" s="13">
        <f>SUMIFS($E$2:$E$1130,$A$2:$A$1130,"весна",$I$2:$I$1130,I497)</f>
        <v/>
      </c>
      <c r="O497" s="14">
        <f>M497+N497</f>
        <v/>
      </c>
      <c r="P497" s="15">
        <f>O497/$P$1</f>
        <v/>
      </c>
    </row>
    <row r="498" hidden="1" ht="15.75" customHeight="1" s="2">
      <c r="A498" s="8" t="inlineStr">
        <is>
          <t>осень</t>
        </is>
      </c>
      <c r="B498" s="9" t="inlineStr">
        <is>
          <t>Порошковая металлургия и композиционные материалы</t>
        </is>
      </c>
      <c r="C498" s="9" t="inlineStr">
        <is>
          <t>Экзамен</t>
        </is>
      </c>
      <c r="D498" s="9" t="inlineStr">
        <is>
          <t>Т11О-307А-18</t>
        </is>
      </c>
      <c r="E498" s="10" t="n">
        <v>2</v>
      </c>
      <c r="F498" s="9" t="inlineStr">
        <is>
          <t>11292</t>
        </is>
      </c>
      <c r="G498" s="11" t="n">
        <v>0</v>
      </c>
      <c r="H498" s="9" t="inlineStr">
        <is>
          <t xml:space="preserve">82060     </t>
        </is>
      </c>
      <c r="I498" s="22" t="inlineStr">
        <is>
          <t xml:space="preserve">Серов Михаил Михайлович </t>
        </is>
      </c>
      <c r="J498" s="9" t="inlineStr">
        <is>
          <t>профессор</t>
        </is>
      </c>
      <c r="K498" s="9" t="n"/>
      <c r="L498" s="9" t="inlineStr">
        <is>
          <t>Быкадоров Кубатина Иванов</t>
        </is>
      </c>
      <c r="M498" s="12">
        <f>SUMIFS($E$2:$E$1130,$A$2:$A$1130,"осень",$I$2:$I$1130,I498)</f>
        <v/>
      </c>
      <c r="N498" s="13">
        <f>SUMIFS($E$2:$E$1130,$A$2:$A$1130,"весна",$I$2:$I$1130,I498)</f>
        <v/>
      </c>
      <c r="O498" s="14">
        <f>M498+N498</f>
        <v/>
      </c>
      <c r="P498" s="15">
        <f>O498/$P$1</f>
        <v/>
      </c>
    </row>
    <row r="499" hidden="1" ht="15.75" customHeight="1" s="2">
      <c r="A499" s="8" t="inlineStr">
        <is>
          <t>осень</t>
        </is>
      </c>
      <c r="B499" s="9" t="inlineStr">
        <is>
          <t>Порошковая металлургия и композиционные материалы</t>
        </is>
      </c>
      <c r="C499" s="9" t="inlineStr">
        <is>
          <t>Консультация</t>
        </is>
      </c>
      <c r="D499" s="9" t="inlineStr">
        <is>
          <t>Т11О-307А-18</t>
        </is>
      </c>
      <c r="E499" s="10" t="n">
        <v>5</v>
      </c>
      <c r="F499" s="9" t="inlineStr">
        <is>
          <t>11292</t>
        </is>
      </c>
      <c r="G499" s="11" t="n">
        <v>0</v>
      </c>
      <c r="H499" s="9" t="inlineStr">
        <is>
          <t xml:space="preserve">82060     </t>
        </is>
      </c>
      <c r="I499" s="22" t="inlineStr">
        <is>
          <t xml:space="preserve">Серов Михаил Михайлович </t>
        </is>
      </c>
      <c r="J499" s="9" t="inlineStr">
        <is>
          <t>профессор</t>
        </is>
      </c>
      <c r="K499" s="9" t="n"/>
      <c r="L499" s="9" t="inlineStr">
        <is>
          <t>Быкадоров Кубатина Иванов</t>
        </is>
      </c>
      <c r="M499" s="12">
        <f>SUMIFS($E$2:$E$1130,$A$2:$A$1130,"осень",$I$2:$I$1130,I499)</f>
        <v/>
      </c>
      <c r="N499" s="13">
        <f>SUMIFS($E$2:$E$1130,$A$2:$A$1130,"весна",$I$2:$I$1130,I499)</f>
        <v/>
      </c>
      <c r="O499" s="14">
        <f>M499+N499</f>
        <v/>
      </c>
      <c r="P499" s="15">
        <f>O499/$P$1</f>
        <v/>
      </c>
    </row>
    <row r="500" hidden="1" ht="15.75" customHeight="1" s="2">
      <c r="A500" s="8" t="inlineStr">
        <is>
          <t>осень</t>
        </is>
      </c>
      <c r="B500" s="9" t="inlineStr">
        <is>
          <t>Информатика</t>
        </is>
      </c>
      <c r="C500" s="9" t="inlineStr">
        <is>
          <t>ЛК</t>
        </is>
      </c>
      <c r="D500" s="9" t="inlineStr">
        <is>
          <t>Т11О-101Б-20, Т11О-102Б-20</t>
        </is>
      </c>
      <c r="E500" s="10" t="n">
        <v>16</v>
      </c>
      <c r="F500" s="9" t="inlineStr">
        <is>
          <t>13524</t>
        </is>
      </c>
      <c r="G500" s="10" t="n">
        <v>16</v>
      </c>
      <c r="H500" s="9" t="inlineStr">
        <is>
          <t xml:space="preserve">81720     </t>
        </is>
      </c>
      <c r="I500" s="9" t="inlineStr">
        <is>
          <t xml:space="preserve">Палтиевич Андрей Романович </t>
        </is>
      </c>
      <c r="J500" s="9" t="n"/>
      <c r="K500" s="9" t="n"/>
      <c r="L500" s="9" t="inlineStr">
        <is>
          <t>кроме вторника (523 А)</t>
        </is>
      </c>
      <c r="M500" s="12">
        <f>SUMIFS($E$2:$E$1130,$A$2:$A$1130,"осень",$I$2:$I$1130,I500)</f>
        <v/>
      </c>
      <c r="N500" s="13">
        <f>SUMIFS($E$2:$E$1130,$A$2:$A$1130,"весна",$I$2:$I$1130,I500)</f>
        <v/>
      </c>
      <c r="O500" s="14">
        <f>M500+N500</f>
        <v/>
      </c>
      <c r="P500" s="15">
        <f>O500/$P$1</f>
        <v/>
      </c>
    </row>
    <row r="501" hidden="1" ht="15.75" customHeight="1" s="2">
      <c r="A501" s="8" t="inlineStr">
        <is>
          <t>осень</t>
        </is>
      </c>
      <c r="B501" s="9" t="inlineStr">
        <is>
          <t>Информатика</t>
        </is>
      </c>
      <c r="C501" s="9" t="inlineStr">
        <is>
          <t>ЛК</t>
        </is>
      </c>
      <c r="D501" s="9" t="inlineStr">
        <is>
          <t>Т11О-103Б-20</t>
        </is>
      </c>
      <c r="E501" s="10" t="n">
        <v>32</v>
      </c>
      <c r="F501" s="9" t="inlineStr">
        <is>
          <t>13288</t>
        </is>
      </c>
      <c r="G501" s="10" t="n">
        <v>32</v>
      </c>
      <c r="H501" s="9" t="inlineStr">
        <is>
          <t xml:space="preserve">81720     </t>
        </is>
      </c>
      <c r="I501" s="9" t="inlineStr">
        <is>
          <t xml:space="preserve">Палтиевич Андрей Романович </t>
        </is>
      </c>
      <c r="J501" s="9" t="n"/>
      <c r="K501" s="9" t="n"/>
      <c r="L501" s="9" t="inlineStr">
        <is>
          <t>кроме вторника (523 А)</t>
        </is>
      </c>
      <c r="M501" s="12">
        <f>SUMIFS($E$2:$E$1130,$A$2:$A$1130,"осень",$I$2:$I$1130,I501)</f>
        <v/>
      </c>
      <c r="N501" s="13">
        <f>SUMIFS($E$2:$E$1130,$A$2:$A$1130,"весна",$I$2:$I$1130,I501)</f>
        <v/>
      </c>
      <c r="O501" s="14">
        <f>M501+N501</f>
        <v/>
      </c>
      <c r="P501" s="15">
        <f>O501/$P$1</f>
        <v/>
      </c>
    </row>
    <row r="502" hidden="1" ht="15.75" customHeight="1" s="2">
      <c r="A502" s="8" t="inlineStr">
        <is>
          <t>осень</t>
        </is>
      </c>
      <c r="B502" s="9" t="inlineStr">
        <is>
          <t>Информатика</t>
        </is>
      </c>
      <c r="C502" s="9" t="inlineStr">
        <is>
          <t>Зачет с оценкой</t>
        </is>
      </c>
      <c r="D502" s="9" t="inlineStr">
        <is>
          <t>Т11О-101Б-20</t>
        </is>
      </c>
      <c r="E502" s="10" t="n">
        <v>7</v>
      </c>
      <c r="F502" s="9" t="inlineStr">
        <is>
          <t>13524</t>
        </is>
      </c>
      <c r="G502" s="11" t="n">
        <v>0</v>
      </c>
      <c r="H502" s="9" t="inlineStr">
        <is>
          <t xml:space="preserve">81720     </t>
        </is>
      </c>
      <c r="I502" s="9" t="inlineStr">
        <is>
          <t xml:space="preserve">Палтиевич Андрей Романович </t>
        </is>
      </c>
      <c r="J502" s="9" t="n"/>
      <c r="K502" s="9" t="n"/>
      <c r="L502" s="9" t="inlineStr">
        <is>
          <t>кроме вторника</t>
        </is>
      </c>
      <c r="M502" s="12">
        <f>SUMIFS($E$2:$E$1130,$A$2:$A$1130,"осень",$I$2:$I$1130,I502)</f>
        <v/>
      </c>
      <c r="N502" s="13">
        <f>SUMIFS($E$2:$E$1130,$A$2:$A$1130,"весна",$I$2:$I$1130,I502)</f>
        <v/>
      </c>
      <c r="O502" s="14">
        <f>M502+N502</f>
        <v/>
      </c>
      <c r="P502" s="15">
        <f>O502/$P$1</f>
        <v/>
      </c>
    </row>
    <row r="503" hidden="1" ht="15.75" customHeight="1" s="2">
      <c r="A503" s="8" t="inlineStr">
        <is>
          <t>осень</t>
        </is>
      </c>
      <c r="B503" s="9" t="inlineStr">
        <is>
          <t>Информатика</t>
        </is>
      </c>
      <c r="C503" s="9" t="inlineStr">
        <is>
          <t>Зачет с оценкой</t>
        </is>
      </c>
      <c r="D503" s="9" t="inlineStr">
        <is>
          <t>Т11О-102Б-20</t>
        </is>
      </c>
      <c r="E503" s="10" t="n">
        <v>7</v>
      </c>
      <c r="F503" s="9" t="inlineStr">
        <is>
          <t>13524</t>
        </is>
      </c>
      <c r="G503" s="11" t="n">
        <v>0</v>
      </c>
      <c r="H503" s="9" t="inlineStr">
        <is>
          <t xml:space="preserve">81720     </t>
        </is>
      </c>
      <c r="I503" s="9" t="inlineStr">
        <is>
          <t xml:space="preserve">Палтиевич Андрей Романович </t>
        </is>
      </c>
      <c r="J503" s="9" t="n"/>
      <c r="K503" s="9" t="n"/>
      <c r="L503" s="9" t="inlineStr">
        <is>
          <t>кроме вторника</t>
        </is>
      </c>
      <c r="M503" s="12">
        <f>SUMIFS($E$2:$E$1130,$A$2:$A$1130,"осень",$I$2:$I$1130,I503)</f>
        <v/>
      </c>
      <c r="N503" s="13">
        <f>SUMIFS($E$2:$E$1130,$A$2:$A$1130,"весна",$I$2:$I$1130,I503)</f>
        <v/>
      </c>
      <c r="O503" s="14">
        <f>M503+N503</f>
        <v/>
      </c>
      <c r="P503" s="15">
        <f>O503/$P$1</f>
        <v/>
      </c>
    </row>
    <row r="504" hidden="1" ht="15.75" customHeight="1" s="2">
      <c r="A504" s="8" t="inlineStr">
        <is>
          <t>осень</t>
        </is>
      </c>
      <c r="B504" s="9" t="inlineStr">
        <is>
          <t>Информатика</t>
        </is>
      </c>
      <c r="C504" s="9" t="inlineStr">
        <is>
          <t>Зачет с оценкой</t>
        </is>
      </c>
      <c r="D504" s="9" t="inlineStr">
        <is>
          <t>Т11О-103Б-20</t>
        </is>
      </c>
      <c r="E504" s="10" t="n">
        <v>5</v>
      </c>
      <c r="F504" s="9" t="inlineStr">
        <is>
          <t>13288</t>
        </is>
      </c>
      <c r="G504" s="11" t="n">
        <v>0</v>
      </c>
      <c r="H504" s="9" t="inlineStr">
        <is>
          <t xml:space="preserve">81720     </t>
        </is>
      </c>
      <c r="I504" s="9" t="inlineStr">
        <is>
          <t xml:space="preserve">Палтиевич Андрей Романович </t>
        </is>
      </c>
      <c r="J504" s="9" t="n"/>
      <c r="K504" s="9" t="n"/>
      <c r="L504" s="9" t="inlineStr">
        <is>
          <t>кроме вторника</t>
        </is>
      </c>
      <c r="M504" s="12">
        <f>SUMIFS($E$2:$E$1130,$A$2:$A$1130,"осень",$I$2:$I$1130,I504)</f>
        <v/>
      </c>
      <c r="N504" s="13">
        <f>SUMIFS($E$2:$E$1130,$A$2:$A$1130,"весна",$I$2:$I$1130,I504)</f>
        <v/>
      </c>
      <c r="O504" s="14">
        <f>M504+N504</f>
        <v/>
      </c>
      <c r="P504" s="15">
        <f>O504/$P$1</f>
        <v/>
      </c>
    </row>
    <row r="505" hidden="1" ht="15.75" customHeight="1" s="2">
      <c r="A505" s="8" t="inlineStr">
        <is>
          <t>осень</t>
        </is>
      </c>
      <c r="B505" s="9" t="inlineStr">
        <is>
          <t>Информатика</t>
        </is>
      </c>
      <c r="C505" s="9" t="inlineStr">
        <is>
          <t>ПЗ</t>
        </is>
      </c>
      <c r="D505" s="9" t="inlineStr">
        <is>
          <t>Т11О-101Б-20</t>
        </is>
      </c>
      <c r="E505" s="10" t="n">
        <v>38</v>
      </c>
      <c r="F505" s="9" t="inlineStr">
        <is>
          <t>13524</t>
        </is>
      </c>
      <c r="G505" s="10" t="n">
        <v>38</v>
      </c>
      <c r="H505" s="9" t="inlineStr">
        <is>
          <t xml:space="preserve">93584     </t>
        </is>
      </c>
      <c r="I505" s="9" t="inlineStr">
        <is>
          <t xml:space="preserve">Комаров Роман Сергеевич </t>
        </is>
      </c>
      <c r="J505" s="9" t="n"/>
      <c r="K505" s="9" t="n"/>
      <c r="L505" s="9" t="n"/>
      <c r="M505" s="12">
        <f>SUMIFS($E$2:$E$1130,$A$2:$A$1130,"осень",$I$2:$I$1130,I505)</f>
        <v/>
      </c>
      <c r="N505" s="13">
        <f>SUMIFS($E$2:$E$1130,$A$2:$A$1130,"весна",$I$2:$I$1130,I505)</f>
        <v/>
      </c>
      <c r="O505" s="14">
        <f>M505+N505</f>
        <v/>
      </c>
      <c r="P505" s="15">
        <f>O505/$P$1</f>
        <v/>
      </c>
    </row>
    <row r="506" hidden="1" ht="15.75" customHeight="1" s="2">
      <c r="A506" s="8" t="inlineStr">
        <is>
          <t>осень</t>
        </is>
      </c>
      <c r="B506" s="9" t="inlineStr">
        <is>
          <t>Информатика</t>
        </is>
      </c>
      <c r="C506" s="9" t="inlineStr">
        <is>
          <t>ПЗ</t>
        </is>
      </c>
      <c r="D506" s="9" t="inlineStr">
        <is>
          <t>Т11О-102Б-20</t>
        </is>
      </c>
      <c r="E506" s="10" t="n">
        <v>38</v>
      </c>
      <c r="F506" s="9" t="inlineStr">
        <is>
          <t>13524</t>
        </is>
      </c>
      <c r="G506" s="10" t="n">
        <v>38</v>
      </c>
      <c r="H506" s="9" t="inlineStr">
        <is>
          <t xml:space="preserve">82022     </t>
        </is>
      </c>
      <c r="I506" s="9" t="inlineStr">
        <is>
          <t xml:space="preserve">Телицына Ольга Валентиновна </t>
        </is>
      </c>
      <c r="J506" s="9" t="n"/>
      <c r="K506" s="9" t="n"/>
      <c r="L506" s="9" t="n"/>
      <c r="M506" s="12">
        <f>SUMIFS($E$2:$E$1130,$A$2:$A$1130,"осень",$I$2:$I$1130,I506)</f>
        <v/>
      </c>
      <c r="N506" s="13">
        <f>SUMIFS($E$2:$E$1130,$A$2:$A$1130,"весна",$I$2:$I$1130,I506)</f>
        <v/>
      </c>
      <c r="O506" s="14">
        <f>M506+N506</f>
        <v/>
      </c>
      <c r="P506" s="15">
        <f>O506/$P$1</f>
        <v/>
      </c>
    </row>
    <row r="507" hidden="1" ht="15.75" customHeight="1" s="2">
      <c r="A507" s="8" t="inlineStr">
        <is>
          <t>осень</t>
        </is>
      </c>
      <c r="B507" s="9" t="inlineStr">
        <is>
          <t>Информатика</t>
        </is>
      </c>
      <c r="C507" s="9" t="inlineStr">
        <is>
          <t>ПЗ</t>
        </is>
      </c>
      <c r="D507" s="9" t="inlineStr">
        <is>
          <t>Т11О-103Б-20</t>
        </is>
      </c>
      <c r="E507" s="10" t="n">
        <v>16</v>
      </c>
      <c r="F507" s="9" t="inlineStr">
        <is>
          <t>13288</t>
        </is>
      </c>
      <c r="G507" s="10" t="n">
        <v>16</v>
      </c>
      <c r="H507" s="9" t="inlineStr">
        <is>
          <t xml:space="preserve">81720     </t>
        </is>
      </c>
      <c r="I507" s="9" t="inlineStr">
        <is>
          <t xml:space="preserve">Палтиевич Андрей Романович </t>
        </is>
      </c>
      <c r="J507" s="9" t="n"/>
      <c r="K507" s="9" t="n"/>
      <c r="L507" s="9" t="inlineStr">
        <is>
          <t>кроме вторника (521А, 522А, 525А)</t>
        </is>
      </c>
      <c r="M507" s="12">
        <f>SUMIFS($E$2:$E$1130,$A$2:$A$1130,"осень",$I$2:$I$1130,I507)</f>
        <v/>
      </c>
      <c r="N507" s="13">
        <f>SUMIFS($E$2:$E$1130,$A$2:$A$1130,"весна",$I$2:$I$1130,I507)</f>
        <v/>
      </c>
      <c r="O507" s="14">
        <f>M507+N507</f>
        <v/>
      </c>
      <c r="P507" s="15">
        <f>O507/$P$1</f>
        <v/>
      </c>
    </row>
    <row r="508" hidden="1" ht="15.75" customHeight="1" s="2">
      <c r="A508" s="8" t="inlineStr">
        <is>
          <t>осень</t>
        </is>
      </c>
      <c r="B508" s="9" t="inlineStr">
        <is>
          <t>Информатика</t>
        </is>
      </c>
      <c r="C508" s="9" t="inlineStr">
        <is>
          <t>ЛР</t>
        </is>
      </c>
      <c r="D508" s="9" t="inlineStr">
        <is>
          <t>Т11О-103Б-20</t>
        </is>
      </c>
      <c r="E508" s="10" t="n">
        <v>24</v>
      </c>
      <c r="F508" s="9" t="inlineStr">
        <is>
          <t>13288</t>
        </is>
      </c>
      <c r="G508" s="10" t="n">
        <v>24</v>
      </c>
      <c r="H508" s="9" t="inlineStr">
        <is>
          <t xml:space="preserve">81720     </t>
        </is>
      </c>
      <c r="I508" s="9" t="inlineStr">
        <is>
          <t xml:space="preserve">Палтиевич Андрей Романович </t>
        </is>
      </c>
      <c r="J508" s="9" t="n"/>
      <c r="K508" s="9" t="n"/>
      <c r="L508" s="9" t="inlineStr">
        <is>
          <t>кроме вторника (521А, 522А, 525А)</t>
        </is>
      </c>
      <c r="M508" s="12">
        <f>SUMIFS($E$2:$E$1130,$A$2:$A$1130,"осень",$I$2:$I$1130,I508)</f>
        <v/>
      </c>
      <c r="N508" s="13">
        <f>SUMIFS($E$2:$E$1130,$A$2:$A$1130,"весна",$I$2:$I$1130,I508)</f>
        <v/>
      </c>
      <c r="O508" s="14">
        <f>M508+N508</f>
        <v/>
      </c>
      <c r="P508" s="15">
        <f>O508/$P$1</f>
        <v/>
      </c>
    </row>
    <row r="509" hidden="1" ht="15.75" customHeight="1" s="2">
      <c r="A509" s="8" t="inlineStr">
        <is>
          <t>осень</t>
        </is>
      </c>
      <c r="B509" s="9" t="inlineStr">
        <is>
          <t>Информатика</t>
        </is>
      </c>
      <c r="C509" s="9" t="inlineStr">
        <is>
          <t>Консультация</t>
        </is>
      </c>
      <c r="D509" s="9" t="inlineStr">
        <is>
          <t>Т11О-101Б-20</t>
        </is>
      </c>
      <c r="E509" s="10" t="n">
        <v>1</v>
      </c>
      <c r="F509" s="9" t="inlineStr">
        <is>
          <t>13524</t>
        </is>
      </c>
      <c r="G509" s="11" t="n">
        <v>0</v>
      </c>
      <c r="H509" s="9" t="inlineStr">
        <is>
          <t xml:space="preserve">93584     </t>
        </is>
      </c>
      <c r="I509" s="9" t="inlineStr">
        <is>
          <t xml:space="preserve">Комаров Роман Сергеевич </t>
        </is>
      </c>
      <c r="J509" s="9" t="n"/>
      <c r="K509" s="9" t="n"/>
      <c r="L509" s="9" t="n"/>
      <c r="M509" s="12">
        <f>SUMIFS($E$2:$E$1130,$A$2:$A$1130,"осень",$I$2:$I$1130,I509)</f>
        <v/>
      </c>
      <c r="N509" s="13">
        <f>SUMIFS($E$2:$E$1130,$A$2:$A$1130,"весна",$I$2:$I$1130,I509)</f>
        <v/>
      </c>
      <c r="O509" s="14">
        <f>M509+N509</f>
        <v/>
      </c>
      <c r="P509" s="15">
        <f>O509/$P$1</f>
        <v/>
      </c>
    </row>
    <row r="510" hidden="1" ht="15.75" customHeight="1" s="2">
      <c r="A510" s="8" t="inlineStr">
        <is>
          <t>осень</t>
        </is>
      </c>
      <c r="B510" s="9" t="inlineStr">
        <is>
          <t>Информатика</t>
        </is>
      </c>
      <c r="C510" s="9" t="inlineStr">
        <is>
          <t>Консультация</t>
        </is>
      </c>
      <c r="D510" s="9" t="inlineStr">
        <is>
          <t>Т11О-102Б-20</t>
        </is>
      </c>
      <c r="E510" s="10" t="n">
        <v>1</v>
      </c>
      <c r="F510" s="9" t="inlineStr">
        <is>
          <t>13524</t>
        </is>
      </c>
      <c r="G510" s="11" t="n">
        <v>0</v>
      </c>
      <c r="H510" s="9" t="inlineStr">
        <is>
          <t xml:space="preserve">82022     </t>
        </is>
      </c>
      <c r="I510" s="9" t="inlineStr">
        <is>
          <t xml:space="preserve">Телицына Ольга Валентиновна </t>
        </is>
      </c>
      <c r="J510" s="9" t="n"/>
      <c r="K510" s="9" t="n"/>
      <c r="L510" s="9" t="n"/>
      <c r="M510" s="12">
        <f>SUMIFS($E$2:$E$1130,$A$2:$A$1130,"осень",$I$2:$I$1130,I510)</f>
        <v/>
      </c>
      <c r="N510" s="13">
        <f>SUMIFS($E$2:$E$1130,$A$2:$A$1130,"весна",$I$2:$I$1130,I510)</f>
        <v/>
      </c>
      <c r="O510" s="14">
        <f>M510+N510</f>
        <v/>
      </c>
      <c r="P510" s="15">
        <f>O510/$P$1</f>
        <v/>
      </c>
    </row>
    <row r="511" hidden="1" ht="15.75" customHeight="1" s="2">
      <c r="A511" s="8" t="inlineStr">
        <is>
          <t>осень</t>
        </is>
      </c>
      <c r="B511" s="9" t="inlineStr">
        <is>
          <t>Информатика</t>
        </is>
      </c>
      <c r="C511" s="9" t="inlineStr">
        <is>
          <t>Консультация</t>
        </is>
      </c>
      <c r="D511" s="9" t="inlineStr">
        <is>
          <t>Т11О-103Б-20</t>
        </is>
      </c>
      <c r="E511" s="10" t="n">
        <v>2</v>
      </c>
      <c r="F511" s="9" t="inlineStr">
        <is>
          <t>13288</t>
        </is>
      </c>
      <c r="G511" s="11" t="n">
        <v>0</v>
      </c>
      <c r="H511" s="9" t="inlineStr">
        <is>
          <t xml:space="preserve">81720     </t>
        </is>
      </c>
      <c r="I511" s="9" t="inlineStr">
        <is>
          <t xml:space="preserve">Палтиевич Андрей Романович </t>
        </is>
      </c>
      <c r="J511" s="9" t="n"/>
      <c r="K511" s="9" t="n"/>
      <c r="L511" s="9" t="inlineStr">
        <is>
          <t>кроме вторника</t>
        </is>
      </c>
      <c r="M511" s="12">
        <f>SUMIFS($E$2:$E$1130,$A$2:$A$1130,"осень",$I$2:$I$1130,I511)</f>
        <v/>
      </c>
      <c r="N511" s="13">
        <f>SUMIFS($E$2:$E$1130,$A$2:$A$1130,"весна",$I$2:$I$1130,I511)</f>
        <v/>
      </c>
      <c r="O511" s="14">
        <f>M511+N511</f>
        <v/>
      </c>
      <c r="P511" s="15">
        <f>O511/$P$1</f>
        <v/>
      </c>
    </row>
    <row r="512" hidden="1" ht="15.75" customHeight="1" s="2">
      <c r="A512" s="8" t="inlineStr">
        <is>
          <t>осень</t>
        </is>
      </c>
      <c r="B512" s="9" t="inlineStr">
        <is>
          <t>Оптимизация технологических процессов в металлургии</t>
        </is>
      </c>
      <c r="C512" s="9" t="inlineStr">
        <is>
          <t>ПЗ</t>
        </is>
      </c>
      <c r="D512" s="9" t="inlineStr">
        <is>
          <t>М9О-204М-19</t>
        </is>
      </c>
      <c r="E512" s="10" t="n">
        <v>72</v>
      </c>
      <c r="F512" s="9" t="n"/>
      <c r="G512" s="10" t="n">
        <v>72</v>
      </c>
      <c r="H512" s="9" t="inlineStr">
        <is>
          <t xml:space="preserve">81724     </t>
        </is>
      </c>
      <c r="I512" s="9" t="inlineStr">
        <is>
          <t xml:space="preserve">Галкин Евгений Владимирович </t>
        </is>
      </c>
      <c r="J512" s="9" t="inlineStr">
        <is>
          <t>доцент</t>
        </is>
      </c>
      <c r="K512" s="9" t="n"/>
      <c r="L512" s="9" t="inlineStr">
        <is>
          <t>кроме пятницы (525 А)</t>
        </is>
      </c>
      <c r="M512" s="12">
        <f>SUMIFS($E$2:$E$1130,$A$2:$A$1130,"осень",$I$2:$I$1130,I512)</f>
        <v/>
      </c>
      <c r="N512" s="13">
        <f>SUMIFS($E$2:$E$1130,$A$2:$A$1130,"весна",$I$2:$I$1130,I512)</f>
        <v/>
      </c>
      <c r="O512" s="14">
        <f>M512+N512</f>
        <v/>
      </c>
      <c r="P512" s="15">
        <f>O512/$P$1</f>
        <v/>
      </c>
    </row>
    <row r="513" hidden="1" ht="15.75" customHeight="1" s="2">
      <c r="A513" s="8" t="inlineStr">
        <is>
          <t>осень</t>
        </is>
      </c>
      <c r="B513" s="9" t="inlineStr">
        <is>
          <t>Оптимизация технологических процессов в металлургии</t>
        </is>
      </c>
      <c r="C513" s="9" t="inlineStr">
        <is>
          <t>Экзамен</t>
        </is>
      </c>
      <c r="D513" s="9" t="inlineStr">
        <is>
          <t>М9О-204М-19</t>
        </is>
      </c>
      <c r="E513" s="10" t="n">
        <v>4</v>
      </c>
      <c r="F513" s="9" t="n"/>
      <c r="G513" s="11" t="n">
        <v>0</v>
      </c>
      <c r="H513" s="9" t="inlineStr">
        <is>
          <t xml:space="preserve">81724     </t>
        </is>
      </c>
      <c r="I513" s="9" t="inlineStr">
        <is>
          <t xml:space="preserve">Галкин Евгений Владимирович </t>
        </is>
      </c>
      <c r="J513" s="9" t="inlineStr">
        <is>
          <t>доцент</t>
        </is>
      </c>
      <c r="K513" s="9" t="n"/>
      <c r="L513" s="9" t="inlineStr">
        <is>
          <t>кроме пятницы (525 А)</t>
        </is>
      </c>
      <c r="M513" s="12">
        <f>SUMIFS($E$2:$E$1130,$A$2:$A$1130,"осень",$I$2:$I$1130,I513)</f>
        <v/>
      </c>
      <c r="N513" s="13">
        <f>SUMIFS($E$2:$E$1130,$A$2:$A$1130,"весна",$I$2:$I$1130,I513)</f>
        <v/>
      </c>
      <c r="O513" s="14">
        <f>M513+N513</f>
        <v/>
      </c>
      <c r="P513" s="15">
        <f>O513/$P$1</f>
        <v/>
      </c>
    </row>
    <row r="514" hidden="1" ht="15.75" customHeight="1" s="2">
      <c r="A514" s="8" t="inlineStr">
        <is>
          <t>осень</t>
        </is>
      </c>
      <c r="B514" s="9" t="inlineStr">
        <is>
          <t>Оптимизация технологических процессов в металлургии</t>
        </is>
      </c>
      <c r="C514" s="9" t="inlineStr">
        <is>
          <t>Консультация</t>
        </is>
      </c>
      <c r="D514" s="9" t="inlineStr">
        <is>
          <t>М9О-204М-19</t>
        </is>
      </c>
      <c r="E514" s="10" t="n">
        <v>2</v>
      </c>
      <c r="F514" s="9" t="n"/>
      <c r="G514" s="11" t="n">
        <v>0</v>
      </c>
      <c r="H514" s="9" t="inlineStr">
        <is>
          <t xml:space="preserve">81724     </t>
        </is>
      </c>
      <c r="I514" s="9" t="inlineStr">
        <is>
          <t xml:space="preserve">Галкин Евгений Владимирович </t>
        </is>
      </c>
      <c r="J514" s="9" t="inlineStr">
        <is>
          <t>доцент</t>
        </is>
      </c>
      <c r="K514" s="9" t="n"/>
      <c r="L514" s="9" t="inlineStr">
        <is>
          <t>кроме пятницы (525 А)</t>
        </is>
      </c>
      <c r="M514" s="12">
        <f>SUMIFS($E$2:$E$1130,$A$2:$A$1130,"осень",$I$2:$I$1130,I514)</f>
        <v/>
      </c>
      <c r="N514" s="13">
        <f>SUMIFS($E$2:$E$1130,$A$2:$A$1130,"весна",$I$2:$I$1130,I514)</f>
        <v/>
      </c>
      <c r="O514" s="14">
        <f>M514+N514</f>
        <v/>
      </c>
      <c r="P514" s="15">
        <f>O514/$P$1</f>
        <v/>
      </c>
    </row>
    <row r="515" hidden="1" ht="15.75" customHeight="1" s="2">
      <c r="A515" s="8" t="inlineStr">
        <is>
          <t>осень</t>
        </is>
      </c>
      <c r="B515" s="9" t="inlineStr">
        <is>
          <t>Системы автоматизированного проектирования технологических процессов</t>
        </is>
      </c>
      <c r="C515" s="9" t="inlineStr">
        <is>
          <t>ЛК</t>
        </is>
      </c>
      <c r="D515" s="9" t="inlineStr">
        <is>
          <t>М9О-104М-20</t>
        </is>
      </c>
      <c r="E515" s="10" t="n">
        <v>14</v>
      </c>
      <c r="F515" s="9" t="inlineStr">
        <is>
          <t>12598</t>
        </is>
      </c>
      <c r="G515" s="10" t="n">
        <v>14</v>
      </c>
      <c r="H515" s="9" t="inlineStr">
        <is>
          <t xml:space="preserve">81724     </t>
        </is>
      </c>
      <c r="I515" s="9" t="inlineStr">
        <is>
          <t xml:space="preserve">Галкин Евгений Владимирович </t>
        </is>
      </c>
      <c r="J515" s="9" t="inlineStr">
        <is>
          <t>доцент</t>
        </is>
      </c>
      <c r="K515" s="9" t="n"/>
      <c r="L515" s="9" t="n"/>
      <c r="M515" s="12">
        <f>SUMIFS($E$2:$E$1130,$A$2:$A$1130,"осень",$I$2:$I$1130,I515)</f>
        <v/>
      </c>
      <c r="N515" s="13">
        <f>SUMIFS($E$2:$E$1130,$A$2:$A$1130,"весна",$I$2:$I$1130,I515)</f>
        <v/>
      </c>
      <c r="O515" s="14">
        <f>M515+N515</f>
        <v/>
      </c>
      <c r="P515" s="15">
        <f>O515/$P$1</f>
        <v/>
      </c>
    </row>
    <row r="516" hidden="1" ht="15.75" customHeight="1" s="2">
      <c r="A516" s="8" t="inlineStr">
        <is>
          <t>осень</t>
        </is>
      </c>
      <c r="B516" s="9" t="inlineStr">
        <is>
          <t>Системы автоматизированного проектирования технологических процессов</t>
        </is>
      </c>
      <c r="C516" s="9" t="inlineStr">
        <is>
          <t>ПЗ</t>
        </is>
      </c>
      <c r="D516" s="9" t="inlineStr">
        <is>
          <t>М9О-104М-20</t>
        </is>
      </c>
      <c r="E516" s="10" t="n">
        <v>24</v>
      </c>
      <c r="F516" s="9" t="inlineStr">
        <is>
          <t>12598</t>
        </is>
      </c>
      <c r="G516" s="10" t="n">
        <v>24</v>
      </c>
      <c r="H516" s="9" t="inlineStr">
        <is>
          <t xml:space="preserve">81724     </t>
        </is>
      </c>
      <c r="I516" s="9" t="inlineStr">
        <is>
          <t xml:space="preserve">Галкин Евгений Владимирович </t>
        </is>
      </c>
      <c r="J516" s="9" t="inlineStr">
        <is>
          <t>доцент</t>
        </is>
      </c>
      <c r="K516" s="9" t="n"/>
      <c r="L516" s="9" t="n"/>
      <c r="M516" s="12">
        <f>SUMIFS($E$2:$E$1130,$A$2:$A$1130,"осень",$I$2:$I$1130,I516)</f>
        <v/>
      </c>
      <c r="N516" s="13">
        <f>SUMIFS($E$2:$E$1130,$A$2:$A$1130,"весна",$I$2:$I$1130,I516)</f>
        <v/>
      </c>
      <c r="O516" s="14">
        <f>M516+N516</f>
        <v/>
      </c>
      <c r="P516" s="15">
        <f>O516/$P$1</f>
        <v/>
      </c>
    </row>
    <row r="517" hidden="1" ht="15.75" customHeight="1" s="2">
      <c r="A517" s="8" t="inlineStr">
        <is>
          <t>осень</t>
        </is>
      </c>
      <c r="B517" s="9" t="inlineStr">
        <is>
          <t>Системы автоматизированного проектирования технологических процессов</t>
        </is>
      </c>
      <c r="C517" s="9" t="inlineStr">
        <is>
          <t>Зачет</t>
        </is>
      </c>
      <c r="D517" s="9" t="inlineStr">
        <is>
          <t>М9О-104М-20</t>
        </is>
      </c>
      <c r="E517" s="10" t="n">
        <v>2</v>
      </c>
      <c r="F517" s="9" t="inlineStr">
        <is>
          <t>12598</t>
        </is>
      </c>
      <c r="G517" s="11" t="n">
        <v>0</v>
      </c>
      <c r="H517" s="9" t="inlineStr">
        <is>
          <t xml:space="preserve">81724     </t>
        </is>
      </c>
      <c r="I517" s="9" t="inlineStr">
        <is>
          <t xml:space="preserve">Галкин Евгений Владимирович </t>
        </is>
      </c>
      <c r="J517" s="9" t="inlineStr">
        <is>
          <t>доцент</t>
        </is>
      </c>
      <c r="K517" s="9" t="n"/>
      <c r="L517" s="9" t="n"/>
      <c r="M517" s="12">
        <f>SUMIFS($E$2:$E$1130,$A$2:$A$1130,"осень",$I$2:$I$1130,I517)</f>
        <v/>
      </c>
      <c r="N517" s="13">
        <f>SUMIFS($E$2:$E$1130,$A$2:$A$1130,"весна",$I$2:$I$1130,I517)</f>
        <v/>
      </c>
      <c r="O517" s="14">
        <f>M517+N517</f>
        <v/>
      </c>
      <c r="P517" s="15">
        <f>O517/$P$1</f>
        <v/>
      </c>
    </row>
    <row r="518" hidden="1" ht="15.75" customHeight="1" s="2">
      <c r="A518" s="8" t="inlineStr">
        <is>
          <t>осень</t>
        </is>
      </c>
      <c r="B518" s="9" t="inlineStr">
        <is>
          <t>Системы автоматизированного проектирования технологических процессов</t>
        </is>
      </c>
      <c r="C518" s="9" t="inlineStr">
        <is>
          <t>Консультация</t>
        </is>
      </c>
      <c r="D518" s="9" t="inlineStr">
        <is>
          <t>М9О-104М-20</t>
        </is>
      </c>
      <c r="E518" s="10" t="n">
        <v>1</v>
      </c>
      <c r="F518" s="9" t="inlineStr">
        <is>
          <t>12598</t>
        </is>
      </c>
      <c r="G518" s="11" t="n">
        <v>0</v>
      </c>
      <c r="H518" s="9" t="inlineStr">
        <is>
          <t xml:space="preserve">81724     </t>
        </is>
      </c>
      <c r="I518" s="9" t="inlineStr">
        <is>
          <t xml:space="preserve">Галкин Евгений Владимирович </t>
        </is>
      </c>
      <c r="J518" s="9" t="inlineStr">
        <is>
          <t>доцент</t>
        </is>
      </c>
      <c r="K518" s="9" t="n"/>
      <c r="L518" s="9" t="n"/>
      <c r="M518" s="12">
        <f>SUMIFS($E$2:$E$1130,$A$2:$A$1130,"осень",$I$2:$I$1130,I518)</f>
        <v/>
      </c>
      <c r="N518" s="13">
        <f>SUMIFS($E$2:$E$1130,$A$2:$A$1130,"весна",$I$2:$I$1130,I518)</f>
        <v/>
      </c>
      <c r="O518" s="14">
        <f>M518+N518</f>
        <v/>
      </c>
      <c r="P518" s="15">
        <f>O518/$P$1</f>
        <v/>
      </c>
    </row>
    <row r="519" hidden="1" ht="15.75" customHeight="1" s="2">
      <c r="A519" s="8" t="inlineStr">
        <is>
          <t>осень</t>
        </is>
      </c>
      <c r="B519" s="9" t="inlineStr">
        <is>
          <t>Производственная практика</t>
        </is>
      </c>
      <c r="C519" s="9" t="inlineStr">
        <is>
          <t>Преддипломная практика</t>
        </is>
      </c>
      <c r="D519" s="9" t="inlineStr">
        <is>
          <t>Т11О-201М-19</t>
        </is>
      </c>
      <c r="E519" s="10" t="n">
        <v>15</v>
      </c>
      <c r="F519" s="9" t="n"/>
      <c r="G519" s="11" t="n">
        <v>0</v>
      </c>
      <c r="H519" s="9" t="inlineStr">
        <is>
          <t xml:space="preserve">81724     </t>
        </is>
      </c>
      <c r="I519" s="9" t="inlineStr">
        <is>
          <t xml:space="preserve">Галкин Евгений Владимирович </t>
        </is>
      </c>
      <c r="J519" s="9" t="inlineStr">
        <is>
          <t>доцент</t>
        </is>
      </c>
      <c r="K519" s="9" t="n"/>
      <c r="L519" s="9" t="inlineStr">
        <is>
          <t>кроме пятницы</t>
        </is>
      </c>
      <c r="M519" s="12">
        <f>SUMIFS($E$2:$E$1130,$A$2:$A$1130,"осень",$I$2:$I$1130,I519)</f>
        <v/>
      </c>
      <c r="N519" s="13">
        <f>SUMIFS($E$2:$E$1130,$A$2:$A$1130,"весна",$I$2:$I$1130,I519)</f>
        <v/>
      </c>
      <c r="O519" s="14">
        <f>M519+N519</f>
        <v/>
      </c>
      <c r="P519" s="15">
        <f>O519/$P$1</f>
        <v/>
      </c>
    </row>
    <row r="520" hidden="1" ht="15.75" customHeight="1" s="2">
      <c r="A520" s="8" t="inlineStr">
        <is>
          <t>осень</t>
        </is>
      </c>
      <c r="B520" s="9" t="inlineStr">
        <is>
          <t>Производственная практика</t>
        </is>
      </c>
      <c r="C520" s="9" t="inlineStr">
        <is>
          <t>Преддипломная практика</t>
        </is>
      </c>
      <c r="D520" s="9" t="inlineStr">
        <is>
          <t>Т11О-202М-19</t>
        </is>
      </c>
      <c r="E520" s="10" t="n">
        <v>13</v>
      </c>
      <c r="F520" s="9" t="n"/>
      <c r="G520" s="11" t="n">
        <v>0</v>
      </c>
      <c r="H520" s="9" t="inlineStr">
        <is>
          <t xml:space="preserve">82020     </t>
        </is>
      </c>
      <c r="I520" s="9" t="inlineStr">
        <is>
          <t xml:space="preserve">Варфоломеев Максим Сергеевич </t>
        </is>
      </c>
      <c r="J520" s="9" t="inlineStr">
        <is>
          <t>доцент</t>
        </is>
      </c>
      <c r="K520" s="9" t="n"/>
      <c r="L520" s="9" t="n"/>
      <c r="M520" s="12">
        <f>SUMIFS($E$2:$E$1130,$A$2:$A$1130,"осень",$I$2:$I$1130,I520)</f>
        <v/>
      </c>
      <c r="N520" s="13">
        <f>SUMIFS($E$2:$E$1130,$A$2:$A$1130,"весна",$I$2:$I$1130,I520)</f>
        <v/>
      </c>
      <c r="O520" s="14">
        <f>M520+N520</f>
        <v/>
      </c>
      <c r="P520" s="15">
        <f>O520/$P$1</f>
        <v/>
      </c>
    </row>
    <row r="521" hidden="1" ht="15.75" customHeight="1" s="2">
      <c r="A521" s="8" t="inlineStr">
        <is>
          <t>осень</t>
        </is>
      </c>
      <c r="B521" s="9" t="inlineStr">
        <is>
          <t>Производственная практика</t>
        </is>
      </c>
      <c r="C521" s="9" t="inlineStr">
        <is>
          <t>Преддипломная практика</t>
        </is>
      </c>
      <c r="D521" s="9" t="inlineStr">
        <is>
          <t>Т11О-203М-19</t>
        </is>
      </c>
      <c r="E521" s="10" t="n">
        <v>15</v>
      </c>
      <c r="F521" s="9" t="n"/>
      <c r="G521" s="11" t="n">
        <v>0</v>
      </c>
      <c r="H521" s="9" t="inlineStr">
        <is>
          <t xml:space="preserve">82060     </t>
        </is>
      </c>
      <c r="I521" s="9" t="inlineStr">
        <is>
          <t xml:space="preserve">Лозован Александр Александрович </t>
        </is>
      </c>
      <c r="J521" s="9" t="inlineStr">
        <is>
          <t>профессор</t>
        </is>
      </c>
      <c r="K521" s="9" t="n"/>
      <c r="L521" s="9" t="n"/>
      <c r="M521" s="12">
        <f>SUMIFS($E$2:$E$1130,$A$2:$A$1130,"осень",$I$2:$I$1130,I521)</f>
        <v/>
      </c>
      <c r="N521" s="13">
        <f>SUMIFS($E$2:$E$1130,$A$2:$A$1130,"весна",$I$2:$I$1130,I521)</f>
        <v/>
      </c>
      <c r="O521" s="14">
        <f>M521+N521</f>
        <v/>
      </c>
      <c r="P521" s="15">
        <f>O521/$P$1</f>
        <v/>
      </c>
    </row>
    <row r="522" hidden="1" ht="15.75" customHeight="1" s="2">
      <c r="A522" s="8" t="inlineStr">
        <is>
          <t>осень</t>
        </is>
      </c>
      <c r="B522" s="9" t="inlineStr">
        <is>
          <t>Производственная практика</t>
        </is>
      </c>
      <c r="C522" s="9" t="inlineStr">
        <is>
          <t>Преддипломная практика</t>
        </is>
      </c>
      <c r="D522" s="9" t="inlineStr">
        <is>
          <t>Т11О-204М-19</t>
        </is>
      </c>
      <c r="E522" s="10" t="n">
        <v>19</v>
      </c>
      <c r="F522" s="9" t="n"/>
      <c r="G522" s="11" t="n">
        <v>0</v>
      </c>
      <c r="H522" s="9" t="inlineStr">
        <is>
          <t xml:space="preserve">82056     </t>
        </is>
      </c>
      <c r="I522" s="9" t="inlineStr">
        <is>
          <t xml:space="preserve">Никитина Елена Владимировна </t>
        </is>
      </c>
      <c r="J522" s="9" t="n"/>
      <c r="K522" s="9" t="n"/>
      <c r="L522" s="9" t="inlineStr">
        <is>
          <t>пн-пт с 13:00</t>
        </is>
      </c>
      <c r="M522" s="12">
        <f>SUMIFS($E$2:$E$1130,$A$2:$A$1130,"осень",$I$2:$I$1130,I522)</f>
        <v/>
      </c>
      <c r="N522" s="13">
        <f>SUMIFS($E$2:$E$1130,$A$2:$A$1130,"весна",$I$2:$I$1130,I522)</f>
        <v/>
      </c>
      <c r="O522" s="14">
        <f>M522+N522</f>
        <v/>
      </c>
      <c r="P522" s="15">
        <f>O522/$P$1</f>
        <v/>
      </c>
    </row>
    <row r="523" hidden="1" ht="15.75" customHeight="1" s="2">
      <c r="A523" s="8" t="inlineStr">
        <is>
          <t>осень</t>
        </is>
      </c>
      <c r="B523" s="9" t="inlineStr">
        <is>
          <t>Педагогическая практика</t>
        </is>
      </c>
      <c r="C523" s="9" t="inlineStr">
        <is>
          <t>Преддипломная практика</t>
        </is>
      </c>
      <c r="D523" s="9" t="inlineStr">
        <is>
          <t>М9О-204М-19</t>
        </is>
      </c>
      <c r="E523" s="10" t="n">
        <v>28</v>
      </c>
      <c r="F523" s="9" t="n"/>
      <c r="G523" s="11" t="n">
        <v>0</v>
      </c>
      <c r="H523" s="21" t="inlineStr">
        <is>
          <t xml:space="preserve">82061     </t>
        </is>
      </c>
      <c r="I523" s="21" t="inlineStr">
        <is>
          <t xml:space="preserve">Моисеев Виктор Сергеевич </t>
        </is>
      </c>
      <c r="J523" s="9" t="n"/>
      <c r="K523" s="9" t="n"/>
      <c r="L523" s="9" t="n"/>
      <c r="M523" s="12">
        <f>SUMIFS($E$2:$E$1130,$A$2:$A$1130,"осень",$I$2:$I$1130,I523)</f>
        <v/>
      </c>
      <c r="N523" s="13">
        <f>SUMIFS($E$2:$E$1130,$A$2:$A$1130,"весна",$I$2:$I$1130,I523)</f>
        <v/>
      </c>
      <c r="O523" s="14">
        <f>M523+N523</f>
        <v/>
      </c>
      <c r="P523" s="15">
        <f>O523/$P$1</f>
        <v/>
      </c>
    </row>
    <row r="524" hidden="1" ht="15.75" customHeight="1" s="2">
      <c r="A524" s="8" t="inlineStr">
        <is>
          <t>осень</t>
        </is>
      </c>
      <c r="B524" s="9" t="inlineStr">
        <is>
          <t>Педагогическая практика</t>
        </is>
      </c>
      <c r="C524" s="9" t="inlineStr">
        <is>
          <t>Преддипломная практика</t>
        </is>
      </c>
      <c r="D524" s="9" t="inlineStr">
        <is>
          <t>Т11О-201М-19</t>
        </is>
      </c>
      <c r="E524" s="10" t="n">
        <v>15</v>
      </c>
      <c r="F524" s="9" t="n"/>
      <c r="G524" s="11" t="n">
        <v>0</v>
      </c>
      <c r="H524" s="21" t="inlineStr">
        <is>
          <t xml:space="preserve">82061     </t>
        </is>
      </c>
      <c r="I524" s="21" t="inlineStr">
        <is>
          <t xml:space="preserve">Моисеев Виктор Сергеевич </t>
        </is>
      </c>
      <c r="J524" s="9" t="n"/>
      <c r="K524" s="9" t="n"/>
      <c r="L524" s="9" t="n"/>
      <c r="M524" s="12">
        <f>SUMIFS($E$2:$E$1130,$A$2:$A$1130,"осень",$I$2:$I$1130,I524)</f>
        <v/>
      </c>
      <c r="N524" s="13">
        <f>SUMIFS($E$2:$E$1130,$A$2:$A$1130,"весна",$I$2:$I$1130,I524)</f>
        <v/>
      </c>
      <c r="O524" s="14">
        <f>M524+N524</f>
        <v/>
      </c>
      <c r="P524" s="15">
        <f>O524/$P$1</f>
        <v/>
      </c>
    </row>
    <row r="525" hidden="1" ht="15.75" customHeight="1" s="2">
      <c r="A525" s="8" t="inlineStr">
        <is>
          <t>осень</t>
        </is>
      </c>
      <c r="B525" s="9" t="inlineStr">
        <is>
          <t>Педагогическая практика</t>
        </is>
      </c>
      <c r="C525" s="9" t="inlineStr">
        <is>
          <t>Преддипломная практика</t>
        </is>
      </c>
      <c r="D525" s="9" t="inlineStr">
        <is>
          <t>Т11О-202М-19</t>
        </is>
      </c>
      <c r="E525" s="10" t="n">
        <v>13</v>
      </c>
      <c r="F525" s="9" t="n"/>
      <c r="G525" s="11" t="n">
        <v>0</v>
      </c>
      <c r="H525" s="21" t="inlineStr">
        <is>
          <t xml:space="preserve">82061     </t>
        </is>
      </c>
      <c r="I525" s="21" t="inlineStr">
        <is>
          <t xml:space="preserve">Моисеев Виктор Сергеевич </t>
        </is>
      </c>
      <c r="J525" s="9" t="n"/>
      <c r="K525" s="9" t="n"/>
      <c r="L525" s="9" t="n"/>
      <c r="M525" s="12">
        <f>SUMIFS($E$2:$E$1130,$A$2:$A$1130,"осень",$I$2:$I$1130,I525)</f>
        <v/>
      </c>
      <c r="N525" s="13">
        <f>SUMIFS($E$2:$E$1130,$A$2:$A$1130,"весна",$I$2:$I$1130,I525)</f>
        <v/>
      </c>
      <c r="O525" s="14">
        <f>M525+N525</f>
        <v/>
      </c>
      <c r="P525" s="15">
        <f>O525/$P$1</f>
        <v/>
      </c>
    </row>
    <row r="526" hidden="1" ht="15.75" customHeight="1" s="2">
      <c r="A526" s="8" t="inlineStr">
        <is>
          <t>осень</t>
        </is>
      </c>
      <c r="B526" s="9" t="inlineStr">
        <is>
          <t>Педагогическая практика</t>
        </is>
      </c>
      <c r="C526" s="9" t="inlineStr">
        <is>
          <t>Преддипломная практика</t>
        </is>
      </c>
      <c r="D526" s="9" t="inlineStr">
        <is>
          <t>Т11О-203М-19</t>
        </is>
      </c>
      <c r="E526" s="10" t="n">
        <v>15</v>
      </c>
      <c r="F526" s="9" t="n"/>
      <c r="G526" s="11" t="n">
        <v>0</v>
      </c>
      <c r="H526" s="21" t="inlineStr">
        <is>
          <t xml:space="preserve">82061     </t>
        </is>
      </c>
      <c r="I526" s="21" t="inlineStr">
        <is>
          <t xml:space="preserve">Моисеев Виктор Сергеевич </t>
        </is>
      </c>
      <c r="J526" s="9" t="n"/>
      <c r="K526" s="9" t="n"/>
      <c r="L526" s="9" t="n"/>
      <c r="M526" s="12">
        <f>SUMIFS($E$2:$E$1130,$A$2:$A$1130,"осень",$I$2:$I$1130,I526)</f>
        <v/>
      </c>
      <c r="N526" s="13">
        <f>SUMIFS($E$2:$E$1130,$A$2:$A$1130,"весна",$I$2:$I$1130,I526)</f>
        <v/>
      </c>
      <c r="O526" s="14">
        <f>M526+N526</f>
        <v/>
      </c>
      <c r="P526" s="15">
        <f>O526/$P$1</f>
        <v/>
      </c>
    </row>
    <row r="527" hidden="1" ht="15.75" customHeight="1" s="2">
      <c r="A527" s="8" t="inlineStr">
        <is>
          <t>осень</t>
        </is>
      </c>
      <c r="B527" s="9" t="inlineStr">
        <is>
          <t>Педагогическая практика</t>
        </is>
      </c>
      <c r="C527" s="9" t="inlineStr">
        <is>
          <t>Преддипломная практика</t>
        </is>
      </c>
      <c r="D527" s="9" t="inlineStr">
        <is>
          <t>Т11О-204М-19</t>
        </is>
      </c>
      <c r="E527" s="10" t="n">
        <v>19</v>
      </c>
      <c r="F527" s="9" t="n"/>
      <c r="G527" s="11" t="n">
        <v>0</v>
      </c>
      <c r="H527" s="21" t="inlineStr">
        <is>
          <t xml:space="preserve">82061     </t>
        </is>
      </c>
      <c r="I527" s="21" t="inlineStr">
        <is>
          <t xml:space="preserve">Моисеев Виктор Сергеевич </t>
        </is>
      </c>
      <c r="J527" s="9" t="n"/>
      <c r="K527" s="9" t="n"/>
      <c r="L527" s="9" t="n"/>
      <c r="M527" s="12">
        <f>SUMIFS($E$2:$E$1130,$A$2:$A$1130,"осень",$I$2:$I$1130,I527)</f>
        <v/>
      </c>
      <c r="N527" s="13">
        <f>SUMIFS($E$2:$E$1130,$A$2:$A$1130,"весна",$I$2:$I$1130,I527)</f>
        <v/>
      </c>
      <c r="O527" s="14">
        <f>M527+N527</f>
        <v/>
      </c>
      <c r="P527" s="15">
        <f>O527/$P$1</f>
        <v/>
      </c>
    </row>
    <row r="528" hidden="1" ht="15.75" customHeight="1" s="2">
      <c r="A528" s="17" t="inlineStr">
        <is>
          <t>осень</t>
        </is>
      </c>
      <c r="B528" s="21" t="inlineStr">
        <is>
          <t>Руководство магистрами</t>
        </is>
      </c>
      <c r="C528" s="21" t="inlineStr">
        <is>
          <t>Руководство магистрами</t>
        </is>
      </c>
      <c r="D528" s="21" t="inlineStr">
        <is>
          <t>Т11О-101М-20</t>
        </is>
      </c>
      <c r="E528" s="23" t="n">
        <v>30</v>
      </c>
      <c r="F528" s="24" t="n"/>
      <c r="G528" s="25" t="n">
        <v>0</v>
      </c>
      <c r="H528" s="24" t="inlineStr">
        <is>
          <t xml:space="preserve">81731     </t>
        </is>
      </c>
      <c r="I528" s="24" t="inlineStr">
        <is>
          <t xml:space="preserve">Беспалов Александр Владимирович </t>
        </is>
      </c>
      <c r="J528" s="24" t="inlineStr">
        <is>
          <t>доцент</t>
        </is>
      </c>
      <c r="K528" s="24" t="n"/>
      <c r="L528" s="24" t="inlineStr">
        <is>
          <t>2 чел</t>
        </is>
      </c>
      <c r="M528" s="12">
        <f>SUMIFS($E$2:$E$1130,$A$2:$A$1130,"осень",$I$2:$I$1130,I528)</f>
        <v/>
      </c>
      <c r="N528" s="13">
        <f>SUMIFS($E$2:$E$1130,$A$2:$A$1130,"весна",$I$2:$I$1130,I528)</f>
        <v/>
      </c>
      <c r="O528" s="14">
        <f>M528+N528</f>
        <v/>
      </c>
      <c r="P528" s="15">
        <f>O528/$P$1</f>
        <v/>
      </c>
    </row>
    <row r="529" hidden="1" ht="15.75" customHeight="1" s="2">
      <c r="A529" s="17" t="inlineStr">
        <is>
          <t>осень</t>
        </is>
      </c>
      <c r="B529" s="21" t="inlineStr">
        <is>
          <t>Руководство магистрами</t>
        </is>
      </c>
      <c r="C529" s="21" t="inlineStr">
        <is>
          <t>Руководство магистрами</t>
        </is>
      </c>
      <c r="D529" s="21" t="inlineStr">
        <is>
          <t>Т11О-101М-20</t>
        </is>
      </c>
      <c r="E529" s="23" t="n">
        <v>30</v>
      </c>
      <c r="F529" s="24" t="n"/>
      <c r="G529" s="25" t="n">
        <v>0</v>
      </c>
      <c r="H529" s="24" t="inlineStr">
        <is>
          <t xml:space="preserve">81728     </t>
        </is>
      </c>
      <c r="I529" s="24" t="inlineStr">
        <is>
          <t xml:space="preserve">Галкин Виктор Иванович </t>
        </is>
      </c>
      <c r="J529" s="24" t="inlineStr">
        <is>
          <t>профессор</t>
        </is>
      </c>
      <c r="K529" s="24" t="n"/>
      <c r="L529" s="24" t="inlineStr">
        <is>
          <t>2 чел</t>
        </is>
      </c>
      <c r="M529" s="12">
        <f>SUMIFS($E$2:$E$1130,$A$2:$A$1130,"осень",$I$2:$I$1130,I529)</f>
        <v/>
      </c>
      <c r="N529" s="13">
        <f>SUMIFS($E$2:$E$1130,$A$2:$A$1130,"весна",$I$2:$I$1130,I529)</f>
        <v/>
      </c>
      <c r="O529" s="14">
        <f>M529+N529</f>
        <v/>
      </c>
      <c r="P529" s="15">
        <f>O529/$P$1</f>
        <v/>
      </c>
    </row>
    <row r="530" hidden="1" ht="15.75" customHeight="1" s="2">
      <c r="A530" s="17" t="inlineStr">
        <is>
          <t>осень</t>
        </is>
      </c>
      <c r="B530" s="21" t="inlineStr">
        <is>
          <t>Руководство магистрами</t>
        </is>
      </c>
      <c r="C530" s="21" t="inlineStr">
        <is>
          <t>Руководство магистрами</t>
        </is>
      </c>
      <c r="D530" s="21" t="inlineStr">
        <is>
          <t>Т11О-101М-20</t>
        </is>
      </c>
      <c r="E530" s="23" t="n">
        <v>15</v>
      </c>
      <c r="F530" s="24" t="n"/>
      <c r="G530" s="25" t="n">
        <v>0</v>
      </c>
      <c r="H530" s="24" t="inlineStr">
        <is>
          <t xml:space="preserve">81732     </t>
        </is>
      </c>
      <c r="I530" s="24" t="inlineStr">
        <is>
          <t xml:space="preserve">Петров Анатолий Павлович </t>
        </is>
      </c>
      <c r="J530" s="24" t="inlineStr">
        <is>
          <t>профессор</t>
        </is>
      </c>
      <c r="K530" s="24" t="n"/>
      <c r="L530" s="24" t="inlineStr">
        <is>
          <t>1 чел</t>
        </is>
      </c>
      <c r="M530" s="12">
        <f>SUMIFS($E$2:$E$1130,$A$2:$A$1130,"осень",$I$2:$I$1130,I530)</f>
        <v/>
      </c>
      <c r="N530" s="13">
        <f>SUMIFS($E$2:$E$1130,$A$2:$A$1130,"весна",$I$2:$I$1130,I530)</f>
        <v/>
      </c>
      <c r="O530" s="14">
        <f>M530+N530</f>
        <v/>
      </c>
      <c r="P530" s="15">
        <f>O530/$P$1</f>
        <v/>
      </c>
    </row>
    <row r="531" hidden="1" ht="15.75" customHeight="1" s="2">
      <c r="A531" s="17" t="inlineStr">
        <is>
          <t>осень</t>
        </is>
      </c>
      <c r="B531" s="21" t="inlineStr">
        <is>
          <t>Руководство магистрами</t>
        </is>
      </c>
      <c r="C531" s="21" t="inlineStr">
        <is>
          <t>Руководство магистрами</t>
        </is>
      </c>
      <c r="D531" s="21" t="inlineStr">
        <is>
          <t>Т11О-101М-20</t>
        </is>
      </c>
      <c r="E531" s="23" t="n">
        <v>15</v>
      </c>
      <c r="F531" s="24" t="n"/>
      <c r="G531" s="25" t="n">
        <v>0</v>
      </c>
      <c r="H531" s="24" t="inlineStr">
        <is>
          <t xml:space="preserve">81730     </t>
        </is>
      </c>
      <c r="I531" s="24" t="inlineStr">
        <is>
          <t>Федоров Анатолий Александрович</t>
        </is>
      </c>
      <c r="J531" s="24" t="inlineStr">
        <is>
          <t>профессор</t>
        </is>
      </c>
      <c r="K531" s="24" t="n"/>
      <c r="L531" s="24" t="inlineStr">
        <is>
          <t>1 чел</t>
        </is>
      </c>
      <c r="M531" s="12">
        <f>SUMIFS($E$2:$E$1130,$A$2:$A$1130,"осень",$I$2:$I$1130,I531)</f>
        <v/>
      </c>
      <c r="N531" s="13">
        <f>SUMIFS($E$2:$E$1130,$A$2:$A$1130,"весна",$I$2:$I$1130,I531)</f>
        <v/>
      </c>
      <c r="O531" s="14">
        <f>M531+N531</f>
        <v/>
      </c>
      <c r="P531" s="15">
        <f>O531/$P$1</f>
        <v/>
      </c>
    </row>
    <row r="532" hidden="1" ht="15.75" customHeight="1" s="2">
      <c r="A532" s="17" t="inlineStr">
        <is>
          <t>осень</t>
        </is>
      </c>
      <c r="B532" s="21" t="inlineStr">
        <is>
          <t>Руководство магистрами</t>
        </is>
      </c>
      <c r="C532" s="21" t="inlineStr">
        <is>
          <t>Руководство магистрами</t>
        </is>
      </c>
      <c r="D532" s="21" t="inlineStr">
        <is>
          <t>Т11О-102М-20</t>
        </is>
      </c>
      <c r="E532" s="23" t="n">
        <v>15</v>
      </c>
      <c r="F532" s="9" t="n"/>
      <c r="G532" s="11" t="n">
        <v>0</v>
      </c>
      <c r="H532" s="9" t="inlineStr">
        <is>
          <t xml:space="preserve">82020     </t>
        </is>
      </c>
      <c r="I532" s="9" t="inlineStr">
        <is>
          <t xml:space="preserve">Варфоломеев Максим Сергеевич </t>
        </is>
      </c>
      <c r="J532" s="9" t="inlineStr">
        <is>
          <t>доцент</t>
        </is>
      </c>
      <c r="K532" s="9" t="n"/>
      <c r="L532" s="9" t="inlineStr">
        <is>
          <t>1 чел</t>
        </is>
      </c>
      <c r="M532" s="12">
        <f>SUMIFS($E$2:$E$1130,$A$2:$A$1130,"осень",$I$2:$I$1130,I532)</f>
        <v/>
      </c>
      <c r="N532" s="13">
        <f>SUMIFS($E$2:$E$1130,$A$2:$A$1130,"весна",$I$2:$I$1130,I532)</f>
        <v/>
      </c>
      <c r="O532" s="14">
        <f>M532+N532</f>
        <v/>
      </c>
      <c r="P532" s="15">
        <f>O532/$P$1</f>
        <v/>
      </c>
    </row>
    <row r="533" hidden="1" ht="15.75" customHeight="1" s="2">
      <c r="A533" s="17" t="inlineStr">
        <is>
          <t>осень</t>
        </is>
      </c>
      <c r="B533" s="21" t="inlineStr">
        <is>
          <t>Руководство магистрами</t>
        </is>
      </c>
      <c r="C533" s="21" t="inlineStr">
        <is>
          <t>Руководство магистрами</t>
        </is>
      </c>
      <c r="D533" s="21" t="inlineStr">
        <is>
          <t>Т11О-102М-20</t>
        </is>
      </c>
      <c r="E533" s="23" t="n">
        <v>15</v>
      </c>
      <c r="F533" s="9" t="n"/>
      <c r="G533" s="11" t="n">
        <v>0</v>
      </c>
      <c r="H533" s="9" t="inlineStr">
        <is>
          <t xml:space="preserve">82086     </t>
        </is>
      </c>
      <c r="I533" s="9" t="inlineStr">
        <is>
          <t xml:space="preserve">Смыков Андрей Федорович </t>
        </is>
      </c>
      <c r="J533" s="9" t="inlineStr">
        <is>
          <t>профессор</t>
        </is>
      </c>
      <c r="K533" s="9" t="n"/>
      <c r="L533" s="9" t="inlineStr">
        <is>
          <t>1 чел</t>
        </is>
      </c>
      <c r="M533" s="12">
        <f>SUMIFS($E$2:$E$1130,$A$2:$A$1130,"осень",$I$2:$I$1130,I533)</f>
        <v/>
      </c>
      <c r="N533" s="13">
        <f>SUMIFS($E$2:$E$1130,$A$2:$A$1130,"весна",$I$2:$I$1130,I533)</f>
        <v/>
      </c>
      <c r="O533" s="14">
        <f>M533+N533</f>
        <v/>
      </c>
      <c r="P533" s="15">
        <f>O533/$P$1</f>
        <v/>
      </c>
    </row>
    <row r="534" hidden="1" ht="15.75" customHeight="1" s="2">
      <c r="A534" s="17" t="inlineStr">
        <is>
          <t>осень</t>
        </is>
      </c>
      <c r="B534" s="21" t="inlineStr">
        <is>
          <t>Руководство магистрами</t>
        </is>
      </c>
      <c r="C534" s="21" t="inlineStr">
        <is>
          <t>Руководство магистрами</t>
        </is>
      </c>
      <c r="D534" s="21" t="inlineStr">
        <is>
          <t>Т11О-102М-20</t>
        </is>
      </c>
      <c r="E534" s="23" t="n">
        <v>15</v>
      </c>
      <c r="F534" s="9" t="n"/>
      <c r="G534" s="11" t="n">
        <v>0</v>
      </c>
      <c r="H534" s="9" t="inlineStr">
        <is>
          <t xml:space="preserve">89067     </t>
        </is>
      </c>
      <c r="I534" s="9" t="inlineStr">
        <is>
          <t xml:space="preserve">Ряховский Александр Павлович </t>
        </is>
      </c>
      <c r="J534" s="9" t="inlineStr">
        <is>
          <t>доцент</t>
        </is>
      </c>
      <c r="K534" s="9" t="n"/>
      <c r="L534" s="9" t="inlineStr">
        <is>
          <t>1 чел</t>
        </is>
      </c>
      <c r="M534" s="12">
        <f>SUMIFS($E$2:$E$1130,$A$2:$A$1130,"осень",$I$2:$I$1130,I534)</f>
        <v/>
      </c>
      <c r="N534" s="13">
        <f>SUMIFS($E$2:$E$1130,$A$2:$A$1130,"весна",$I$2:$I$1130,I534)</f>
        <v/>
      </c>
      <c r="O534" s="14">
        <f>M534+N534</f>
        <v/>
      </c>
      <c r="P534" s="15">
        <f>O534/$P$1</f>
        <v/>
      </c>
    </row>
    <row r="535" hidden="1" ht="15.75" customHeight="1" s="2">
      <c r="A535" s="17" t="inlineStr">
        <is>
          <t>осень</t>
        </is>
      </c>
      <c r="B535" s="21" t="inlineStr">
        <is>
          <t>Руководство магистрами</t>
        </is>
      </c>
      <c r="C535" s="21" t="inlineStr">
        <is>
          <t>Руководство магистрами</t>
        </is>
      </c>
      <c r="D535" s="21" t="inlineStr">
        <is>
          <t>Т11О-102М-20</t>
        </is>
      </c>
      <c r="E535" s="23" t="n">
        <v>15</v>
      </c>
      <c r="F535" s="9" t="n"/>
      <c r="G535" s="11" t="n">
        <v>0</v>
      </c>
      <c r="H535" s="9" t="inlineStr">
        <is>
          <t xml:space="preserve">82061     </t>
        </is>
      </c>
      <c r="I535" s="9" t="inlineStr">
        <is>
          <t xml:space="preserve">Моисеев Виктор Сергеевич </t>
        </is>
      </c>
      <c r="J535" s="9" t="n"/>
      <c r="K535" s="9" t="n"/>
      <c r="L535" s="9" t="inlineStr">
        <is>
          <t>1 чел</t>
        </is>
      </c>
      <c r="M535" s="12">
        <f>SUMIFS($E$2:$E$1130,$A$2:$A$1130,"осень",$I$2:$I$1130,I535)</f>
        <v/>
      </c>
      <c r="N535" s="13">
        <f>SUMIFS($E$2:$E$1130,$A$2:$A$1130,"весна",$I$2:$I$1130,I535)</f>
        <v/>
      </c>
      <c r="O535" s="14">
        <f>M535+N535</f>
        <v/>
      </c>
      <c r="P535" s="15">
        <f>O535/$P$1</f>
        <v/>
      </c>
    </row>
    <row r="536" hidden="1" ht="15.75" customHeight="1" s="2">
      <c r="A536" s="17" t="inlineStr">
        <is>
          <t>осень</t>
        </is>
      </c>
      <c r="B536" s="21" t="inlineStr">
        <is>
          <t>Руководство магистрами</t>
        </is>
      </c>
      <c r="C536" s="21" t="inlineStr">
        <is>
          <t>Руководство магистрами</t>
        </is>
      </c>
      <c r="D536" s="21" t="inlineStr">
        <is>
          <t>Т11О-102М-20</t>
        </is>
      </c>
      <c r="E536" s="23" t="n">
        <v>15</v>
      </c>
      <c r="F536" s="9" t="n"/>
      <c r="G536" s="11" t="n">
        <v>0</v>
      </c>
      <c r="H536" s="9" t="inlineStr">
        <is>
          <t xml:space="preserve">82018     </t>
        </is>
      </c>
      <c r="I536" s="9" t="inlineStr">
        <is>
          <t>Бережной Дмитрий Васильевич</t>
        </is>
      </c>
      <c r="J536" s="9" t="inlineStr">
        <is>
          <t>доцент</t>
        </is>
      </c>
      <c r="K536" s="9" t="n"/>
      <c r="L536" s="9" t="inlineStr">
        <is>
          <t>1 чел</t>
        </is>
      </c>
      <c r="M536" s="12">
        <f>SUMIFS($E$2:$E$1130,$A$2:$A$1130,"осень",$I$2:$I$1130,I536)</f>
        <v/>
      </c>
      <c r="N536" s="13">
        <f>SUMIFS($E$2:$E$1130,$A$2:$A$1130,"весна",$I$2:$I$1130,I536)</f>
        <v/>
      </c>
      <c r="O536" s="14">
        <f>M536+N536</f>
        <v/>
      </c>
      <c r="P536" s="15">
        <f>O536/$P$1</f>
        <v/>
      </c>
    </row>
    <row r="537" hidden="1" ht="15.75" customHeight="1" s="2">
      <c r="A537" s="17" t="inlineStr">
        <is>
          <t>осень</t>
        </is>
      </c>
      <c r="B537" s="21" t="inlineStr">
        <is>
          <t>Руководство магистрами</t>
        </is>
      </c>
      <c r="C537" s="21" t="inlineStr">
        <is>
          <t>Руководство магистрами</t>
        </is>
      </c>
      <c r="D537" s="21" t="inlineStr">
        <is>
          <t>Т11О-103М-20</t>
        </is>
      </c>
      <c r="E537" s="23" t="n">
        <v>30</v>
      </c>
      <c r="F537" s="9" t="n"/>
      <c r="G537" s="11" t="n">
        <v>0</v>
      </c>
      <c r="H537" s="9" t="inlineStr">
        <is>
          <t xml:space="preserve">82090     </t>
        </is>
      </c>
      <c r="I537" s="9" t="inlineStr">
        <is>
          <t xml:space="preserve">Барабанова Ольга Алексеевна </t>
        </is>
      </c>
      <c r="J537" s="9" t="n"/>
      <c r="K537" s="9" t="inlineStr">
        <is>
          <t>2 чел</t>
        </is>
      </c>
      <c r="L537" s="9" t="n"/>
      <c r="M537" s="12">
        <f>SUMIFS($E$2:$E$1130,$A$2:$A$1130,"осень",$I$2:$I$1130,I537)</f>
        <v/>
      </c>
      <c r="N537" s="13">
        <f>SUMIFS($E$2:$E$1130,$A$2:$A$1130,"весна",$I$2:$I$1130,I537)</f>
        <v/>
      </c>
      <c r="O537" s="14">
        <f>M537+N537</f>
        <v/>
      </c>
      <c r="P537" s="15">
        <f>O537/$P$1</f>
        <v/>
      </c>
    </row>
    <row r="538" hidden="1" ht="15.75" customHeight="1" s="2">
      <c r="A538" s="17" t="inlineStr">
        <is>
          <t>осень</t>
        </is>
      </c>
      <c r="B538" s="21" t="inlineStr">
        <is>
          <t>Руководство магистрами</t>
        </is>
      </c>
      <c r="C538" s="21" t="inlineStr">
        <is>
          <t>Руководство магистрами</t>
        </is>
      </c>
      <c r="D538" s="21" t="inlineStr">
        <is>
          <t>Т11О-103М-20</t>
        </is>
      </c>
      <c r="E538" s="23" t="n">
        <v>30</v>
      </c>
      <c r="F538" s="9" t="n"/>
      <c r="G538" s="11" t="n">
        <v>0</v>
      </c>
      <c r="H538" s="9" t="inlineStr">
        <is>
          <t xml:space="preserve">82066     </t>
        </is>
      </c>
      <c r="I538" s="9" t="inlineStr">
        <is>
          <t xml:space="preserve">Серов Михаил Михайлович </t>
        </is>
      </c>
      <c r="J538" s="9" t="inlineStr">
        <is>
          <t>профессор</t>
        </is>
      </c>
      <c r="K538" s="9" t="inlineStr">
        <is>
          <t>2 чел</t>
        </is>
      </c>
      <c r="L538" s="9" t="n"/>
      <c r="M538" s="12">
        <f>SUMIFS($E$2:$E$1130,$A$2:$A$1130,"осень",$I$2:$I$1130,I538)</f>
        <v/>
      </c>
      <c r="N538" s="13">
        <f>SUMIFS($E$2:$E$1130,$A$2:$A$1130,"весна",$I$2:$I$1130,I538)</f>
        <v/>
      </c>
      <c r="O538" s="14">
        <f>M538+N538</f>
        <v/>
      </c>
      <c r="P538" s="15">
        <f>O538/$P$1</f>
        <v/>
      </c>
    </row>
    <row r="539" hidden="1" ht="15.75" customHeight="1" s="2">
      <c r="A539" s="17" t="inlineStr">
        <is>
          <t>осень</t>
        </is>
      </c>
      <c r="B539" s="21" t="inlineStr">
        <is>
          <t>Руководство магистрами</t>
        </is>
      </c>
      <c r="C539" s="21" t="inlineStr">
        <is>
          <t>Руководство магистрами</t>
        </is>
      </c>
      <c r="D539" s="21" t="inlineStr">
        <is>
          <t>Т11О-103М-20</t>
        </is>
      </c>
      <c r="E539" s="23" t="n">
        <v>15</v>
      </c>
      <c r="F539" s="9" t="n"/>
      <c r="G539" s="11" t="n">
        <v>0</v>
      </c>
      <c r="H539" s="9" t="inlineStr">
        <is>
          <t xml:space="preserve">93685     </t>
        </is>
      </c>
      <c r="I539" s="9" t="inlineStr">
        <is>
          <t xml:space="preserve">Банишев Александр Федорович </t>
        </is>
      </c>
      <c r="J539" s="9" t="n"/>
      <c r="K539" s="9" t="inlineStr">
        <is>
          <t>1 чел</t>
        </is>
      </c>
      <c r="L539" s="9" t="n"/>
      <c r="M539" s="12">
        <f>SUMIFS($E$2:$E$1130,$A$2:$A$1130,"осень",$I$2:$I$1130,I539)</f>
        <v/>
      </c>
      <c r="N539" s="13">
        <f>SUMIFS($E$2:$E$1130,$A$2:$A$1130,"весна",$I$2:$I$1130,I539)</f>
        <v/>
      </c>
      <c r="O539" s="14">
        <f>M539+N539</f>
        <v/>
      </c>
      <c r="P539" s="15">
        <f>O539/$P$1</f>
        <v/>
      </c>
    </row>
    <row r="540" hidden="1" ht="15.75" customHeight="1" s="2">
      <c r="A540" s="17" t="inlineStr">
        <is>
          <t>осень</t>
        </is>
      </c>
      <c r="B540" s="21" t="inlineStr">
        <is>
          <t>Руководство магистрами</t>
        </is>
      </c>
      <c r="C540" s="21" t="inlineStr">
        <is>
          <t>Руководство магистрами</t>
        </is>
      </c>
      <c r="D540" s="21" t="inlineStr">
        <is>
          <t>Т11О-104М-20</t>
        </is>
      </c>
      <c r="E540" s="10" t="n">
        <v>30</v>
      </c>
      <c r="F540" s="9" t="n"/>
      <c r="G540" s="11" t="n">
        <v>0</v>
      </c>
      <c r="H540" s="9" t="inlineStr">
        <is>
          <t xml:space="preserve">82056     </t>
        </is>
      </c>
      <c r="I540" s="9" t="inlineStr">
        <is>
          <t xml:space="preserve">Никитина Елена Владимировна </t>
        </is>
      </c>
      <c r="J540" s="9" t="n"/>
      <c r="K540" s="9" t="inlineStr">
        <is>
          <t>2 чел</t>
        </is>
      </c>
      <c r="L540" s="9" t="inlineStr">
        <is>
          <t>пн-пт с 13:00</t>
        </is>
      </c>
      <c r="M540" s="12">
        <f>SUMIFS($E$2:$E$1130,$A$2:$A$1130,"осень",$I$2:$I$1130,I540)</f>
        <v/>
      </c>
      <c r="N540" s="13">
        <f>SUMIFS($E$2:$E$1130,$A$2:$A$1130,"весна",$I$2:$I$1130,I540)</f>
        <v/>
      </c>
      <c r="O540" s="14">
        <f>M540+N540</f>
        <v/>
      </c>
      <c r="P540" s="15">
        <f>O540/$P$1</f>
        <v/>
      </c>
    </row>
    <row r="541" hidden="1" ht="15.75" customHeight="1" s="2">
      <c r="A541" s="17" t="inlineStr">
        <is>
          <t>осень</t>
        </is>
      </c>
      <c r="B541" s="21" t="inlineStr">
        <is>
          <t>Руководство магистрами</t>
        </is>
      </c>
      <c r="C541" s="21" t="inlineStr">
        <is>
          <t>Руководство магистрами</t>
        </is>
      </c>
      <c r="D541" s="21" t="inlineStr">
        <is>
          <t>Т11О-104М-20</t>
        </is>
      </c>
      <c r="E541" s="10" t="n">
        <v>30</v>
      </c>
      <c r="F541" s="9" t="n"/>
      <c r="G541" s="11" t="n">
        <v>0</v>
      </c>
      <c r="H541" s="9" t="inlineStr">
        <is>
          <t xml:space="preserve">87438     </t>
        </is>
      </c>
      <c r="I541" s="9" t="inlineStr">
        <is>
          <t xml:space="preserve">Конкевич Валентин Юрьевич </t>
        </is>
      </c>
      <c r="J541" s="9" t="n"/>
      <c r="K541" s="9" t="inlineStr">
        <is>
          <t>2 чел</t>
        </is>
      </c>
      <c r="L541" s="9" t="n"/>
      <c r="M541" s="12">
        <f>SUMIFS($E$2:$E$1130,$A$2:$A$1130,"осень",$I$2:$I$1130,I541)</f>
        <v/>
      </c>
      <c r="N541" s="13">
        <f>SUMIFS($E$2:$E$1130,$A$2:$A$1130,"весна",$I$2:$I$1130,I541)</f>
        <v/>
      </c>
      <c r="O541" s="14">
        <f>M541+N541</f>
        <v/>
      </c>
      <c r="P541" s="15">
        <f>O541/$P$1</f>
        <v/>
      </c>
    </row>
    <row r="542" hidden="1" ht="15.75" customHeight="1" s="2">
      <c r="A542" s="17" t="inlineStr">
        <is>
          <t>осень</t>
        </is>
      </c>
      <c r="B542" s="21" t="inlineStr">
        <is>
          <t>Руководство магистрами</t>
        </is>
      </c>
      <c r="C542" s="21" t="inlineStr">
        <is>
          <t>Руководство магистрами</t>
        </is>
      </c>
      <c r="D542" s="21" t="inlineStr">
        <is>
          <t>Т11О-104М-20</t>
        </is>
      </c>
      <c r="E542" s="10" t="n">
        <v>15</v>
      </c>
      <c r="F542" s="9" t="n"/>
      <c r="G542" s="11" t="n">
        <v>0</v>
      </c>
      <c r="H542" s="9" t="inlineStr">
        <is>
          <t xml:space="preserve">92509     </t>
        </is>
      </c>
      <c r="I542" s="9" t="inlineStr">
        <is>
          <t xml:space="preserve">Пашков Игорь Николаевич </t>
        </is>
      </c>
      <c r="J542" s="9" t="n"/>
      <c r="K542" s="9" t="inlineStr">
        <is>
          <t>1 чел</t>
        </is>
      </c>
      <c r="L542" s="9" t="n"/>
      <c r="M542" s="12">
        <f>SUMIFS($E$2:$E$1130,$A$2:$A$1130,"осень",$I$2:$I$1130,I542)</f>
        <v/>
      </c>
      <c r="N542" s="13">
        <f>SUMIFS($E$2:$E$1130,$A$2:$A$1130,"весна",$I$2:$I$1130,I542)</f>
        <v/>
      </c>
      <c r="O542" s="14">
        <f>M542+N542</f>
        <v/>
      </c>
      <c r="P542" s="15">
        <f>O542/$P$1</f>
        <v/>
      </c>
    </row>
    <row r="543" hidden="1" ht="15.75" customHeight="1" s="2">
      <c r="A543" s="17" t="inlineStr">
        <is>
          <t>осень</t>
        </is>
      </c>
      <c r="B543" s="21" t="inlineStr">
        <is>
          <t>Руководство магистрами</t>
        </is>
      </c>
      <c r="C543" s="21" t="inlineStr">
        <is>
          <t>Руководство магистрами</t>
        </is>
      </c>
      <c r="D543" s="21" t="inlineStr">
        <is>
          <t>Т11О-104М-20</t>
        </is>
      </c>
      <c r="E543" s="10" t="n">
        <v>15</v>
      </c>
      <c r="F543" s="9" t="n"/>
      <c r="G543" s="11" t="n">
        <v>0</v>
      </c>
      <c r="H543" s="9" t="inlineStr">
        <is>
          <t xml:space="preserve">82023     </t>
        </is>
      </c>
      <c r="I543" s="9" t="inlineStr">
        <is>
          <t xml:space="preserve">Федоров Сергей Александрович </t>
        </is>
      </c>
      <c r="J543" s="9" t="n"/>
      <c r="K543" s="9" t="inlineStr">
        <is>
          <t>1 чел</t>
        </is>
      </c>
      <c r="L543" s="9" t="n"/>
      <c r="M543" s="12">
        <f>SUMIFS($E$2:$E$1130,$A$2:$A$1130,"осень",$I$2:$I$1130,I543)</f>
        <v/>
      </c>
      <c r="N543" s="13">
        <f>SUMIFS($E$2:$E$1130,$A$2:$A$1130,"весна",$I$2:$I$1130,I543)</f>
        <v/>
      </c>
      <c r="O543" s="14">
        <f>M543+N543</f>
        <v/>
      </c>
      <c r="P543" s="15">
        <f>O543/$P$1</f>
        <v/>
      </c>
    </row>
    <row r="544" hidden="1" ht="15.75" customHeight="1" s="2">
      <c r="A544" s="8" t="inlineStr">
        <is>
          <t>осень</t>
        </is>
      </c>
      <c r="B544" s="9" t="inlineStr">
        <is>
          <t>Руководство магистрами</t>
        </is>
      </c>
      <c r="C544" s="9" t="inlineStr">
        <is>
          <t>Руководство магистрами</t>
        </is>
      </c>
      <c r="D544" s="9" t="inlineStr">
        <is>
          <t>Т11О-201М-19</t>
        </is>
      </c>
      <c r="E544" s="10" t="n">
        <v>15</v>
      </c>
      <c r="F544" s="9" t="n"/>
      <c r="G544" s="11" t="n">
        <v>0</v>
      </c>
      <c r="H544" s="9" t="inlineStr">
        <is>
          <t xml:space="preserve">81731     </t>
        </is>
      </c>
      <c r="I544" s="24" t="inlineStr">
        <is>
          <t xml:space="preserve">Беспалов Александр Владимирович </t>
        </is>
      </c>
      <c r="J544" s="24" t="inlineStr">
        <is>
          <t>доцент</t>
        </is>
      </c>
      <c r="K544" s="9" t="n"/>
      <c r="L544" s="9" t="n"/>
      <c r="M544" s="12">
        <f>SUMIFS($E$2:$E$1130,$A$2:$A$1130,"осень",$I$2:$I$1130,I544)</f>
        <v/>
      </c>
      <c r="N544" s="13">
        <f>SUMIFS($E$2:$E$1130,$A$2:$A$1130,"весна",$I$2:$I$1130,I544)</f>
        <v/>
      </c>
      <c r="O544" s="14">
        <f>M544+N544</f>
        <v/>
      </c>
      <c r="P544" s="15">
        <f>O544/$P$1</f>
        <v/>
      </c>
    </row>
    <row r="545" hidden="1" ht="15.75" customHeight="1" s="2">
      <c r="A545" s="8" t="inlineStr">
        <is>
          <t>осень</t>
        </is>
      </c>
      <c r="B545" s="9" t="inlineStr">
        <is>
          <t>Руководство магистрами</t>
        </is>
      </c>
      <c r="C545" s="9" t="inlineStr">
        <is>
          <t>Руководство магистрами</t>
        </is>
      </c>
      <c r="D545" s="9" t="inlineStr">
        <is>
          <t>Т11О-201М-19</t>
        </is>
      </c>
      <c r="E545" s="10" t="n">
        <v>15</v>
      </c>
      <c r="F545" s="9" t="n"/>
      <c r="G545" s="11" t="n">
        <v>0</v>
      </c>
      <c r="H545" s="9" t="inlineStr">
        <is>
          <t xml:space="preserve">81728     </t>
        </is>
      </c>
      <c r="I545" s="9" t="inlineStr">
        <is>
          <t xml:space="preserve">Галкин Виктор Иванович </t>
        </is>
      </c>
      <c r="J545" s="9" t="inlineStr">
        <is>
          <t>профессор</t>
        </is>
      </c>
      <c r="K545" s="9" t="n"/>
      <c r="L545" s="9" t="n"/>
      <c r="M545" s="12">
        <f>SUMIFS($E$2:$E$1130,$A$2:$A$1130,"осень",$I$2:$I$1130,I545)</f>
        <v/>
      </c>
      <c r="N545" s="13">
        <f>SUMIFS($E$2:$E$1130,$A$2:$A$1130,"весна",$I$2:$I$1130,I545)</f>
        <v/>
      </c>
      <c r="O545" s="14">
        <f>M545+N545</f>
        <v/>
      </c>
      <c r="P545" s="15">
        <f>O545/$P$1</f>
        <v/>
      </c>
    </row>
    <row r="546" hidden="1" ht="15.75" customHeight="1" s="2">
      <c r="A546" s="8" t="inlineStr">
        <is>
          <t>осень</t>
        </is>
      </c>
      <c r="B546" s="9" t="inlineStr">
        <is>
          <t>Руководство магистрами</t>
        </is>
      </c>
      <c r="C546" s="9" t="inlineStr">
        <is>
          <t>Руководство магистрами</t>
        </is>
      </c>
      <c r="D546" s="9" t="inlineStr">
        <is>
          <t>Т11О-201М-19</t>
        </is>
      </c>
      <c r="E546" s="10" t="n">
        <v>15</v>
      </c>
      <c r="F546" s="9" t="n"/>
      <c r="G546" s="11" t="n">
        <v>0</v>
      </c>
      <c r="H546" s="9" t="inlineStr">
        <is>
          <t xml:space="preserve">81721     </t>
        </is>
      </c>
      <c r="I546" s="9" t="inlineStr">
        <is>
          <t xml:space="preserve">Преображенский Евгений Владимирович </t>
        </is>
      </c>
      <c r="J546" s="9" t="inlineStr">
        <is>
          <t>доцент</t>
        </is>
      </c>
      <c r="K546" s="9" t="n"/>
      <c r="L546" s="9" t="inlineStr">
        <is>
          <t>525 А</t>
        </is>
      </c>
      <c r="M546" s="12">
        <f>SUMIFS($E$2:$E$1130,$A$2:$A$1130,"осень",$I$2:$I$1130,I546)</f>
        <v/>
      </c>
      <c r="N546" s="13">
        <f>SUMIFS($E$2:$E$1130,$A$2:$A$1130,"весна",$I$2:$I$1130,I546)</f>
        <v/>
      </c>
      <c r="O546" s="14">
        <f>M546+N546</f>
        <v/>
      </c>
      <c r="P546" s="15">
        <f>O546/$P$1</f>
        <v/>
      </c>
    </row>
    <row r="547" hidden="1" ht="15.75" customHeight="1" s="2">
      <c r="A547" s="8" t="inlineStr">
        <is>
          <t>осень</t>
        </is>
      </c>
      <c r="B547" s="9" t="inlineStr">
        <is>
          <t>Руководство магистрами</t>
        </is>
      </c>
      <c r="C547" s="9" t="inlineStr">
        <is>
          <t>Руководство магистрами</t>
        </is>
      </c>
      <c r="D547" s="9" t="inlineStr">
        <is>
          <t>Т11О-201М-19</t>
        </is>
      </c>
      <c r="E547" s="10" t="n">
        <v>15</v>
      </c>
      <c r="F547" s="9" t="n"/>
      <c r="G547" s="11" t="n">
        <v>0</v>
      </c>
      <c r="H547" s="9" t="inlineStr">
        <is>
          <t xml:space="preserve">81732     </t>
        </is>
      </c>
      <c r="I547" s="9" t="inlineStr">
        <is>
          <t xml:space="preserve">Петров Анатолий Павлович </t>
        </is>
      </c>
      <c r="J547" s="9" t="inlineStr">
        <is>
          <t>профессор</t>
        </is>
      </c>
      <c r="K547" s="9" t="n"/>
      <c r="L547" s="9" t="n"/>
      <c r="M547" s="12">
        <f>SUMIFS($E$2:$E$1130,$A$2:$A$1130,"осень",$I$2:$I$1130,I547)</f>
        <v/>
      </c>
      <c r="N547" s="13">
        <f>SUMIFS($E$2:$E$1130,$A$2:$A$1130,"весна",$I$2:$I$1130,I547)</f>
        <v/>
      </c>
      <c r="O547" s="14">
        <f>M547+N547</f>
        <v/>
      </c>
      <c r="P547" s="15">
        <f>O547/$P$1</f>
        <v/>
      </c>
    </row>
    <row r="548" hidden="1" ht="15.75" customHeight="1" s="2">
      <c r="A548" s="8" t="inlineStr">
        <is>
          <t>осень</t>
        </is>
      </c>
      <c r="B548" s="9" t="inlineStr">
        <is>
          <t>Руководство магистрами</t>
        </is>
      </c>
      <c r="C548" s="9" t="inlineStr">
        <is>
          <t>Руководство магистрами</t>
        </is>
      </c>
      <c r="D548" s="9" t="inlineStr">
        <is>
          <t>Т11О-201М-19</t>
        </is>
      </c>
      <c r="E548" s="10" t="n">
        <v>30</v>
      </c>
      <c r="F548" s="9" t="n"/>
      <c r="G548" s="11" t="n">
        <v>0</v>
      </c>
      <c r="H548" s="9" t="inlineStr">
        <is>
          <t xml:space="preserve">81730     </t>
        </is>
      </c>
      <c r="I548" s="9" t="inlineStr">
        <is>
          <t>Федоров Анатолий Александрович</t>
        </is>
      </c>
      <c r="J548" s="9" t="inlineStr">
        <is>
          <t>профессор</t>
        </is>
      </c>
      <c r="K548" s="9" t="n"/>
      <c r="L548" s="9" t="n"/>
      <c r="M548" s="12">
        <f>SUMIFS($E$2:$E$1130,$A$2:$A$1130,"осень",$I$2:$I$1130,I548)</f>
        <v/>
      </c>
      <c r="N548" s="13">
        <f>SUMIFS($E$2:$E$1130,$A$2:$A$1130,"весна",$I$2:$I$1130,I548)</f>
        <v/>
      </c>
      <c r="O548" s="14">
        <f>M548+N548</f>
        <v/>
      </c>
      <c r="P548" s="15">
        <f>O548/$P$1</f>
        <v/>
      </c>
    </row>
    <row r="549" hidden="1" ht="15.75" customHeight="1" s="2">
      <c r="A549" s="8" t="inlineStr">
        <is>
          <t>осень</t>
        </is>
      </c>
      <c r="B549" s="9" t="inlineStr">
        <is>
          <t>Руководство магистрами</t>
        </is>
      </c>
      <c r="C549" s="9" t="inlineStr">
        <is>
          <t>Руководство магистрами</t>
        </is>
      </c>
      <c r="D549" s="9" t="inlineStr">
        <is>
          <t>Т11О-201М-19</t>
        </is>
      </c>
      <c r="E549" s="10" t="n">
        <v>15</v>
      </c>
      <c r="F549" s="9" t="n"/>
      <c r="G549" s="11" t="n">
        <v>0</v>
      </c>
      <c r="H549" s="9" t="inlineStr">
        <is>
          <t xml:space="preserve">81722     </t>
        </is>
      </c>
      <c r="I549" s="9" t="inlineStr">
        <is>
          <t xml:space="preserve">Шленский Алексей Геннадьевич </t>
        </is>
      </c>
      <c r="J549" s="9" t="inlineStr">
        <is>
          <t>доцент</t>
        </is>
      </c>
      <c r="K549" s="9" t="n"/>
      <c r="L549" s="9" t="n"/>
      <c r="M549" s="12">
        <f>SUMIFS($E$2:$E$1130,$A$2:$A$1130,"осень",$I$2:$I$1130,I549)</f>
        <v/>
      </c>
      <c r="N549" s="13">
        <f>SUMIFS($E$2:$E$1130,$A$2:$A$1130,"весна",$I$2:$I$1130,I549)</f>
        <v/>
      </c>
      <c r="O549" s="14">
        <f>M549+N549</f>
        <v/>
      </c>
      <c r="P549" s="15">
        <f>O549/$P$1</f>
        <v/>
      </c>
    </row>
    <row r="550" hidden="1" ht="15.75" customHeight="1" s="2">
      <c r="A550" s="17" t="inlineStr">
        <is>
          <t>осень</t>
        </is>
      </c>
      <c r="B550" s="21" t="inlineStr">
        <is>
          <t>Руководство магистрами</t>
        </is>
      </c>
      <c r="C550" s="21" t="inlineStr">
        <is>
          <t>Руководство магистрами</t>
        </is>
      </c>
      <c r="D550" s="21" t="inlineStr">
        <is>
          <t>Т11О-202М-19</t>
        </is>
      </c>
      <c r="E550" s="23" t="n">
        <v>15</v>
      </c>
      <c r="F550" s="9" t="n"/>
      <c r="G550" s="11" t="n">
        <v>0</v>
      </c>
      <c r="H550" s="9" t="inlineStr">
        <is>
          <t xml:space="preserve">82061     </t>
        </is>
      </c>
      <c r="I550" s="9" t="inlineStr">
        <is>
          <t xml:space="preserve">Петров Игорь Алексеевич </t>
        </is>
      </c>
      <c r="J550" s="9" t="inlineStr">
        <is>
          <t>доцент</t>
        </is>
      </c>
      <c r="K550" s="26" t="inlineStr">
        <is>
          <t>1 чел</t>
        </is>
      </c>
      <c r="L550" s="9" t="n"/>
      <c r="M550" s="12">
        <f>SUMIFS($E$2:$E$1130,$A$2:$A$1130,"осень",$I$2:$I$1130,I550)</f>
        <v/>
      </c>
      <c r="N550" s="13">
        <f>SUMIFS($E$2:$E$1130,$A$2:$A$1130,"весна",$I$2:$I$1130,I550)</f>
        <v/>
      </c>
      <c r="O550" s="14">
        <f>M550+N550</f>
        <v/>
      </c>
      <c r="P550" s="15">
        <f>O550/$P$1</f>
        <v/>
      </c>
    </row>
    <row r="551" hidden="1" ht="15.75" customHeight="1" s="2">
      <c r="A551" s="17" t="inlineStr">
        <is>
          <t>осень</t>
        </is>
      </c>
      <c r="B551" s="21" t="inlineStr">
        <is>
          <t>Руководство магистрами</t>
        </is>
      </c>
      <c r="C551" s="21" t="inlineStr">
        <is>
          <t>Руководство магистрами</t>
        </is>
      </c>
      <c r="D551" s="21" t="inlineStr">
        <is>
          <t>Т11О-202М-19</t>
        </is>
      </c>
      <c r="E551" s="23" t="n">
        <v>15</v>
      </c>
      <c r="F551" s="9" t="n"/>
      <c r="G551" s="11" t="n">
        <v>0</v>
      </c>
      <c r="H551" s="9" t="inlineStr">
        <is>
          <t xml:space="preserve">82020     </t>
        </is>
      </c>
      <c r="I551" s="9" t="inlineStr">
        <is>
          <t xml:space="preserve">Варфоломеев Максим Сергеевич </t>
        </is>
      </c>
      <c r="J551" s="9" t="n"/>
      <c r="K551" s="26" t="inlineStr">
        <is>
          <t>1 чел</t>
        </is>
      </c>
      <c r="L551" s="9" t="n"/>
      <c r="M551" s="12">
        <f>SUMIFS($E$2:$E$1130,$A$2:$A$1130,"осень",$I$2:$I$1130,I551)</f>
        <v/>
      </c>
      <c r="N551" s="13">
        <f>SUMIFS($E$2:$E$1130,$A$2:$A$1130,"весна",$I$2:$I$1130,I551)</f>
        <v/>
      </c>
      <c r="O551" s="14">
        <f>M551+N551</f>
        <v/>
      </c>
      <c r="P551" s="15">
        <f>O551/$P$1</f>
        <v/>
      </c>
    </row>
    <row r="552" hidden="1" ht="15.75" customHeight="1" s="2">
      <c r="A552" s="17" t="inlineStr">
        <is>
          <t>осень</t>
        </is>
      </c>
      <c r="B552" s="21" t="inlineStr">
        <is>
          <t>Руководство магистрами</t>
        </is>
      </c>
      <c r="C552" s="21" t="inlineStr">
        <is>
          <t>Руководство магистрами</t>
        </is>
      </c>
      <c r="D552" s="21" t="inlineStr">
        <is>
          <t>Т11О-202М-19</t>
        </is>
      </c>
      <c r="E552" s="23" t="n">
        <v>15</v>
      </c>
      <c r="F552" s="9" t="n"/>
      <c r="G552" s="11" t="n">
        <v>0</v>
      </c>
      <c r="H552" s="9" t="n"/>
      <c r="I552" s="9" t="inlineStr">
        <is>
          <t>Бережной Дмитрий Васильевич</t>
        </is>
      </c>
      <c r="J552" s="9" t="inlineStr">
        <is>
          <t>доцент</t>
        </is>
      </c>
      <c r="K552" s="26" t="inlineStr">
        <is>
          <t>1 чел</t>
        </is>
      </c>
      <c r="L552" s="9" t="inlineStr">
        <is>
          <t>кроме одного любого дня и субботы</t>
        </is>
      </c>
      <c r="M552" s="12">
        <f>SUMIFS($E$2:$E$1130,$A$2:$A$1130,"осень",$I$2:$I$1130,I552)</f>
        <v/>
      </c>
      <c r="N552" s="13">
        <f>SUMIFS($E$2:$E$1130,$A$2:$A$1130,"весна",$I$2:$I$1130,I552)</f>
        <v/>
      </c>
      <c r="O552" s="14">
        <f>M552+N552</f>
        <v/>
      </c>
      <c r="P552" s="15">
        <f>O552/$P$1</f>
        <v/>
      </c>
    </row>
    <row r="553" hidden="1" ht="15.75" customHeight="1" s="2">
      <c r="A553" s="17" t="inlineStr">
        <is>
          <t>осень</t>
        </is>
      </c>
      <c r="B553" s="21" t="inlineStr">
        <is>
          <t>Руководство магистрами</t>
        </is>
      </c>
      <c r="C553" s="21" t="inlineStr">
        <is>
          <t>Руководство магистрами</t>
        </is>
      </c>
      <c r="D553" s="21" t="inlineStr">
        <is>
          <t>Т11О-202М-19</t>
        </is>
      </c>
      <c r="E553" s="23" t="n">
        <v>15</v>
      </c>
      <c r="F553" s="9" t="n"/>
      <c r="G553" s="11" t="n">
        <v>0</v>
      </c>
      <c r="H553" s="9" t="inlineStr">
        <is>
          <t xml:space="preserve">89067     </t>
        </is>
      </c>
      <c r="I553" s="9" t="inlineStr">
        <is>
          <t xml:space="preserve">Смыков Андрей Федорович </t>
        </is>
      </c>
      <c r="J553" s="9" t="n"/>
      <c r="K553" s="26" t="inlineStr">
        <is>
          <t>1 чел</t>
        </is>
      </c>
      <c r="L553" s="9" t="inlineStr">
        <is>
          <t>только ПН, ЧТ</t>
        </is>
      </c>
      <c r="M553" s="12">
        <f>SUMIFS($E$2:$E$1130,$A$2:$A$1130,"осень",$I$2:$I$1130,I553)</f>
        <v/>
      </c>
      <c r="N553" s="13">
        <f>SUMIFS($E$2:$E$1130,$A$2:$A$1130,"весна",$I$2:$I$1130,I553)</f>
        <v/>
      </c>
      <c r="O553" s="14">
        <f>M553+N553</f>
        <v/>
      </c>
      <c r="P553" s="15">
        <f>O553/$P$1</f>
        <v/>
      </c>
    </row>
    <row r="554" hidden="1" ht="15.75" customHeight="1" s="2">
      <c r="A554" s="17" t="inlineStr">
        <is>
          <t>осень</t>
        </is>
      </c>
      <c r="B554" s="21" t="inlineStr">
        <is>
          <t>Руководство магистрами</t>
        </is>
      </c>
      <c r="C554" s="21" t="inlineStr">
        <is>
          <t>Руководство магистрами</t>
        </is>
      </c>
      <c r="D554" s="21" t="inlineStr">
        <is>
          <t>Т11О-202М-19</t>
        </is>
      </c>
      <c r="E554" s="23" t="n">
        <v>15</v>
      </c>
      <c r="F554" s="9" t="n"/>
      <c r="G554" s="11" t="n">
        <v>0</v>
      </c>
      <c r="H554" s="9" t="inlineStr">
        <is>
          <t xml:space="preserve">82086     </t>
        </is>
      </c>
      <c r="I554" s="9" t="inlineStr">
        <is>
          <t xml:space="preserve">Ряховский Александр Павлович </t>
        </is>
      </c>
      <c r="J554" s="9" t="n"/>
      <c r="K554" s="26" t="inlineStr">
        <is>
          <t>1 чел</t>
        </is>
      </c>
      <c r="L554" s="9" t="n"/>
      <c r="M554" s="12">
        <f>SUMIFS($E$2:$E$1130,$A$2:$A$1130,"осень",$I$2:$I$1130,I554)</f>
        <v/>
      </c>
      <c r="N554" s="13">
        <f>SUMIFS($E$2:$E$1130,$A$2:$A$1130,"весна",$I$2:$I$1130,I554)</f>
        <v/>
      </c>
      <c r="O554" s="14">
        <f>M554+N554</f>
        <v/>
      </c>
      <c r="P554" s="15">
        <f>O554/$P$1</f>
        <v/>
      </c>
    </row>
    <row r="555" hidden="1" ht="15.75" customHeight="1" s="2">
      <c r="A555" s="17" t="inlineStr">
        <is>
          <t>осень</t>
        </is>
      </c>
      <c r="B555" s="18" t="inlineStr">
        <is>
          <t>Руководство магистрами</t>
        </is>
      </c>
      <c r="C555" s="18" t="inlineStr">
        <is>
          <t>Руководство магистрами</t>
        </is>
      </c>
      <c r="D555" s="18" t="inlineStr">
        <is>
          <t>Т11О-202М-19</t>
        </is>
      </c>
      <c r="E555" s="19" t="n">
        <v>15</v>
      </c>
      <c r="F555" s="18" t="n"/>
      <c r="G555" s="27" t="n">
        <v>0</v>
      </c>
      <c r="H555" s="18" t="inlineStr">
        <is>
          <t xml:space="preserve">82086     </t>
        </is>
      </c>
      <c r="I555" s="20" t="inlineStr">
        <is>
          <t xml:space="preserve">Моисеев Виктор Сергеевич </t>
        </is>
      </c>
      <c r="J555" s="18" t="n"/>
      <c r="K555" s="18" t="n"/>
      <c r="L555" s="28" t="inlineStr">
        <is>
          <t>2 чел отчисление</t>
        </is>
      </c>
      <c r="M555" s="12">
        <f>SUMIFS($E$2:$E$1130,$A$2:$A$1130,"осень",$I$2:$I$1130,I555)</f>
        <v/>
      </c>
      <c r="N555" s="13">
        <f>SUMIFS($E$2:$E$1130,$A$2:$A$1130,"весна",$I$2:$I$1130,I555)</f>
        <v/>
      </c>
      <c r="O555" s="14">
        <f>M555+N555</f>
        <v/>
      </c>
      <c r="P555" s="15">
        <f>O555/$P$1</f>
        <v/>
      </c>
    </row>
    <row r="556" hidden="1" ht="15.75" customHeight="1" s="2">
      <c r="A556" s="29" t="inlineStr">
        <is>
          <t>осень</t>
        </is>
      </c>
      <c r="B556" s="9" t="inlineStr">
        <is>
          <t>Руководство магистрами</t>
        </is>
      </c>
      <c r="C556" s="9" t="inlineStr">
        <is>
          <t>Руководство магистрами</t>
        </is>
      </c>
      <c r="D556" s="9" t="inlineStr">
        <is>
          <t>Т11О-203М-19</t>
        </is>
      </c>
      <c r="E556" s="10" t="n">
        <v>15</v>
      </c>
      <c r="F556" s="9" t="n"/>
      <c r="G556" s="11" t="n">
        <v>0</v>
      </c>
      <c r="H556" s="9" t="inlineStr">
        <is>
          <t xml:space="preserve">82060     </t>
        </is>
      </c>
      <c r="I556" s="9" t="inlineStr">
        <is>
          <t xml:space="preserve">Лозован Александр Александрович </t>
        </is>
      </c>
      <c r="J556" s="9" t="inlineStr">
        <is>
          <t>профессор</t>
        </is>
      </c>
      <c r="K556" s="9" t="n"/>
      <c r="L556" s="9" t="n"/>
      <c r="M556" s="12">
        <f>SUMIFS($E$2:$E$1130,$A$2:$A$1130,"осень",$I$2:$I$1130,I556)</f>
        <v/>
      </c>
      <c r="N556" s="13">
        <f>SUMIFS($E$2:$E$1130,$A$2:$A$1130,"весна",$I$2:$I$1130,I556)</f>
        <v/>
      </c>
      <c r="O556" s="14">
        <f>M556+N556</f>
        <v/>
      </c>
      <c r="P556" s="15">
        <f>O556/$P$1</f>
        <v/>
      </c>
    </row>
    <row r="557" hidden="1" ht="15.75" customHeight="1" s="2">
      <c r="A557" s="29" t="inlineStr">
        <is>
          <t>осень</t>
        </is>
      </c>
      <c r="B557" s="9" t="inlineStr">
        <is>
          <t>Руководство магистрами</t>
        </is>
      </c>
      <c r="C557" s="9" t="inlineStr">
        <is>
          <t>Руководство магистрами</t>
        </is>
      </c>
      <c r="D557" s="9" t="inlineStr">
        <is>
          <t>Т11О-203М-19</t>
        </is>
      </c>
      <c r="E557" s="10" t="n">
        <v>30</v>
      </c>
      <c r="F557" s="9" t="n"/>
      <c r="G557" s="11" t="n">
        <v>0</v>
      </c>
      <c r="H557" s="9" t="inlineStr">
        <is>
          <t xml:space="preserve">82066     </t>
        </is>
      </c>
      <c r="I557" s="9" t="inlineStr">
        <is>
          <t xml:space="preserve">Серов Михаил Михайлович </t>
        </is>
      </c>
      <c r="J557" s="9" t="inlineStr">
        <is>
          <t>профессор</t>
        </is>
      </c>
      <c r="K557" s="9" t="n"/>
      <c r="L557" s="9" t="n"/>
      <c r="M557" s="12">
        <f>SUMIFS($E$2:$E$1130,$A$2:$A$1130,"осень",$I$2:$I$1130,I557)</f>
        <v/>
      </c>
      <c r="N557" s="13">
        <f>SUMIFS($E$2:$E$1130,$A$2:$A$1130,"весна",$I$2:$I$1130,I557)</f>
        <v/>
      </c>
      <c r="O557" s="14">
        <f>M557+N557</f>
        <v/>
      </c>
      <c r="P557" s="15">
        <f>O557/$P$1</f>
        <v/>
      </c>
    </row>
    <row r="558" hidden="1" ht="15.75" customHeight="1" s="2">
      <c r="A558" s="29" t="inlineStr">
        <is>
          <t>осень</t>
        </is>
      </c>
      <c r="B558" s="9" t="inlineStr">
        <is>
          <t>Руководство магистрами</t>
        </is>
      </c>
      <c r="C558" s="9" t="inlineStr">
        <is>
          <t>Руководство магистрами</t>
        </is>
      </c>
      <c r="D558" s="9" t="inlineStr">
        <is>
          <t>Т11О-203М-19</t>
        </is>
      </c>
      <c r="E558" s="10" t="n">
        <v>15</v>
      </c>
      <c r="F558" s="9" t="n"/>
      <c r="G558" s="11" t="n">
        <v>0</v>
      </c>
      <c r="H558" s="9" t="inlineStr">
        <is>
          <t xml:space="preserve">87438     </t>
        </is>
      </c>
      <c r="I558" s="9" t="inlineStr">
        <is>
          <t xml:space="preserve">Конкевич Валентин Юрьевич </t>
        </is>
      </c>
      <c r="J558" s="9" t="n"/>
      <c r="K558" s="9" t="n"/>
      <c r="L558" s="9" t="n"/>
      <c r="M558" s="12">
        <f>SUMIFS($E$2:$E$1130,$A$2:$A$1130,"осень",$I$2:$I$1130,I558)</f>
        <v/>
      </c>
      <c r="N558" s="13">
        <f>SUMIFS($E$2:$E$1130,$A$2:$A$1130,"весна",$I$2:$I$1130,I558)</f>
        <v/>
      </c>
      <c r="O558" s="14">
        <f>M558+N558</f>
        <v/>
      </c>
      <c r="P558" s="15">
        <f>O558/$P$1</f>
        <v/>
      </c>
    </row>
    <row r="559" hidden="1" ht="15.75" customHeight="1" s="2">
      <c r="A559" s="29" t="inlineStr">
        <is>
          <t>осень</t>
        </is>
      </c>
      <c r="B559" s="9" t="inlineStr">
        <is>
          <t>Руководство магистрами</t>
        </is>
      </c>
      <c r="C559" s="9" t="inlineStr">
        <is>
          <t>Руководство магистрами</t>
        </is>
      </c>
      <c r="D559" s="9" t="inlineStr">
        <is>
          <t>Т11О-203М-19</t>
        </is>
      </c>
      <c r="E559" s="10" t="n">
        <v>15</v>
      </c>
      <c r="F559" s="9" t="n"/>
      <c r="G559" s="11" t="n">
        <v>0</v>
      </c>
      <c r="H559" s="9" t="inlineStr">
        <is>
          <t xml:space="preserve">92509     </t>
        </is>
      </c>
      <c r="I559" s="9" t="inlineStr">
        <is>
          <t xml:space="preserve">Пашков Игорь Николаевич </t>
        </is>
      </c>
      <c r="J559" s="9" t="n"/>
      <c r="K559" s="9" t="n"/>
      <c r="L559" s="9" t="n"/>
      <c r="M559" s="12">
        <f>SUMIFS($E$2:$E$1130,$A$2:$A$1130,"осень",$I$2:$I$1130,I559)</f>
        <v/>
      </c>
      <c r="N559" s="13">
        <f>SUMIFS($E$2:$E$1130,$A$2:$A$1130,"весна",$I$2:$I$1130,I559)</f>
        <v/>
      </c>
      <c r="O559" s="14">
        <f>M559+N559</f>
        <v/>
      </c>
      <c r="P559" s="15">
        <f>O559/$P$1</f>
        <v/>
      </c>
    </row>
    <row r="560" hidden="1" ht="15.75" customHeight="1" s="2">
      <c r="A560" s="29" t="inlineStr">
        <is>
          <t>осень</t>
        </is>
      </c>
      <c r="B560" s="18" t="inlineStr">
        <is>
          <t>Руководство магистрами</t>
        </is>
      </c>
      <c r="C560" s="18" t="inlineStr">
        <is>
          <t>Руководство магистрами</t>
        </is>
      </c>
      <c r="D560" s="18" t="inlineStr">
        <is>
          <t>Т11О-203М-19</t>
        </is>
      </c>
      <c r="E560" s="19" t="n">
        <v>30</v>
      </c>
      <c r="F560" s="18" t="n"/>
      <c r="G560" s="27" t="n">
        <v>0</v>
      </c>
      <c r="H560" s="18" t="inlineStr">
        <is>
          <t xml:space="preserve">93685     </t>
        </is>
      </c>
      <c r="I560" s="30" t="inlineStr">
        <is>
          <t xml:space="preserve">Лозован Александр Александрович </t>
        </is>
      </c>
      <c r="J560" s="18" t="n"/>
      <c r="K560" s="18" t="n"/>
      <c r="L560" s="28" t="inlineStr">
        <is>
          <t>2 чел отчисление</t>
        </is>
      </c>
      <c r="M560" s="12">
        <f>SUMIFS($E$2:$E$1130,$A$2:$A$1130,"осень",$I$2:$I$1130,I560)</f>
        <v/>
      </c>
      <c r="N560" s="13">
        <f>SUMIFS($E$2:$E$1130,$A$2:$A$1130,"весна",$I$2:$I$1130,I560)</f>
        <v/>
      </c>
      <c r="O560" s="14">
        <f>M560+N560</f>
        <v/>
      </c>
      <c r="P560" s="15">
        <f>O560/$P$1</f>
        <v/>
      </c>
    </row>
    <row r="561" hidden="1" ht="15.75" customHeight="1" s="2">
      <c r="A561" s="17" t="inlineStr">
        <is>
          <t>осень</t>
        </is>
      </c>
      <c r="B561" s="21" t="inlineStr">
        <is>
          <t>Руководство магистрами</t>
        </is>
      </c>
      <c r="C561" s="21" t="inlineStr">
        <is>
          <t>Руководство магистрами</t>
        </is>
      </c>
      <c r="D561" s="21" t="inlineStr">
        <is>
          <t>Т11О-204М-19</t>
        </is>
      </c>
      <c r="E561" s="23" t="n">
        <v>45</v>
      </c>
      <c r="F561" s="9" t="n"/>
      <c r="G561" s="11" t="n">
        <v>0</v>
      </c>
      <c r="H561" s="9" t="inlineStr">
        <is>
          <t xml:space="preserve">82056     </t>
        </is>
      </c>
      <c r="I561" s="9" t="inlineStr">
        <is>
          <t xml:space="preserve">Никитина Елена Владимировна </t>
        </is>
      </c>
      <c r="J561" s="9" t="n"/>
      <c r="K561" s="9" t="inlineStr">
        <is>
          <t>3 чел</t>
        </is>
      </c>
      <c r="L561" s="9" t="inlineStr">
        <is>
          <t>пн-пт с 13:00</t>
        </is>
      </c>
      <c r="M561" s="12">
        <f>SUMIFS($E$2:$E$1130,$A$2:$A$1130,"осень",$I$2:$I$1130,I561)</f>
        <v/>
      </c>
      <c r="N561" s="13">
        <f>SUMIFS($E$2:$E$1130,$A$2:$A$1130,"весна",$I$2:$I$1130,I561)</f>
        <v/>
      </c>
      <c r="O561" s="14">
        <f>M561+N561</f>
        <v/>
      </c>
      <c r="P561" s="15">
        <f>O561/$P$1</f>
        <v/>
      </c>
    </row>
    <row r="562" hidden="1" ht="15.75" customHeight="1" s="2">
      <c r="A562" s="17" t="inlineStr">
        <is>
          <t>осень</t>
        </is>
      </c>
      <c r="B562" s="21" t="inlineStr">
        <is>
          <t>Руководство магистрами</t>
        </is>
      </c>
      <c r="C562" s="21" t="inlineStr">
        <is>
          <t>Руководство магистрами</t>
        </is>
      </c>
      <c r="D562" s="21" t="inlineStr">
        <is>
          <t>Т11О-204М-19</t>
        </is>
      </c>
      <c r="E562" s="23" t="n">
        <v>30</v>
      </c>
      <c r="F562" s="9" t="n"/>
      <c r="G562" s="11" t="n">
        <v>0</v>
      </c>
      <c r="H562" s="9" t="inlineStr">
        <is>
          <t xml:space="preserve">87438     </t>
        </is>
      </c>
      <c r="I562" s="9" t="inlineStr">
        <is>
          <t xml:space="preserve">Конкевич Валентин Юрьевич </t>
        </is>
      </c>
      <c r="J562" s="9" t="n"/>
      <c r="K562" s="9" t="inlineStr">
        <is>
          <t>2 чел</t>
        </is>
      </c>
      <c r="L562" s="9" t="n"/>
      <c r="M562" s="12">
        <f>SUMIFS($E$2:$E$1130,$A$2:$A$1130,"осень",$I$2:$I$1130,I562)</f>
        <v/>
      </c>
      <c r="N562" s="13">
        <f>SUMIFS($E$2:$E$1130,$A$2:$A$1130,"весна",$I$2:$I$1130,I562)</f>
        <v/>
      </c>
      <c r="O562" s="14">
        <f>M562+N562</f>
        <v/>
      </c>
      <c r="P562" s="15">
        <f>O562/$P$1</f>
        <v/>
      </c>
    </row>
    <row r="563" hidden="1" ht="15.75" customHeight="1" s="2">
      <c r="A563" s="17" t="inlineStr">
        <is>
          <t>осень</t>
        </is>
      </c>
      <c r="B563" s="21" t="inlineStr">
        <is>
          <t>Руководство магистрами</t>
        </is>
      </c>
      <c r="C563" s="21" t="inlineStr">
        <is>
          <t>Руководство магистрами</t>
        </is>
      </c>
      <c r="D563" s="21" t="inlineStr">
        <is>
          <t>Т11О-204М-19</t>
        </is>
      </c>
      <c r="E563" s="23" t="n">
        <v>30</v>
      </c>
      <c r="F563" s="9" t="n"/>
      <c r="G563" s="11" t="n">
        <v>0</v>
      </c>
      <c r="H563" s="9" t="inlineStr">
        <is>
          <t xml:space="preserve">82023     </t>
        </is>
      </c>
      <c r="I563" s="9" t="inlineStr">
        <is>
          <t xml:space="preserve">Федоров Сергей Александрович </t>
        </is>
      </c>
      <c r="J563" s="9" t="n"/>
      <c r="K563" s="9" t="inlineStr">
        <is>
          <t>2 чел</t>
        </is>
      </c>
      <c r="L563" s="9" t="n"/>
      <c r="M563" s="12">
        <f>SUMIFS($E$2:$E$1130,$A$2:$A$1130,"осень",$I$2:$I$1130,I563)</f>
        <v/>
      </c>
      <c r="N563" s="13">
        <f>SUMIFS($E$2:$E$1130,$A$2:$A$1130,"весна",$I$2:$I$1130,I563)</f>
        <v/>
      </c>
      <c r="O563" s="14">
        <f>M563+N563</f>
        <v/>
      </c>
      <c r="P563" s="15">
        <f>O563/$P$1</f>
        <v/>
      </c>
    </row>
    <row r="564" hidden="1" ht="15.75" customHeight="1" s="2">
      <c r="A564" s="17" t="inlineStr">
        <is>
          <t>осень</t>
        </is>
      </c>
      <c r="B564" s="21" t="inlineStr">
        <is>
          <t>Руководство магистрами</t>
        </is>
      </c>
      <c r="C564" s="21" t="inlineStr">
        <is>
          <t>Руководство магистрами</t>
        </is>
      </c>
      <c r="D564" s="21" t="inlineStr">
        <is>
          <t>Т11О-204М-19</t>
        </is>
      </c>
      <c r="E564" s="23" t="n">
        <v>30</v>
      </c>
      <c r="F564" s="9" t="n"/>
      <c r="G564" s="11" t="n">
        <v>0</v>
      </c>
      <c r="H564" s="9" t="inlineStr">
        <is>
          <t xml:space="preserve">92509     </t>
        </is>
      </c>
      <c r="I564" s="9" t="inlineStr">
        <is>
          <t xml:space="preserve">Пашков Игорь Николаевич </t>
        </is>
      </c>
      <c r="J564" s="9" t="n"/>
      <c r="K564" s="9" t="inlineStr">
        <is>
          <t>2 чел</t>
        </is>
      </c>
      <c r="L564" s="9" t="n"/>
      <c r="M564" s="12">
        <f>SUMIFS($E$2:$E$1130,$A$2:$A$1130,"осень",$I$2:$I$1130,I564)</f>
        <v/>
      </c>
      <c r="N564" s="13">
        <f>SUMIFS($E$2:$E$1130,$A$2:$A$1130,"весна",$I$2:$I$1130,I564)</f>
        <v/>
      </c>
      <c r="O564" s="14">
        <f>M564+N564</f>
        <v/>
      </c>
      <c r="P564" s="15">
        <f>O564/$P$1</f>
        <v/>
      </c>
    </row>
    <row r="565" hidden="1" ht="15.75" customHeight="1" s="2">
      <c r="A565" s="8" t="inlineStr">
        <is>
          <t>осень</t>
        </is>
      </c>
      <c r="B565" s="9" t="inlineStr">
        <is>
          <t>Руководство аспирантами</t>
        </is>
      </c>
      <c r="C565" s="9" t="inlineStr">
        <is>
          <t>Руководство аспирантами</t>
        </is>
      </c>
      <c r="D565" s="9" t="inlineStr">
        <is>
          <t>Т11О-107А-20</t>
        </is>
      </c>
      <c r="E565" s="10" t="n">
        <v>50</v>
      </c>
      <c r="F565" s="9" t="n"/>
      <c r="G565" s="11" t="n">
        <v>0</v>
      </c>
      <c r="H565" s="9" t="inlineStr">
        <is>
          <t xml:space="preserve">82060     </t>
        </is>
      </c>
      <c r="I565" s="9" t="inlineStr">
        <is>
          <t xml:space="preserve">Лозован Александр Александрович </t>
        </is>
      </c>
      <c r="J565" s="9" t="inlineStr">
        <is>
          <t>профессор</t>
        </is>
      </c>
      <c r="K565" s="9" t="n"/>
      <c r="L565" s="9" t="inlineStr">
        <is>
          <t>Жуковский+Митрофанов</t>
        </is>
      </c>
      <c r="M565" s="12">
        <f>SUMIFS($E$2:$E$1130,$A$2:$A$1130,"осень",$I$2:$I$1130,I565)</f>
        <v/>
      </c>
      <c r="N565" s="13">
        <f>SUMIFS($E$2:$E$1130,$A$2:$A$1130,"весна",$I$2:$I$1130,I565)</f>
        <v/>
      </c>
      <c r="O565" s="14">
        <f>M565+N565</f>
        <v/>
      </c>
      <c r="P565" s="15">
        <f>O565/$P$1</f>
        <v/>
      </c>
    </row>
    <row r="566" hidden="1" ht="15.75" customHeight="1" s="2">
      <c r="A566" s="8" t="inlineStr">
        <is>
          <t>осень</t>
        </is>
      </c>
      <c r="B566" s="9" t="inlineStr">
        <is>
          <t>Руководство аспирантами</t>
        </is>
      </c>
      <c r="C566" s="9" t="inlineStr">
        <is>
          <t>Руководство аспирантами</t>
        </is>
      </c>
      <c r="D566" s="9" t="inlineStr">
        <is>
          <t>Т1О-310А-18</t>
        </is>
      </c>
      <c r="E566" s="10" t="n">
        <v>25</v>
      </c>
      <c r="F566" s="9" t="n"/>
      <c r="G566" s="11" t="n">
        <v>0</v>
      </c>
      <c r="H566" s="9" t="inlineStr">
        <is>
          <t xml:space="preserve">81732     </t>
        </is>
      </c>
      <c r="I566" s="9" t="inlineStr">
        <is>
          <t xml:space="preserve">Петров Анатолий Павлович </t>
        </is>
      </c>
      <c r="J566" s="9" t="inlineStr">
        <is>
          <t>профессор</t>
        </is>
      </c>
      <c r="K566" s="9" t="n"/>
      <c r="L566" s="9" t="inlineStr">
        <is>
          <t>Захарова (Борунова) Татьяна Ивановна</t>
        </is>
      </c>
      <c r="M566" s="12">
        <f>SUMIFS($E$2:$E$1130,$A$2:$A$1130,"осень",$I$2:$I$1130,I566)</f>
        <v/>
      </c>
      <c r="N566" s="13">
        <f>SUMIFS($E$2:$E$1130,$A$2:$A$1130,"весна",$I$2:$I$1130,I566)</f>
        <v/>
      </c>
      <c r="O566" s="14">
        <f>M566+N566</f>
        <v/>
      </c>
      <c r="P566" s="15">
        <f>O566/$P$1</f>
        <v/>
      </c>
    </row>
    <row r="567" hidden="1" ht="15.75" customHeight="1" s="2">
      <c r="A567" s="8" t="inlineStr">
        <is>
          <t>осень</t>
        </is>
      </c>
      <c r="B567" s="9" t="inlineStr">
        <is>
          <t>Руководство аспирантами</t>
        </is>
      </c>
      <c r="C567" s="9" t="inlineStr">
        <is>
          <t>Руководство аспирантами</t>
        </is>
      </c>
      <c r="D567" s="9" t="inlineStr">
        <is>
          <t>Т1О-402А-17</t>
        </is>
      </c>
      <c r="E567" s="10" t="n">
        <v>50</v>
      </c>
      <c r="F567" s="9" t="n"/>
      <c r="G567" s="11" t="n">
        <v>0</v>
      </c>
      <c r="H567" s="9" t="inlineStr">
        <is>
          <t xml:space="preserve">92509     </t>
        </is>
      </c>
      <c r="I567" s="9" t="inlineStr">
        <is>
          <t xml:space="preserve">Пашков Игорь Николаевич </t>
        </is>
      </c>
      <c r="J567" s="9" t="n"/>
      <c r="K567" s="9" t="n"/>
      <c r="L567" s="9" t="inlineStr">
        <is>
          <t>Морозов Шаргаев</t>
        </is>
      </c>
      <c r="M567" s="12">
        <f>SUMIFS($E$2:$E$1130,$A$2:$A$1130,"осень",$I$2:$I$1130,I567)</f>
        <v/>
      </c>
      <c r="N567" s="13">
        <f>SUMIFS($E$2:$E$1130,$A$2:$A$1130,"весна",$I$2:$I$1130,I567)</f>
        <v/>
      </c>
      <c r="O567" s="14">
        <f>M567+N567</f>
        <v/>
      </c>
      <c r="P567" s="15">
        <f>O567/$P$1</f>
        <v/>
      </c>
    </row>
    <row r="568" hidden="1" ht="15.75" customHeight="1" s="2">
      <c r="A568" s="8" t="inlineStr">
        <is>
          <t>осень</t>
        </is>
      </c>
      <c r="B568" s="9" t="inlineStr">
        <is>
          <t>Руководство аспирантами</t>
        </is>
      </c>
      <c r="C568" s="9" t="inlineStr">
        <is>
          <t>Руководство аспирантами</t>
        </is>
      </c>
      <c r="D568" s="9" t="inlineStr">
        <is>
          <t>Т1О-407А-17</t>
        </is>
      </c>
      <c r="E568" s="10" t="n">
        <v>25</v>
      </c>
      <c r="F568" s="9" t="n"/>
      <c r="G568" s="11" t="n">
        <v>0</v>
      </c>
      <c r="H568" s="9" t="inlineStr">
        <is>
          <t xml:space="preserve">82060     </t>
        </is>
      </c>
      <c r="I568" s="9" t="inlineStr">
        <is>
          <t xml:space="preserve">Лозован Александр Александрович </t>
        </is>
      </c>
      <c r="J568" s="9" t="inlineStr">
        <is>
          <t>профессор</t>
        </is>
      </c>
      <c r="K568" s="9" t="n"/>
      <c r="L568" s="9" t="inlineStr">
        <is>
          <t>Павлов</t>
        </is>
      </c>
      <c r="M568" s="12">
        <f>SUMIFS($E$2:$E$1130,$A$2:$A$1130,"осень",$I$2:$I$1130,I568)</f>
        <v/>
      </c>
      <c r="N568" s="13">
        <f>SUMIFS($E$2:$E$1130,$A$2:$A$1130,"весна",$I$2:$I$1130,I568)</f>
        <v/>
      </c>
      <c r="O568" s="14">
        <f>M568+N568</f>
        <v/>
      </c>
      <c r="P568" s="15">
        <f>O568/$P$1</f>
        <v/>
      </c>
    </row>
    <row r="569" hidden="1" ht="15.75" customHeight="1" s="2">
      <c r="A569" s="8" t="inlineStr">
        <is>
          <t>осень</t>
        </is>
      </c>
      <c r="B569" s="9" t="inlineStr">
        <is>
          <t>Руководство аспирантами</t>
        </is>
      </c>
      <c r="C569" s="9" t="inlineStr">
        <is>
          <t>Руководство аспирантами</t>
        </is>
      </c>
      <c r="D569" s="9" t="inlineStr">
        <is>
          <t>Т11О-302А-18</t>
        </is>
      </c>
      <c r="E569" s="10" t="n">
        <v>25</v>
      </c>
      <c r="F569" s="9" t="n"/>
      <c r="G569" s="11" t="n">
        <v>0</v>
      </c>
      <c r="H569" s="9" t="inlineStr">
        <is>
          <t xml:space="preserve">92509     </t>
        </is>
      </c>
      <c r="I569" s="9" t="inlineStr">
        <is>
          <t xml:space="preserve">Пашков Игорь Николаевич </t>
        </is>
      </c>
      <c r="J569" s="9" t="n"/>
      <c r="K569" s="9" t="n"/>
      <c r="L569" s="9" t="inlineStr">
        <is>
          <t>Мисников Валерий Евгеньевич</t>
        </is>
      </c>
      <c r="M569" s="12">
        <f>SUMIFS($E$2:$E$1130,$A$2:$A$1130,"осень",$I$2:$I$1130,I569)</f>
        <v/>
      </c>
      <c r="N569" s="13">
        <f>SUMIFS($E$2:$E$1130,$A$2:$A$1130,"весна",$I$2:$I$1130,I569)</f>
        <v/>
      </c>
      <c r="O569" s="14">
        <f>M569+N569</f>
        <v/>
      </c>
      <c r="P569" s="15">
        <f>O569/$P$1</f>
        <v/>
      </c>
    </row>
    <row r="570" hidden="1" ht="15.75" customHeight="1" s="2">
      <c r="A570" s="8" t="inlineStr">
        <is>
          <t>осень</t>
        </is>
      </c>
      <c r="B570" s="9" t="inlineStr">
        <is>
          <t>Руководство аспирантами</t>
        </is>
      </c>
      <c r="C570" s="9" t="inlineStr">
        <is>
          <t>Руководство аспирантами</t>
        </is>
      </c>
      <c r="D570" s="9" t="inlineStr">
        <is>
          <t>Т11О-307А-18</t>
        </is>
      </c>
      <c r="E570" s="10" t="n">
        <v>75</v>
      </c>
      <c r="F570" s="9" t="n"/>
      <c r="G570" s="11" t="n">
        <v>0</v>
      </c>
      <c r="H570" s="9" t="inlineStr">
        <is>
          <t xml:space="preserve">82060     </t>
        </is>
      </c>
      <c r="I570" s="9" t="inlineStr">
        <is>
          <t xml:space="preserve">Лозован Александр Александрович </t>
        </is>
      </c>
      <c r="J570" s="9" t="inlineStr">
        <is>
          <t>профессор</t>
        </is>
      </c>
      <c r="K570" s="9" t="n"/>
      <c r="L570" s="9" t="inlineStr">
        <is>
          <t>Быкадоров Кубатина Иванов</t>
        </is>
      </c>
      <c r="M570" s="12">
        <f>SUMIFS($E$2:$E$1130,$A$2:$A$1130,"осень",$I$2:$I$1130,I570)</f>
        <v/>
      </c>
      <c r="N570" s="13">
        <f>SUMIFS($E$2:$E$1130,$A$2:$A$1130,"весна",$I$2:$I$1130,I570)</f>
        <v/>
      </c>
      <c r="O570" s="14">
        <f>M570+N570</f>
        <v/>
      </c>
      <c r="P570" s="15">
        <f>O570/$P$1</f>
        <v/>
      </c>
    </row>
    <row r="571" hidden="1" ht="15.75" customHeight="1" s="2">
      <c r="A571" s="8" t="inlineStr">
        <is>
          <t>осень</t>
        </is>
      </c>
      <c r="B571" s="9" t="inlineStr">
        <is>
          <t>Руководство аспирантами</t>
        </is>
      </c>
      <c r="C571" s="9" t="inlineStr">
        <is>
          <t>Руководство аспирантами</t>
        </is>
      </c>
      <c r="D571" s="9" t="inlineStr">
        <is>
          <t>Т11О-202А-19</t>
        </is>
      </c>
      <c r="E571" s="10" t="n">
        <v>25</v>
      </c>
      <c r="F571" s="9" t="n"/>
      <c r="G571" s="11" t="n">
        <v>0</v>
      </c>
      <c r="H571" s="9" t="inlineStr">
        <is>
          <t xml:space="preserve">92509     </t>
        </is>
      </c>
      <c r="I571" s="9" t="inlineStr">
        <is>
          <t xml:space="preserve">Пашков Игорь Николаевич </t>
        </is>
      </c>
      <c r="J571" s="9" t="n"/>
      <c r="K571" s="9" t="n"/>
      <c r="L571" s="9" t="inlineStr">
        <is>
          <t>Степанов Максим Александрович</t>
        </is>
      </c>
      <c r="M571" s="12">
        <f>SUMIFS($E$2:$E$1130,$A$2:$A$1130,"осень",$I$2:$I$1130,I571)</f>
        <v/>
      </c>
      <c r="N571" s="13">
        <f>SUMIFS($E$2:$E$1130,$A$2:$A$1130,"весна",$I$2:$I$1130,I571)</f>
        <v/>
      </c>
      <c r="O571" s="14">
        <f>M571+N571</f>
        <v/>
      </c>
      <c r="P571" s="15">
        <f>O571/$P$1</f>
        <v/>
      </c>
    </row>
    <row r="572" hidden="1" ht="15.75" customHeight="1" s="2">
      <c r="A572" s="8" t="inlineStr">
        <is>
          <t>осень</t>
        </is>
      </c>
      <c r="B572" s="9" t="inlineStr">
        <is>
          <t>Руководство аспирантами</t>
        </is>
      </c>
      <c r="C572" s="9" t="inlineStr">
        <is>
          <t>Руководство аспирантами</t>
        </is>
      </c>
      <c r="D572" s="9" t="inlineStr">
        <is>
          <t>Т11О-207А-19</t>
        </is>
      </c>
      <c r="E572" s="10" t="n">
        <v>25</v>
      </c>
      <c r="F572" s="9" t="n"/>
      <c r="G572" s="11" t="n">
        <v>0</v>
      </c>
      <c r="H572" s="9" t="inlineStr">
        <is>
          <t xml:space="preserve">82060     </t>
        </is>
      </c>
      <c r="I572" s="9" t="inlineStr">
        <is>
          <t xml:space="preserve">Лозован Александр Александрович </t>
        </is>
      </c>
      <c r="J572" s="9" t="inlineStr">
        <is>
          <t>профессор</t>
        </is>
      </c>
      <c r="K572" s="9" t="n"/>
      <c r="L572" s="9" t="inlineStr">
        <is>
          <t>Козлов</t>
        </is>
      </c>
      <c r="M572" s="12">
        <f>SUMIFS($E$2:$E$1130,$A$2:$A$1130,"осень",$I$2:$I$1130,I572)</f>
        <v/>
      </c>
      <c r="N572" s="13">
        <f>SUMIFS($E$2:$E$1130,$A$2:$A$1130,"весна",$I$2:$I$1130,I572)</f>
        <v/>
      </c>
      <c r="O572" s="14">
        <f>M572+N572</f>
        <v/>
      </c>
      <c r="P572" s="15">
        <f>O572/$P$1</f>
        <v/>
      </c>
    </row>
    <row r="573" hidden="1" ht="15.75" customHeight="1" s="2">
      <c r="A573" s="8" t="inlineStr">
        <is>
          <t>осень</t>
        </is>
      </c>
      <c r="B573" s="9" t="inlineStr">
        <is>
          <t>Руководство аспирантами</t>
        </is>
      </c>
      <c r="C573" s="9" t="inlineStr">
        <is>
          <t>Руководство аспирантами</t>
        </is>
      </c>
      <c r="D573" s="9" t="inlineStr">
        <is>
          <t>Т11О-207А-19</t>
        </is>
      </c>
      <c r="E573" s="10" t="n">
        <v>50</v>
      </c>
      <c r="F573" s="9" t="n"/>
      <c r="G573" s="11" t="n">
        <v>0</v>
      </c>
      <c r="H573" s="9" t="inlineStr">
        <is>
          <t xml:space="preserve">82066     </t>
        </is>
      </c>
      <c r="I573" s="9" t="inlineStr">
        <is>
          <t xml:space="preserve">Серов Михаил Михайлович </t>
        </is>
      </c>
      <c r="J573" s="9" t="inlineStr">
        <is>
          <t>профессор</t>
        </is>
      </c>
      <c r="K573" s="9" t="n"/>
      <c r="L573" s="9" t="inlineStr">
        <is>
          <t>Патрушев Ярошенко</t>
        </is>
      </c>
      <c r="M573" s="12">
        <f>SUMIFS($E$2:$E$1130,$A$2:$A$1130,"осень",$I$2:$I$1130,I573)</f>
        <v/>
      </c>
      <c r="N573" s="13">
        <f>SUMIFS($E$2:$E$1130,$A$2:$A$1130,"весна",$I$2:$I$1130,I573)</f>
        <v/>
      </c>
      <c r="O573" s="14">
        <f>M573+N573</f>
        <v/>
      </c>
      <c r="P573" s="15">
        <f>O573/$P$1</f>
        <v/>
      </c>
    </row>
    <row r="574" hidden="1" ht="15.75" customHeight="1" s="2">
      <c r="A574" s="9" t="inlineStr">
        <is>
          <t>весна</t>
        </is>
      </c>
      <c r="B574" s="9" t="inlineStr">
        <is>
          <t>ИДПО</t>
        </is>
      </c>
      <c r="C574" s="9" t="inlineStr">
        <is>
          <t>ИДПО</t>
        </is>
      </c>
      <c r="D574" s="9" t="n"/>
      <c r="E574" s="10" t="n">
        <v>75</v>
      </c>
      <c r="F574" s="9" t="n"/>
      <c r="G574" s="11" t="n">
        <v>0</v>
      </c>
      <c r="H574" s="9" t="inlineStr">
        <is>
          <t xml:space="preserve">89067     </t>
        </is>
      </c>
      <c r="I574" s="9" t="inlineStr">
        <is>
          <t xml:space="preserve">Ряховский Александр Павлович </t>
        </is>
      </c>
      <c r="J574" s="9" t="inlineStr">
        <is>
          <t>доцент</t>
        </is>
      </c>
      <c r="K574" s="9" t="n"/>
      <c r="L574" s="9" t="n"/>
      <c r="M574" s="12">
        <f>SUMIFS($E$2:$E$1130,$A$2:$A$1130,"осень",$I$2:$I$1130,I574)</f>
        <v/>
      </c>
      <c r="N574" s="13">
        <f>SUMIFS($E$2:$E$1130,$A$2:$A$1130,"весна",$I$2:$I$1130,I574)</f>
        <v/>
      </c>
      <c r="O574" s="14">
        <f>M574+N574</f>
        <v/>
      </c>
      <c r="P574" s="15">
        <f>O574/$P$1</f>
        <v/>
      </c>
    </row>
    <row r="575" hidden="1" ht="15.75" customHeight="1" s="2">
      <c r="A575" s="9" t="inlineStr">
        <is>
          <t>весна</t>
        </is>
      </c>
      <c r="B575" s="9" t="inlineStr">
        <is>
          <t>ИДПО</t>
        </is>
      </c>
      <c r="C575" s="9" t="inlineStr">
        <is>
          <t>ИДПО</t>
        </is>
      </c>
      <c r="D575" s="9" t="n"/>
      <c r="E575" s="10" t="n">
        <v>25</v>
      </c>
      <c r="F575" s="9" t="n"/>
      <c r="G575" s="11" t="n">
        <v>0</v>
      </c>
      <c r="H575" s="9" t="inlineStr">
        <is>
          <t xml:space="preserve">82026     </t>
        </is>
      </c>
      <c r="I575" s="9" t="inlineStr">
        <is>
          <t xml:space="preserve">Александрова Светлана Сергеевна </t>
        </is>
      </c>
      <c r="J575" s="9" t="inlineStr">
        <is>
          <t>доцент</t>
        </is>
      </c>
      <c r="K575" s="9" t="n"/>
      <c r="L575" s="9" t="n"/>
      <c r="M575" s="12">
        <f>SUMIFS($E$2:$E$1130,$A$2:$A$1130,"осень",$I$2:$I$1130,I575)</f>
        <v/>
      </c>
      <c r="N575" s="13">
        <f>SUMIFS($E$2:$E$1130,$A$2:$A$1130,"весна",$I$2:$I$1130,I575)</f>
        <v/>
      </c>
      <c r="O575" s="14">
        <f>M575+N575</f>
        <v/>
      </c>
      <c r="P575" s="15">
        <f>O575/$P$1</f>
        <v/>
      </c>
    </row>
    <row r="576" hidden="1" ht="15.75" customHeight="1" s="2">
      <c r="A576" s="9" t="inlineStr">
        <is>
          <t>весна</t>
        </is>
      </c>
      <c r="B576" s="9" t="inlineStr">
        <is>
          <t>ИДПО</t>
        </is>
      </c>
      <c r="C576" s="9" t="inlineStr">
        <is>
          <t>ИДПО</t>
        </is>
      </c>
      <c r="D576" s="9" t="n"/>
      <c r="E576" s="10" t="n">
        <v>50</v>
      </c>
      <c r="F576" s="9" t="n"/>
      <c r="G576" s="11" t="n">
        <v>0</v>
      </c>
      <c r="H576" s="9" t="inlineStr">
        <is>
          <t xml:space="preserve">82020     </t>
        </is>
      </c>
      <c r="I576" s="9" t="inlineStr">
        <is>
          <t xml:space="preserve">Варфоломеев Максим Сергеевич </t>
        </is>
      </c>
      <c r="J576" s="9" t="inlineStr">
        <is>
          <t>доцент</t>
        </is>
      </c>
      <c r="K576" s="9" t="n"/>
      <c r="L576" s="9" t="n"/>
      <c r="M576" s="12">
        <f>SUMIFS($E$2:$E$1130,$A$2:$A$1130,"осень",$I$2:$I$1130,I576)</f>
        <v/>
      </c>
      <c r="N576" s="13">
        <f>SUMIFS($E$2:$E$1130,$A$2:$A$1130,"весна",$I$2:$I$1130,I576)</f>
        <v/>
      </c>
      <c r="O576" s="14">
        <f>M576+N576</f>
        <v/>
      </c>
      <c r="P576" s="15">
        <f>O576/$P$1</f>
        <v/>
      </c>
    </row>
    <row r="577" hidden="1" ht="15.75" customHeight="1" s="2">
      <c r="A577" s="9" t="inlineStr">
        <is>
          <t>весна</t>
        </is>
      </c>
      <c r="B577" s="9" t="inlineStr">
        <is>
          <t>Руководство кафедрой</t>
        </is>
      </c>
      <c r="C577" s="9" t="inlineStr">
        <is>
          <t>Руководство кафедрой</t>
        </is>
      </c>
      <c r="D577" s="9" t="n"/>
      <c r="E577" s="10" t="n">
        <v>30</v>
      </c>
      <c r="F577" s="9" t="n"/>
      <c r="G577" s="11" t="n">
        <v>0</v>
      </c>
      <c r="H577" s="9" t="inlineStr">
        <is>
          <t xml:space="preserve">82061     </t>
        </is>
      </c>
      <c r="I577" s="9" t="inlineStr">
        <is>
          <t xml:space="preserve">Моисеев Виктор Сергеевич </t>
        </is>
      </c>
      <c r="J577" s="9" t="n"/>
      <c r="K577" s="9" t="n"/>
      <c r="L577" s="9" t="n"/>
      <c r="M577" s="12">
        <f>SUMIFS($E$2:$E$1130,$A$2:$A$1130,"осень",$I$2:$I$1130,I577)</f>
        <v/>
      </c>
      <c r="N577" s="13">
        <f>SUMIFS($E$2:$E$1130,$A$2:$A$1130,"весна",$I$2:$I$1130,I577)</f>
        <v/>
      </c>
      <c r="O577" s="14">
        <f>M577+N577</f>
        <v/>
      </c>
      <c r="P577" s="15">
        <f>O577/$P$1</f>
        <v/>
      </c>
    </row>
    <row r="578" hidden="1" ht="15.75" customHeight="1" s="2">
      <c r="A578" s="9" t="inlineStr">
        <is>
          <t>весна</t>
        </is>
      </c>
      <c r="B578" s="9" t="inlineStr">
        <is>
          <t>Информационные технологии в ОМД</t>
        </is>
      </c>
      <c r="C578" s="9" t="inlineStr">
        <is>
          <t>ЛК</t>
        </is>
      </c>
      <c r="D578" s="9" t="inlineStr">
        <is>
          <t>Т1О-401Б-17</t>
        </is>
      </c>
      <c r="E578" s="10" t="n">
        <v>24</v>
      </c>
      <c r="F578" s="9" t="inlineStr">
        <is>
          <t>06256</t>
        </is>
      </c>
      <c r="G578" s="10" t="n">
        <v>24</v>
      </c>
      <c r="H578" s="9" t="inlineStr">
        <is>
          <t xml:space="preserve">81720     </t>
        </is>
      </c>
      <c r="I578" s="9" t="inlineStr">
        <is>
          <t xml:space="preserve">Палтиевич Андрей Романович </t>
        </is>
      </c>
      <c r="J578" s="9" t="n"/>
      <c r="K578" s="9" t="n"/>
      <c r="L578" s="9" t="inlineStr">
        <is>
          <t>Кроме вторника</t>
        </is>
      </c>
      <c r="M578" s="12">
        <f>SUMIFS($E$2:$E$1130,$A$2:$A$1130,"осень",$I$2:$I$1130,I578)</f>
        <v/>
      </c>
      <c r="N578" s="13">
        <f>SUMIFS($E$2:$E$1130,$A$2:$A$1130,"весна",$I$2:$I$1130,I578)</f>
        <v/>
      </c>
      <c r="O578" s="14">
        <f>M578+N578</f>
        <v/>
      </c>
      <c r="P578" s="15">
        <f>O578/$P$1</f>
        <v/>
      </c>
    </row>
    <row r="579" hidden="1" ht="15.75" customHeight="1" s="2">
      <c r="A579" s="9" t="inlineStr">
        <is>
          <t>весна</t>
        </is>
      </c>
      <c r="B579" s="9" t="inlineStr">
        <is>
          <t>Информационные технологии в ОМД</t>
        </is>
      </c>
      <c r="C579" s="9" t="inlineStr">
        <is>
          <t>ЛР</t>
        </is>
      </c>
      <c r="D579" s="9" t="inlineStr">
        <is>
          <t>Т1О-401Б-17</t>
        </is>
      </c>
      <c r="E579" s="10" t="n">
        <v>80</v>
      </c>
      <c r="F579" s="9" t="inlineStr">
        <is>
          <t>06256</t>
        </is>
      </c>
      <c r="G579" s="10" t="n">
        <v>40</v>
      </c>
      <c r="H579" s="9" t="inlineStr">
        <is>
          <t xml:space="preserve">81720     </t>
        </is>
      </c>
      <c r="I579" s="9" t="inlineStr">
        <is>
          <t xml:space="preserve">Палтиевич Андрей Романович </t>
        </is>
      </c>
      <c r="J579" s="9" t="n"/>
      <c r="K579" s="9" t="n"/>
      <c r="L579" s="9" t="inlineStr">
        <is>
          <t>Кроме вторника</t>
        </is>
      </c>
      <c r="M579" s="12">
        <f>SUMIFS($E$2:$E$1130,$A$2:$A$1130,"осень",$I$2:$I$1130,I579)</f>
        <v/>
      </c>
      <c r="N579" s="13">
        <f>SUMIFS($E$2:$E$1130,$A$2:$A$1130,"весна",$I$2:$I$1130,I579)</f>
        <v/>
      </c>
      <c r="O579" s="14">
        <f>M579+N579</f>
        <v/>
      </c>
      <c r="P579" s="15">
        <f>O579/$P$1</f>
        <v/>
      </c>
    </row>
    <row r="580" hidden="1" ht="15.75" customHeight="1" s="2">
      <c r="A580" s="9" t="inlineStr">
        <is>
          <t>весна</t>
        </is>
      </c>
      <c r="B580" s="9" t="inlineStr">
        <is>
          <t>Информационные технологии в ОМД</t>
        </is>
      </c>
      <c r="C580" s="9" t="inlineStr">
        <is>
          <t>Зачет</t>
        </is>
      </c>
      <c r="D580" s="9" t="inlineStr">
        <is>
          <t>Т1О-401Б-17</t>
        </is>
      </c>
      <c r="E580" s="10" t="n">
        <v>6</v>
      </c>
      <c r="F580" s="9" t="inlineStr">
        <is>
          <t>06256</t>
        </is>
      </c>
      <c r="G580" s="11" t="n">
        <v>0</v>
      </c>
      <c r="H580" s="9" t="inlineStr">
        <is>
          <t xml:space="preserve">81720     </t>
        </is>
      </c>
      <c r="I580" s="9" t="inlineStr">
        <is>
          <t xml:space="preserve">Палтиевич Андрей Романович </t>
        </is>
      </c>
      <c r="J580" s="9" t="n"/>
      <c r="K580" s="9" t="n"/>
      <c r="L580" s="9" t="inlineStr">
        <is>
          <t>Кроме вторника</t>
        </is>
      </c>
      <c r="M580" s="12">
        <f>SUMIFS($E$2:$E$1130,$A$2:$A$1130,"осень",$I$2:$I$1130,I580)</f>
        <v/>
      </c>
      <c r="N580" s="13">
        <f>SUMIFS($E$2:$E$1130,$A$2:$A$1130,"весна",$I$2:$I$1130,I580)</f>
        <v/>
      </c>
      <c r="O580" s="14">
        <f>M580+N580</f>
        <v/>
      </c>
      <c r="P580" s="15">
        <f>O580/$P$1</f>
        <v/>
      </c>
    </row>
    <row r="581" hidden="1" ht="15.75" customHeight="1" s="2">
      <c r="A581" s="9" t="inlineStr">
        <is>
          <t>весна</t>
        </is>
      </c>
      <c r="B581" s="9" t="inlineStr">
        <is>
          <t>Информационные технологии в ОМД</t>
        </is>
      </c>
      <c r="C581" s="9" t="inlineStr">
        <is>
          <t>Консультация</t>
        </is>
      </c>
      <c r="D581" s="9" t="inlineStr">
        <is>
          <t>Т1О-401Б-17</t>
        </is>
      </c>
      <c r="E581" s="10" t="n">
        <v>1</v>
      </c>
      <c r="F581" s="9" t="inlineStr">
        <is>
          <t>06256</t>
        </is>
      </c>
      <c r="G581" s="11" t="n">
        <v>0</v>
      </c>
      <c r="H581" s="9" t="inlineStr">
        <is>
          <t xml:space="preserve">81720     </t>
        </is>
      </c>
      <c r="I581" s="9" t="inlineStr">
        <is>
          <t xml:space="preserve">Палтиевич Андрей Романович </t>
        </is>
      </c>
      <c r="J581" s="9" t="n"/>
      <c r="K581" s="9" t="n"/>
      <c r="L581" s="9" t="inlineStr">
        <is>
          <t>Кроме вторника</t>
        </is>
      </c>
      <c r="M581" s="12">
        <f>SUMIFS($E$2:$E$1130,$A$2:$A$1130,"осень",$I$2:$I$1130,I581)</f>
        <v/>
      </c>
      <c r="N581" s="13">
        <f>SUMIFS($E$2:$E$1130,$A$2:$A$1130,"весна",$I$2:$I$1130,I581)</f>
        <v/>
      </c>
      <c r="O581" s="14">
        <f>M581+N581</f>
        <v/>
      </c>
      <c r="P581" s="15">
        <f>O581/$P$1</f>
        <v/>
      </c>
    </row>
    <row r="582" hidden="1" ht="15.75" customHeight="1" s="2">
      <c r="A582" s="9" t="inlineStr">
        <is>
          <t>весна</t>
        </is>
      </c>
      <c r="B582" s="9" t="inlineStr">
        <is>
          <t>Теория кузнечно-штамповочного производства</t>
        </is>
      </c>
      <c r="C582" s="9" t="inlineStr">
        <is>
          <t>ЛК</t>
        </is>
      </c>
      <c r="D582" s="9" t="inlineStr">
        <is>
          <t>Т1В-412Б-17</t>
        </is>
      </c>
      <c r="E582" s="10" t="n">
        <v>22</v>
      </c>
      <c r="F582" s="9" t="inlineStr">
        <is>
          <t>08769</t>
        </is>
      </c>
      <c r="G582" s="10" t="n">
        <v>22</v>
      </c>
      <c r="H582" s="9" t="inlineStr">
        <is>
          <t xml:space="preserve">81729     </t>
        </is>
      </c>
      <c r="I582" s="9" t="inlineStr">
        <is>
          <t xml:space="preserve">Соколов Алексей Викторович </t>
        </is>
      </c>
      <c r="J582" s="9" t="inlineStr">
        <is>
          <t>доцент</t>
        </is>
      </c>
      <c r="K582" s="9" t="n"/>
      <c r="L582" s="9" t="n"/>
      <c r="M582" s="12">
        <f>SUMIFS($E$2:$E$1130,$A$2:$A$1130,"осень",$I$2:$I$1130,I582)</f>
        <v/>
      </c>
      <c r="N582" s="13">
        <f>SUMIFS($E$2:$E$1130,$A$2:$A$1130,"весна",$I$2:$I$1130,I582)</f>
        <v/>
      </c>
      <c r="O582" s="14">
        <f>M582+N582</f>
        <v/>
      </c>
      <c r="P582" s="15">
        <f>O582/$P$1</f>
        <v/>
      </c>
    </row>
    <row r="583" hidden="1" ht="15.75" customHeight="1" s="2">
      <c r="A583" s="9" t="inlineStr">
        <is>
          <t>весна</t>
        </is>
      </c>
      <c r="B583" s="9" t="inlineStr">
        <is>
          <t>Теория кузнечно-штамповочного производства</t>
        </is>
      </c>
      <c r="C583" s="9" t="inlineStr">
        <is>
          <t>ПЗ</t>
        </is>
      </c>
      <c r="D583" s="9" t="inlineStr">
        <is>
          <t>Т1В-412Б-17</t>
        </is>
      </c>
      <c r="E583" s="10" t="n">
        <v>28</v>
      </c>
      <c r="F583" s="9" t="inlineStr">
        <is>
          <t>08769</t>
        </is>
      </c>
      <c r="G583" s="10" t="n">
        <v>28</v>
      </c>
      <c r="H583" s="9" t="inlineStr">
        <is>
          <t xml:space="preserve">81729     </t>
        </is>
      </c>
      <c r="I583" s="9" t="inlineStr">
        <is>
          <t xml:space="preserve">Соколов Алексей Викторович </t>
        </is>
      </c>
      <c r="J583" s="9" t="inlineStr">
        <is>
          <t>доцент</t>
        </is>
      </c>
      <c r="K583" s="9" t="n"/>
      <c r="L583" s="9" t="n"/>
      <c r="M583" s="12">
        <f>SUMIFS($E$2:$E$1130,$A$2:$A$1130,"осень",$I$2:$I$1130,I583)</f>
        <v/>
      </c>
      <c r="N583" s="13">
        <f>SUMIFS($E$2:$E$1130,$A$2:$A$1130,"весна",$I$2:$I$1130,I583)</f>
        <v/>
      </c>
      <c r="O583" s="14">
        <f>M583+N583</f>
        <v/>
      </c>
      <c r="P583" s="15">
        <f>O583/$P$1</f>
        <v/>
      </c>
    </row>
    <row r="584" hidden="1" ht="15.75" customHeight="1" s="2">
      <c r="A584" s="9" t="inlineStr">
        <is>
          <t>весна</t>
        </is>
      </c>
      <c r="B584" s="9" t="inlineStr">
        <is>
          <t>Теория кузнечно-штамповочного производства</t>
        </is>
      </c>
      <c r="C584" s="9" t="inlineStr">
        <is>
          <t>Зачет</t>
        </is>
      </c>
      <c r="D584" s="9" t="inlineStr">
        <is>
          <t>Т1В-412Б-17</t>
        </is>
      </c>
      <c r="E584" s="10" t="n">
        <v>4</v>
      </c>
      <c r="F584" s="9" t="inlineStr">
        <is>
          <t>08769</t>
        </is>
      </c>
      <c r="G584" s="11" t="n">
        <v>0</v>
      </c>
      <c r="H584" s="9" t="inlineStr">
        <is>
          <t xml:space="preserve">81729     </t>
        </is>
      </c>
      <c r="I584" s="9" t="inlineStr">
        <is>
          <t xml:space="preserve">Соколов Алексей Викторович </t>
        </is>
      </c>
      <c r="J584" s="9" t="inlineStr">
        <is>
          <t>доцент</t>
        </is>
      </c>
      <c r="K584" s="9" t="n"/>
      <c r="L584" s="9" t="n"/>
      <c r="M584" s="12">
        <f>SUMIFS($E$2:$E$1130,$A$2:$A$1130,"осень",$I$2:$I$1130,I584)</f>
        <v/>
      </c>
      <c r="N584" s="13">
        <f>SUMIFS($E$2:$E$1130,$A$2:$A$1130,"весна",$I$2:$I$1130,I584)</f>
        <v/>
      </c>
      <c r="O584" s="14">
        <f>M584+N584</f>
        <v/>
      </c>
      <c r="P584" s="15">
        <f>O584/$P$1</f>
        <v/>
      </c>
    </row>
    <row r="585" hidden="1" ht="15.75" customHeight="1" s="2">
      <c r="A585" s="9" t="inlineStr">
        <is>
          <t>весна</t>
        </is>
      </c>
      <c r="B585" s="9" t="inlineStr">
        <is>
          <t>Теория кузнечно-штамповочного производства</t>
        </is>
      </c>
      <c r="C585" s="9" t="inlineStr">
        <is>
          <t>Консультация</t>
        </is>
      </c>
      <c r="D585" s="9" t="inlineStr">
        <is>
          <t>Т1В-412Б-17</t>
        </is>
      </c>
      <c r="E585" s="10" t="n">
        <v>2</v>
      </c>
      <c r="F585" s="9" t="inlineStr">
        <is>
          <t>08769</t>
        </is>
      </c>
      <c r="G585" s="11" t="n">
        <v>0</v>
      </c>
      <c r="H585" s="9" t="inlineStr">
        <is>
          <t xml:space="preserve">81729     </t>
        </is>
      </c>
      <c r="I585" s="9" t="inlineStr">
        <is>
          <t xml:space="preserve">Соколов Алексей Викторович </t>
        </is>
      </c>
      <c r="J585" s="9" t="inlineStr">
        <is>
          <t>доцент</t>
        </is>
      </c>
      <c r="K585" s="9" t="n"/>
      <c r="L585" s="9" t="n"/>
      <c r="M585" s="12">
        <f>SUMIFS($E$2:$E$1130,$A$2:$A$1130,"осень",$I$2:$I$1130,I585)</f>
        <v/>
      </c>
      <c r="N585" s="13">
        <f>SUMIFS($E$2:$E$1130,$A$2:$A$1130,"весна",$I$2:$I$1130,I585)</f>
        <v/>
      </c>
      <c r="O585" s="14">
        <f>M585+N585</f>
        <v/>
      </c>
      <c r="P585" s="15">
        <f>O585/$P$1</f>
        <v/>
      </c>
    </row>
    <row r="586" hidden="1" ht="15.75" customHeight="1" s="2">
      <c r="A586" s="9" t="inlineStr">
        <is>
          <t>весна</t>
        </is>
      </c>
      <c r="B586" s="9" t="inlineStr">
        <is>
          <t>Теория и технология гидропрессования</t>
        </is>
      </c>
      <c r="C586" s="9" t="inlineStr">
        <is>
          <t>ЛК</t>
        </is>
      </c>
      <c r="D586" s="9" t="inlineStr">
        <is>
          <t>Т1В-412Б-17</t>
        </is>
      </c>
      <c r="E586" s="10" t="n">
        <v>22</v>
      </c>
      <c r="F586" s="9" t="inlineStr">
        <is>
          <t>08769</t>
        </is>
      </c>
      <c r="G586" s="10" t="n">
        <v>22</v>
      </c>
      <c r="H586" s="9" t="inlineStr">
        <is>
          <t xml:space="preserve">81730     </t>
        </is>
      </c>
      <c r="I586" s="9" t="inlineStr">
        <is>
          <t>Федоров Анатолий Александрович</t>
        </is>
      </c>
      <c r="J586" s="9" t="inlineStr">
        <is>
          <t>профессор</t>
        </is>
      </c>
      <c r="K586" s="9" t="n"/>
      <c r="L586" s="9" t="n"/>
      <c r="M586" s="12">
        <f>SUMIFS($E$2:$E$1130,$A$2:$A$1130,"осень",$I$2:$I$1130,I586)</f>
        <v/>
      </c>
      <c r="N586" s="13">
        <f>SUMIFS($E$2:$E$1130,$A$2:$A$1130,"весна",$I$2:$I$1130,I586)</f>
        <v/>
      </c>
      <c r="O586" s="14">
        <f>M586+N586</f>
        <v/>
      </c>
      <c r="P586" s="15">
        <f>O586/$P$1</f>
        <v/>
      </c>
    </row>
    <row r="587" hidden="1" ht="15.75" customHeight="1" s="2">
      <c r="A587" s="9" t="inlineStr">
        <is>
          <t>весна</t>
        </is>
      </c>
      <c r="B587" s="9" t="inlineStr">
        <is>
          <t>Теория и технология гидропрессования</t>
        </is>
      </c>
      <c r="C587" s="9" t="inlineStr">
        <is>
          <t>ПЗ</t>
        </is>
      </c>
      <c r="D587" s="9" t="inlineStr">
        <is>
          <t>Т1В-412Б-17</t>
        </is>
      </c>
      <c r="E587" s="10" t="n">
        <v>28</v>
      </c>
      <c r="F587" s="9" t="inlineStr">
        <is>
          <t>08769</t>
        </is>
      </c>
      <c r="G587" s="10" t="n">
        <v>28</v>
      </c>
      <c r="H587" s="9" t="inlineStr">
        <is>
          <t xml:space="preserve">93584     </t>
        </is>
      </c>
      <c r="I587" s="9" t="inlineStr">
        <is>
          <t xml:space="preserve">Комаров Роман Сергеевич </t>
        </is>
      </c>
      <c r="J587" s="9" t="n"/>
      <c r="K587" s="9" t="n"/>
      <c r="L587" s="9" t="n"/>
      <c r="M587" s="12">
        <f>SUMIFS($E$2:$E$1130,$A$2:$A$1130,"осень",$I$2:$I$1130,I587)</f>
        <v/>
      </c>
      <c r="N587" s="13">
        <f>SUMIFS($E$2:$E$1130,$A$2:$A$1130,"весна",$I$2:$I$1130,I587)</f>
        <v/>
      </c>
      <c r="O587" s="14">
        <f>M587+N587</f>
        <v/>
      </c>
      <c r="P587" s="15">
        <f>O587/$P$1</f>
        <v/>
      </c>
    </row>
    <row r="588" hidden="1" ht="15.75" customHeight="1" s="2">
      <c r="A588" s="9" t="inlineStr">
        <is>
          <t>весна</t>
        </is>
      </c>
      <c r="B588" s="9" t="inlineStr">
        <is>
          <t>Теория и технология гидропрессования</t>
        </is>
      </c>
      <c r="C588" s="9" t="inlineStr">
        <is>
          <t>Экзамен</t>
        </is>
      </c>
      <c r="D588" s="9" t="inlineStr">
        <is>
          <t>Т1В-412Б-17</t>
        </is>
      </c>
      <c r="E588" s="10" t="n">
        <v>6</v>
      </c>
      <c r="F588" s="9" t="inlineStr">
        <is>
          <t>08769</t>
        </is>
      </c>
      <c r="G588" s="11" t="n">
        <v>0</v>
      </c>
      <c r="H588" s="9" t="inlineStr">
        <is>
          <t xml:space="preserve">81730     </t>
        </is>
      </c>
      <c r="I588" s="9" t="inlineStr">
        <is>
          <t>Федоров Анатолий Александрович</t>
        </is>
      </c>
      <c r="J588" s="9" t="inlineStr">
        <is>
          <t>профессор</t>
        </is>
      </c>
      <c r="K588" s="9" t="n"/>
      <c r="L588" s="9" t="n"/>
      <c r="M588" s="12">
        <f>SUMIFS($E$2:$E$1130,$A$2:$A$1130,"осень",$I$2:$I$1130,I588)</f>
        <v/>
      </c>
      <c r="N588" s="13">
        <f>SUMIFS($E$2:$E$1130,$A$2:$A$1130,"весна",$I$2:$I$1130,I588)</f>
        <v/>
      </c>
      <c r="O588" s="14">
        <f>M588+N588</f>
        <v/>
      </c>
      <c r="P588" s="15">
        <f>O588/$P$1</f>
        <v/>
      </c>
    </row>
    <row r="589" hidden="1" ht="15.75" customHeight="1" s="2">
      <c r="A589" s="9" t="inlineStr">
        <is>
          <t>весна</t>
        </is>
      </c>
      <c r="B589" s="9" t="inlineStr">
        <is>
          <t>Теория и технология гидропрессования</t>
        </is>
      </c>
      <c r="C589" s="9" t="inlineStr">
        <is>
          <t>Консультация</t>
        </is>
      </c>
      <c r="D589" s="9" t="inlineStr">
        <is>
          <t>Т1В-412Б-17</t>
        </is>
      </c>
      <c r="E589" s="10" t="n">
        <v>4</v>
      </c>
      <c r="F589" s="9" t="inlineStr">
        <is>
          <t>08769</t>
        </is>
      </c>
      <c r="G589" s="11" t="n">
        <v>0</v>
      </c>
      <c r="H589" s="9" t="inlineStr">
        <is>
          <t xml:space="preserve">91812     </t>
        </is>
      </c>
      <c r="I589" s="9" t="inlineStr">
        <is>
          <t xml:space="preserve">Комаров Роман Сергеевич </t>
        </is>
      </c>
      <c r="J589" s="9" t="inlineStr">
        <is>
          <t>ассистент</t>
        </is>
      </c>
      <c r="K589" s="9" t="n"/>
      <c r="L589" s="9" t="n"/>
      <c r="M589" s="12">
        <f>SUMIFS($E$2:$E$1130,$A$2:$A$1130,"осень",$I$2:$I$1130,I589)</f>
        <v/>
      </c>
      <c r="N589" s="13">
        <f>SUMIFS($E$2:$E$1130,$A$2:$A$1130,"весна",$I$2:$I$1130,I589)</f>
        <v/>
      </c>
      <c r="O589" s="14">
        <f>M589+N589</f>
        <v/>
      </c>
      <c r="P589" s="15">
        <f>O589/$P$1</f>
        <v/>
      </c>
    </row>
    <row r="590" hidden="1" ht="15.75" customHeight="1" s="2">
      <c r="A590" s="9" t="inlineStr">
        <is>
          <t>весна</t>
        </is>
      </c>
      <c r="B590" s="9" t="inlineStr">
        <is>
          <t>Теория пластичности</t>
        </is>
      </c>
      <c r="C590" s="9" t="inlineStr">
        <is>
          <t>ЛК</t>
        </is>
      </c>
      <c r="D590" s="9" t="inlineStr">
        <is>
          <t>Т11О-101М-20</t>
        </is>
      </c>
      <c r="E590" s="10" t="n">
        <v>12</v>
      </c>
      <c r="F590" s="9" t="inlineStr">
        <is>
          <t>04489</t>
        </is>
      </c>
      <c r="G590" s="10" t="n">
        <v>12</v>
      </c>
      <c r="H590" s="9" t="inlineStr">
        <is>
          <t xml:space="preserve">81730     </t>
        </is>
      </c>
      <c r="I590" s="9" t="inlineStr">
        <is>
          <t>Федоров Анатолий Александрович</t>
        </is>
      </c>
      <c r="J590" s="9" t="inlineStr">
        <is>
          <t>профессор</t>
        </is>
      </c>
      <c r="K590" s="9" t="n"/>
      <c r="L590" s="9" t="n"/>
      <c r="M590" s="12">
        <f>SUMIFS($E$2:$E$1130,$A$2:$A$1130,"осень",$I$2:$I$1130,I590)</f>
        <v/>
      </c>
      <c r="N590" s="13">
        <f>SUMIFS($E$2:$E$1130,$A$2:$A$1130,"весна",$I$2:$I$1130,I590)</f>
        <v/>
      </c>
      <c r="O590" s="14">
        <f>M590+N590</f>
        <v/>
      </c>
      <c r="P590" s="15">
        <f>O590/$P$1</f>
        <v/>
      </c>
    </row>
    <row r="591" hidden="1" ht="15.75" customHeight="1" s="2">
      <c r="A591" s="9" t="inlineStr">
        <is>
          <t>весна</t>
        </is>
      </c>
      <c r="B591" s="9" t="inlineStr">
        <is>
          <t>Теория пластичности</t>
        </is>
      </c>
      <c r="C591" s="9" t="inlineStr">
        <is>
          <t>ПЗ</t>
        </is>
      </c>
      <c r="D591" s="9" t="inlineStr">
        <is>
          <t>Т11О-101М-20</t>
        </is>
      </c>
      <c r="E591" s="10" t="n">
        <v>22</v>
      </c>
      <c r="F591" s="9" t="inlineStr">
        <is>
          <t>04489</t>
        </is>
      </c>
      <c r="G591" s="10" t="n">
        <v>22</v>
      </c>
      <c r="H591" s="9" t="inlineStr">
        <is>
          <t xml:space="preserve">81730     </t>
        </is>
      </c>
      <c r="I591" s="9" t="inlineStr">
        <is>
          <t>Федоров Анатолий Александрович</t>
        </is>
      </c>
      <c r="J591" s="9" t="inlineStr">
        <is>
          <t>профессор</t>
        </is>
      </c>
      <c r="K591" s="9" t="n"/>
      <c r="L591" s="9" t="n"/>
      <c r="M591" s="12">
        <f>SUMIFS($E$2:$E$1130,$A$2:$A$1130,"осень",$I$2:$I$1130,I591)</f>
        <v/>
      </c>
      <c r="N591" s="13">
        <f>SUMIFS($E$2:$E$1130,$A$2:$A$1130,"весна",$I$2:$I$1130,I591)</f>
        <v/>
      </c>
      <c r="O591" s="14">
        <f>M591+N591</f>
        <v/>
      </c>
      <c r="P591" s="15">
        <f>O591/$P$1</f>
        <v/>
      </c>
    </row>
    <row r="592" hidden="1" ht="15.75" customHeight="1" s="2">
      <c r="A592" s="9" t="inlineStr">
        <is>
          <t>весна</t>
        </is>
      </c>
      <c r="B592" s="9" t="inlineStr">
        <is>
          <t>Теория пластичности</t>
        </is>
      </c>
      <c r="C592" s="9" t="inlineStr">
        <is>
          <t>Зачет</t>
        </is>
      </c>
      <c r="D592" s="9" t="inlineStr">
        <is>
          <t>Т11О-101М-20</t>
        </is>
      </c>
      <c r="E592" s="10" t="n">
        <v>2</v>
      </c>
      <c r="F592" s="9" t="inlineStr">
        <is>
          <t>04489</t>
        </is>
      </c>
      <c r="G592" s="11" t="n">
        <v>0</v>
      </c>
      <c r="H592" s="9" t="inlineStr">
        <is>
          <t xml:space="preserve">81730     </t>
        </is>
      </c>
      <c r="I592" s="9" t="inlineStr">
        <is>
          <t>Федоров Анатолий Александрович</t>
        </is>
      </c>
      <c r="J592" s="9" t="inlineStr">
        <is>
          <t>профессор</t>
        </is>
      </c>
      <c r="K592" s="9" t="n"/>
      <c r="L592" s="9" t="n"/>
      <c r="M592" s="12">
        <f>SUMIFS($E$2:$E$1130,$A$2:$A$1130,"осень",$I$2:$I$1130,I592)</f>
        <v/>
      </c>
      <c r="N592" s="13">
        <f>SUMIFS($E$2:$E$1130,$A$2:$A$1130,"весна",$I$2:$I$1130,I592)</f>
        <v/>
      </c>
      <c r="O592" s="14">
        <f>M592+N592</f>
        <v/>
      </c>
      <c r="P592" s="15">
        <f>O592/$P$1</f>
        <v/>
      </c>
    </row>
    <row r="593" hidden="1" ht="15.75" customHeight="1" s="2">
      <c r="A593" s="9" t="inlineStr">
        <is>
          <t>весна</t>
        </is>
      </c>
      <c r="B593" s="9" t="inlineStr">
        <is>
          <t>Теория пластичности</t>
        </is>
      </c>
      <c r="C593" s="9" t="inlineStr">
        <is>
          <t>Консультация</t>
        </is>
      </c>
      <c r="D593" s="9" t="inlineStr">
        <is>
          <t>Т11О-101М-20</t>
        </is>
      </c>
      <c r="E593" s="10" t="n">
        <v>1</v>
      </c>
      <c r="F593" s="9" t="inlineStr">
        <is>
          <t>04489</t>
        </is>
      </c>
      <c r="G593" s="11" t="n">
        <v>0</v>
      </c>
      <c r="H593" s="9" t="inlineStr">
        <is>
          <t xml:space="preserve">81730     </t>
        </is>
      </c>
      <c r="I593" s="9" t="inlineStr">
        <is>
          <t>Федоров Анатолий Александрович</t>
        </is>
      </c>
      <c r="J593" s="9" t="inlineStr">
        <is>
          <t>профессор</t>
        </is>
      </c>
      <c r="K593" s="9" t="n"/>
      <c r="L593" s="9" t="n"/>
      <c r="M593" s="12">
        <f>SUMIFS($E$2:$E$1130,$A$2:$A$1130,"осень",$I$2:$I$1130,I593)</f>
        <v/>
      </c>
      <c r="N593" s="13">
        <f>SUMIFS($E$2:$E$1130,$A$2:$A$1130,"весна",$I$2:$I$1130,I593)</f>
        <v/>
      </c>
      <c r="O593" s="14">
        <f>M593+N593</f>
        <v/>
      </c>
      <c r="P593" s="15">
        <f>O593/$P$1</f>
        <v/>
      </c>
    </row>
    <row r="594" hidden="1" ht="15.75" customHeight="1" s="2">
      <c r="A594" s="9" t="inlineStr">
        <is>
          <t>весна</t>
        </is>
      </c>
      <c r="B594" s="9" t="inlineStr">
        <is>
          <t>Металлургия конструкционных материалов из гранулируемых сплавов</t>
        </is>
      </c>
      <c r="C594" s="9" t="inlineStr">
        <is>
          <t>ЛК</t>
        </is>
      </c>
      <c r="D594" s="9" t="inlineStr">
        <is>
          <t>Т11О-201М-19, Т11О-202М-19, Т11О-203М-19, Т11О-204М-19</t>
        </is>
      </c>
      <c r="E594" s="10" t="n">
        <v>16</v>
      </c>
      <c r="F594" s="9" t="inlineStr">
        <is>
          <t>07987</t>
        </is>
      </c>
      <c r="G594" s="10" t="n">
        <v>16</v>
      </c>
      <c r="H594" s="9" t="inlineStr">
        <is>
          <t xml:space="preserve">87438     </t>
        </is>
      </c>
      <c r="I594" s="9" t="inlineStr">
        <is>
          <t xml:space="preserve">Конкевич Валентин Юрьевич </t>
        </is>
      </c>
      <c r="J594" s="9" t="n"/>
      <c r="K594" s="9" t="n"/>
      <c r="L594" s="9" t="n"/>
      <c r="M594" s="12">
        <f>SUMIFS($E$2:$E$1130,$A$2:$A$1130,"осень",$I$2:$I$1130,I594)</f>
        <v/>
      </c>
      <c r="N594" s="13">
        <f>SUMIFS($E$2:$E$1130,$A$2:$A$1130,"весна",$I$2:$I$1130,I594)</f>
        <v/>
      </c>
      <c r="O594" s="14">
        <f>M594+N594</f>
        <v/>
      </c>
      <c r="P594" s="15">
        <f>O594/$P$1</f>
        <v/>
      </c>
    </row>
    <row r="595" hidden="1" ht="15.75" customHeight="1" s="2">
      <c r="A595" s="9" t="inlineStr">
        <is>
          <t>весна</t>
        </is>
      </c>
      <c r="B595" s="9" t="inlineStr">
        <is>
          <t>Металлургия конструкционных материалов из гранулируемых сплавов</t>
        </is>
      </c>
      <c r="C595" s="9" t="inlineStr">
        <is>
          <t>КР</t>
        </is>
      </c>
      <c r="D595" s="9" t="inlineStr">
        <is>
          <t>Т11О-201М-19</t>
        </is>
      </c>
      <c r="E595" s="10" t="n">
        <v>21</v>
      </c>
      <c r="F595" s="9" t="inlineStr">
        <is>
          <t>07987</t>
        </is>
      </c>
      <c r="G595" s="11" t="n">
        <v>0</v>
      </c>
      <c r="H595" s="9" t="inlineStr">
        <is>
          <t xml:space="preserve">87438     </t>
        </is>
      </c>
      <c r="I595" s="9" t="inlineStr">
        <is>
          <t xml:space="preserve">Конкевич Валентин Юрьевич </t>
        </is>
      </c>
      <c r="J595" s="9" t="n"/>
      <c r="K595" s="9" t="n"/>
      <c r="L595" s="9" t="n"/>
      <c r="M595" s="12">
        <f>SUMIFS($E$2:$E$1130,$A$2:$A$1130,"осень",$I$2:$I$1130,I595)</f>
        <v/>
      </c>
      <c r="N595" s="13">
        <f>SUMIFS($E$2:$E$1130,$A$2:$A$1130,"весна",$I$2:$I$1130,I595)</f>
        <v/>
      </c>
      <c r="O595" s="14">
        <f>M595+N595</f>
        <v/>
      </c>
      <c r="P595" s="15">
        <f>O595/$P$1</f>
        <v/>
      </c>
    </row>
    <row r="596" hidden="1" ht="15.75" customHeight="1" s="2">
      <c r="A596" s="9" t="inlineStr">
        <is>
          <t>весна</t>
        </is>
      </c>
      <c r="B596" s="9" t="inlineStr">
        <is>
          <t>Металлургия конструкционных материалов из гранулируемых сплавов</t>
        </is>
      </c>
      <c r="C596" s="9" t="inlineStr">
        <is>
          <t>КР</t>
        </is>
      </c>
      <c r="D596" s="9" t="inlineStr">
        <is>
          <t>Т11О-202М-19</t>
        </is>
      </c>
      <c r="E596" s="10" t="n">
        <v>18</v>
      </c>
      <c r="F596" s="9" t="inlineStr">
        <is>
          <t>07987</t>
        </is>
      </c>
      <c r="G596" s="11" t="n">
        <v>0</v>
      </c>
      <c r="H596" s="9" t="inlineStr">
        <is>
          <t xml:space="preserve">87438     </t>
        </is>
      </c>
      <c r="I596" s="9" t="inlineStr">
        <is>
          <t xml:space="preserve">Конкевич Валентин Юрьевич </t>
        </is>
      </c>
      <c r="J596" s="9" t="n"/>
      <c r="K596" s="9" t="n"/>
      <c r="L596" s="9" t="n"/>
      <c r="M596" s="12">
        <f>SUMIFS($E$2:$E$1130,$A$2:$A$1130,"осень",$I$2:$I$1130,I596)</f>
        <v/>
      </c>
      <c r="N596" s="13">
        <f>SUMIFS($E$2:$E$1130,$A$2:$A$1130,"весна",$I$2:$I$1130,I596)</f>
        <v/>
      </c>
      <c r="O596" s="14">
        <f>M596+N596</f>
        <v/>
      </c>
      <c r="P596" s="15">
        <f>O596/$P$1</f>
        <v/>
      </c>
    </row>
    <row r="597" hidden="1" ht="15.75" customHeight="1" s="2">
      <c r="A597" s="9" t="inlineStr">
        <is>
          <t>весна</t>
        </is>
      </c>
      <c r="B597" s="9" t="inlineStr">
        <is>
          <t>Металлургия конструкционных материалов из гранулируемых сплавов</t>
        </is>
      </c>
      <c r="C597" s="9" t="inlineStr">
        <is>
          <t>КР</t>
        </is>
      </c>
      <c r="D597" s="9" t="inlineStr">
        <is>
          <t>Т11О-203М-19</t>
        </is>
      </c>
      <c r="E597" s="10" t="n">
        <v>21</v>
      </c>
      <c r="F597" s="9" t="inlineStr">
        <is>
          <t>07987</t>
        </is>
      </c>
      <c r="G597" s="11" t="n">
        <v>0</v>
      </c>
      <c r="H597" s="9" t="inlineStr">
        <is>
          <t xml:space="preserve">87438     </t>
        </is>
      </c>
      <c r="I597" s="9" t="inlineStr">
        <is>
          <t xml:space="preserve">Конкевич Валентин Юрьевич </t>
        </is>
      </c>
      <c r="J597" s="9" t="n"/>
      <c r="K597" s="9" t="n"/>
      <c r="L597" s="9" t="n"/>
      <c r="M597" s="12">
        <f>SUMIFS($E$2:$E$1130,$A$2:$A$1130,"осень",$I$2:$I$1130,I597)</f>
        <v/>
      </c>
      <c r="N597" s="13">
        <f>SUMIFS($E$2:$E$1130,$A$2:$A$1130,"весна",$I$2:$I$1130,I597)</f>
        <v/>
      </c>
      <c r="O597" s="14">
        <f>M597+N597</f>
        <v/>
      </c>
      <c r="P597" s="15">
        <f>O597/$P$1</f>
        <v/>
      </c>
    </row>
    <row r="598" hidden="1" ht="15.75" customHeight="1" s="2">
      <c r="A598" s="9" t="inlineStr">
        <is>
          <t>весна</t>
        </is>
      </c>
      <c r="B598" s="9" t="inlineStr">
        <is>
          <t>Металлургия конструкционных материалов из гранулируемых сплавов</t>
        </is>
      </c>
      <c r="C598" s="9" t="inlineStr">
        <is>
          <t>КР</t>
        </is>
      </c>
      <c r="D598" s="9" t="inlineStr">
        <is>
          <t>Т11О-204М-19</t>
        </is>
      </c>
      <c r="E598" s="10" t="n">
        <v>27</v>
      </c>
      <c r="F598" s="9" t="inlineStr">
        <is>
          <t>07987</t>
        </is>
      </c>
      <c r="G598" s="11" t="n">
        <v>0</v>
      </c>
      <c r="H598" s="9" t="inlineStr">
        <is>
          <t xml:space="preserve">87438     </t>
        </is>
      </c>
      <c r="I598" s="9" t="inlineStr">
        <is>
          <t xml:space="preserve">Конкевич Валентин Юрьевич </t>
        </is>
      </c>
      <c r="J598" s="9" t="n"/>
      <c r="K598" s="9" t="n"/>
      <c r="L598" s="9" t="n"/>
      <c r="M598" s="12">
        <f>SUMIFS($E$2:$E$1130,$A$2:$A$1130,"осень",$I$2:$I$1130,I598)</f>
        <v/>
      </c>
      <c r="N598" s="13">
        <f>SUMIFS($E$2:$E$1130,$A$2:$A$1130,"весна",$I$2:$I$1130,I598)</f>
        <v/>
      </c>
      <c r="O598" s="14">
        <f>M598+N598</f>
        <v/>
      </c>
      <c r="P598" s="15">
        <f>O598/$P$1</f>
        <v/>
      </c>
    </row>
    <row r="599" hidden="1" ht="15.75" customHeight="1" s="2">
      <c r="A599" s="9" t="inlineStr">
        <is>
          <t>весна</t>
        </is>
      </c>
      <c r="B599" s="9" t="inlineStr">
        <is>
          <t>Металлургия конструкционных материалов из гранулируемых сплавов</t>
        </is>
      </c>
      <c r="C599" s="9" t="inlineStr">
        <is>
          <t>ПЗ</t>
        </is>
      </c>
      <c r="D599" s="9" t="inlineStr">
        <is>
          <t>Т11О-201М-19</t>
        </is>
      </c>
      <c r="E599" s="10" t="n">
        <v>44</v>
      </c>
      <c r="F599" s="9" t="inlineStr">
        <is>
          <t>07987</t>
        </is>
      </c>
      <c r="G599" s="10" t="n">
        <v>44</v>
      </c>
      <c r="H599" s="9" t="inlineStr">
        <is>
          <t xml:space="preserve">87438     </t>
        </is>
      </c>
      <c r="I599" s="9" t="inlineStr">
        <is>
          <t xml:space="preserve">Конкевич Валентин Юрьевич </t>
        </is>
      </c>
      <c r="J599" s="9" t="n"/>
      <c r="K599" s="9" t="n"/>
      <c r="L599" s="9" t="n"/>
      <c r="M599" s="12">
        <f>SUMIFS($E$2:$E$1130,$A$2:$A$1130,"осень",$I$2:$I$1130,I599)</f>
        <v/>
      </c>
      <c r="N599" s="13">
        <f>SUMIFS($E$2:$E$1130,$A$2:$A$1130,"весна",$I$2:$I$1130,I599)</f>
        <v/>
      </c>
      <c r="O599" s="14">
        <f>M599+N599</f>
        <v/>
      </c>
      <c r="P599" s="15">
        <f>O599/$P$1</f>
        <v/>
      </c>
    </row>
    <row r="600" hidden="1" ht="15.75" customHeight="1" s="2">
      <c r="A600" s="9" t="inlineStr">
        <is>
          <t>весна</t>
        </is>
      </c>
      <c r="B600" s="9" t="inlineStr">
        <is>
          <t>Металлургия конструкционных материалов из гранулируемых сплавов</t>
        </is>
      </c>
      <c r="C600" s="9" t="inlineStr">
        <is>
          <t>ПЗ</t>
        </is>
      </c>
      <c r="D600" s="9" t="inlineStr">
        <is>
          <t>Т11О-202М-19</t>
        </is>
      </c>
      <c r="E600" s="10" t="n">
        <v>44</v>
      </c>
      <c r="F600" s="9" t="inlineStr">
        <is>
          <t>07987</t>
        </is>
      </c>
      <c r="G600" s="10" t="n">
        <v>44</v>
      </c>
      <c r="H600" s="9" t="inlineStr">
        <is>
          <t xml:space="preserve">87438     </t>
        </is>
      </c>
      <c r="I600" s="9" t="inlineStr">
        <is>
          <t xml:space="preserve">Конкевич Валентин Юрьевич </t>
        </is>
      </c>
      <c r="J600" s="9" t="n"/>
      <c r="K600" s="9" t="n"/>
      <c r="L600" s="9" t="n"/>
      <c r="M600" s="12">
        <f>SUMIFS($E$2:$E$1130,$A$2:$A$1130,"осень",$I$2:$I$1130,I600)</f>
        <v/>
      </c>
      <c r="N600" s="13">
        <f>SUMIFS($E$2:$E$1130,$A$2:$A$1130,"весна",$I$2:$I$1130,I600)</f>
        <v/>
      </c>
      <c r="O600" s="14">
        <f>M600+N600</f>
        <v/>
      </c>
      <c r="P600" s="15">
        <f>O600/$P$1</f>
        <v/>
      </c>
    </row>
    <row r="601" hidden="1" ht="15.75" customHeight="1" s="2">
      <c r="A601" s="9" t="inlineStr">
        <is>
          <t>весна</t>
        </is>
      </c>
      <c r="B601" s="9" t="inlineStr">
        <is>
          <t>Металлургия конструкционных материалов из гранулируемых сплавов</t>
        </is>
      </c>
      <c r="C601" s="9" t="inlineStr">
        <is>
          <t>ПЗ</t>
        </is>
      </c>
      <c r="D601" s="9" t="inlineStr">
        <is>
          <t>Т11О-203М-19</t>
        </is>
      </c>
      <c r="E601" s="10" t="n">
        <v>44</v>
      </c>
      <c r="F601" s="9" t="inlineStr">
        <is>
          <t>07987</t>
        </is>
      </c>
      <c r="G601" s="10" t="n">
        <v>44</v>
      </c>
      <c r="H601" s="9" t="inlineStr">
        <is>
          <t xml:space="preserve">87438     </t>
        </is>
      </c>
      <c r="I601" s="9" t="inlineStr">
        <is>
          <t xml:space="preserve">Конкевич Валентин Юрьевич </t>
        </is>
      </c>
      <c r="J601" s="9" t="n"/>
      <c r="K601" s="9" t="n"/>
      <c r="L601" s="9" t="n"/>
      <c r="M601" s="12">
        <f>SUMIFS($E$2:$E$1130,$A$2:$A$1130,"осень",$I$2:$I$1130,I601)</f>
        <v/>
      </c>
      <c r="N601" s="13">
        <f>SUMIFS($E$2:$E$1130,$A$2:$A$1130,"весна",$I$2:$I$1130,I601)</f>
        <v/>
      </c>
      <c r="O601" s="14">
        <f>M601+N601</f>
        <v/>
      </c>
      <c r="P601" s="15">
        <f>O601/$P$1</f>
        <v/>
      </c>
    </row>
    <row r="602" hidden="1" ht="15.75" customHeight="1" s="2">
      <c r="A602" s="9" t="inlineStr">
        <is>
          <t>весна</t>
        </is>
      </c>
      <c r="B602" s="9" t="inlineStr">
        <is>
          <t>Металлургия конструкционных материалов из гранулируемых сплавов</t>
        </is>
      </c>
      <c r="C602" s="9" t="inlineStr">
        <is>
          <t>ПЗ</t>
        </is>
      </c>
      <c r="D602" s="9" t="inlineStr">
        <is>
          <t>Т11О-204М-19</t>
        </is>
      </c>
      <c r="E602" s="10" t="n">
        <v>44</v>
      </c>
      <c r="F602" s="9" t="inlineStr">
        <is>
          <t>07987</t>
        </is>
      </c>
      <c r="G602" s="10" t="n">
        <v>44</v>
      </c>
      <c r="H602" s="9" t="inlineStr">
        <is>
          <t xml:space="preserve">87438     </t>
        </is>
      </c>
      <c r="I602" s="9" t="inlineStr">
        <is>
          <t xml:space="preserve">Конкевич Валентин Юрьевич </t>
        </is>
      </c>
      <c r="J602" s="9" t="n"/>
      <c r="K602" s="9" t="n"/>
      <c r="L602" s="9" t="n"/>
      <c r="M602" s="12">
        <f>SUMIFS($E$2:$E$1130,$A$2:$A$1130,"осень",$I$2:$I$1130,I602)</f>
        <v/>
      </c>
      <c r="N602" s="13">
        <f>SUMIFS($E$2:$E$1130,$A$2:$A$1130,"весна",$I$2:$I$1130,I602)</f>
        <v/>
      </c>
      <c r="O602" s="14">
        <f>M602+N602</f>
        <v/>
      </c>
      <c r="P602" s="15">
        <f>O602/$P$1</f>
        <v/>
      </c>
    </row>
    <row r="603" hidden="1" ht="15.75" customHeight="1" s="2">
      <c r="A603" s="9" t="inlineStr">
        <is>
          <t>весна</t>
        </is>
      </c>
      <c r="B603" s="9" t="inlineStr">
        <is>
          <t>Металлургия конструкционных материалов из гранулируемых сплавов</t>
        </is>
      </c>
      <c r="C603" s="9" t="inlineStr">
        <is>
          <t>Экзамен</t>
        </is>
      </c>
      <c r="D603" s="9" t="inlineStr">
        <is>
          <t>Т11О-201М-19</t>
        </is>
      </c>
      <c r="E603" s="10" t="n">
        <v>4</v>
      </c>
      <c r="F603" s="9" t="inlineStr">
        <is>
          <t>07987</t>
        </is>
      </c>
      <c r="G603" s="11" t="n">
        <v>0</v>
      </c>
      <c r="H603" s="9" t="inlineStr">
        <is>
          <t xml:space="preserve">87438     </t>
        </is>
      </c>
      <c r="I603" s="9" t="inlineStr">
        <is>
          <t xml:space="preserve">Конкевич Валентин Юрьевич </t>
        </is>
      </c>
      <c r="J603" s="9" t="n"/>
      <c r="K603" s="9" t="n"/>
      <c r="L603" s="9" t="n"/>
      <c r="M603" s="12">
        <f>SUMIFS($E$2:$E$1130,$A$2:$A$1130,"осень",$I$2:$I$1130,I603)</f>
        <v/>
      </c>
      <c r="N603" s="13">
        <f>SUMIFS($E$2:$E$1130,$A$2:$A$1130,"весна",$I$2:$I$1130,I603)</f>
        <v/>
      </c>
      <c r="O603" s="14">
        <f>M603+N603</f>
        <v/>
      </c>
      <c r="P603" s="15">
        <f>O603/$P$1</f>
        <v/>
      </c>
    </row>
    <row r="604" hidden="1" ht="15.75" customHeight="1" s="2">
      <c r="A604" s="9" t="inlineStr">
        <is>
          <t>весна</t>
        </is>
      </c>
      <c r="B604" s="9" t="inlineStr">
        <is>
          <t>Металлургия конструкционных материалов из гранулируемых сплавов</t>
        </is>
      </c>
      <c r="C604" s="9" t="inlineStr">
        <is>
          <t>Экзамен</t>
        </is>
      </c>
      <c r="D604" s="9" t="inlineStr">
        <is>
          <t>Т11О-202М-19</t>
        </is>
      </c>
      <c r="E604" s="10" t="n">
        <v>3</v>
      </c>
      <c r="F604" s="9" t="inlineStr">
        <is>
          <t>07987</t>
        </is>
      </c>
      <c r="G604" s="11" t="n">
        <v>0</v>
      </c>
      <c r="H604" s="9" t="inlineStr">
        <is>
          <t xml:space="preserve">87438     </t>
        </is>
      </c>
      <c r="I604" s="9" t="inlineStr">
        <is>
          <t xml:space="preserve">Конкевич Валентин Юрьевич </t>
        </is>
      </c>
      <c r="J604" s="9" t="n"/>
      <c r="K604" s="9" t="n"/>
      <c r="L604" s="9" t="n"/>
      <c r="M604" s="12">
        <f>SUMIFS($E$2:$E$1130,$A$2:$A$1130,"осень",$I$2:$I$1130,I604)</f>
        <v/>
      </c>
      <c r="N604" s="13">
        <f>SUMIFS($E$2:$E$1130,$A$2:$A$1130,"весна",$I$2:$I$1130,I604)</f>
        <v/>
      </c>
      <c r="O604" s="14">
        <f>M604+N604</f>
        <v/>
      </c>
      <c r="P604" s="15">
        <f>O604/$P$1</f>
        <v/>
      </c>
    </row>
    <row r="605" hidden="1" ht="15.75" customHeight="1" s="2">
      <c r="A605" s="9" t="inlineStr">
        <is>
          <t>весна</t>
        </is>
      </c>
      <c r="B605" s="9" t="inlineStr">
        <is>
          <t>Металлургия конструкционных материалов из гранулируемых сплавов</t>
        </is>
      </c>
      <c r="C605" s="9" t="inlineStr">
        <is>
          <t>Экзамен</t>
        </is>
      </c>
      <c r="D605" s="9" t="inlineStr">
        <is>
          <t>Т11О-203М-19</t>
        </is>
      </c>
      <c r="E605" s="10" t="n">
        <v>4</v>
      </c>
      <c r="F605" s="9" t="inlineStr">
        <is>
          <t>07987</t>
        </is>
      </c>
      <c r="G605" s="11" t="n">
        <v>0</v>
      </c>
      <c r="H605" s="9" t="inlineStr">
        <is>
          <t xml:space="preserve">87438     </t>
        </is>
      </c>
      <c r="I605" s="9" t="inlineStr">
        <is>
          <t xml:space="preserve">Конкевич Валентин Юрьевич </t>
        </is>
      </c>
      <c r="J605" s="9" t="n"/>
      <c r="K605" s="9" t="n"/>
      <c r="L605" s="9" t="n"/>
      <c r="M605" s="12">
        <f>SUMIFS($E$2:$E$1130,$A$2:$A$1130,"осень",$I$2:$I$1130,I605)</f>
        <v/>
      </c>
      <c r="N605" s="13">
        <f>SUMIFS($E$2:$E$1130,$A$2:$A$1130,"весна",$I$2:$I$1130,I605)</f>
        <v/>
      </c>
      <c r="O605" s="14">
        <f>M605+N605</f>
        <v/>
      </c>
      <c r="P605" s="15">
        <f>O605/$P$1</f>
        <v/>
      </c>
    </row>
    <row r="606" hidden="1" ht="15.75" customHeight="1" s="2">
      <c r="A606" s="9" t="inlineStr">
        <is>
          <t>весна</t>
        </is>
      </c>
      <c r="B606" s="9" t="inlineStr">
        <is>
          <t>Металлургия конструкционных материалов из гранулируемых сплавов</t>
        </is>
      </c>
      <c r="C606" s="9" t="inlineStr">
        <is>
          <t>Экзамен</t>
        </is>
      </c>
      <c r="D606" s="9" t="inlineStr">
        <is>
          <t>Т11О-204М-19</t>
        </is>
      </c>
      <c r="E606" s="10" t="n">
        <v>5</v>
      </c>
      <c r="F606" s="9" t="inlineStr">
        <is>
          <t>07987</t>
        </is>
      </c>
      <c r="G606" s="11" t="n">
        <v>0</v>
      </c>
      <c r="H606" s="9" t="inlineStr">
        <is>
          <t xml:space="preserve">87438     </t>
        </is>
      </c>
      <c r="I606" s="9" t="inlineStr">
        <is>
          <t xml:space="preserve">Конкевич Валентин Юрьевич </t>
        </is>
      </c>
      <c r="J606" s="9" t="n"/>
      <c r="K606" s="9" t="n"/>
      <c r="L606" s="9" t="n"/>
      <c r="M606" s="12">
        <f>SUMIFS($E$2:$E$1130,$A$2:$A$1130,"осень",$I$2:$I$1130,I606)</f>
        <v/>
      </c>
      <c r="N606" s="13">
        <f>SUMIFS($E$2:$E$1130,$A$2:$A$1130,"весна",$I$2:$I$1130,I606)</f>
        <v/>
      </c>
      <c r="O606" s="14">
        <f>M606+N606</f>
        <v/>
      </c>
      <c r="P606" s="15">
        <f>O606/$P$1</f>
        <v/>
      </c>
    </row>
    <row r="607" hidden="1" ht="15.75" customHeight="1" s="2">
      <c r="A607" s="9" t="inlineStr">
        <is>
          <t>весна</t>
        </is>
      </c>
      <c r="B607" s="9" t="inlineStr">
        <is>
          <t>Металлургия конструкционных материалов из гранулируемых сплавов</t>
        </is>
      </c>
      <c r="C607" s="9" t="inlineStr">
        <is>
          <t>Консультация</t>
        </is>
      </c>
      <c r="D607" s="9" t="inlineStr">
        <is>
          <t>Т11О-201М-19</t>
        </is>
      </c>
      <c r="E607" s="10" t="n">
        <v>3</v>
      </c>
      <c r="F607" s="9" t="inlineStr">
        <is>
          <t>07987</t>
        </is>
      </c>
      <c r="G607" s="11" t="n">
        <v>0</v>
      </c>
      <c r="H607" s="9" t="inlineStr">
        <is>
          <t xml:space="preserve">87438     </t>
        </is>
      </c>
      <c r="I607" s="9" t="inlineStr">
        <is>
          <t xml:space="preserve">Конкевич Валентин Юрьевич </t>
        </is>
      </c>
      <c r="J607" s="9" t="n"/>
      <c r="K607" s="9" t="n"/>
      <c r="L607" s="9" t="n"/>
      <c r="M607" s="12">
        <f>SUMIFS($E$2:$E$1130,$A$2:$A$1130,"осень",$I$2:$I$1130,I607)</f>
        <v/>
      </c>
      <c r="N607" s="13">
        <f>SUMIFS($E$2:$E$1130,$A$2:$A$1130,"весна",$I$2:$I$1130,I607)</f>
        <v/>
      </c>
      <c r="O607" s="14">
        <f>M607+N607</f>
        <v/>
      </c>
      <c r="P607" s="15">
        <f>O607/$P$1</f>
        <v/>
      </c>
    </row>
    <row r="608" hidden="1" ht="15.75" customHeight="1" s="2">
      <c r="A608" s="9" t="inlineStr">
        <is>
          <t>весна</t>
        </is>
      </c>
      <c r="B608" s="9" t="inlineStr">
        <is>
          <t>Металлургия конструкционных материалов из гранулируемых сплавов</t>
        </is>
      </c>
      <c r="C608" s="9" t="inlineStr">
        <is>
          <t>Консультация</t>
        </is>
      </c>
      <c r="D608" s="9" t="inlineStr">
        <is>
          <t>Т11О-202М-19</t>
        </is>
      </c>
      <c r="E608" s="10" t="n">
        <v>3</v>
      </c>
      <c r="F608" s="9" t="inlineStr">
        <is>
          <t>07987</t>
        </is>
      </c>
      <c r="G608" s="11" t="n">
        <v>0</v>
      </c>
      <c r="H608" s="9" t="inlineStr">
        <is>
          <t xml:space="preserve">87438     </t>
        </is>
      </c>
      <c r="I608" s="9" t="inlineStr">
        <is>
          <t xml:space="preserve">Конкевич Валентин Юрьевич </t>
        </is>
      </c>
      <c r="J608" s="9" t="n"/>
      <c r="K608" s="9" t="n"/>
      <c r="L608" s="9" t="n"/>
      <c r="M608" s="12">
        <f>SUMIFS($E$2:$E$1130,$A$2:$A$1130,"осень",$I$2:$I$1130,I608)</f>
        <v/>
      </c>
      <c r="N608" s="13">
        <f>SUMIFS($E$2:$E$1130,$A$2:$A$1130,"весна",$I$2:$I$1130,I608)</f>
        <v/>
      </c>
      <c r="O608" s="14">
        <f>M608+N608</f>
        <v/>
      </c>
      <c r="P608" s="15">
        <f>O608/$P$1</f>
        <v/>
      </c>
    </row>
    <row r="609" hidden="1" ht="15.75" customHeight="1" s="2">
      <c r="A609" s="9" t="inlineStr">
        <is>
          <t>весна</t>
        </is>
      </c>
      <c r="B609" s="9" t="inlineStr">
        <is>
          <t>Металлургия конструкционных материалов из гранулируемых сплавов</t>
        </is>
      </c>
      <c r="C609" s="9" t="inlineStr">
        <is>
          <t>Консультация</t>
        </is>
      </c>
      <c r="D609" s="9" t="inlineStr">
        <is>
          <t>Т11О-203М-19</t>
        </is>
      </c>
      <c r="E609" s="10" t="n">
        <v>3</v>
      </c>
      <c r="F609" s="9" t="inlineStr">
        <is>
          <t>07987</t>
        </is>
      </c>
      <c r="G609" s="11" t="n">
        <v>0</v>
      </c>
      <c r="H609" s="9" t="inlineStr">
        <is>
          <t xml:space="preserve">87438     </t>
        </is>
      </c>
      <c r="I609" s="9" t="inlineStr">
        <is>
          <t xml:space="preserve">Конкевич Валентин Юрьевич </t>
        </is>
      </c>
      <c r="J609" s="9" t="n"/>
      <c r="K609" s="9" t="n"/>
      <c r="L609" s="9" t="n"/>
      <c r="M609" s="12">
        <f>SUMIFS($E$2:$E$1130,$A$2:$A$1130,"осень",$I$2:$I$1130,I609)</f>
        <v/>
      </c>
      <c r="N609" s="13">
        <f>SUMIFS($E$2:$E$1130,$A$2:$A$1130,"весна",$I$2:$I$1130,I609)</f>
        <v/>
      </c>
      <c r="O609" s="14">
        <f>M609+N609</f>
        <v/>
      </c>
      <c r="P609" s="15">
        <f>O609/$P$1</f>
        <v/>
      </c>
    </row>
    <row r="610" hidden="1" ht="15.75" customHeight="1" s="2">
      <c r="A610" s="9" t="inlineStr">
        <is>
          <t>весна</t>
        </is>
      </c>
      <c r="B610" s="9" t="inlineStr">
        <is>
          <t>Металлургия конструкционных материалов из гранулируемых сплавов</t>
        </is>
      </c>
      <c r="C610" s="9" t="inlineStr">
        <is>
          <t>Консультация</t>
        </is>
      </c>
      <c r="D610" s="9" t="inlineStr">
        <is>
          <t>Т11О-204М-19</t>
        </is>
      </c>
      <c r="E610" s="10" t="n">
        <v>3</v>
      </c>
      <c r="F610" s="9" t="inlineStr">
        <is>
          <t>07987</t>
        </is>
      </c>
      <c r="G610" s="11" t="n">
        <v>0</v>
      </c>
      <c r="H610" s="9" t="inlineStr">
        <is>
          <t xml:space="preserve">87438     </t>
        </is>
      </c>
      <c r="I610" s="9" t="inlineStr">
        <is>
          <t xml:space="preserve">Конкевич Валентин Юрьевич </t>
        </is>
      </c>
      <c r="J610" s="9" t="n"/>
      <c r="K610" s="9" t="n"/>
      <c r="L610" s="9" t="n"/>
      <c r="M610" s="12">
        <f>SUMIFS($E$2:$E$1130,$A$2:$A$1130,"осень",$I$2:$I$1130,I610)</f>
        <v/>
      </c>
      <c r="N610" s="13">
        <f>SUMIFS($E$2:$E$1130,$A$2:$A$1130,"весна",$I$2:$I$1130,I610)</f>
        <v/>
      </c>
      <c r="O610" s="14">
        <f>M610+N610</f>
        <v/>
      </c>
      <c r="P610" s="15">
        <f>O610/$P$1</f>
        <v/>
      </c>
    </row>
    <row r="611" hidden="1" ht="15.75" customHeight="1" s="2">
      <c r="A611" s="9" t="inlineStr">
        <is>
          <t>весна</t>
        </is>
      </c>
      <c r="B611" s="9" t="inlineStr">
        <is>
          <t>Оборудование и технологии аддитивного производства</t>
        </is>
      </c>
      <c r="C611" s="9" t="inlineStr">
        <is>
          <t>ЛК</t>
        </is>
      </c>
      <c r="D611" s="9" t="inlineStr">
        <is>
          <t>М9О-204М-19</t>
        </is>
      </c>
      <c r="E611" s="10" t="n">
        <v>18</v>
      </c>
      <c r="F611" s="9" t="inlineStr">
        <is>
          <t>12598</t>
        </is>
      </c>
      <c r="G611" s="10" t="n">
        <v>18</v>
      </c>
      <c r="H611" s="9" t="inlineStr">
        <is>
          <t xml:space="preserve">89068     </t>
        </is>
      </c>
      <c r="I611" s="9" t="inlineStr">
        <is>
          <t xml:space="preserve">Петров Игорь Алексеевич </t>
        </is>
      </c>
      <c r="J611" s="9" t="inlineStr">
        <is>
          <t>доцент</t>
        </is>
      </c>
      <c r="K611" s="9" t="n"/>
      <c r="L611" s="9" t="n"/>
      <c r="M611" s="12">
        <f>SUMIFS($E$2:$E$1130,$A$2:$A$1130,"осень",$I$2:$I$1130,I611)</f>
        <v/>
      </c>
      <c r="N611" s="13">
        <f>SUMIFS($E$2:$E$1130,$A$2:$A$1130,"весна",$I$2:$I$1130,I611)</f>
        <v/>
      </c>
      <c r="O611" s="14">
        <f>M611+N611</f>
        <v/>
      </c>
      <c r="P611" s="15">
        <f>O611/$P$1</f>
        <v/>
      </c>
    </row>
    <row r="612" hidden="1" ht="15.75" customHeight="1" s="2">
      <c r="A612" s="9" t="inlineStr">
        <is>
          <t>весна</t>
        </is>
      </c>
      <c r="B612" s="9" t="inlineStr">
        <is>
          <t>Оборудование и технологии аддитивного производства</t>
        </is>
      </c>
      <c r="C612" s="9" t="inlineStr">
        <is>
          <t>ПЗ</t>
        </is>
      </c>
      <c r="D612" s="9" t="inlineStr">
        <is>
          <t>М9О-204М-19</t>
        </is>
      </c>
      <c r="E612" s="10" t="n">
        <v>46</v>
      </c>
      <c r="F612" s="9" t="inlineStr">
        <is>
          <t>12598</t>
        </is>
      </c>
      <c r="G612" s="10" t="n">
        <v>46</v>
      </c>
      <c r="H612" s="21" t="n"/>
      <c r="I612" s="21" t="inlineStr">
        <is>
          <t>Шляпцева Анастасия Дмитриевна</t>
        </is>
      </c>
      <c r="J612" s="21" t="n"/>
      <c r="K612" s="9" t="n"/>
      <c r="L612" s="9" t="n"/>
      <c r="M612" s="12">
        <f>SUMIFS($E$2:$E$1130,$A$2:$A$1130,"осень",$I$2:$I$1130,I612)</f>
        <v/>
      </c>
      <c r="N612" s="13">
        <f>SUMIFS($E$2:$E$1130,$A$2:$A$1130,"весна",$I$2:$I$1130,I612)</f>
        <v/>
      </c>
      <c r="O612" s="14">
        <f>M612+N612</f>
        <v/>
      </c>
      <c r="P612" s="15">
        <f>O612/$P$1</f>
        <v/>
      </c>
    </row>
    <row r="613" hidden="1" ht="15.75" customHeight="1" s="2">
      <c r="A613" s="9" t="inlineStr">
        <is>
          <t>весна</t>
        </is>
      </c>
      <c r="B613" s="9" t="inlineStr">
        <is>
          <t>Оборудование и технологии аддитивного производства</t>
        </is>
      </c>
      <c r="C613" s="9" t="inlineStr">
        <is>
          <t>Экзамен</t>
        </is>
      </c>
      <c r="D613" s="9" t="inlineStr">
        <is>
          <t>М9О-204М-19</t>
        </is>
      </c>
      <c r="E613" s="10" t="n">
        <v>4</v>
      </c>
      <c r="F613" s="9" t="inlineStr">
        <is>
          <t>12598</t>
        </is>
      </c>
      <c r="G613" s="11" t="n">
        <v>0</v>
      </c>
      <c r="H613" s="9" t="inlineStr">
        <is>
          <t xml:space="preserve">89068     </t>
        </is>
      </c>
      <c r="I613" s="9" t="inlineStr">
        <is>
          <t xml:space="preserve">Петров Игорь Алексеевич </t>
        </is>
      </c>
      <c r="J613" s="9" t="inlineStr">
        <is>
          <t>доцент</t>
        </is>
      </c>
      <c r="K613" s="9" t="n"/>
      <c r="L613" s="9" t="n"/>
      <c r="M613" s="12">
        <f>SUMIFS($E$2:$E$1130,$A$2:$A$1130,"осень",$I$2:$I$1130,I613)</f>
        <v/>
      </c>
      <c r="N613" s="13">
        <f>SUMIFS($E$2:$E$1130,$A$2:$A$1130,"весна",$I$2:$I$1130,I613)</f>
        <v/>
      </c>
      <c r="O613" s="14">
        <f>M613+N613</f>
        <v/>
      </c>
      <c r="P613" s="15">
        <f>O613/$P$1</f>
        <v/>
      </c>
    </row>
    <row r="614" hidden="1" ht="15.75" customHeight="1" s="2">
      <c r="A614" s="9" t="inlineStr">
        <is>
          <t>весна</t>
        </is>
      </c>
      <c r="B614" s="9" t="inlineStr">
        <is>
          <t>Оборудование и технологии аддитивного производства</t>
        </is>
      </c>
      <c r="C614" s="9" t="inlineStr">
        <is>
          <t>Консультация</t>
        </is>
      </c>
      <c r="D614" s="9" t="inlineStr">
        <is>
          <t>М9О-204М-19</t>
        </is>
      </c>
      <c r="E614" s="10" t="n">
        <v>3</v>
      </c>
      <c r="F614" s="9" t="inlineStr">
        <is>
          <t>12598</t>
        </is>
      </c>
      <c r="G614" s="11" t="n">
        <v>0</v>
      </c>
      <c r="H614" s="9" t="inlineStr">
        <is>
          <t xml:space="preserve">89068     </t>
        </is>
      </c>
      <c r="I614" s="9" t="inlineStr">
        <is>
          <t xml:space="preserve">Петров Игорь Алексеевич </t>
        </is>
      </c>
      <c r="J614" s="9" t="inlineStr">
        <is>
          <t>доцент</t>
        </is>
      </c>
      <c r="K614" s="9" t="n"/>
      <c r="L614" s="9" t="n"/>
      <c r="M614" s="12">
        <f>SUMIFS($E$2:$E$1130,$A$2:$A$1130,"осень",$I$2:$I$1130,I614)</f>
        <v/>
      </c>
      <c r="N614" s="13">
        <f>SUMIFS($E$2:$E$1130,$A$2:$A$1130,"весна",$I$2:$I$1130,I614)</f>
        <v/>
      </c>
      <c r="O614" s="14">
        <f>M614+N614</f>
        <v/>
      </c>
      <c r="P614" s="15">
        <f>O614/$P$1</f>
        <v/>
      </c>
    </row>
    <row r="615" hidden="1" ht="15.75" customHeight="1" s="2">
      <c r="A615" s="9" t="inlineStr">
        <is>
          <t>весна</t>
        </is>
      </c>
      <c r="B615" s="9" t="inlineStr">
        <is>
          <t>Моделирование и информационные технологии процессов аддитивного производства</t>
        </is>
      </c>
      <c r="C615" s="9" t="inlineStr">
        <is>
          <t>ЛК</t>
        </is>
      </c>
      <c r="D615" s="9" t="inlineStr">
        <is>
          <t>М9О-204М-19</t>
        </is>
      </c>
      <c r="E615" s="10" t="n">
        <v>18</v>
      </c>
      <c r="F615" s="9" t="inlineStr">
        <is>
          <t>12598</t>
        </is>
      </c>
      <c r="G615" s="10" t="n">
        <v>18</v>
      </c>
      <c r="H615" s="9" t="inlineStr">
        <is>
          <t xml:space="preserve">81720     </t>
        </is>
      </c>
      <c r="I615" s="9" t="inlineStr">
        <is>
          <t xml:space="preserve">Палтиевич Андрей Романович </t>
        </is>
      </c>
      <c r="J615" s="9" t="n"/>
      <c r="K615" s="9" t="n"/>
      <c r="L615" s="9" t="n"/>
      <c r="M615" s="12">
        <f>SUMIFS($E$2:$E$1130,$A$2:$A$1130,"осень",$I$2:$I$1130,I615)</f>
        <v/>
      </c>
      <c r="N615" s="13">
        <f>SUMIFS($E$2:$E$1130,$A$2:$A$1130,"весна",$I$2:$I$1130,I615)</f>
        <v/>
      </c>
      <c r="O615" s="14">
        <f>M615+N615</f>
        <v/>
      </c>
      <c r="P615" s="15">
        <f>O615/$P$1</f>
        <v/>
      </c>
    </row>
    <row r="616" hidden="1" ht="15.75" customHeight="1" s="2">
      <c r="A616" s="9" t="inlineStr">
        <is>
          <t>весна</t>
        </is>
      </c>
      <c r="B616" s="9" t="inlineStr">
        <is>
          <t>Моделирование и информационные технологии процессов аддитивного производства</t>
        </is>
      </c>
      <c r="C616" s="9" t="inlineStr">
        <is>
          <t>ПЗ</t>
        </is>
      </c>
      <c r="D616" s="9" t="inlineStr">
        <is>
          <t>М9О-204М-19</t>
        </is>
      </c>
      <c r="E616" s="10" t="n">
        <v>46</v>
      </c>
      <c r="F616" s="9" t="inlineStr">
        <is>
          <t>12598</t>
        </is>
      </c>
      <c r="G616" s="10" t="n">
        <v>46</v>
      </c>
      <c r="H616" s="9" t="inlineStr">
        <is>
          <t xml:space="preserve">81720     </t>
        </is>
      </c>
      <c r="I616" s="9" t="inlineStr">
        <is>
          <t xml:space="preserve">Палтиевич Андрей Романович </t>
        </is>
      </c>
      <c r="J616" s="9" t="n"/>
      <c r="K616" s="9" t="n"/>
      <c r="L616" s="9" t="n"/>
      <c r="M616" s="12">
        <f>SUMIFS($E$2:$E$1130,$A$2:$A$1130,"осень",$I$2:$I$1130,I616)</f>
        <v/>
      </c>
      <c r="N616" s="13">
        <f>SUMIFS($E$2:$E$1130,$A$2:$A$1130,"весна",$I$2:$I$1130,I616)</f>
        <v/>
      </c>
      <c r="O616" s="14">
        <f>M616+N616</f>
        <v/>
      </c>
      <c r="P616" s="15">
        <f>O616/$P$1</f>
        <v/>
      </c>
    </row>
    <row r="617" hidden="1" ht="15.75" customHeight="1" s="2">
      <c r="A617" s="9" t="inlineStr">
        <is>
          <t>весна</t>
        </is>
      </c>
      <c r="B617" s="9" t="inlineStr">
        <is>
          <t>Моделирование и информационные технологии процессов аддитивного производства</t>
        </is>
      </c>
      <c r="C617" s="9" t="inlineStr">
        <is>
          <t>Экзамен</t>
        </is>
      </c>
      <c r="D617" s="9" t="inlineStr">
        <is>
          <t>М9О-204М-19</t>
        </is>
      </c>
      <c r="E617" s="10" t="n">
        <v>4</v>
      </c>
      <c r="F617" s="9" t="inlineStr">
        <is>
          <t>12598</t>
        </is>
      </c>
      <c r="G617" s="11" t="n">
        <v>0</v>
      </c>
      <c r="H617" s="9" t="inlineStr">
        <is>
          <t xml:space="preserve">81720     </t>
        </is>
      </c>
      <c r="I617" s="9" t="inlineStr">
        <is>
          <t xml:space="preserve">Палтиевич Андрей Романович </t>
        </is>
      </c>
      <c r="J617" s="9" t="n"/>
      <c r="K617" s="9" t="n"/>
      <c r="L617" s="9" t="n"/>
      <c r="M617" s="12">
        <f>SUMIFS($E$2:$E$1130,$A$2:$A$1130,"осень",$I$2:$I$1130,I617)</f>
        <v/>
      </c>
      <c r="N617" s="13">
        <f>SUMIFS($E$2:$E$1130,$A$2:$A$1130,"весна",$I$2:$I$1130,I617)</f>
        <v/>
      </c>
      <c r="O617" s="14">
        <f>M617+N617</f>
        <v/>
      </c>
      <c r="P617" s="15">
        <f>O617/$P$1</f>
        <v/>
      </c>
    </row>
    <row r="618" hidden="1" ht="15.75" customHeight="1" s="2">
      <c r="A618" s="9" t="inlineStr">
        <is>
          <t>весна</t>
        </is>
      </c>
      <c r="B618" s="9" t="inlineStr">
        <is>
          <t>Моделирование и информационные технологии процессов аддитивного производства</t>
        </is>
      </c>
      <c r="C618" s="9" t="inlineStr">
        <is>
          <t>Консультация</t>
        </is>
      </c>
      <c r="D618" s="9" t="inlineStr">
        <is>
          <t>М9О-204М-19</t>
        </is>
      </c>
      <c r="E618" s="10" t="n">
        <v>3</v>
      </c>
      <c r="F618" s="9" t="inlineStr">
        <is>
          <t>12598</t>
        </is>
      </c>
      <c r="G618" s="11" t="n">
        <v>0</v>
      </c>
      <c r="H618" s="9" t="inlineStr">
        <is>
          <t xml:space="preserve">81720     </t>
        </is>
      </c>
      <c r="I618" s="9" t="inlineStr">
        <is>
          <t xml:space="preserve">Палтиевич Андрей Романович </t>
        </is>
      </c>
      <c r="J618" s="9" t="n"/>
      <c r="K618" s="9" t="n"/>
      <c r="L618" s="9" t="n"/>
      <c r="M618" s="12">
        <f>SUMIFS($E$2:$E$1130,$A$2:$A$1130,"осень",$I$2:$I$1130,I618)</f>
        <v/>
      </c>
      <c r="N618" s="13">
        <f>SUMIFS($E$2:$E$1130,$A$2:$A$1130,"весна",$I$2:$I$1130,I618)</f>
        <v/>
      </c>
      <c r="O618" s="14">
        <f>M618+N618</f>
        <v/>
      </c>
      <c r="P618" s="15">
        <f>O618/$P$1</f>
        <v/>
      </c>
    </row>
    <row r="619" hidden="1" ht="15.75" customHeight="1" s="2">
      <c r="A619" s="9" t="inlineStr">
        <is>
          <t>весна</t>
        </is>
      </c>
      <c r="B619" s="9" t="inlineStr">
        <is>
          <t>Автоматизация управления жизненным циклом продукции</t>
        </is>
      </c>
      <c r="C619" s="9" t="inlineStr">
        <is>
          <t>ЛК</t>
        </is>
      </c>
      <c r="D619" s="9" t="inlineStr">
        <is>
          <t>Т1О-404Б-17</t>
        </is>
      </c>
      <c r="E619" s="10" t="n">
        <v>16</v>
      </c>
      <c r="F619" s="9" t="inlineStr">
        <is>
          <t>08770</t>
        </is>
      </c>
      <c r="G619" s="10" t="n">
        <v>16</v>
      </c>
      <c r="H619" s="9" t="inlineStr">
        <is>
          <t xml:space="preserve">81728     </t>
        </is>
      </c>
      <c r="I619" s="9" t="inlineStr">
        <is>
          <t xml:space="preserve">Галкин Виктор Иванович </t>
        </is>
      </c>
      <c r="J619" s="9" t="inlineStr">
        <is>
          <t>профессор</t>
        </is>
      </c>
      <c r="K619" s="9" t="n"/>
      <c r="L619" s="9" t="n"/>
      <c r="M619" s="12">
        <f>SUMIFS($E$2:$E$1130,$A$2:$A$1130,"осень",$I$2:$I$1130,I619)</f>
        <v/>
      </c>
      <c r="N619" s="13">
        <f>SUMIFS($E$2:$E$1130,$A$2:$A$1130,"весна",$I$2:$I$1130,I619)</f>
        <v/>
      </c>
      <c r="O619" s="14">
        <f>M619+N619</f>
        <v/>
      </c>
      <c r="P619" s="15">
        <f>O619/$P$1</f>
        <v/>
      </c>
    </row>
    <row r="620" hidden="1" ht="15.75" customHeight="1" s="2">
      <c r="A620" s="9" t="inlineStr">
        <is>
          <t>весна</t>
        </is>
      </c>
      <c r="B620" s="9" t="inlineStr">
        <is>
          <t>Автоматизация управления жизненным циклом продукции</t>
        </is>
      </c>
      <c r="C620" s="9" t="inlineStr">
        <is>
          <t>ПЗ</t>
        </is>
      </c>
      <c r="D620" s="9" t="inlineStr">
        <is>
          <t>Т1О-404Б-17</t>
        </is>
      </c>
      <c r="E620" s="10" t="n">
        <v>16</v>
      </c>
      <c r="F620" s="9" t="inlineStr">
        <is>
          <t>08770</t>
        </is>
      </c>
      <c r="G620" s="10" t="n">
        <v>16</v>
      </c>
      <c r="H620" s="9" t="inlineStr">
        <is>
          <t xml:space="preserve">81728     </t>
        </is>
      </c>
      <c r="I620" s="9" t="inlineStr">
        <is>
          <t xml:space="preserve">Галкин Виктор Иванович </t>
        </is>
      </c>
      <c r="J620" s="9" t="inlineStr">
        <is>
          <t>профессор</t>
        </is>
      </c>
      <c r="K620" s="9" t="n"/>
      <c r="L620" s="9" t="n"/>
      <c r="M620" s="12">
        <f>SUMIFS($E$2:$E$1130,$A$2:$A$1130,"осень",$I$2:$I$1130,I620)</f>
        <v/>
      </c>
      <c r="N620" s="13">
        <f>SUMIFS($E$2:$E$1130,$A$2:$A$1130,"весна",$I$2:$I$1130,I620)</f>
        <v/>
      </c>
      <c r="O620" s="14">
        <f>M620+N620</f>
        <v/>
      </c>
      <c r="P620" s="15">
        <f>O620/$P$1</f>
        <v/>
      </c>
    </row>
    <row r="621" hidden="1" ht="15.75" customHeight="1" s="2">
      <c r="A621" s="9" t="inlineStr">
        <is>
          <t>весна</t>
        </is>
      </c>
      <c r="B621" s="9" t="inlineStr">
        <is>
          <t>Автоматизация управления жизненным циклом продукции</t>
        </is>
      </c>
      <c r="C621" s="9" t="inlineStr">
        <is>
          <t>Зачет</t>
        </is>
      </c>
      <c r="D621" s="9" t="inlineStr">
        <is>
          <t>Т1О-404Б-17</t>
        </is>
      </c>
      <c r="E621" s="10" t="n">
        <v>8</v>
      </c>
      <c r="F621" s="9" t="inlineStr">
        <is>
          <t>08770</t>
        </is>
      </c>
      <c r="G621" s="11" t="n">
        <v>0</v>
      </c>
      <c r="H621" s="9" t="inlineStr">
        <is>
          <t xml:space="preserve">81728     </t>
        </is>
      </c>
      <c r="I621" s="9" t="inlineStr">
        <is>
          <t xml:space="preserve">Галкин Виктор Иванович </t>
        </is>
      </c>
      <c r="J621" s="9" t="inlineStr">
        <is>
          <t>профессор</t>
        </is>
      </c>
      <c r="K621" s="9" t="n"/>
      <c r="L621" s="9" t="n"/>
      <c r="M621" s="12">
        <f>SUMIFS($E$2:$E$1130,$A$2:$A$1130,"осень",$I$2:$I$1130,I621)</f>
        <v/>
      </c>
      <c r="N621" s="13">
        <f>SUMIFS($E$2:$E$1130,$A$2:$A$1130,"весна",$I$2:$I$1130,I621)</f>
        <v/>
      </c>
      <c r="O621" s="14">
        <f>M621+N621</f>
        <v/>
      </c>
      <c r="P621" s="15">
        <f>O621/$P$1</f>
        <v/>
      </c>
    </row>
    <row r="622" hidden="1" ht="15.75" customHeight="1" s="2">
      <c r="A622" s="9" t="inlineStr">
        <is>
          <t>весна</t>
        </is>
      </c>
      <c r="B622" s="9" t="inlineStr">
        <is>
          <t>Автоматизация управления жизненным циклом продукции</t>
        </is>
      </c>
      <c r="C622" s="9" t="inlineStr">
        <is>
          <t>Консультация</t>
        </is>
      </c>
      <c r="D622" s="9" t="inlineStr">
        <is>
          <t>Т1О-404Б-17</t>
        </is>
      </c>
      <c r="E622" s="10" t="n">
        <v>1</v>
      </c>
      <c r="F622" s="9" t="inlineStr">
        <is>
          <t>08770</t>
        </is>
      </c>
      <c r="G622" s="11" t="n">
        <v>0</v>
      </c>
      <c r="H622" s="9" t="inlineStr">
        <is>
          <t xml:space="preserve">81728     </t>
        </is>
      </c>
      <c r="I622" s="9" t="inlineStr">
        <is>
          <t xml:space="preserve">Галкин Виктор Иванович </t>
        </is>
      </c>
      <c r="J622" s="9" t="inlineStr">
        <is>
          <t>профессор</t>
        </is>
      </c>
      <c r="K622" s="9" t="n"/>
      <c r="L622" s="9" t="n"/>
      <c r="M622" s="12">
        <f>SUMIFS($E$2:$E$1130,$A$2:$A$1130,"осень",$I$2:$I$1130,I622)</f>
        <v/>
      </c>
      <c r="N622" s="13">
        <f>SUMIFS($E$2:$E$1130,$A$2:$A$1130,"весна",$I$2:$I$1130,I622)</f>
        <v/>
      </c>
      <c r="O622" s="14">
        <f>M622+N622</f>
        <v/>
      </c>
      <c r="P622" s="15">
        <f>O622/$P$1</f>
        <v/>
      </c>
    </row>
    <row r="623" hidden="1" ht="15.75" customHeight="1" s="2">
      <c r="A623" s="9" t="inlineStr">
        <is>
          <t>весна</t>
        </is>
      </c>
      <c r="B623" s="9" t="inlineStr">
        <is>
          <t>Вычислительные машины и сети</t>
        </is>
      </c>
      <c r="C623" s="9" t="inlineStr">
        <is>
          <t>ЛК</t>
        </is>
      </c>
      <c r="D623" s="9" t="inlineStr">
        <is>
          <t>Т11О-103Б-20</t>
        </is>
      </c>
      <c r="E623" s="10" t="n">
        <v>14</v>
      </c>
      <c r="F623" s="9" t="inlineStr">
        <is>
          <t>13288</t>
        </is>
      </c>
      <c r="G623" s="10" t="n">
        <v>14</v>
      </c>
      <c r="H623" s="9" t="inlineStr">
        <is>
          <t xml:space="preserve">81721     </t>
        </is>
      </c>
      <c r="I623" s="9" t="inlineStr">
        <is>
          <t xml:space="preserve">Преображенский Евгений Владимирович </t>
        </is>
      </c>
      <c r="J623" s="9" t="inlineStr">
        <is>
          <t>доцент</t>
        </is>
      </c>
      <c r="K623" s="9" t="n"/>
      <c r="L623" s="9" t="n"/>
      <c r="M623" s="12">
        <f>SUMIFS($E$2:$E$1130,$A$2:$A$1130,"осень",$I$2:$I$1130,I623)</f>
        <v/>
      </c>
      <c r="N623" s="13">
        <f>SUMIFS($E$2:$E$1130,$A$2:$A$1130,"весна",$I$2:$I$1130,I623)</f>
        <v/>
      </c>
      <c r="O623" s="14">
        <f>M623+N623</f>
        <v/>
      </c>
      <c r="P623" s="15">
        <f>O623/$P$1</f>
        <v/>
      </c>
    </row>
    <row r="624" hidden="1" ht="15.75" customHeight="1" s="2">
      <c r="A624" s="9" t="inlineStr">
        <is>
          <t>весна</t>
        </is>
      </c>
      <c r="B624" s="9" t="inlineStr">
        <is>
          <t>Вычислительные машины и сети</t>
        </is>
      </c>
      <c r="C624" s="9" t="inlineStr">
        <is>
          <t>ПЗ</t>
        </is>
      </c>
      <c r="D624" s="9" t="inlineStr">
        <is>
          <t>Т11О-103Б-20</t>
        </is>
      </c>
      <c r="E624" s="10" t="n">
        <v>16</v>
      </c>
      <c r="F624" s="9" t="inlineStr">
        <is>
          <t>13288</t>
        </is>
      </c>
      <c r="G624" s="10" t="n">
        <v>16</v>
      </c>
      <c r="H624" s="9" t="inlineStr">
        <is>
          <t xml:space="preserve">81721     </t>
        </is>
      </c>
      <c r="I624" s="9" t="inlineStr">
        <is>
          <t xml:space="preserve">Преображенский Евгений Владимирович </t>
        </is>
      </c>
      <c r="J624" s="9" t="inlineStr">
        <is>
          <t>доцент</t>
        </is>
      </c>
      <c r="K624" s="9" t="n"/>
      <c r="L624" s="9" t="n"/>
      <c r="M624" s="12">
        <f>SUMIFS($E$2:$E$1130,$A$2:$A$1130,"осень",$I$2:$I$1130,I624)</f>
        <v/>
      </c>
      <c r="N624" s="13">
        <f>SUMIFS($E$2:$E$1130,$A$2:$A$1130,"весна",$I$2:$I$1130,I624)</f>
        <v/>
      </c>
      <c r="O624" s="14">
        <f>M624+N624</f>
        <v/>
      </c>
      <c r="P624" s="15">
        <f>O624/$P$1</f>
        <v/>
      </c>
    </row>
    <row r="625" hidden="1" ht="15.75" customHeight="1" s="2">
      <c r="A625" s="9" t="inlineStr">
        <is>
          <t>весна</t>
        </is>
      </c>
      <c r="B625" s="9" t="inlineStr">
        <is>
          <t>Вычислительные машины и сети</t>
        </is>
      </c>
      <c r="C625" s="9" t="inlineStr">
        <is>
          <t>Зачет</t>
        </is>
      </c>
      <c r="D625" s="9" t="inlineStr">
        <is>
          <t>Т11О-103Б-20</t>
        </is>
      </c>
      <c r="E625" s="10" t="n">
        <v>5</v>
      </c>
      <c r="F625" s="9" t="inlineStr">
        <is>
          <t>13288</t>
        </is>
      </c>
      <c r="G625" s="11" t="n">
        <v>0</v>
      </c>
      <c r="H625" s="9" t="inlineStr">
        <is>
          <t xml:space="preserve">81721     </t>
        </is>
      </c>
      <c r="I625" s="9" t="inlineStr">
        <is>
          <t xml:space="preserve">Преображенский Евгений Владимирович </t>
        </is>
      </c>
      <c r="J625" s="9" t="inlineStr">
        <is>
          <t>доцент</t>
        </is>
      </c>
      <c r="K625" s="9" t="n"/>
      <c r="L625" s="9" t="n"/>
      <c r="M625" s="12">
        <f>SUMIFS($E$2:$E$1130,$A$2:$A$1130,"осень",$I$2:$I$1130,I625)</f>
        <v/>
      </c>
      <c r="N625" s="13">
        <f>SUMIFS($E$2:$E$1130,$A$2:$A$1130,"весна",$I$2:$I$1130,I625)</f>
        <v/>
      </c>
      <c r="O625" s="14">
        <f>M625+N625</f>
        <v/>
      </c>
      <c r="P625" s="15">
        <f>O625/$P$1</f>
        <v/>
      </c>
    </row>
    <row r="626" hidden="1" ht="15.75" customHeight="1" s="2">
      <c r="A626" s="9" t="inlineStr">
        <is>
          <t>весна</t>
        </is>
      </c>
      <c r="B626" s="9" t="inlineStr">
        <is>
          <t>Вычислительные машины и сети</t>
        </is>
      </c>
      <c r="C626" s="9" t="inlineStr">
        <is>
          <t>Консультация</t>
        </is>
      </c>
      <c r="D626" s="9" t="inlineStr">
        <is>
          <t>Т11О-103Б-20</t>
        </is>
      </c>
      <c r="E626" s="10" t="n">
        <v>1</v>
      </c>
      <c r="F626" s="9" t="inlineStr">
        <is>
          <t>13288</t>
        </is>
      </c>
      <c r="G626" s="11" t="n">
        <v>0</v>
      </c>
      <c r="H626" s="9" t="inlineStr">
        <is>
          <t xml:space="preserve">81721     </t>
        </is>
      </c>
      <c r="I626" s="9" t="inlineStr">
        <is>
          <t xml:space="preserve">Преображенский Евгений Владимирович </t>
        </is>
      </c>
      <c r="J626" s="9" t="inlineStr">
        <is>
          <t>доцент</t>
        </is>
      </c>
      <c r="K626" s="9" t="n"/>
      <c r="L626" s="9" t="n"/>
      <c r="M626" s="12">
        <f>SUMIFS($E$2:$E$1130,$A$2:$A$1130,"осень",$I$2:$I$1130,I626)</f>
        <v/>
      </c>
      <c r="N626" s="13">
        <f>SUMIFS($E$2:$E$1130,$A$2:$A$1130,"весна",$I$2:$I$1130,I626)</f>
        <v/>
      </c>
      <c r="O626" s="14">
        <f>M626+N626</f>
        <v/>
      </c>
      <c r="P626" s="15">
        <f>O626/$P$1</f>
        <v/>
      </c>
    </row>
    <row r="627" hidden="1" ht="15.75" customHeight="1" s="2">
      <c r="A627" s="9" t="inlineStr">
        <is>
          <t>весна</t>
        </is>
      </c>
      <c r="B627" s="9" t="inlineStr">
        <is>
          <t>Контроль качества отливок</t>
        </is>
      </c>
      <c r="C627" s="9" t="inlineStr">
        <is>
          <t>ЛК</t>
        </is>
      </c>
      <c r="D627" s="9" t="inlineStr">
        <is>
          <t>Т11О-102М-20</t>
        </is>
      </c>
      <c r="E627" s="10" t="n">
        <v>18</v>
      </c>
      <c r="F627" s="9" t="inlineStr">
        <is>
          <t>06201</t>
        </is>
      </c>
      <c r="G627" s="10" t="n">
        <v>18</v>
      </c>
      <c r="H627" s="9" t="inlineStr">
        <is>
          <t xml:space="preserve">82020     </t>
        </is>
      </c>
      <c r="I627" s="9" t="inlineStr">
        <is>
          <t xml:space="preserve">Варфоломеев Максим Сергеевич </t>
        </is>
      </c>
      <c r="J627" s="9" t="inlineStr">
        <is>
          <t>доцент</t>
        </is>
      </c>
      <c r="K627" s="9" t="n"/>
      <c r="L627" s="9" t="n"/>
      <c r="M627" s="12">
        <f>SUMIFS($E$2:$E$1130,$A$2:$A$1130,"осень",$I$2:$I$1130,I627)</f>
        <v/>
      </c>
      <c r="N627" s="13">
        <f>SUMIFS($E$2:$E$1130,$A$2:$A$1130,"весна",$I$2:$I$1130,I627)</f>
        <v/>
      </c>
      <c r="O627" s="14">
        <f>M627+N627</f>
        <v/>
      </c>
      <c r="P627" s="15">
        <f>O627/$P$1</f>
        <v/>
      </c>
    </row>
    <row r="628" hidden="1" ht="15.75" customHeight="1" s="2">
      <c r="A628" s="9" t="inlineStr">
        <is>
          <t>весна</t>
        </is>
      </c>
      <c r="B628" s="9" t="inlineStr">
        <is>
          <t>Контроль качества отливок</t>
        </is>
      </c>
      <c r="C628" s="9" t="inlineStr">
        <is>
          <t>Зачет с оценкой</t>
        </is>
      </c>
      <c r="D628" s="9" t="inlineStr">
        <is>
          <t>Т11О-102М-20</t>
        </is>
      </c>
      <c r="E628" s="10" t="n">
        <v>2</v>
      </c>
      <c r="F628" s="9" t="inlineStr">
        <is>
          <t>06201</t>
        </is>
      </c>
      <c r="G628" s="11" t="n">
        <v>0</v>
      </c>
      <c r="H628" s="9" t="inlineStr">
        <is>
          <t xml:space="preserve">82020     </t>
        </is>
      </c>
      <c r="I628" s="9" t="inlineStr">
        <is>
          <t xml:space="preserve">Варфоломеев Максим Сергеевич </t>
        </is>
      </c>
      <c r="J628" s="9" t="inlineStr">
        <is>
          <t>доцент</t>
        </is>
      </c>
      <c r="K628" s="9" t="n"/>
      <c r="L628" s="9" t="n"/>
      <c r="M628" s="12">
        <f>SUMIFS($E$2:$E$1130,$A$2:$A$1130,"осень",$I$2:$I$1130,I628)</f>
        <v/>
      </c>
      <c r="N628" s="13">
        <f>SUMIFS($E$2:$E$1130,$A$2:$A$1130,"весна",$I$2:$I$1130,I628)</f>
        <v/>
      </c>
      <c r="O628" s="14">
        <f>M628+N628</f>
        <v/>
      </c>
      <c r="P628" s="15">
        <f>O628/$P$1</f>
        <v/>
      </c>
    </row>
    <row r="629" hidden="1" ht="15.75" customHeight="1" s="2">
      <c r="A629" s="9" t="inlineStr">
        <is>
          <t>весна</t>
        </is>
      </c>
      <c r="B629" s="9" t="inlineStr">
        <is>
          <t>Контроль качества отливок</t>
        </is>
      </c>
      <c r="C629" s="9" t="inlineStr">
        <is>
          <t>ПЗ</t>
        </is>
      </c>
      <c r="D629" s="9" t="inlineStr">
        <is>
          <t>Т11О-102М-20</t>
        </is>
      </c>
      <c r="E629" s="10" t="n">
        <v>34</v>
      </c>
      <c r="F629" s="9" t="inlineStr">
        <is>
          <t>06201</t>
        </is>
      </c>
      <c r="G629" s="10" t="n">
        <v>34</v>
      </c>
      <c r="H629" s="9" t="inlineStr">
        <is>
          <t xml:space="preserve">82020     </t>
        </is>
      </c>
      <c r="I629" s="9" t="inlineStr">
        <is>
          <t xml:space="preserve">Варфоломеев Максим Сергеевич </t>
        </is>
      </c>
      <c r="J629" s="9" t="inlineStr">
        <is>
          <t>доцент</t>
        </is>
      </c>
      <c r="K629" s="9" t="n"/>
      <c r="L629" s="9" t="n"/>
      <c r="M629" s="12">
        <f>SUMIFS($E$2:$E$1130,$A$2:$A$1130,"осень",$I$2:$I$1130,I629)</f>
        <v/>
      </c>
      <c r="N629" s="13">
        <f>SUMIFS($E$2:$E$1130,$A$2:$A$1130,"весна",$I$2:$I$1130,I629)</f>
        <v/>
      </c>
      <c r="O629" s="14">
        <f>M629+N629</f>
        <v/>
      </c>
      <c r="P629" s="15">
        <f>O629/$P$1</f>
        <v/>
      </c>
    </row>
    <row r="630" hidden="1" ht="15.75" customHeight="1" s="2">
      <c r="A630" s="9" t="inlineStr">
        <is>
          <t>весна</t>
        </is>
      </c>
      <c r="B630" s="9" t="inlineStr">
        <is>
          <t>Контроль качества отливок</t>
        </is>
      </c>
      <c r="C630" s="9" t="inlineStr">
        <is>
          <t>ЛР</t>
        </is>
      </c>
      <c r="D630" s="9" t="inlineStr">
        <is>
          <t>Т11О-102М-20</t>
        </is>
      </c>
      <c r="E630" s="10" t="n">
        <v>16</v>
      </c>
      <c r="F630" s="9" t="inlineStr">
        <is>
          <t>06201</t>
        </is>
      </c>
      <c r="G630" s="10" t="n">
        <v>16</v>
      </c>
      <c r="H630" s="9" t="inlineStr">
        <is>
          <t xml:space="preserve">82020     </t>
        </is>
      </c>
      <c r="I630" s="9" t="inlineStr">
        <is>
          <t xml:space="preserve">Варфоломеев Максим Сергеевич </t>
        </is>
      </c>
      <c r="J630" s="9" t="inlineStr">
        <is>
          <t>доцент</t>
        </is>
      </c>
      <c r="K630" s="9" t="n"/>
      <c r="L630" s="9" t="n"/>
      <c r="M630" s="12">
        <f>SUMIFS($E$2:$E$1130,$A$2:$A$1130,"осень",$I$2:$I$1130,I630)</f>
        <v/>
      </c>
      <c r="N630" s="13">
        <f>SUMIFS($E$2:$E$1130,$A$2:$A$1130,"весна",$I$2:$I$1130,I630)</f>
        <v/>
      </c>
      <c r="O630" s="14">
        <f>M630+N630</f>
        <v/>
      </c>
      <c r="P630" s="15">
        <f>O630/$P$1</f>
        <v/>
      </c>
    </row>
    <row r="631" hidden="1" ht="15.75" customHeight="1" s="2">
      <c r="A631" s="9" t="inlineStr">
        <is>
          <t>весна</t>
        </is>
      </c>
      <c r="B631" s="9" t="inlineStr">
        <is>
          <t>Контроль качества отливок</t>
        </is>
      </c>
      <c r="C631" s="9" t="inlineStr">
        <is>
          <t>Консультация</t>
        </is>
      </c>
      <c r="D631" s="9" t="inlineStr">
        <is>
          <t>Т11О-102М-20</t>
        </is>
      </c>
      <c r="E631" s="10" t="n">
        <v>1</v>
      </c>
      <c r="F631" s="9" t="inlineStr">
        <is>
          <t>06201</t>
        </is>
      </c>
      <c r="G631" s="11" t="n">
        <v>0</v>
      </c>
      <c r="H631" s="9" t="inlineStr">
        <is>
          <t xml:space="preserve">82020     </t>
        </is>
      </c>
      <c r="I631" s="9" t="inlineStr">
        <is>
          <t xml:space="preserve">Варфоломеев Максим Сергеевич </t>
        </is>
      </c>
      <c r="J631" s="9" t="inlineStr">
        <is>
          <t>доцент</t>
        </is>
      </c>
      <c r="K631" s="9" t="n"/>
      <c r="L631" s="9" t="n"/>
      <c r="M631" s="12">
        <f>SUMIFS($E$2:$E$1130,$A$2:$A$1130,"осень",$I$2:$I$1130,I631)</f>
        <v/>
      </c>
      <c r="N631" s="13">
        <f>SUMIFS($E$2:$E$1130,$A$2:$A$1130,"весна",$I$2:$I$1130,I631)</f>
        <v/>
      </c>
      <c r="O631" s="14">
        <f>M631+N631</f>
        <v/>
      </c>
      <c r="P631" s="15">
        <f>O631/$P$1</f>
        <v/>
      </c>
    </row>
    <row r="632" hidden="1" ht="15.75" customHeight="1" s="2">
      <c r="A632" s="9" t="inlineStr">
        <is>
          <t>весна</t>
        </is>
      </c>
      <c r="B632" s="9" t="inlineStr">
        <is>
          <t>САПР и АСУ ТП в металлургии</t>
        </is>
      </c>
      <c r="C632" s="9" t="inlineStr">
        <is>
          <t>ЛК</t>
        </is>
      </c>
      <c r="D632" s="9" t="inlineStr">
        <is>
          <t>Т11О-102М-20</t>
        </is>
      </c>
      <c r="E632" s="10" t="n">
        <v>12</v>
      </c>
      <c r="F632" s="9" t="inlineStr">
        <is>
          <t>06201</t>
        </is>
      </c>
      <c r="G632" s="10" t="n">
        <v>12</v>
      </c>
      <c r="H632" s="9" t="inlineStr">
        <is>
          <t xml:space="preserve">82086     </t>
        </is>
      </c>
      <c r="I632" s="9" t="inlineStr">
        <is>
          <t xml:space="preserve">Смыков Андрей Федорович </t>
        </is>
      </c>
      <c r="J632" s="9" t="inlineStr">
        <is>
          <t>профессор</t>
        </is>
      </c>
      <c r="K632" s="9" t="n"/>
      <c r="L632" s="9" t="n"/>
      <c r="M632" s="12">
        <f>SUMIFS($E$2:$E$1130,$A$2:$A$1130,"осень",$I$2:$I$1130,I632)</f>
        <v/>
      </c>
      <c r="N632" s="13">
        <f>SUMIFS($E$2:$E$1130,$A$2:$A$1130,"весна",$I$2:$I$1130,I632)</f>
        <v/>
      </c>
      <c r="O632" s="14">
        <f>M632+N632</f>
        <v/>
      </c>
      <c r="P632" s="15">
        <f>O632/$P$1</f>
        <v/>
      </c>
    </row>
    <row r="633" hidden="1" ht="15.75" customHeight="1" s="2">
      <c r="A633" s="9" t="inlineStr">
        <is>
          <t>весна</t>
        </is>
      </c>
      <c r="B633" s="9" t="inlineStr">
        <is>
          <t>САПР и АСУ ТП в металлургии</t>
        </is>
      </c>
      <c r="C633" s="9" t="inlineStr">
        <is>
          <t>КР</t>
        </is>
      </c>
      <c r="D633" s="9" t="inlineStr">
        <is>
          <t>Т11О-102М-20</t>
        </is>
      </c>
      <c r="E633" s="10" t="n">
        <v>15</v>
      </c>
      <c r="F633" s="9" t="inlineStr">
        <is>
          <t>06201</t>
        </is>
      </c>
      <c r="G633" s="11" t="n">
        <v>0</v>
      </c>
      <c r="H633" s="9" t="inlineStr">
        <is>
          <t xml:space="preserve">82086     </t>
        </is>
      </c>
      <c r="I633" s="9" t="inlineStr">
        <is>
          <t xml:space="preserve">Смыков Андрей Федорович </t>
        </is>
      </c>
      <c r="J633" s="9" t="inlineStr">
        <is>
          <t>профессор</t>
        </is>
      </c>
      <c r="K633" s="9" t="n"/>
      <c r="L633" s="9" t="n"/>
      <c r="M633" s="12">
        <f>SUMIFS($E$2:$E$1130,$A$2:$A$1130,"осень",$I$2:$I$1130,I633)</f>
        <v/>
      </c>
      <c r="N633" s="13">
        <f>SUMIFS($E$2:$E$1130,$A$2:$A$1130,"весна",$I$2:$I$1130,I633)</f>
        <v/>
      </c>
      <c r="O633" s="14">
        <f>M633+N633</f>
        <v/>
      </c>
      <c r="P633" s="15">
        <f>O633/$P$1</f>
        <v/>
      </c>
    </row>
    <row r="634" hidden="1" ht="15.75" customHeight="1" s="2">
      <c r="A634" s="9" t="inlineStr">
        <is>
          <t>весна</t>
        </is>
      </c>
      <c r="B634" s="9" t="inlineStr">
        <is>
          <t>САПР и АСУ ТП в металлургии</t>
        </is>
      </c>
      <c r="C634" s="9" t="inlineStr">
        <is>
          <t>Зачет с оценкой</t>
        </is>
      </c>
      <c r="D634" s="9" t="inlineStr">
        <is>
          <t>Т11О-102М-20</t>
        </is>
      </c>
      <c r="E634" s="10" t="n">
        <v>2</v>
      </c>
      <c r="F634" s="9" t="inlineStr">
        <is>
          <t>06201</t>
        </is>
      </c>
      <c r="G634" s="11" t="n">
        <v>0</v>
      </c>
      <c r="H634" s="9" t="inlineStr">
        <is>
          <t xml:space="preserve">82086     </t>
        </is>
      </c>
      <c r="I634" s="9" t="inlineStr">
        <is>
          <t xml:space="preserve">Смыков Андрей Федорович </t>
        </is>
      </c>
      <c r="J634" s="9" t="inlineStr">
        <is>
          <t>профессор</t>
        </is>
      </c>
      <c r="K634" s="9" t="n"/>
      <c r="L634" s="9" t="n"/>
      <c r="M634" s="12">
        <f>SUMIFS($E$2:$E$1130,$A$2:$A$1130,"осень",$I$2:$I$1130,I634)</f>
        <v/>
      </c>
      <c r="N634" s="13">
        <f>SUMIFS($E$2:$E$1130,$A$2:$A$1130,"весна",$I$2:$I$1130,I634)</f>
        <v/>
      </c>
      <c r="O634" s="14">
        <f>M634+N634</f>
        <v/>
      </c>
      <c r="P634" s="15">
        <f>O634/$P$1</f>
        <v/>
      </c>
    </row>
    <row r="635" hidden="1" ht="15.75" customHeight="1" s="2">
      <c r="A635" s="9" t="inlineStr">
        <is>
          <t>весна</t>
        </is>
      </c>
      <c r="B635" s="9" t="inlineStr">
        <is>
          <t>САПР и АСУ ТП в металлургии</t>
        </is>
      </c>
      <c r="C635" s="9" t="inlineStr">
        <is>
          <t>ПЗ</t>
        </is>
      </c>
      <c r="D635" s="9" t="inlineStr">
        <is>
          <t>Т11О-102М-20</t>
        </is>
      </c>
      <c r="E635" s="10" t="n">
        <v>14</v>
      </c>
      <c r="F635" s="9" t="inlineStr">
        <is>
          <t>06201</t>
        </is>
      </c>
      <c r="G635" s="10" t="n">
        <v>14</v>
      </c>
      <c r="H635" s="9" t="inlineStr">
        <is>
          <t xml:space="preserve">82086     </t>
        </is>
      </c>
      <c r="I635" s="9" t="inlineStr">
        <is>
          <t xml:space="preserve">Смыков Андрей Федорович </t>
        </is>
      </c>
      <c r="J635" s="9" t="inlineStr">
        <is>
          <t>профессор</t>
        </is>
      </c>
      <c r="K635" s="9" t="n"/>
      <c r="L635" s="9" t="n"/>
      <c r="M635" s="12">
        <f>SUMIFS($E$2:$E$1130,$A$2:$A$1130,"осень",$I$2:$I$1130,I635)</f>
        <v/>
      </c>
      <c r="N635" s="13">
        <f>SUMIFS($E$2:$E$1130,$A$2:$A$1130,"весна",$I$2:$I$1130,I635)</f>
        <v/>
      </c>
      <c r="O635" s="14">
        <f>M635+N635</f>
        <v/>
      </c>
      <c r="P635" s="15">
        <f>O635/$P$1</f>
        <v/>
      </c>
    </row>
    <row r="636" hidden="1" ht="15.75" customHeight="1" s="2">
      <c r="A636" s="9" t="inlineStr">
        <is>
          <t>весна</t>
        </is>
      </c>
      <c r="B636" s="9" t="inlineStr">
        <is>
          <t>САПР и АСУ ТП в металлургии</t>
        </is>
      </c>
      <c r="C636" s="9" t="inlineStr">
        <is>
          <t>ЛР</t>
        </is>
      </c>
      <c r="D636" s="9" t="inlineStr">
        <is>
          <t>Т11О-102М-20</t>
        </is>
      </c>
      <c r="E636" s="10" t="n">
        <v>24</v>
      </c>
      <c r="F636" s="9" t="inlineStr">
        <is>
          <t>06201</t>
        </is>
      </c>
      <c r="G636" s="10" t="n">
        <v>24</v>
      </c>
      <c r="H636" s="9" t="inlineStr">
        <is>
          <t xml:space="preserve">82086     </t>
        </is>
      </c>
      <c r="I636" s="9" t="inlineStr">
        <is>
          <t xml:space="preserve">Смыков Андрей Федорович </t>
        </is>
      </c>
      <c r="J636" s="9" t="inlineStr">
        <is>
          <t>профессор</t>
        </is>
      </c>
      <c r="K636" s="9" t="n"/>
      <c r="L636" s="9" t="n"/>
      <c r="M636" s="12">
        <f>SUMIFS($E$2:$E$1130,$A$2:$A$1130,"осень",$I$2:$I$1130,I636)</f>
        <v/>
      </c>
      <c r="N636" s="13">
        <f>SUMIFS($E$2:$E$1130,$A$2:$A$1130,"весна",$I$2:$I$1130,I636)</f>
        <v/>
      </c>
      <c r="O636" s="14">
        <f>M636+N636</f>
        <v/>
      </c>
      <c r="P636" s="15">
        <f>O636/$P$1</f>
        <v/>
      </c>
    </row>
    <row r="637" hidden="1" ht="15.75" customHeight="1" s="2">
      <c r="A637" s="9" t="inlineStr">
        <is>
          <t>весна</t>
        </is>
      </c>
      <c r="B637" s="9" t="inlineStr">
        <is>
          <t>САПР и АСУ ТП в металлургии</t>
        </is>
      </c>
      <c r="C637" s="9" t="inlineStr">
        <is>
          <t>Консультация</t>
        </is>
      </c>
      <c r="D637" s="9" t="inlineStr">
        <is>
          <t>Т11О-102М-20</t>
        </is>
      </c>
      <c r="E637" s="10" t="n">
        <v>1</v>
      </c>
      <c r="F637" s="9" t="inlineStr">
        <is>
          <t>06201</t>
        </is>
      </c>
      <c r="G637" s="11" t="n">
        <v>0</v>
      </c>
      <c r="H637" s="9" t="inlineStr">
        <is>
          <t xml:space="preserve">82086     </t>
        </is>
      </c>
      <c r="I637" s="9" t="inlineStr">
        <is>
          <t xml:space="preserve">Смыков Андрей Федорович </t>
        </is>
      </c>
      <c r="J637" s="9" t="inlineStr">
        <is>
          <t>профессор</t>
        </is>
      </c>
      <c r="K637" s="9" t="n"/>
      <c r="L637" s="9" t="n"/>
      <c r="M637" s="12">
        <f>SUMIFS($E$2:$E$1130,$A$2:$A$1130,"осень",$I$2:$I$1130,I637)</f>
        <v/>
      </c>
      <c r="N637" s="13">
        <f>SUMIFS($E$2:$E$1130,$A$2:$A$1130,"весна",$I$2:$I$1130,I637)</f>
        <v/>
      </c>
      <c r="O637" s="14">
        <f>M637+N637</f>
        <v/>
      </c>
      <c r="P637" s="15">
        <f>O637/$P$1</f>
        <v/>
      </c>
    </row>
    <row r="638" hidden="1" ht="15.75" customHeight="1" s="2">
      <c r="A638" s="9" t="inlineStr">
        <is>
          <t>весна</t>
        </is>
      </c>
      <c r="B638" s="9" t="inlineStr">
        <is>
          <t>Электрофизические технологии обработки материалов</t>
        </is>
      </c>
      <c r="C638" s="9" t="inlineStr">
        <is>
          <t>ЛК</t>
        </is>
      </c>
      <c r="D638" s="9" t="inlineStr">
        <is>
          <t>Т11О-103М-20</t>
        </is>
      </c>
      <c r="E638" s="10" t="n">
        <v>18</v>
      </c>
      <c r="F638" s="9" t="inlineStr">
        <is>
          <t>06203</t>
        </is>
      </c>
      <c r="G638" s="10" t="n">
        <v>18</v>
      </c>
      <c r="H638" s="9" t="inlineStr">
        <is>
          <t xml:space="preserve">93689     </t>
        </is>
      </c>
      <c r="I638" s="9" t="inlineStr">
        <is>
          <t xml:space="preserve">Ленковец Александр Сергеевич </t>
        </is>
      </c>
      <c r="J638" s="9" t="n"/>
      <c r="K638" s="9" t="n"/>
      <c r="L638" s="9" t="n"/>
      <c r="M638" s="12">
        <f>SUMIFS($E$2:$E$1130,$A$2:$A$1130,"осень",$I$2:$I$1130,I638)</f>
        <v/>
      </c>
      <c r="N638" s="13">
        <f>SUMIFS($E$2:$E$1130,$A$2:$A$1130,"весна",$I$2:$I$1130,I638)</f>
        <v/>
      </c>
      <c r="O638" s="14">
        <f>M638+N638</f>
        <v/>
      </c>
      <c r="P638" s="15">
        <f>O638/$P$1</f>
        <v/>
      </c>
    </row>
    <row r="639" hidden="1" ht="15.75" customHeight="1" s="2">
      <c r="A639" s="9" t="inlineStr">
        <is>
          <t>весна</t>
        </is>
      </c>
      <c r="B639" s="9" t="inlineStr">
        <is>
          <t>Электрофизические технологии обработки материалов</t>
        </is>
      </c>
      <c r="C639" s="9" t="inlineStr">
        <is>
          <t>КР</t>
        </is>
      </c>
      <c r="D639" s="9" t="inlineStr">
        <is>
          <t>Т11О-103М-20</t>
        </is>
      </c>
      <c r="E639" s="10" t="n">
        <v>15</v>
      </c>
      <c r="F639" s="9" t="inlineStr">
        <is>
          <t>06203</t>
        </is>
      </c>
      <c r="G639" s="11" t="n">
        <v>0</v>
      </c>
      <c r="H639" s="9" t="inlineStr">
        <is>
          <t xml:space="preserve">93689     </t>
        </is>
      </c>
      <c r="I639" s="9" t="inlineStr">
        <is>
          <t xml:space="preserve">Ленковец Александр Сергеевич </t>
        </is>
      </c>
      <c r="J639" s="9" t="n"/>
      <c r="K639" s="9" t="n"/>
      <c r="L639" s="9" t="n"/>
      <c r="M639" s="12">
        <f>SUMIFS($E$2:$E$1130,$A$2:$A$1130,"осень",$I$2:$I$1130,I639)</f>
        <v/>
      </c>
      <c r="N639" s="13">
        <f>SUMIFS($E$2:$E$1130,$A$2:$A$1130,"весна",$I$2:$I$1130,I639)</f>
        <v/>
      </c>
      <c r="O639" s="14">
        <f>M639+N639</f>
        <v/>
      </c>
      <c r="P639" s="15">
        <f>O639/$P$1</f>
        <v/>
      </c>
    </row>
    <row r="640" hidden="1" ht="15.75" customHeight="1" s="2">
      <c r="A640" s="9" t="inlineStr">
        <is>
          <t>весна</t>
        </is>
      </c>
      <c r="B640" s="9" t="inlineStr">
        <is>
          <t>Электрофизические технологии обработки материалов</t>
        </is>
      </c>
      <c r="C640" s="9" t="inlineStr">
        <is>
          <t>Зачет с оценкой</t>
        </is>
      </c>
      <c r="D640" s="9" t="inlineStr">
        <is>
          <t>Т11О-103М-20</t>
        </is>
      </c>
      <c r="E640" s="10" t="n">
        <v>2</v>
      </c>
      <c r="F640" s="9" t="inlineStr">
        <is>
          <t>06203</t>
        </is>
      </c>
      <c r="G640" s="11" t="n">
        <v>0</v>
      </c>
      <c r="H640" s="9" t="inlineStr">
        <is>
          <t xml:space="preserve">93689     </t>
        </is>
      </c>
      <c r="I640" s="9" t="inlineStr">
        <is>
          <t xml:space="preserve">Ленковец Александр Сергеевич </t>
        </is>
      </c>
      <c r="J640" s="9" t="n"/>
      <c r="K640" s="9" t="n"/>
      <c r="L640" s="9" t="n"/>
      <c r="M640" s="12">
        <f>SUMIFS($E$2:$E$1130,$A$2:$A$1130,"осень",$I$2:$I$1130,I640)</f>
        <v/>
      </c>
      <c r="N640" s="13">
        <f>SUMIFS($E$2:$E$1130,$A$2:$A$1130,"весна",$I$2:$I$1130,I640)</f>
        <v/>
      </c>
      <c r="O640" s="14">
        <f>M640+N640</f>
        <v/>
      </c>
      <c r="P640" s="15">
        <f>O640/$P$1</f>
        <v/>
      </c>
    </row>
    <row r="641" hidden="1" ht="15.75" customHeight="1" s="2">
      <c r="A641" s="9" t="inlineStr">
        <is>
          <t>весна</t>
        </is>
      </c>
      <c r="B641" s="9" t="inlineStr">
        <is>
          <t>Электрофизические технологии обработки материалов</t>
        </is>
      </c>
      <c r="C641" s="9" t="inlineStr">
        <is>
          <t>ПЗ</t>
        </is>
      </c>
      <c r="D641" s="9" t="inlineStr">
        <is>
          <t>Т11О-103М-20</t>
        </is>
      </c>
      <c r="E641" s="10" t="n">
        <v>36</v>
      </c>
      <c r="F641" s="9" t="inlineStr">
        <is>
          <t>06203</t>
        </is>
      </c>
      <c r="G641" s="10" t="n">
        <v>36</v>
      </c>
      <c r="H641" s="9" t="inlineStr">
        <is>
          <t xml:space="preserve">93689     </t>
        </is>
      </c>
      <c r="I641" s="9" t="inlineStr">
        <is>
          <t xml:space="preserve">Ленковец Александр Сергеевич </t>
        </is>
      </c>
      <c r="J641" s="9" t="n"/>
      <c r="K641" s="9" t="n"/>
      <c r="L641" s="9" t="n"/>
      <c r="M641" s="12">
        <f>SUMIFS($E$2:$E$1130,$A$2:$A$1130,"осень",$I$2:$I$1130,I641)</f>
        <v/>
      </c>
      <c r="N641" s="13">
        <f>SUMIFS($E$2:$E$1130,$A$2:$A$1130,"весна",$I$2:$I$1130,I641)</f>
        <v/>
      </c>
      <c r="O641" s="14">
        <f>M641+N641</f>
        <v/>
      </c>
      <c r="P641" s="15">
        <f>O641/$P$1</f>
        <v/>
      </c>
    </row>
    <row r="642" hidden="1" ht="15.75" customHeight="1" s="2">
      <c r="A642" s="9" t="inlineStr">
        <is>
          <t>весна</t>
        </is>
      </c>
      <c r="B642" s="9" t="inlineStr">
        <is>
          <t>Электрофизические технологии обработки материалов</t>
        </is>
      </c>
      <c r="C642" s="9" t="inlineStr">
        <is>
          <t>ЛР</t>
        </is>
      </c>
      <c r="D642" s="9" t="inlineStr">
        <is>
          <t>Т11О-103М-20</t>
        </is>
      </c>
      <c r="E642" s="10" t="n">
        <v>12</v>
      </c>
      <c r="F642" s="9" t="inlineStr">
        <is>
          <t>06203</t>
        </is>
      </c>
      <c r="G642" s="10" t="n">
        <v>12</v>
      </c>
      <c r="H642" s="9" t="inlineStr">
        <is>
          <t xml:space="preserve">82060     </t>
        </is>
      </c>
      <c r="I642" s="9" t="inlineStr">
        <is>
          <t xml:space="preserve">Лозован Александр Александрович </t>
        </is>
      </c>
      <c r="J642" s="9" t="inlineStr">
        <is>
          <t>профессор</t>
        </is>
      </c>
      <c r="K642" s="9" t="n"/>
      <c r="L642" s="9" t="n"/>
      <c r="M642" s="12">
        <f>SUMIFS($E$2:$E$1130,$A$2:$A$1130,"осень",$I$2:$I$1130,I642)</f>
        <v/>
      </c>
      <c r="N642" s="13">
        <f>SUMIFS($E$2:$E$1130,$A$2:$A$1130,"весна",$I$2:$I$1130,I642)</f>
        <v/>
      </c>
      <c r="O642" s="14">
        <f>M642+N642</f>
        <v/>
      </c>
      <c r="P642" s="15">
        <f>O642/$P$1</f>
        <v/>
      </c>
    </row>
    <row r="643" hidden="1" ht="15.75" customHeight="1" s="2">
      <c r="A643" s="9" t="inlineStr">
        <is>
          <t>весна</t>
        </is>
      </c>
      <c r="B643" s="9" t="inlineStr">
        <is>
          <t>Электрофизические технологии обработки материалов</t>
        </is>
      </c>
      <c r="C643" s="9" t="inlineStr">
        <is>
          <t>Консультация</t>
        </is>
      </c>
      <c r="D643" s="9" t="inlineStr">
        <is>
          <t>Т11О-103М-20</t>
        </is>
      </c>
      <c r="E643" s="10" t="n">
        <v>1</v>
      </c>
      <c r="F643" s="9" t="inlineStr">
        <is>
          <t>06203</t>
        </is>
      </c>
      <c r="G643" s="11" t="n">
        <v>0</v>
      </c>
      <c r="H643" s="9" t="inlineStr">
        <is>
          <t xml:space="preserve">93689     </t>
        </is>
      </c>
      <c r="I643" s="9" t="inlineStr">
        <is>
          <t xml:space="preserve">Ленковец Александр Сергеевич </t>
        </is>
      </c>
      <c r="J643" s="9" t="n"/>
      <c r="K643" s="9" t="n"/>
      <c r="L643" s="9" t="n"/>
      <c r="M643" s="12">
        <f>SUMIFS($E$2:$E$1130,$A$2:$A$1130,"осень",$I$2:$I$1130,I643)</f>
        <v/>
      </c>
      <c r="N643" s="13">
        <f>SUMIFS($E$2:$E$1130,$A$2:$A$1130,"весна",$I$2:$I$1130,I643)</f>
        <v/>
      </c>
      <c r="O643" s="14">
        <f>M643+N643</f>
        <v/>
      </c>
      <c r="P643" s="15">
        <f>O643/$P$1</f>
        <v/>
      </c>
    </row>
    <row r="644" hidden="1" ht="15.75" customHeight="1" s="2">
      <c r="A644" s="9" t="inlineStr">
        <is>
          <t>весна</t>
        </is>
      </c>
      <c r="B644" s="9" t="inlineStr">
        <is>
          <t>Процессы порошковой металлургии</t>
        </is>
      </c>
      <c r="C644" s="9" t="inlineStr">
        <is>
          <t>ЛК</t>
        </is>
      </c>
      <c r="D644" s="9" t="inlineStr">
        <is>
          <t>Т11О-103М-20</t>
        </is>
      </c>
      <c r="E644" s="10" t="n">
        <v>24</v>
      </c>
      <c r="F644" s="9" t="inlineStr">
        <is>
          <t>06203</t>
        </is>
      </c>
      <c r="G644" s="10" t="n">
        <v>24</v>
      </c>
      <c r="H644" s="9" t="inlineStr">
        <is>
          <t xml:space="preserve">82066     </t>
        </is>
      </c>
      <c r="I644" s="9" t="inlineStr">
        <is>
          <t xml:space="preserve">Серов Михаил Михайлович </t>
        </is>
      </c>
      <c r="J644" s="9" t="inlineStr">
        <is>
          <t>профессор</t>
        </is>
      </c>
      <c r="K644" s="9" t="n"/>
      <c r="L644" s="9" t="n"/>
      <c r="M644" s="12">
        <f>SUMIFS($E$2:$E$1130,$A$2:$A$1130,"осень",$I$2:$I$1130,I644)</f>
        <v/>
      </c>
      <c r="N644" s="13">
        <f>SUMIFS($E$2:$E$1130,$A$2:$A$1130,"весна",$I$2:$I$1130,I644)</f>
        <v/>
      </c>
      <c r="O644" s="14">
        <f>M644+N644</f>
        <v/>
      </c>
      <c r="P644" s="15">
        <f>O644/$P$1</f>
        <v/>
      </c>
    </row>
    <row r="645" hidden="1" ht="15.75" customHeight="1" s="2">
      <c r="A645" s="9" t="inlineStr">
        <is>
          <t>весна</t>
        </is>
      </c>
      <c r="B645" s="9" t="inlineStr">
        <is>
          <t>Процессы порошковой металлургии</t>
        </is>
      </c>
      <c r="C645" s="9" t="inlineStr">
        <is>
          <t>ЛК</t>
        </is>
      </c>
      <c r="D645" s="9" t="inlineStr">
        <is>
          <t>Т11О-301Б-18, Т11О-302Б-18</t>
        </is>
      </c>
      <c r="E645" s="10" t="n">
        <v>32</v>
      </c>
      <c r="F645" s="9" t="inlineStr">
        <is>
          <t>08947</t>
        </is>
      </c>
      <c r="G645" s="10" t="n">
        <v>32</v>
      </c>
      <c r="H645" s="9" t="inlineStr">
        <is>
          <t xml:space="preserve">82066     </t>
        </is>
      </c>
      <c r="I645" s="9" t="inlineStr">
        <is>
          <t xml:space="preserve">Серов Михаил Михайлович </t>
        </is>
      </c>
      <c r="J645" s="9" t="inlineStr">
        <is>
          <t>профессор</t>
        </is>
      </c>
      <c r="K645" s="9" t="n"/>
      <c r="L645" s="9" t="n"/>
      <c r="M645" s="12">
        <f>SUMIFS($E$2:$E$1130,$A$2:$A$1130,"осень",$I$2:$I$1130,I645)</f>
        <v/>
      </c>
      <c r="N645" s="13">
        <f>SUMIFS($E$2:$E$1130,$A$2:$A$1130,"весна",$I$2:$I$1130,I645)</f>
        <v/>
      </c>
      <c r="O645" s="14">
        <f>M645+N645</f>
        <v/>
      </c>
      <c r="P645" s="15">
        <f>O645/$P$1</f>
        <v/>
      </c>
    </row>
    <row r="646" hidden="1" ht="15.75" customHeight="1" s="2">
      <c r="A646" s="9" t="inlineStr">
        <is>
          <t>весна</t>
        </is>
      </c>
      <c r="B646" s="9" t="inlineStr">
        <is>
          <t>Процессы порошковой металлургии</t>
        </is>
      </c>
      <c r="C646" s="9" t="inlineStr">
        <is>
          <t>КР</t>
        </is>
      </c>
      <c r="D646" s="9" t="inlineStr">
        <is>
          <t>Т11О-103М-20</t>
        </is>
      </c>
      <c r="E646" s="10" t="n">
        <v>15</v>
      </c>
      <c r="F646" s="9" t="inlineStr">
        <is>
          <t>06203</t>
        </is>
      </c>
      <c r="G646" s="11" t="n">
        <v>0</v>
      </c>
      <c r="H646" s="9" t="inlineStr">
        <is>
          <t xml:space="preserve">82066     </t>
        </is>
      </c>
      <c r="I646" s="9" t="inlineStr">
        <is>
          <t xml:space="preserve">Серов Михаил Михайлович </t>
        </is>
      </c>
      <c r="J646" s="9" t="inlineStr">
        <is>
          <t>профессор</t>
        </is>
      </c>
      <c r="K646" s="9" t="n"/>
      <c r="L646" s="9" t="n"/>
      <c r="M646" s="12">
        <f>SUMIFS($E$2:$E$1130,$A$2:$A$1130,"осень",$I$2:$I$1130,I646)</f>
        <v/>
      </c>
      <c r="N646" s="13">
        <f>SUMIFS($E$2:$E$1130,$A$2:$A$1130,"весна",$I$2:$I$1130,I646)</f>
        <v/>
      </c>
      <c r="O646" s="14">
        <f>M646+N646</f>
        <v/>
      </c>
      <c r="P646" s="15">
        <f>O646/$P$1</f>
        <v/>
      </c>
    </row>
    <row r="647" hidden="1" ht="15.75" customHeight="1" s="2">
      <c r="A647" s="9" t="inlineStr">
        <is>
          <t>весна</t>
        </is>
      </c>
      <c r="B647" s="9" t="inlineStr">
        <is>
          <t>Процессы порошковой металлургии</t>
        </is>
      </c>
      <c r="C647" s="9" t="inlineStr">
        <is>
          <t>ПЗ</t>
        </is>
      </c>
      <c r="D647" s="9" t="inlineStr">
        <is>
          <t>Т11О-103М-20</t>
        </is>
      </c>
      <c r="E647" s="10" t="n">
        <v>32</v>
      </c>
      <c r="F647" s="9" t="inlineStr">
        <is>
          <t>06203</t>
        </is>
      </c>
      <c r="G647" s="10" t="n">
        <v>32</v>
      </c>
      <c r="H647" s="9" t="inlineStr">
        <is>
          <t xml:space="preserve">82066     </t>
        </is>
      </c>
      <c r="I647" s="9" t="inlineStr">
        <is>
          <t xml:space="preserve">Серов Михаил Михайлович </t>
        </is>
      </c>
      <c r="J647" s="9" t="inlineStr">
        <is>
          <t>профессор</t>
        </is>
      </c>
      <c r="K647" s="9" t="n"/>
      <c r="L647" s="9" t="n"/>
      <c r="M647" s="12">
        <f>SUMIFS($E$2:$E$1130,$A$2:$A$1130,"осень",$I$2:$I$1130,I647)</f>
        <v/>
      </c>
      <c r="N647" s="13">
        <f>SUMIFS($E$2:$E$1130,$A$2:$A$1130,"весна",$I$2:$I$1130,I647)</f>
        <v/>
      </c>
      <c r="O647" s="14">
        <f>M647+N647</f>
        <v/>
      </c>
      <c r="P647" s="15">
        <f>O647/$P$1</f>
        <v/>
      </c>
    </row>
    <row r="648" hidden="1" ht="15.75" customHeight="1" s="2">
      <c r="A648" s="9" t="inlineStr">
        <is>
          <t>весна</t>
        </is>
      </c>
      <c r="B648" s="9" t="inlineStr">
        <is>
          <t>Процессы порошковой металлургии</t>
        </is>
      </c>
      <c r="C648" s="9" t="inlineStr">
        <is>
          <t>ПЗ</t>
        </is>
      </c>
      <c r="D648" s="9" t="inlineStr">
        <is>
          <t>Т11О-301Б-18</t>
        </is>
      </c>
      <c r="E648" s="10" t="n">
        <v>20</v>
      </c>
      <c r="F648" s="9" t="inlineStr">
        <is>
          <t>08947</t>
        </is>
      </c>
      <c r="G648" s="10" t="n">
        <v>20</v>
      </c>
      <c r="H648" s="9" t="inlineStr">
        <is>
          <t xml:space="preserve">82066     </t>
        </is>
      </c>
      <c r="I648" s="9" t="inlineStr">
        <is>
          <t xml:space="preserve">Серов Михаил Михайлович </t>
        </is>
      </c>
      <c r="J648" s="9" t="inlineStr">
        <is>
          <t>профессор</t>
        </is>
      </c>
      <c r="K648" s="9" t="n"/>
      <c r="L648" s="9" t="n"/>
      <c r="M648" s="12">
        <f>SUMIFS($E$2:$E$1130,$A$2:$A$1130,"осень",$I$2:$I$1130,I648)</f>
        <v/>
      </c>
      <c r="N648" s="13">
        <f>SUMIFS($E$2:$E$1130,$A$2:$A$1130,"весна",$I$2:$I$1130,I648)</f>
        <v/>
      </c>
      <c r="O648" s="14">
        <f>M648+N648</f>
        <v/>
      </c>
      <c r="P648" s="15">
        <f>O648/$P$1</f>
        <v/>
      </c>
    </row>
    <row r="649" hidden="1" ht="15.75" customHeight="1" s="2">
      <c r="A649" s="9" t="inlineStr">
        <is>
          <t>весна</t>
        </is>
      </c>
      <c r="B649" s="9" t="inlineStr">
        <is>
          <t>Процессы порошковой металлургии</t>
        </is>
      </c>
      <c r="C649" s="9" t="inlineStr">
        <is>
          <t>ПЗ</t>
        </is>
      </c>
      <c r="D649" s="9" t="inlineStr">
        <is>
          <t>Т11О-302Б-18</t>
        </is>
      </c>
      <c r="E649" s="10" t="n">
        <v>20</v>
      </c>
      <c r="F649" s="9" t="inlineStr">
        <is>
          <t>08947</t>
        </is>
      </c>
      <c r="G649" s="10" t="n">
        <v>20</v>
      </c>
      <c r="H649" s="9" t="inlineStr">
        <is>
          <t xml:space="preserve">82066     </t>
        </is>
      </c>
      <c r="I649" s="9" t="inlineStr">
        <is>
          <t xml:space="preserve">Серов Михаил Михайлович </t>
        </is>
      </c>
      <c r="J649" s="9" t="inlineStr">
        <is>
          <t>профессор</t>
        </is>
      </c>
      <c r="K649" s="9" t="n"/>
      <c r="L649" s="9" t="n"/>
      <c r="M649" s="12">
        <f>SUMIFS($E$2:$E$1130,$A$2:$A$1130,"осень",$I$2:$I$1130,I649)</f>
        <v/>
      </c>
      <c r="N649" s="13">
        <f>SUMIFS($E$2:$E$1130,$A$2:$A$1130,"весна",$I$2:$I$1130,I649)</f>
        <v/>
      </c>
      <c r="O649" s="14">
        <f>M649+N649</f>
        <v/>
      </c>
      <c r="P649" s="15">
        <f>O649/$P$1</f>
        <v/>
      </c>
    </row>
    <row r="650" hidden="1" ht="15.75" customHeight="1" s="2">
      <c r="A650" s="9" t="inlineStr">
        <is>
          <t>весна</t>
        </is>
      </c>
      <c r="B650" s="9" t="inlineStr">
        <is>
          <t>Процессы порошковой металлургии</t>
        </is>
      </c>
      <c r="C650" s="9" t="inlineStr">
        <is>
          <t>ЛР</t>
        </is>
      </c>
      <c r="D650" s="9" t="inlineStr">
        <is>
          <t>Т11О-103М-20</t>
        </is>
      </c>
      <c r="E650" s="10" t="n">
        <v>8</v>
      </c>
      <c r="F650" s="9" t="inlineStr">
        <is>
          <t>06203</t>
        </is>
      </c>
      <c r="G650" s="10" t="n">
        <v>8</v>
      </c>
      <c r="H650" s="9" t="inlineStr">
        <is>
          <t xml:space="preserve">82066     </t>
        </is>
      </c>
      <c r="I650" s="9" t="inlineStr">
        <is>
          <t xml:space="preserve">Серов Михаил Михайлович </t>
        </is>
      </c>
      <c r="J650" s="9" t="inlineStr">
        <is>
          <t>профессор</t>
        </is>
      </c>
      <c r="K650" s="9" t="n"/>
      <c r="L650" s="9" t="n"/>
      <c r="M650" s="12">
        <f>SUMIFS($E$2:$E$1130,$A$2:$A$1130,"осень",$I$2:$I$1130,I650)</f>
        <v/>
      </c>
      <c r="N650" s="13">
        <f>SUMIFS($E$2:$E$1130,$A$2:$A$1130,"весна",$I$2:$I$1130,I650)</f>
        <v/>
      </c>
      <c r="O650" s="14">
        <f>M650+N650</f>
        <v/>
      </c>
      <c r="P650" s="15">
        <f>O650/$P$1</f>
        <v/>
      </c>
    </row>
    <row r="651" hidden="1" ht="15.75" customHeight="1" s="2">
      <c r="A651" s="9" t="inlineStr">
        <is>
          <t>весна</t>
        </is>
      </c>
      <c r="B651" s="9" t="inlineStr">
        <is>
          <t>Процессы порошковой металлургии</t>
        </is>
      </c>
      <c r="C651" s="9" t="inlineStr">
        <is>
          <t>ЛР</t>
        </is>
      </c>
      <c r="D651" s="9" t="inlineStr">
        <is>
          <t>Т11О-301Б-18</t>
        </is>
      </c>
      <c r="E651" s="10" t="n">
        <v>32</v>
      </c>
      <c r="F651" s="9" t="inlineStr">
        <is>
          <t>08947</t>
        </is>
      </c>
      <c r="G651" s="10" t="n">
        <v>16</v>
      </c>
      <c r="H651" s="9" t="inlineStr">
        <is>
          <t xml:space="preserve">82066     </t>
        </is>
      </c>
      <c r="I651" s="9" t="inlineStr">
        <is>
          <t xml:space="preserve">Серов Михаил Михайлович </t>
        </is>
      </c>
      <c r="J651" s="9" t="inlineStr">
        <is>
          <t>профессор</t>
        </is>
      </c>
      <c r="K651" s="9" t="n"/>
      <c r="L651" s="9" t="n"/>
      <c r="M651" s="12">
        <f>SUMIFS($E$2:$E$1130,$A$2:$A$1130,"осень",$I$2:$I$1130,I651)</f>
        <v/>
      </c>
      <c r="N651" s="13">
        <f>SUMIFS($E$2:$E$1130,$A$2:$A$1130,"весна",$I$2:$I$1130,I651)</f>
        <v/>
      </c>
      <c r="O651" s="14">
        <f>M651+N651</f>
        <v/>
      </c>
      <c r="P651" s="15">
        <f>O651/$P$1</f>
        <v/>
      </c>
    </row>
    <row r="652" hidden="1" ht="15.75" customHeight="1" s="2">
      <c r="A652" s="9" t="inlineStr">
        <is>
          <t>весна</t>
        </is>
      </c>
      <c r="B652" s="9" t="inlineStr">
        <is>
          <t>Процессы порошковой металлургии</t>
        </is>
      </c>
      <c r="C652" s="9" t="inlineStr">
        <is>
          <t>ЛР</t>
        </is>
      </c>
      <c r="D652" s="9" t="inlineStr">
        <is>
          <t>Т11О-302Б-18</t>
        </is>
      </c>
      <c r="E652" s="10" t="n">
        <v>16</v>
      </c>
      <c r="F652" s="9" t="inlineStr">
        <is>
          <t>08947</t>
        </is>
      </c>
      <c r="G652" s="10" t="n">
        <v>16</v>
      </c>
      <c r="H652" s="9" t="inlineStr">
        <is>
          <t xml:space="preserve">82066     </t>
        </is>
      </c>
      <c r="I652" s="9" t="inlineStr">
        <is>
          <t xml:space="preserve">Серов Михаил Михайлович </t>
        </is>
      </c>
      <c r="J652" s="9" t="inlineStr">
        <is>
          <t>профессор</t>
        </is>
      </c>
      <c r="K652" s="9" t="n"/>
      <c r="L652" s="9" t="n"/>
      <c r="M652" s="12">
        <f>SUMIFS($E$2:$E$1130,$A$2:$A$1130,"осень",$I$2:$I$1130,I652)</f>
        <v/>
      </c>
      <c r="N652" s="13">
        <f>SUMIFS($E$2:$E$1130,$A$2:$A$1130,"весна",$I$2:$I$1130,I652)</f>
        <v/>
      </c>
      <c r="O652" s="14">
        <f>M652+N652</f>
        <v/>
      </c>
      <c r="P652" s="15">
        <f>O652/$P$1</f>
        <v/>
      </c>
    </row>
    <row r="653" hidden="1" ht="15.75" customHeight="1" s="2">
      <c r="A653" s="9" t="inlineStr">
        <is>
          <t>весна</t>
        </is>
      </c>
      <c r="B653" s="9" t="inlineStr">
        <is>
          <t>Процессы порошковой металлургии</t>
        </is>
      </c>
      <c r="C653" s="9" t="inlineStr">
        <is>
          <t>Экзамен</t>
        </is>
      </c>
      <c r="D653" s="9" t="inlineStr">
        <is>
          <t>Т11О-103М-20</t>
        </is>
      </c>
      <c r="E653" s="10" t="n">
        <v>3</v>
      </c>
      <c r="F653" s="9" t="inlineStr">
        <is>
          <t>06203</t>
        </is>
      </c>
      <c r="G653" s="11" t="n">
        <v>0</v>
      </c>
      <c r="H653" s="9" t="inlineStr">
        <is>
          <t xml:space="preserve">82066     </t>
        </is>
      </c>
      <c r="I653" s="9" t="inlineStr">
        <is>
          <t xml:space="preserve">Серов Михаил Михайлович </t>
        </is>
      </c>
      <c r="J653" s="9" t="inlineStr">
        <is>
          <t>профессор</t>
        </is>
      </c>
      <c r="K653" s="9" t="n"/>
      <c r="L653" s="9" t="n"/>
      <c r="M653" s="12">
        <f>SUMIFS($E$2:$E$1130,$A$2:$A$1130,"осень",$I$2:$I$1130,I653)</f>
        <v/>
      </c>
      <c r="N653" s="13">
        <f>SUMIFS($E$2:$E$1130,$A$2:$A$1130,"весна",$I$2:$I$1130,I653)</f>
        <v/>
      </c>
      <c r="O653" s="14">
        <f>M653+N653</f>
        <v/>
      </c>
      <c r="P653" s="15">
        <f>O653/$P$1</f>
        <v/>
      </c>
    </row>
    <row r="654" hidden="1" ht="15.75" customHeight="1" s="2">
      <c r="A654" s="9" t="inlineStr">
        <is>
          <t>весна</t>
        </is>
      </c>
      <c r="B654" s="9" t="inlineStr">
        <is>
          <t>Процессы порошковой металлургии</t>
        </is>
      </c>
      <c r="C654" s="9" t="inlineStr">
        <is>
          <t>Экзамен</t>
        </is>
      </c>
      <c r="D654" s="9" t="inlineStr">
        <is>
          <t>Т11О-301Б-18</t>
        </is>
      </c>
      <c r="E654" s="10" t="n">
        <v>9</v>
      </c>
      <c r="F654" s="9" t="inlineStr">
        <is>
          <t>08947</t>
        </is>
      </c>
      <c r="G654" s="11" t="n">
        <v>0</v>
      </c>
      <c r="H654" s="9" t="inlineStr">
        <is>
          <t xml:space="preserve">82066     </t>
        </is>
      </c>
      <c r="I654" s="9" t="inlineStr">
        <is>
          <t xml:space="preserve">Серов Михаил Михайлович </t>
        </is>
      </c>
      <c r="J654" s="9" t="inlineStr">
        <is>
          <t>профессор</t>
        </is>
      </c>
      <c r="K654" s="9" t="n"/>
      <c r="L654" s="9" t="n"/>
      <c r="M654" s="12">
        <f>SUMIFS($E$2:$E$1130,$A$2:$A$1130,"осень",$I$2:$I$1130,I654)</f>
        <v/>
      </c>
      <c r="N654" s="13">
        <f>SUMIFS($E$2:$E$1130,$A$2:$A$1130,"весна",$I$2:$I$1130,I654)</f>
        <v/>
      </c>
      <c r="O654" s="14">
        <f>M654+N654</f>
        <v/>
      </c>
      <c r="P654" s="15">
        <f>O654/$P$1</f>
        <v/>
      </c>
    </row>
    <row r="655" hidden="1" ht="15.75" customHeight="1" s="2">
      <c r="A655" s="9" t="inlineStr">
        <is>
          <t>весна</t>
        </is>
      </c>
      <c r="B655" s="9" t="inlineStr">
        <is>
          <t>Процессы порошковой металлургии</t>
        </is>
      </c>
      <c r="C655" s="9" t="inlineStr">
        <is>
          <t>Экзамен</t>
        </is>
      </c>
      <c r="D655" s="9" t="inlineStr">
        <is>
          <t>Т11О-302Б-18</t>
        </is>
      </c>
      <c r="E655" s="10" t="n">
        <v>7</v>
      </c>
      <c r="F655" s="9" t="inlineStr">
        <is>
          <t>08947</t>
        </is>
      </c>
      <c r="G655" s="11" t="n">
        <v>0</v>
      </c>
      <c r="H655" s="9" t="inlineStr">
        <is>
          <t xml:space="preserve">82066     </t>
        </is>
      </c>
      <c r="I655" s="9" t="inlineStr">
        <is>
          <t xml:space="preserve">Серов Михаил Михайлович </t>
        </is>
      </c>
      <c r="J655" s="9" t="inlineStr">
        <is>
          <t>профессор</t>
        </is>
      </c>
      <c r="K655" s="9" t="n"/>
      <c r="L655" s="9" t="n"/>
      <c r="M655" s="12">
        <f>SUMIFS($E$2:$E$1130,$A$2:$A$1130,"осень",$I$2:$I$1130,I655)</f>
        <v/>
      </c>
      <c r="N655" s="13">
        <f>SUMIFS($E$2:$E$1130,$A$2:$A$1130,"весна",$I$2:$I$1130,I655)</f>
        <v/>
      </c>
      <c r="O655" s="14">
        <f>M655+N655</f>
        <v/>
      </c>
      <c r="P655" s="15">
        <f>O655/$P$1</f>
        <v/>
      </c>
    </row>
    <row r="656" hidden="1" ht="15.75" customHeight="1" s="2">
      <c r="A656" s="9" t="inlineStr">
        <is>
          <t>весна</t>
        </is>
      </c>
      <c r="B656" s="9" t="inlineStr">
        <is>
          <t>Процессы порошковой металлургии</t>
        </is>
      </c>
      <c r="C656" s="9" t="inlineStr">
        <is>
          <t>Консультация</t>
        </is>
      </c>
      <c r="D656" s="9" t="inlineStr">
        <is>
          <t>Т11О-103М-20</t>
        </is>
      </c>
      <c r="E656" s="10" t="n">
        <v>3</v>
      </c>
      <c r="F656" s="9" t="inlineStr">
        <is>
          <t>06203</t>
        </is>
      </c>
      <c r="G656" s="11" t="n">
        <v>0</v>
      </c>
      <c r="H656" s="9" t="inlineStr">
        <is>
          <t xml:space="preserve">82066     </t>
        </is>
      </c>
      <c r="I656" s="9" t="inlineStr">
        <is>
          <t xml:space="preserve">Серов Михаил Михайлович </t>
        </is>
      </c>
      <c r="J656" s="9" t="inlineStr">
        <is>
          <t>профессор</t>
        </is>
      </c>
      <c r="K656" s="9" t="n"/>
      <c r="L656" s="9" t="n"/>
      <c r="M656" s="12">
        <f>SUMIFS($E$2:$E$1130,$A$2:$A$1130,"осень",$I$2:$I$1130,I656)</f>
        <v/>
      </c>
      <c r="N656" s="13">
        <f>SUMIFS($E$2:$E$1130,$A$2:$A$1130,"весна",$I$2:$I$1130,I656)</f>
        <v/>
      </c>
      <c r="O656" s="14">
        <f>M656+N656</f>
        <v/>
      </c>
      <c r="P656" s="15">
        <f>O656/$P$1</f>
        <v/>
      </c>
    </row>
    <row r="657" hidden="1" ht="15.75" customHeight="1" s="2">
      <c r="A657" s="9" t="inlineStr">
        <is>
          <t>весна</t>
        </is>
      </c>
      <c r="B657" s="9" t="inlineStr">
        <is>
          <t>Процессы порошковой металлургии</t>
        </is>
      </c>
      <c r="C657" s="9" t="inlineStr">
        <is>
          <t>Консультация</t>
        </is>
      </c>
      <c r="D657" s="9" t="inlineStr">
        <is>
          <t>Т11О-301Б-18</t>
        </is>
      </c>
      <c r="E657" s="10" t="n">
        <v>4</v>
      </c>
      <c r="F657" s="9" t="inlineStr">
        <is>
          <t>08947</t>
        </is>
      </c>
      <c r="G657" s="11" t="n">
        <v>0</v>
      </c>
      <c r="H657" s="9" t="inlineStr">
        <is>
          <t xml:space="preserve">82066     </t>
        </is>
      </c>
      <c r="I657" s="9" t="inlineStr">
        <is>
          <t xml:space="preserve">Серов Михаил Михайлович </t>
        </is>
      </c>
      <c r="J657" s="9" t="inlineStr">
        <is>
          <t>профессор</t>
        </is>
      </c>
      <c r="K657" s="9" t="n"/>
      <c r="L657" s="9" t="n"/>
      <c r="M657" s="12">
        <f>SUMIFS($E$2:$E$1130,$A$2:$A$1130,"осень",$I$2:$I$1130,I657)</f>
        <v/>
      </c>
      <c r="N657" s="13">
        <f>SUMIFS($E$2:$E$1130,$A$2:$A$1130,"весна",$I$2:$I$1130,I657)</f>
        <v/>
      </c>
      <c r="O657" s="14">
        <f>M657+N657</f>
        <v/>
      </c>
      <c r="P657" s="15">
        <f>O657/$P$1</f>
        <v/>
      </c>
    </row>
    <row r="658" hidden="1" ht="15.75" customHeight="1" s="2">
      <c r="A658" s="9" t="inlineStr">
        <is>
          <t>весна</t>
        </is>
      </c>
      <c r="B658" s="9" t="inlineStr">
        <is>
          <t>Процессы порошковой металлургии</t>
        </is>
      </c>
      <c r="C658" s="9" t="inlineStr">
        <is>
          <t>Консультация</t>
        </is>
      </c>
      <c r="D658" s="9" t="inlineStr">
        <is>
          <t>Т11О-302Б-18</t>
        </is>
      </c>
      <c r="E658" s="10" t="n">
        <v>4</v>
      </c>
      <c r="F658" s="9" t="inlineStr">
        <is>
          <t>08947</t>
        </is>
      </c>
      <c r="G658" s="11" t="n">
        <v>0</v>
      </c>
      <c r="H658" s="9" t="inlineStr">
        <is>
          <t xml:space="preserve">82066     </t>
        </is>
      </c>
      <c r="I658" s="9" t="inlineStr">
        <is>
          <t xml:space="preserve">Серов Михаил Михайлович </t>
        </is>
      </c>
      <c r="J658" s="9" t="inlineStr">
        <is>
          <t>профессор</t>
        </is>
      </c>
      <c r="K658" s="9" t="n"/>
      <c r="L658" s="9" t="n"/>
      <c r="M658" s="12">
        <f>SUMIFS($E$2:$E$1130,$A$2:$A$1130,"осень",$I$2:$I$1130,I658)</f>
        <v/>
      </c>
      <c r="N658" s="13">
        <f>SUMIFS($E$2:$E$1130,$A$2:$A$1130,"весна",$I$2:$I$1130,I658)</f>
        <v/>
      </c>
      <c r="O658" s="14">
        <f>M658+N658</f>
        <v/>
      </c>
      <c r="P658" s="15">
        <f>O658/$P$1</f>
        <v/>
      </c>
    </row>
    <row r="659" hidden="1" ht="15.75" customHeight="1" s="2">
      <c r="A659" s="9" t="inlineStr">
        <is>
          <t>весна</t>
        </is>
      </c>
      <c r="B659" s="9" t="inlineStr">
        <is>
          <t>Технология и оборудование сварки давлением</t>
        </is>
      </c>
      <c r="C659" s="9" t="inlineStr">
        <is>
          <t>ЛК</t>
        </is>
      </c>
      <c r="D659" s="9" t="inlineStr">
        <is>
          <t>Т1О-401Б-17</t>
        </is>
      </c>
      <c r="E659" s="10" t="n">
        <v>24</v>
      </c>
      <c r="F659" s="9" t="inlineStr">
        <is>
          <t>06256</t>
        </is>
      </c>
      <c r="G659" s="10" t="n">
        <v>24</v>
      </c>
      <c r="H659" s="9" t="inlineStr">
        <is>
          <t xml:space="preserve">82056     </t>
        </is>
      </c>
      <c r="I659" s="9" t="inlineStr">
        <is>
          <t xml:space="preserve">Никитина Елена Владимировна </t>
        </is>
      </c>
      <c r="J659" s="9" t="n"/>
      <c r="K659" s="9" t="n"/>
      <c r="L659" s="9" t="n"/>
      <c r="M659" s="12">
        <f>SUMIFS($E$2:$E$1130,$A$2:$A$1130,"осень",$I$2:$I$1130,I659)</f>
        <v/>
      </c>
      <c r="N659" s="13">
        <f>SUMIFS($E$2:$E$1130,$A$2:$A$1130,"весна",$I$2:$I$1130,I659)</f>
        <v/>
      </c>
      <c r="O659" s="14">
        <f>M659+N659</f>
        <v/>
      </c>
      <c r="P659" s="15">
        <f>O659/$P$1</f>
        <v/>
      </c>
    </row>
    <row r="660" hidden="1" ht="15.75" customHeight="1" s="2">
      <c r="A660" s="9" t="inlineStr">
        <is>
          <t>весна</t>
        </is>
      </c>
      <c r="B660" s="9" t="inlineStr">
        <is>
          <t>Технология и оборудование сварки давлением</t>
        </is>
      </c>
      <c r="C660" s="9" t="inlineStr">
        <is>
          <t>ПЗ</t>
        </is>
      </c>
      <c r="D660" s="9" t="inlineStr">
        <is>
          <t>Т1О-401Б-17</t>
        </is>
      </c>
      <c r="E660" s="10" t="n">
        <v>12</v>
      </c>
      <c r="F660" s="9" t="inlineStr">
        <is>
          <t>06256</t>
        </is>
      </c>
      <c r="G660" s="10" t="n">
        <v>12</v>
      </c>
      <c r="H660" s="9" t="inlineStr">
        <is>
          <t xml:space="preserve">82056     </t>
        </is>
      </c>
      <c r="I660" s="9" t="inlineStr">
        <is>
          <t xml:space="preserve">Никитина Елена Владимировна </t>
        </is>
      </c>
      <c r="J660" s="9" t="n"/>
      <c r="K660" s="9" t="n"/>
      <c r="L660" s="9" t="n"/>
      <c r="M660" s="12">
        <f>SUMIFS($E$2:$E$1130,$A$2:$A$1130,"осень",$I$2:$I$1130,I660)</f>
        <v/>
      </c>
      <c r="N660" s="13">
        <f>SUMIFS($E$2:$E$1130,$A$2:$A$1130,"весна",$I$2:$I$1130,I660)</f>
        <v/>
      </c>
      <c r="O660" s="14">
        <f>M660+N660</f>
        <v/>
      </c>
      <c r="P660" s="15">
        <f>O660/$P$1</f>
        <v/>
      </c>
    </row>
    <row r="661" hidden="1" ht="15.75" customHeight="1" s="2">
      <c r="A661" s="9" t="inlineStr">
        <is>
          <t>весна</t>
        </is>
      </c>
      <c r="B661" s="9" t="inlineStr">
        <is>
          <t>Технология и оборудование сварки давлением</t>
        </is>
      </c>
      <c r="C661" s="9" t="inlineStr">
        <is>
          <t>ЛР</t>
        </is>
      </c>
      <c r="D661" s="9" t="inlineStr">
        <is>
          <t>Т1О-401Б-17</t>
        </is>
      </c>
      <c r="E661" s="10" t="n">
        <v>56</v>
      </c>
      <c r="F661" s="9" t="inlineStr">
        <is>
          <t>06256</t>
        </is>
      </c>
      <c r="G661" s="10" t="n">
        <v>28</v>
      </c>
      <c r="H661" s="9" t="inlineStr">
        <is>
          <t xml:space="preserve">82056     </t>
        </is>
      </c>
      <c r="I661" s="9" t="inlineStr">
        <is>
          <t xml:space="preserve">Никитина Елена Владимировна </t>
        </is>
      </c>
      <c r="J661" s="9" t="n"/>
      <c r="K661" s="9" t="n"/>
      <c r="L661" s="9" t="n"/>
      <c r="M661" s="12">
        <f>SUMIFS($E$2:$E$1130,$A$2:$A$1130,"осень",$I$2:$I$1130,I661)</f>
        <v/>
      </c>
      <c r="N661" s="13">
        <f>SUMIFS($E$2:$E$1130,$A$2:$A$1130,"весна",$I$2:$I$1130,I661)</f>
        <v/>
      </c>
      <c r="O661" s="14">
        <f>M661+N661</f>
        <v/>
      </c>
      <c r="P661" s="15">
        <f>O661/$P$1</f>
        <v/>
      </c>
    </row>
    <row r="662" hidden="1" ht="15.75" customHeight="1" s="2">
      <c r="A662" s="9" t="inlineStr">
        <is>
          <t>весна</t>
        </is>
      </c>
      <c r="B662" s="9" t="inlineStr">
        <is>
          <t>Технология и оборудование сварки давлением</t>
        </is>
      </c>
      <c r="C662" s="9" t="inlineStr">
        <is>
          <t>Экзамен</t>
        </is>
      </c>
      <c r="D662" s="9" t="inlineStr">
        <is>
          <t>Т1О-401Б-17</t>
        </is>
      </c>
      <c r="E662" s="10" t="n">
        <v>8</v>
      </c>
      <c r="F662" s="9" t="inlineStr">
        <is>
          <t>06256</t>
        </is>
      </c>
      <c r="G662" s="11" t="n">
        <v>0</v>
      </c>
      <c r="H662" s="9" t="inlineStr">
        <is>
          <t xml:space="preserve">82056     </t>
        </is>
      </c>
      <c r="I662" s="9" t="inlineStr">
        <is>
          <t xml:space="preserve">Никитина Елена Владимировна </t>
        </is>
      </c>
      <c r="J662" s="9" t="n"/>
      <c r="K662" s="9" t="n"/>
      <c r="L662" s="9" t="n"/>
      <c r="M662" s="12">
        <f>SUMIFS($E$2:$E$1130,$A$2:$A$1130,"осень",$I$2:$I$1130,I662)</f>
        <v/>
      </c>
      <c r="N662" s="13">
        <f>SUMIFS($E$2:$E$1130,$A$2:$A$1130,"весна",$I$2:$I$1130,I662)</f>
        <v/>
      </c>
      <c r="O662" s="14">
        <f>M662+N662</f>
        <v/>
      </c>
      <c r="P662" s="15">
        <f>O662/$P$1</f>
        <v/>
      </c>
    </row>
    <row r="663" hidden="1" ht="15.75" customHeight="1" s="2">
      <c r="A663" s="9" t="inlineStr">
        <is>
          <t>весна</t>
        </is>
      </c>
      <c r="B663" s="9" t="inlineStr">
        <is>
          <t>Технология и оборудование сварки давлением</t>
        </is>
      </c>
      <c r="C663" s="9" t="inlineStr">
        <is>
          <t>Консультация</t>
        </is>
      </c>
      <c r="D663" s="9" t="inlineStr">
        <is>
          <t>Т1О-401Б-17</t>
        </is>
      </c>
      <c r="E663" s="10" t="n">
        <v>3</v>
      </c>
      <c r="F663" s="9" t="inlineStr">
        <is>
          <t>06256</t>
        </is>
      </c>
      <c r="G663" s="11" t="n">
        <v>0</v>
      </c>
      <c r="H663" s="9" t="inlineStr">
        <is>
          <t xml:space="preserve">82056     </t>
        </is>
      </c>
      <c r="I663" s="9" t="inlineStr">
        <is>
          <t xml:space="preserve">Никитина Елена Владимировна </t>
        </is>
      </c>
      <c r="J663" s="9" t="n"/>
      <c r="K663" s="9" t="n"/>
      <c r="L663" s="9" t="n"/>
      <c r="M663" s="12">
        <f>SUMIFS($E$2:$E$1130,$A$2:$A$1130,"осень",$I$2:$I$1130,I663)</f>
        <v/>
      </c>
      <c r="N663" s="13">
        <f>SUMIFS($E$2:$E$1130,$A$2:$A$1130,"весна",$I$2:$I$1130,I663)</f>
        <v/>
      </c>
      <c r="O663" s="14">
        <f>M663+N663</f>
        <v/>
      </c>
      <c r="P663" s="15">
        <f>O663/$P$1</f>
        <v/>
      </c>
    </row>
    <row r="664" hidden="1" ht="15.75" customHeight="1" s="2">
      <c r="A664" s="9" t="inlineStr">
        <is>
          <t>весна</t>
        </is>
      </c>
      <c r="B664" s="9" t="inlineStr">
        <is>
          <t>Теория металлургических процессов</t>
        </is>
      </c>
      <c r="C664" s="9" t="inlineStr">
        <is>
          <t>ЛК</t>
        </is>
      </c>
      <c r="D664" s="9" t="inlineStr">
        <is>
          <t>Т11О-301Б-18, Т11О-302Б-18</t>
        </is>
      </c>
      <c r="E664" s="10" t="n">
        <v>32</v>
      </c>
      <c r="F664" s="9" t="inlineStr">
        <is>
          <t>08947</t>
        </is>
      </c>
      <c r="G664" s="10" t="n">
        <v>32</v>
      </c>
      <c r="H664" s="9" t="inlineStr">
        <is>
          <t xml:space="preserve">95790     </t>
        </is>
      </c>
      <c r="I664" s="9" t="inlineStr">
        <is>
          <t>Шляпцева Анастасия Дмитриевна</t>
        </is>
      </c>
      <c r="J664" s="9" t="inlineStr">
        <is>
          <t>доцент</t>
        </is>
      </c>
      <c r="K664" s="9" t="n"/>
      <c r="L664" s="9" t="n"/>
      <c r="M664" s="12">
        <f>SUMIFS($E$2:$E$1130,$A$2:$A$1130,"осень",$I$2:$I$1130,I664)</f>
        <v/>
      </c>
      <c r="N664" s="13">
        <f>SUMIFS($E$2:$E$1130,$A$2:$A$1130,"весна",$I$2:$I$1130,I664)</f>
        <v/>
      </c>
      <c r="O664" s="14">
        <f>M664+N664</f>
        <v/>
      </c>
      <c r="P664" s="15">
        <f>O664/$P$1</f>
        <v/>
      </c>
    </row>
    <row r="665" hidden="1" ht="15.75" customHeight="1" s="2">
      <c r="A665" s="9" t="inlineStr">
        <is>
          <t>весна</t>
        </is>
      </c>
      <c r="B665" s="9" t="inlineStr">
        <is>
          <t>Теория металлургических процессов</t>
        </is>
      </c>
      <c r="C665" s="9" t="inlineStr">
        <is>
          <t>Зачет с оценкой</t>
        </is>
      </c>
      <c r="D665" s="9" t="inlineStr">
        <is>
          <t>Т11О-301Б-18</t>
        </is>
      </c>
      <c r="E665" s="10" t="n">
        <v>6</v>
      </c>
      <c r="F665" s="9" t="inlineStr">
        <is>
          <t>08947</t>
        </is>
      </c>
      <c r="G665" s="11" t="n">
        <v>0</v>
      </c>
      <c r="H665" s="9" t="inlineStr">
        <is>
          <t xml:space="preserve">95790     </t>
        </is>
      </c>
      <c r="I665" s="9" t="inlineStr">
        <is>
          <t>Шляпцева Анастасия Дмитриевна</t>
        </is>
      </c>
      <c r="J665" s="9" t="inlineStr">
        <is>
          <t>доцент</t>
        </is>
      </c>
      <c r="K665" s="9" t="n"/>
      <c r="L665" s="9" t="n"/>
      <c r="M665" s="12">
        <f>SUMIFS($E$2:$E$1130,$A$2:$A$1130,"осень",$I$2:$I$1130,I665)</f>
        <v/>
      </c>
      <c r="N665" s="13">
        <f>SUMIFS($E$2:$E$1130,$A$2:$A$1130,"весна",$I$2:$I$1130,I665)</f>
        <v/>
      </c>
      <c r="O665" s="14">
        <f>M665+N665</f>
        <v/>
      </c>
      <c r="P665" s="15">
        <f>O665/$P$1</f>
        <v/>
      </c>
    </row>
    <row r="666" hidden="1" ht="15.75" customHeight="1" s="2">
      <c r="A666" s="9" t="inlineStr">
        <is>
          <t>весна</t>
        </is>
      </c>
      <c r="B666" s="9" t="inlineStr">
        <is>
          <t>Теория металлургических процессов</t>
        </is>
      </c>
      <c r="C666" s="9" t="inlineStr">
        <is>
          <t>Зачет с оценкой</t>
        </is>
      </c>
      <c r="D666" s="9" t="inlineStr">
        <is>
          <t>Т11О-302Б-18</t>
        </is>
      </c>
      <c r="E666" s="10" t="n">
        <v>5</v>
      </c>
      <c r="F666" s="9" t="inlineStr">
        <is>
          <t>08947</t>
        </is>
      </c>
      <c r="G666" s="11" t="n">
        <v>0</v>
      </c>
      <c r="H666" s="9" t="inlineStr">
        <is>
          <t xml:space="preserve">95790     </t>
        </is>
      </c>
      <c r="I666" s="9" t="inlineStr">
        <is>
          <t>Шляпцева Анастасия Дмитриевна</t>
        </is>
      </c>
      <c r="J666" s="9" t="inlineStr">
        <is>
          <t>доцент</t>
        </is>
      </c>
      <c r="K666" s="9" t="n"/>
      <c r="L666" s="9" t="n"/>
      <c r="M666" s="12">
        <f>SUMIFS($E$2:$E$1130,$A$2:$A$1130,"осень",$I$2:$I$1130,I666)</f>
        <v/>
      </c>
      <c r="N666" s="13">
        <f>SUMIFS($E$2:$E$1130,$A$2:$A$1130,"весна",$I$2:$I$1130,I666)</f>
        <v/>
      </c>
      <c r="O666" s="14">
        <f>M666+N666</f>
        <v/>
      </c>
      <c r="P666" s="15">
        <f>O666/$P$1</f>
        <v/>
      </c>
    </row>
    <row r="667" hidden="1" ht="15.75" customHeight="1" s="2">
      <c r="A667" s="9" t="inlineStr">
        <is>
          <t>весна</t>
        </is>
      </c>
      <c r="B667" s="9" t="inlineStr">
        <is>
          <t>Теория металлургических процессов</t>
        </is>
      </c>
      <c r="C667" s="9" t="inlineStr">
        <is>
          <t>ПЗ</t>
        </is>
      </c>
      <c r="D667" s="9" t="inlineStr">
        <is>
          <t>Т11О-301Б-18</t>
        </is>
      </c>
      <c r="E667" s="10" t="n">
        <v>16</v>
      </c>
      <c r="F667" s="9" t="inlineStr">
        <is>
          <t>08947</t>
        </is>
      </c>
      <c r="G667" s="10" t="n">
        <v>16</v>
      </c>
      <c r="H667" s="9" t="inlineStr">
        <is>
          <t xml:space="preserve">95790     </t>
        </is>
      </c>
      <c r="I667" s="9" t="inlineStr">
        <is>
          <t>Шляпцева Анастасия Дмитриевна</t>
        </is>
      </c>
      <c r="J667" s="9" t="n"/>
      <c r="K667" s="9" t="n"/>
      <c r="L667" s="9" t="n"/>
      <c r="M667" s="12">
        <f>SUMIFS($E$2:$E$1130,$A$2:$A$1130,"осень",$I$2:$I$1130,I667)</f>
        <v/>
      </c>
      <c r="N667" s="13">
        <f>SUMIFS($E$2:$E$1130,$A$2:$A$1130,"весна",$I$2:$I$1130,I667)</f>
        <v/>
      </c>
      <c r="O667" s="14">
        <f>M667+N667</f>
        <v/>
      </c>
      <c r="P667" s="15">
        <f>O667/$P$1</f>
        <v/>
      </c>
    </row>
    <row r="668" hidden="1" ht="15.75" customHeight="1" s="2">
      <c r="A668" s="9" t="inlineStr">
        <is>
          <t>весна</t>
        </is>
      </c>
      <c r="B668" s="9" t="inlineStr">
        <is>
          <t>Теория металлургических процессов</t>
        </is>
      </c>
      <c r="C668" s="9" t="inlineStr">
        <is>
          <t>ПЗ</t>
        </is>
      </c>
      <c r="D668" s="9" t="inlineStr">
        <is>
          <t>Т11О-302Б-18</t>
        </is>
      </c>
      <c r="E668" s="10" t="n">
        <v>16</v>
      </c>
      <c r="F668" s="9" t="inlineStr">
        <is>
          <t>08947</t>
        </is>
      </c>
      <c r="G668" s="10" t="n">
        <v>16</v>
      </c>
      <c r="H668" s="9" t="inlineStr">
        <is>
          <t xml:space="preserve">95790     </t>
        </is>
      </c>
      <c r="I668" s="9" t="inlineStr">
        <is>
          <t>Шляпцева Анастасия Дмитриевна</t>
        </is>
      </c>
      <c r="J668" s="9" t="n"/>
      <c r="K668" s="9" t="n"/>
      <c r="L668" s="9" t="n"/>
      <c r="M668" s="12">
        <f>SUMIFS($E$2:$E$1130,$A$2:$A$1130,"осень",$I$2:$I$1130,I668)</f>
        <v/>
      </c>
      <c r="N668" s="13">
        <f>SUMIFS($E$2:$E$1130,$A$2:$A$1130,"весна",$I$2:$I$1130,I668)</f>
        <v/>
      </c>
      <c r="O668" s="14">
        <f>M668+N668</f>
        <v/>
      </c>
      <c r="P668" s="15">
        <f>O668/$P$1</f>
        <v/>
      </c>
    </row>
    <row r="669" hidden="1" ht="15.75" customHeight="1" s="2">
      <c r="A669" s="9" t="inlineStr">
        <is>
          <t>весна</t>
        </is>
      </c>
      <c r="B669" s="9" t="inlineStr">
        <is>
          <t>Теория металлургических процессов</t>
        </is>
      </c>
      <c r="C669" s="9" t="inlineStr">
        <is>
          <t>ЛР</t>
        </is>
      </c>
      <c r="D669" s="9" t="inlineStr">
        <is>
          <t>Т11О-301Б-18</t>
        </is>
      </c>
      <c r="E669" s="10" t="n">
        <v>32</v>
      </c>
      <c r="F669" s="9" t="inlineStr">
        <is>
          <t>08947</t>
        </is>
      </c>
      <c r="G669" s="10" t="n">
        <v>16</v>
      </c>
      <c r="H669" s="9" t="inlineStr">
        <is>
          <t xml:space="preserve">95790     </t>
        </is>
      </c>
      <c r="I669" s="9" t="inlineStr">
        <is>
          <t>Шляпцева Анастасия Дмитриевна</t>
        </is>
      </c>
      <c r="J669" s="9" t="n"/>
      <c r="K669" s="9" t="n"/>
      <c r="L669" s="9" t="n"/>
      <c r="M669" s="12">
        <f>SUMIFS($E$2:$E$1130,$A$2:$A$1130,"осень",$I$2:$I$1130,I669)</f>
        <v/>
      </c>
      <c r="N669" s="13">
        <f>SUMIFS($E$2:$E$1130,$A$2:$A$1130,"весна",$I$2:$I$1130,I669)</f>
        <v/>
      </c>
      <c r="O669" s="14">
        <f>M669+N669</f>
        <v/>
      </c>
      <c r="P669" s="15">
        <f>O669/$P$1</f>
        <v/>
      </c>
    </row>
    <row r="670" hidden="1" ht="15.75" customHeight="1" s="2">
      <c r="A670" s="9" t="inlineStr">
        <is>
          <t>весна</t>
        </is>
      </c>
      <c r="B670" s="9" t="inlineStr">
        <is>
          <t>Теория металлургических процессов</t>
        </is>
      </c>
      <c r="C670" s="9" t="inlineStr">
        <is>
          <t>ЛР</t>
        </is>
      </c>
      <c r="D670" s="9" t="inlineStr">
        <is>
          <t>Т11О-302Б-18</t>
        </is>
      </c>
      <c r="E670" s="10" t="n">
        <v>16</v>
      </c>
      <c r="F670" s="9" t="inlineStr">
        <is>
          <t>08947</t>
        </is>
      </c>
      <c r="G670" s="10" t="n">
        <v>16</v>
      </c>
      <c r="H670" s="9" t="inlineStr">
        <is>
          <t xml:space="preserve">95790     </t>
        </is>
      </c>
      <c r="I670" s="9" t="inlineStr">
        <is>
          <t>Шляпцева Анастасия Дмитриевна</t>
        </is>
      </c>
      <c r="J670" s="9" t="n"/>
      <c r="K670" s="9" t="n"/>
      <c r="L670" s="9" t="n"/>
      <c r="M670" s="12">
        <f>SUMIFS($E$2:$E$1130,$A$2:$A$1130,"осень",$I$2:$I$1130,I670)</f>
        <v/>
      </c>
      <c r="N670" s="13">
        <f>SUMIFS($E$2:$E$1130,$A$2:$A$1130,"весна",$I$2:$I$1130,I670)</f>
        <v/>
      </c>
      <c r="O670" s="14">
        <f>M670+N670</f>
        <v/>
      </c>
      <c r="P670" s="15">
        <f>O670/$P$1</f>
        <v/>
      </c>
    </row>
    <row r="671" hidden="1" ht="15.75" customHeight="1" s="2">
      <c r="A671" s="9" t="inlineStr">
        <is>
          <t>весна</t>
        </is>
      </c>
      <c r="B671" s="9" t="inlineStr">
        <is>
          <t>Теория металлургических процессов</t>
        </is>
      </c>
      <c r="C671" s="9" t="inlineStr">
        <is>
          <t>Консультация</t>
        </is>
      </c>
      <c r="D671" s="9" t="inlineStr">
        <is>
          <t>Т11О-301Б-18</t>
        </is>
      </c>
      <c r="E671" s="10" t="n">
        <v>2</v>
      </c>
      <c r="F671" s="9" t="inlineStr">
        <is>
          <t>08947</t>
        </is>
      </c>
      <c r="G671" s="11" t="n">
        <v>0</v>
      </c>
      <c r="H671" s="9" t="inlineStr">
        <is>
          <t xml:space="preserve">95790     </t>
        </is>
      </c>
      <c r="I671" s="9" t="inlineStr">
        <is>
          <t>Шляпцева Анастасия Дмитриевна</t>
        </is>
      </c>
      <c r="J671" s="9" t="n"/>
      <c r="K671" s="9" t="n"/>
      <c r="L671" s="9" t="n"/>
      <c r="M671" s="12">
        <f>SUMIFS($E$2:$E$1130,$A$2:$A$1130,"осень",$I$2:$I$1130,I671)</f>
        <v/>
      </c>
      <c r="N671" s="13">
        <f>SUMIFS($E$2:$E$1130,$A$2:$A$1130,"весна",$I$2:$I$1130,I671)</f>
        <v/>
      </c>
      <c r="O671" s="14">
        <f>M671+N671</f>
        <v/>
      </c>
      <c r="P671" s="15">
        <f>O671/$P$1</f>
        <v/>
      </c>
    </row>
    <row r="672" hidden="1" ht="15.75" customHeight="1" s="2">
      <c r="A672" s="9" t="inlineStr">
        <is>
          <t>весна</t>
        </is>
      </c>
      <c r="B672" s="9" t="inlineStr">
        <is>
          <t>Теория металлургических процессов</t>
        </is>
      </c>
      <c r="C672" s="9" t="inlineStr">
        <is>
          <t>Консультация</t>
        </is>
      </c>
      <c r="D672" s="9" t="inlineStr">
        <is>
          <t>Т11О-302Б-18</t>
        </is>
      </c>
      <c r="E672" s="10" t="n">
        <v>2</v>
      </c>
      <c r="F672" s="9" t="inlineStr">
        <is>
          <t>08947</t>
        </is>
      </c>
      <c r="G672" s="11" t="n">
        <v>0</v>
      </c>
      <c r="H672" s="9" t="inlineStr">
        <is>
          <t xml:space="preserve">95790     </t>
        </is>
      </c>
      <c r="I672" s="9" t="inlineStr">
        <is>
          <t>Шляпцева Анастасия Дмитриевна</t>
        </is>
      </c>
      <c r="J672" s="9" t="n"/>
      <c r="K672" s="9" t="n"/>
      <c r="L672" s="9" t="n"/>
      <c r="M672" s="12">
        <f>SUMIFS($E$2:$E$1130,$A$2:$A$1130,"осень",$I$2:$I$1130,I672)</f>
        <v/>
      </c>
      <c r="N672" s="13">
        <f>SUMIFS($E$2:$E$1130,$A$2:$A$1130,"весна",$I$2:$I$1130,I672)</f>
        <v/>
      </c>
      <c r="O672" s="14">
        <f>M672+N672</f>
        <v/>
      </c>
      <c r="P672" s="15">
        <f>O672/$P$1</f>
        <v/>
      </c>
    </row>
    <row r="673" hidden="1" ht="15.75" customHeight="1" s="2">
      <c r="A673" s="9" t="inlineStr">
        <is>
          <t>весна</t>
        </is>
      </c>
      <c r="B673" s="9" t="inlineStr">
        <is>
          <t>Технология литейного производства</t>
        </is>
      </c>
      <c r="C673" s="9" t="inlineStr">
        <is>
          <t>ЛК</t>
        </is>
      </c>
      <c r="D673" s="9" t="inlineStr">
        <is>
          <t>Т11О-301Б-18, Т11О-302Б-18</t>
        </is>
      </c>
      <c r="E673" s="10" t="n">
        <v>32</v>
      </c>
      <c r="F673" s="9" t="inlineStr">
        <is>
          <t>08947</t>
        </is>
      </c>
      <c r="G673" s="10" t="n">
        <v>32</v>
      </c>
      <c r="H673" s="9" t="inlineStr">
        <is>
          <t xml:space="preserve">82061     </t>
        </is>
      </c>
      <c r="I673" s="9" t="inlineStr">
        <is>
          <t xml:space="preserve">Моисеев Виктор Сергеевич </t>
        </is>
      </c>
      <c r="J673" s="9" t="n"/>
      <c r="K673" s="9" t="n"/>
      <c r="L673" s="9" t="n"/>
      <c r="M673" s="12">
        <f>SUMIFS($E$2:$E$1130,$A$2:$A$1130,"осень",$I$2:$I$1130,I673)</f>
        <v/>
      </c>
      <c r="N673" s="13">
        <f>SUMIFS($E$2:$E$1130,$A$2:$A$1130,"весна",$I$2:$I$1130,I673)</f>
        <v/>
      </c>
      <c r="O673" s="14">
        <f>M673+N673</f>
        <v/>
      </c>
      <c r="P673" s="15">
        <f>O673/$P$1</f>
        <v/>
      </c>
    </row>
    <row r="674" hidden="1" ht="15.75" customHeight="1" s="2">
      <c r="A674" s="9" t="inlineStr">
        <is>
          <t>весна</t>
        </is>
      </c>
      <c r="B674" s="9" t="inlineStr">
        <is>
          <t>Технология литейного производства</t>
        </is>
      </c>
      <c r="C674" s="9" t="inlineStr">
        <is>
          <t>ПЗ</t>
        </is>
      </c>
      <c r="D674" s="9" t="inlineStr">
        <is>
          <t>Т11О-301Б-18</t>
        </is>
      </c>
      <c r="E674" s="10" t="n">
        <v>20</v>
      </c>
      <c r="F674" s="9" t="inlineStr">
        <is>
          <t>08947</t>
        </is>
      </c>
      <c r="G674" s="10" t="n">
        <v>20</v>
      </c>
      <c r="H674" s="9" t="inlineStr">
        <is>
          <t xml:space="preserve">82061     </t>
        </is>
      </c>
      <c r="I674" s="9" t="inlineStr">
        <is>
          <t xml:space="preserve">Моисеев Виктор Сергеевич </t>
        </is>
      </c>
      <c r="J674" s="9" t="n"/>
      <c r="K674" s="9" t="n"/>
      <c r="L674" s="9" t="n"/>
      <c r="M674" s="12">
        <f>SUMIFS($E$2:$E$1130,$A$2:$A$1130,"осень",$I$2:$I$1130,I674)</f>
        <v/>
      </c>
      <c r="N674" s="13">
        <f>SUMIFS($E$2:$E$1130,$A$2:$A$1130,"весна",$I$2:$I$1130,I674)</f>
        <v/>
      </c>
      <c r="O674" s="14">
        <f>M674+N674</f>
        <v/>
      </c>
      <c r="P674" s="15">
        <f>O674/$P$1</f>
        <v/>
      </c>
    </row>
    <row r="675" hidden="1" ht="15.75" customHeight="1" s="2">
      <c r="A675" s="9" t="inlineStr">
        <is>
          <t>весна</t>
        </is>
      </c>
      <c r="B675" s="9" t="inlineStr">
        <is>
          <t>Технология литейного производства</t>
        </is>
      </c>
      <c r="C675" s="9" t="inlineStr">
        <is>
          <t>ПЗ</t>
        </is>
      </c>
      <c r="D675" s="9" t="inlineStr">
        <is>
          <t>Т11О-302Б-18</t>
        </is>
      </c>
      <c r="E675" s="10" t="n">
        <v>20</v>
      </c>
      <c r="F675" s="9" t="inlineStr">
        <is>
          <t>08947</t>
        </is>
      </c>
      <c r="G675" s="10" t="n">
        <v>20</v>
      </c>
      <c r="H675" s="9" t="inlineStr">
        <is>
          <t xml:space="preserve">82061     </t>
        </is>
      </c>
      <c r="I675" s="9" t="inlineStr">
        <is>
          <t xml:space="preserve">Моисеев Виктор Сергеевич </t>
        </is>
      </c>
      <c r="J675" s="9" t="n"/>
      <c r="K675" s="9" t="n"/>
      <c r="L675" s="9" t="n"/>
      <c r="M675" s="12">
        <f>SUMIFS($E$2:$E$1130,$A$2:$A$1130,"осень",$I$2:$I$1130,I675)</f>
        <v/>
      </c>
      <c r="N675" s="13">
        <f>SUMIFS($E$2:$E$1130,$A$2:$A$1130,"весна",$I$2:$I$1130,I675)</f>
        <v/>
      </c>
      <c r="O675" s="14">
        <f>M675+N675</f>
        <v/>
      </c>
      <c r="P675" s="15">
        <f>O675/$P$1</f>
        <v/>
      </c>
    </row>
    <row r="676" hidden="1" ht="15.75" customHeight="1" s="2">
      <c r="A676" s="9" t="inlineStr">
        <is>
          <t>весна</t>
        </is>
      </c>
      <c r="B676" s="21" t="inlineStr">
        <is>
          <t>Технология литейного производства</t>
        </is>
      </c>
      <c r="C676" s="21" t="inlineStr">
        <is>
          <t>ЛР</t>
        </is>
      </c>
      <c r="D676" s="21" t="inlineStr">
        <is>
          <t>Т11О-301Б-18</t>
        </is>
      </c>
      <c r="E676" s="23" t="n">
        <v>16</v>
      </c>
      <c r="F676" s="9" t="inlineStr">
        <is>
          <t>08947</t>
        </is>
      </c>
      <c r="G676" s="10" t="n">
        <v>16</v>
      </c>
      <c r="H676" s="9" t="inlineStr">
        <is>
          <t xml:space="preserve">82061     </t>
        </is>
      </c>
      <c r="I676" s="9" t="inlineStr">
        <is>
          <t xml:space="preserve">Моисеев Виктор Сергеевич </t>
        </is>
      </c>
      <c r="J676" s="9" t="n"/>
      <c r="K676" s="9" t="n"/>
      <c r="L676" s="9" t="n"/>
      <c r="M676" s="12">
        <f>SUMIFS($E$2:$E$1130,$A$2:$A$1130,"осень",$I$2:$I$1130,I676)</f>
        <v/>
      </c>
      <c r="N676" s="13">
        <f>SUMIFS($E$2:$E$1130,$A$2:$A$1130,"весна",$I$2:$I$1130,I676)</f>
        <v/>
      </c>
      <c r="O676" s="14">
        <f>M676+N676</f>
        <v/>
      </c>
      <c r="P676" s="15">
        <f>O676/$P$1</f>
        <v/>
      </c>
    </row>
    <row r="677" hidden="1" ht="15.75" customHeight="1" s="2">
      <c r="A677" s="9" t="inlineStr">
        <is>
          <t>весна</t>
        </is>
      </c>
      <c r="B677" s="21" t="inlineStr">
        <is>
          <t>Технология литейного производства</t>
        </is>
      </c>
      <c r="C677" s="21" t="inlineStr">
        <is>
          <t>ЛР</t>
        </is>
      </c>
      <c r="D677" s="21" t="inlineStr">
        <is>
          <t>Т11О-301Б-18</t>
        </is>
      </c>
      <c r="E677" s="23" t="n">
        <v>16</v>
      </c>
      <c r="F677" s="9" t="inlineStr">
        <is>
          <t>08947</t>
        </is>
      </c>
      <c r="G677" s="10" t="n">
        <v>16</v>
      </c>
      <c r="H677" s="9" t="inlineStr">
        <is>
          <t xml:space="preserve">89068     </t>
        </is>
      </c>
      <c r="I677" s="9" t="inlineStr">
        <is>
          <t xml:space="preserve">Петров Игорь Алексеевич </t>
        </is>
      </c>
      <c r="J677" s="9" t="inlineStr">
        <is>
          <t>доцент</t>
        </is>
      </c>
      <c r="K677" s="9" t="n"/>
      <c r="L677" s="9" t="n"/>
      <c r="M677" s="12">
        <f>SUMIFS($E$2:$E$1130,$A$2:$A$1130,"осень",$I$2:$I$1130,I677)</f>
        <v/>
      </c>
      <c r="N677" s="13">
        <f>SUMIFS($E$2:$E$1130,$A$2:$A$1130,"весна",$I$2:$I$1130,I677)</f>
        <v/>
      </c>
      <c r="O677" s="14">
        <f>M677+N677</f>
        <v/>
      </c>
      <c r="P677" s="15">
        <f>O677/$P$1</f>
        <v/>
      </c>
    </row>
    <row r="678" hidden="1" ht="15.75" customHeight="1" s="2">
      <c r="A678" s="9" t="inlineStr">
        <is>
          <t>весна</t>
        </is>
      </c>
      <c r="B678" s="9" t="inlineStr">
        <is>
          <t>Технология литейного производства</t>
        </is>
      </c>
      <c r="C678" s="9" t="inlineStr">
        <is>
          <t>ЛР</t>
        </is>
      </c>
      <c r="D678" s="9" t="inlineStr">
        <is>
          <t>Т11О-302Б-18</t>
        </is>
      </c>
      <c r="E678" s="10" t="n">
        <v>16</v>
      </c>
      <c r="F678" s="9" t="inlineStr">
        <is>
          <t>08947</t>
        </is>
      </c>
      <c r="G678" s="10" t="n">
        <v>16</v>
      </c>
      <c r="H678" s="9" t="inlineStr">
        <is>
          <t xml:space="preserve">89068     </t>
        </is>
      </c>
      <c r="I678" s="9" t="inlineStr">
        <is>
          <t xml:space="preserve">Петров Игорь Алексеевич </t>
        </is>
      </c>
      <c r="J678" s="9" t="inlineStr">
        <is>
          <t>доцент</t>
        </is>
      </c>
      <c r="K678" s="9" t="n"/>
      <c r="L678" s="9" t="n"/>
      <c r="M678" s="12">
        <f>SUMIFS($E$2:$E$1130,$A$2:$A$1130,"осень",$I$2:$I$1130,I678)</f>
        <v/>
      </c>
      <c r="N678" s="13">
        <f>SUMIFS($E$2:$E$1130,$A$2:$A$1130,"весна",$I$2:$I$1130,I678)</f>
        <v/>
      </c>
      <c r="O678" s="14">
        <f>M678+N678</f>
        <v/>
      </c>
      <c r="P678" s="15">
        <f>O678/$P$1</f>
        <v/>
      </c>
    </row>
    <row r="679" hidden="1" ht="15.75" customHeight="1" s="2">
      <c r="A679" s="9" t="inlineStr">
        <is>
          <t>весна</t>
        </is>
      </c>
      <c r="B679" s="9" t="inlineStr">
        <is>
          <t>Технология литейного производства</t>
        </is>
      </c>
      <c r="C679" s="9" t="inlineStr">
        <is>
          <t>Экзамен</t>
        </is>
      </c>
      <c r="D679" s="9" t="inlineStr">
        <is>
          <t>Т11О-301Б-18</t>
        </is>
      </c>
      <c r="E679" s="10" t="n">
        <v>9</v>
      </c>
      <c r="F679" s="9" t="inlineStr">
        <is>
          <t>08947</t>
        </is>
      </c>
      <c r="G679" s="11" t="n">
        <v>0</v>
      </c>
      <c r="H679" s="9" t="inlineStr">
        <is>
          <t xml:space="preserve">82061     </t>
        </is>
      </c>
      <c r="I679" s="9" t="inlineStr">
        <is>
          <t xml:space="preserve">Моисеев Виктор Сергеевич </t>
        </is>
      </c>
      <c r="J679" s="9" t="n"/>
      <c r="K679" s="9" t="n"/>
      <c r="L679" s="9" t="n"/>
      <c r="M679" s="12">
        <f>SUMIFS($E$2:$E$1130,$A$2:$A$1130,"осень",$I$2:$I$1130,I679)</f>
        <v/>
      </c>
      <c r="N679" s="13">
        <f>SUMIFS($E$2:$E$1130,$A$2:$A$1130,"весна",$I$2:$I$1130,I679)</f>
        <v/>
      </c>
      <c r="O679" s="14">
        <f>M679+N679</f>
        <v/>
      </c>
      <c r="P679" s="15">
        <f>O679/$P$1</f>
        <v/>
      </c>
    </row>
    <row r="680" hidden="1" ht="15.75" customHeight="1" s="2">
      <c r="A680" s="9" t="inlineStr">
        <is>
          <t>весна</t>
        </is>
      </c>
      <c r="B680" s="9" t="inlineStr">
        <is>
          <t>Технология литейного производства</t>
        </is>
      </c>
      <c r="C680" s="9" t="inlineStr">
        <is>
          <t>Экзамен</t>
        </is>
      </c>
      <c r="D680" s="9" t="inlineStr">
        <is>
          <t>Т11О-302Б-18</t>
        </is>
      </c>
      <c r="E680" s="10" t="n">
        <v>7</v>
      </c>
      <c r="F680" s="9" t="inlineStr">
        <is>
          <t>08947</t>
        </is>
      </c>
      <c r="G680" s="11" t="n">
        <v>0</v>
      </c>
      <c r="H680" s="9" t="inlineStr">
        <is>
          <t xml:space="preserve">82061     </t>
        </is>
      </c>
      <c r="I680" s="9" t="inlineStr">
        <is>
          <t xml:space="preserve">Моисеев Виктор Сергеевич </t>
        </is>
      </c>
      <c r="J680" s="9" t="n"/>
      <c r="K680" s="9" t="n"/>
      <c r="L680" s="9" t="n"/>
      <c r="M680" s="12">
        <f>SUMIFS($E$2:$E$1130,$A$2:$A$1130,"осень",$I$2:$I$1130,I680)</f>
        <v/>
      </c>
      <c r="N680" s="13">
        <f>SUMIFS($E$2:$E$1130,$A$2:$A$1130,"весна",$I$2:$I$1130,I680)</f>
        <v/>
      </c>
      <c r="O680" s="14">
        <f>M680+N680</f>
        <v/>
      </c>
      <c r="P680" s="15">
        <f>O680/$P$1</f>
        <v/>
      </c>
    </row>
    <row r="681" hidden="1" ht="15.75" customHeight="1" s="2">
      <c r="A681" s="9" t="inlineStr">
        <is>
          <t>весна</t>
        </is>
      </c>
      <c r="B681" s="9" t="inlineStr">
        <is>
          <t>Технология литейного производства</t>
        </is>
      </c>
      <c r="C681" s="9" t="inlineStr">
        <is>
          <t>Консультация</t>
        </is>
      </c>
      <c r="D681" s="9" t="inlineStr">
        <is>
          <t>Т11О-301Б-18</t>
        </is>
      </c>
      <c r="E681" s="10" t="n">
        <v>4</v>
      </c>
      <c r="F681" s="9" t="inlineStr">
        <is>
          <t>08947</t>
        </is>
      </c>
      <c r="G681" s="11" t="n">
        <v>0</v>
      </c>
      <c r="H681" s="9" t="inlineStr">
        <is>
          <t xml:space="preserve">82061     </t>
        </is>
      </c>
      <c r="I681" s="9" t="inlineStr">
        <is>
          <t xml:space="preserve">Моисеев Виктор Сергеевич </t>
        </is>
      </c>
      <c r="J681" s="9" t="n"/>
      <c r="K681" s="9" t="n"/>
      <c r="L681" s="9" t="n"/>
      <c r="M681" s="12">
        <f>SUMIFS($E$2:$E$1130,$A$2:$A$1130,"осень",$I$2:$I$1130,I681)</f>
        <v/>
      </c>
      <c r="N681" s="13">
        <f>SUMIFS($E$2:$E$1130,$A$2:$A$1130,"весна",$I$2:$I$1130,I681)</f>
        <v/>
      </c>
      <c r="O681" s="14">
        <f>M681+N681</f>
        <v/>
      </c>
      <c r="P681" s="15">
        <f>O681/$P$1</f>
        <v/>
      </c>
    </row>
    <row r="682" hidden="1" ht="15.75" customHeight="1" s="2">
      <c r="A682" s="9" t="inlineStr">
        <is>
          <t>весна</t>
        </is>
      </c>
      <c r="B682" s="9" t="inlineStr">
        <is>
          <t>Технология литейного производства</t>
        </is>
      </c>
      <c r="C682" s="9" t="inlineStr">
        <is>
          <t>Консультация</t>
        </is>
      </c>
      <c r="D682" s="9" t="inlineStr">
        <is>
          <t>Т11О-302Б-18</t>
        </is>
      </c>
      <c r="E682" s="10" t="n">
        <v>4</v>
      </c>
      <c r="F682" s="9" t="inlineStr">
        <is>
          <t>08947</t>
        </is>
      </c>
      <c r="G682" s="11" t="n">
        <v>0</v>
      </c>
      <c r="H682" s="9" t="inlineStr">
        <is>
          <t xml:space="preserve">82061     </t>
        </is>
      </c>
      <c r="I682" s="9" t="inlineStr">
        <is>
          <t xml:space="preserve">Моисеев Виктор Сергеевич </t>
        </is>
      </c>
      <c r="J682" s="9" t="n"/>
      <c r="K682" s="9" t="n"/>
      <c r="L682" s="9" t="n"/>
      <c r="M682" s="12">
        <f>SUMIFS($E$2:$E$1130,$A$2:$A$1130,"осень",$I$2:$I$1130,I682)</f>
        <v/>
      </c>
      <c r="N682" s="13">
        <f>SUMIFS($E$2:$E$1130,$A$2:$A$1130,"весна",$I$2:$I$1130,I682)</f>
        <v/>
      </c>
      <c r="O682" s="14">
        <f>M682+N682</f>
        <v/>
      </c>
      <c r="P682" s="15">
        <f>O682/$P$1</f>
        <v/>
      </c>
    </row>
    <row r="683" hidden="1" ht="15.75" customHeight="1" s="2">
      <c r="A683" s="9" t="inlineStr">
        <is>
          <t>весна</t>
        </is>
      </c>
      <c r="B683" s="9" t="inlineStr">
        <is>
          <t>Теоретические основы, технология и оборудование пайки</t>
        </is>
      </c>
      <c r="C683" s="9" t="inlineStr">
        <is>
          <t>ЛК</t>
        </is>
      </c>
      <c r="D683" s="9" t="inlineStr">
        <is>
          <t>Т1О-401Б-17</t>
        </is>
      </c>
      <c r="E683" s="10" t="n">
        <v>24</v>
      </c>
      <c r="F683" s="9" t="inlineStr">
        <is>
          <t>06256</t>
        </is>
      </c>
      <c r="G683" s="10" t="n">
        <v>24</v>
      </c>
      <c r="H683" s="9" t="inlineStr">
        <is>
          <t xml:space="preserve">82023     </t>
        </is>
      </c>
      <c r="I683" s="9" t="inlineStr">
        <is>
          <t xml:space="preserve">Федоров Сергей Александрович </t>
        </is>
      </c>
      <c r="J683" s="9" t="n"/>
      <c r="K683" s="9" t="n"/>
      <c r="L683" s="9" t="n"/>
      <c r="M683" s="12">
        <f>SUMIFS($E$2:$E$1130,$A$2:$A$1130,"осень",$I$2:$I$1130,I683)</f>
        <v/>
      </c>
      <c r="N683" s="13">
        <f>SUMIFS($E$2:$E$1130,$A$2:$A$1130,"весна",$I$2:$I$1130,I683)</f>
        <v/>
      </c>
      <c r="O683" s="14">
        <f>M683+N683</f>
        <v/>
      </c>
      <c r="P683" s="15">
        <f>O683/$P$1</f>
        <v/>
      </c>
    </row>
    <row r="684" hidden="1" ht="15.75" customHeight="1" s="2">
      <c r="A684" s="9" t="inlineStr">
        <is>
          <t>весна</t>
        </is>
      </c>
      <c r="B684" s="9" t="inlineStr">
        <is>
          <t>Теоретические основы, технология и оборудование пайки</t>
        </is>
      </c>
      <c r="C684" s="9" t="inlineStr">
        <is>
          <t>ПЗ</t>
        </is>
      </c>
      <c r="D684" s="9" t="inlineStr">
        <is>
          <t>Т1О-401Б-17</t>
        </is>
      </c>
      <c r="E684" s="10" t="n">
        <v>12</v>
      </c>
      <c r="F684" s="9" t="inlineStr">
        <is>
          <t>06256</t>
        </is>
      </c>
      <c r="G684" s="10" t="n">
        <v>12</v>
      </c>
      <c r="H684" s="9" t="inlineStr">
        <is>
          <t xml:space="preserve">82023     </t>
        </is>
      </c>
      <c r="I684" s="9" t="inlineStr">
        <is>
          <t xml:space="preserve">Федоров Сергей Александрович </t>
        </is>
      </c>
      <c r="J684" s="9" t="n"/>
      <c r="K684" s="9" t="n"/>
      <c r="L684" s="9" t="n"/>
      <c r="M684" s="12">
        <f>SUMIFS($E$2:$E$1130,$A$2:$A$1130,"осень",$I$2:$I$1130,I684)</f>
        <v/>
      </c>
      <c r="N684" s="13">
        <f>SUMIFS($E$2:$E$1130,$A$2:$A$1130,"весна",$I$2:$I$1130,I684)</f>
        <v/>
      </c>
      <c r="O684" s="14">
        <f>M684+N684</f>
        <v/>
      </c>
      <c r="P684" s="15">
        <f>O684/$P$1</f>
        <v/>
      </c>
    </row>
    <row r="685" hidden="1" ht="15.75" customHeight="1" s="2">
      <c r="A685" s="9" t="inlineStr">
        <is>
          <t>весна</t>
        </is>
      </c>
      <c r="B685" s="9" t="inlineStr">
        <is>
          <t>Теоретические основы, технология и оборудование пайки</t>
        </is>
      </c>
      <c r="C685" s="9" t="inlineStr">
        <is>
          <t>ЛР</t>
        </is>
      </c>
      <c r="D685" s="9" t="inlineStr">
        <is>
          <t>Т1О-401Б-17</t>
        </is>
      </c>
      <c r="E685" s="10" t="n">
        <v>56</v>
      </c>
      <c r="F685" s="9" t="inlineStr">
        <is>
          <t>06256</t>
        </is>
      </c>
      <c r="G685" s="10" t="n">
        <v>28</v>
      </c>
      <c r="H685" s="9" t="inlineStr">
        <is>
          <t xml:space="preserve">82023     </t>
        </is>
      </c>
      <c r="I685" s="9" t="inlineStr">
        <is>
          <t xml:space="preserve">Федоров Сергей Александрович </t>
        </is>
      </c>
      <c r="J685" s="9" t="n"/>
      <c r="K685" s="9" t="n"/>
      <c r="L685" s="9" t="n"/>
      <c r="M685" s="12">
        <f>SUMIFS($E$2:$E$1130,$A$2:$A$1130,"осень",$I$2:$I$1130,I685)</f>
        <v/>
      </c>
      <c r="N685" s="13">
        <f>SUMIFS($E$2:$E$1130,$A$2:$A$1130,"весна",$I$2:$I$1130,I685)</f>
        <v/>
      </c>
      <c r="O685" s="14">
        <f>M685+N685</f>
        <v/>
      </c>
      <c r="P685" s="15">
        <f>O685/$P$1</f>
        <v/>
      </c>
    </row>
    <row r="686" hidden="1" ht="15.75" customHeight="1" s="2">
      <c r="A686" s="9" t="inlineStr">
        <is>
          <t>весна</t>
        </is>
      </c>
      <c r="B686" s="9" t="inlineStr">
        <is>
          <t>Теоретические основы, технология и оборудование пайки</t>
        </is>
      </c>
      <c r="C686" s="9" t="inlineStr">
        <is>
          <t>Экзамен</t>
        </is>
      </c>
      <c r="D686" s="9" t="inlineStr">
        <is>
          <t>Т1О-401Б-17</t>
        </is>
      </c>
      <c r="E686" s="10" t="n">
        <v>8</v>
      </c>
      <c r="F686" s="9" t="inlineStr">
        <is>
          <t>06256</t>
        </is>
      </c>
      <c r="G686" s="11" t="n">
        <v>0</v>
      </c>
      <c r="H686" s="9" t="inlineStr">
        <is>
          <t xml:space="preserve">82023     </t>
        </is>
      </c>
      <c r="I686" s="9" t="inlineStr">
        <is>
          <t xml:space="preserve">Федоров Сергей Александрович </t>
        </is>
      </c>
      <c r="J686" s="9" t="n"/>
      <c r="K686" s="9" t="n"/>
      <c r="L686" s="9" t="n"/>
      <c r="M686" s="12">
        <f>SUMIFS($E$2:$E$1130,$A$2:$A$1130,"осень",$I$2:$I$1130,I686)</f>
        <v/>
      </c>
      <c r="N686" s="13">
        <f>SUMIFS($E$2:$E$1130,$A$2:$A$1130,"весна",$I$2:$I$1130,I686)</f>
        <v/>
      </c>
      <c r="O686" s="14">
        <f>M686+N686</f>
        <v/>
      </c>
      <c r="P686" s="15">
        <f>O686/$P$1</f>
        <v/>
      </c>
    </row>
    <row r="687" hidden="1" ht="15.75" customHeight="1" s="2">
      <c r="A687" s="9" t="inlineStr">
        <is>
          <t>весна</t>
        </is>
      </c>
      <c r="B687" s="9" t="inlineStr">
        <is>
          <t>Теоретические основы, технология и оборудование пайки</t>
        </is>
      </c>
      <c r="C687" s="9" t="inlineStr">
        <is>
          <t>Консультация</t>
        </is>
      </c>
      <c r="D687" s="9" t="inlineStr">
        <is>
          <t>Т1О-401Б-17</t>
        </is>
      </c>
      <c r="E687" s="10" t="n">
        <v>3</v>
      </c>
      <c r="F687" s="9" t="inlineStr">
        <is>
          <t>06256</t>
        </is>
      </c>
      <c r="G687" s="11" t="n">
        <v>0</v>
      </c>
      <c r="H687" s="9" t="inlineStr">
        <is>
          <t xml:space="preserve">82023     </t>
        </is>
      </c>
      <c r="I687" s="9" t="inlineStr">
        <is>
          <t xml:space="preserve">Федоров Сергей Александрович </t>
        </is>
      </c>
      <c r="J687" s="9" t="n"/>
      <c r="K687" s="9" t="n"/>
      <c r="L687" s="9" t="n"/>
      <c r="M687" s="12">
        <f>SUMIFS($E$2:$E$1130,$A$2:$A$1130,"осень",$I$2:$I$1130,I687)</f>
        <v/>
      </c>
      <c r="N687" s="13">
        <f>SUMIFS($E$2:$E$1130,$A$2:$A$1130,"весна",$I$2:$I$1130,I687)</f>
        <v/>
      </c>
      <c r="O687" s="14">
        <f>M687+N687</f>
        <v/>
      </c>
      <c r="P687" s="15">
        <f>O687/$P$1</f>
        <v/>
      </c>
    </row>
    <row r="688" hidden="1" ht="15.75" customHeight="1" s="2">
      <c r="A688" s="22" t="inlineStr">
        <is>
          <t>весна</t>
        </is>
      </c>
      <c r="B688" s="9" t="inlineStr">
        <is>
          <t>Методы и средства подготовки научно-технической и конструкторской документации</t>
        </is>
      </c>
      <c r="C688" s="9" t="inlineStr">
        <is>
          <t>ЛК</t>
        </is>
      </c>
      <c r="D688" s="9" t="inlineStr">
        <is>
          <t>Т1О-404Б-17</t>
        </is>
      </c>
      <c r="E688" s="10" t="n">
        <v>24</v>
      </c>
      <c r="F688" s="9" t="inlineStr">
        <is>
          <t>08770</t>
        </is>
      </c>
      <c r="G688" s="10" t="n">
        <v>24</v>
      </c>
      <c r="H688" s="9" t="inlineStr">
        <is>
          <t xml:space="preserve">81725     </t>
        </is>
      </c>
      <c r="I688" s="9" t="inlineStr">
        <is>
          <t xml:space="preserve">Еремеев Николай Владимирович </t>
        </is>
      </c>
      <c r="J688" s="9" t="inlineStr">
        <is>
          <t>доцент</t>
        </is>
      </c>
      <c r="K688" s="9" t="n"/>
      <c r="L688" s="9" t="n"/>
      <c r="M688" s="12">
        <f>SUMIFS($E$2:$E$1130,$A$2:$A$1130,"осень",$I$2:$I$1130,I688)</f>
        <v/>
      </c>
      <c r="N688" s="13">
        <f>SUMIFS($E$2:$E$1130,$A$2:$A$1130,"весна",$I$2:$I$1130,I688)</f>
        <v/>
      </c>
      <c r="O688" s="14">
        <f>M688+N688</f>
        <v/>
      </c>
      <c r="P688" s="15">
        <f>O688/$P$1</f>
        <v/>
      </c>
    </row>
    <row r="689" hidden="1" ht="15.75" customHeight="1" s="2">
      <c r="A689" s="22" t="inlineStr">
        <is>
          <t>весна</t>
        </is>
      </c>
      <c r="B689" s="9" t="inlineStr">
        <is>
          <t>Методы и средства подготовки научно-технической и конструкторской документации</t>
        </is>
      </c>
      <c r="C689" s="9" t="inlineStr">
        <is>
          <t>Зачет с оценкой</t>
        </is>
      </c>
      <c r="D689" s="9" t="inlineStr">
        <is>
          <t>Т1О-404Б-17</t>
        </is>
      </c>
      <c r="E689" s="10" t="n">
        <v>8</v>
      </c>
      <c r="F689" s="9" t="inlineStr">
        <is>
          <t>08770</t>
        </is>
      </c>
      <c r="G689" s="11" t="n">
        <v>0</v>
      </c>
      <c r="H689" s="9" t="inlineStr">
        <is>
          <t xml:space="preserve">81725     </t>
        </is>
      </c>
      <c r="I689" s="9" t="inlineStr">
        <is>
          <t xml:space="preserve">Еремеев Николай Владимирович </t>
        </is>
      </c>
      <c r="J689" s="9" t="inlineStr">
        <is>
          <t>доцент</t>
        </is>
      </c>
      <c r="K689" s="9" t="n"/>
      <c r="L689" s="9" t="n"/>
      <c r="M689" s="12">
        <f>SUMIFS($E$2:$E$1130,$A$2:$A$1130,"осень",$I$2:$I$1130,I689)</f>
        <v/>
      </c>
      <c r="N689" s="13">
        <f>SUMIFS($E$2:$E$1130,$A$2:$A$1130,"весна",$I$2:$I$1130,I689)</f>
        <v/>
      </c>
      <c r="O689" s="14">
        <f>M689+N689</f>
        <v/>
      </c>
      <c r="P689" s="15">
        <f>O689/$P$1</f>
        <v/>
      </c>
    </row>
    <row r="690" hidden="1" ht="15.75" customHeight="1" s="2">
      <c r="A690" s="22" t="inlineStr">
        <is>
          <t>весна</t>
        </is>
      </c>
      <c r="B690" s="9" t="inlineStr">
        <is>
          <t>Методы и средства подготовки научно-технической и конструкторской документации</t>
        </is>
      </c>
      <c r="C690" s="9" t="inlineStr">
        <is>
          <t>ПЗ</t>
        </is>
      </c>
      <c r="D690" s="9" t="inlineStr">
        <is>
          <t>Т1О-404Б-17</t>
        </is>
      </c>
      <c r="E690" s="10" t="n">
        <v>16</v>
      </c>
      <c r="F690" s="9" t="inlineStr">
        <is>
          <t>08770</t>
        </is>
      </c>
      <c r="G690" s="10" t="n">
        <v>16</v>
      </c>
      <c r="H690" s="9" t="inlineStr">
        <is>
          <t xml:space="preserve">81725     </t>
        </is>
      </c>
      <c r="I690" s="9" t="inlineStr">
        <is>
          <t xml:space="preserve">Еремеев Николай Владимирович </t>
        </is>
      </c>
      <c r="J690" s="9" t="inlineStr">
        <is>
          <t>доцент</t>
        </is>
      </c>
      <c r="K690" s="9" t="n"/>
      <c r="L690" s="9" t="n"/>
      <c r="M690" s="12">
        <f>SUMIFS($E$2:$E$1130,$A$2:$A$1130,"осень",$I$2:$I$1130,I690)</f>
        <v/>
      </c>
      <c r="N690" s="13">
        <f>SUMIFS($E$2:$E$1130,$A$2:$A$1130,"весна",$I$2:$I$1130,I690)</f>
        <v/>
      </c>
      <c r="O690" s="14">
        <f>M690+N690</f>
        <v/>
      </c>
      <c r="P690" s="15">
        <f>O690/$P$1</f>
        <v/>
      </c>
    </row>
    <row r="691" hidden="1" ht="15.75" customHeight="1" s="2">
      <c r="A691" s="22" t="inlineStr">
        <is>
          <t>весна</t>
        </is>
      </c>
      <c r="B691" s="9" t="inlineStr">
        <is>
          <t>Методы и средства подготовки научно-технической и конструкторской документации</t>
        </is>
      </c>
      <c r="C691" s="9" t="inlineStr">
        <is>
          <t>ЛР</t>
        </is>
      </c>
      <c r="D691" s="9" t="inlineStr">
        <is>
          <t>Т1О-404Б-17</t>
        </is>
      </c>
      <c r="E691" s="10" t="n">
        <v>32</v>
      </c>
      <c r="F691" s="9" t="inlineStr">
        <is>
          <t>08770</t>
        </is>
      </c>
      <c r="G691" s="10" t="n">
        <v>16</v>
      </c>
      <c r="H691" s="9" t="inlineStr">
        <is>
          <t xml:space="preserve">81725     </t>
        </is>
      </c>
      <c r="I691" s="9" t="inlineStr">
        <is>
          <t xml:space="preserve">Еремеев Николай Владимирович </t>
        </is>
      </c>
      <c r="J691" s="9" t="inlineStr">
        <is>
          <t>доцент</t>
        </is>
      </c>
      <c r="K691" s="9" t="n"/>
      <c r="L691" s="9" t="n"/>
      <c r="M691" s="12">
        <f>SUMIFS($E$2:$E$1130,$A$2:$A$1130,"осень",$I$2:$I$1130,I691)</f>
        <v/>
      </c>
      <c r="N691" s="13">
        <f>SUMIFS($E$2:$E$1130,$A$2:$A$1130,"весна",$I$2:$I$1130,I691)</f>
        <v/>
      </c>
      <c r="O691" s="14">
        <f>M691+N691</f>
        <v/>
      </c>
      <c r="P691" s="15">
        <f>O691/$P$1</f>
        <v/>
      </c>
    </row>
    <row r="692" hidden="1" ht="15.75" customHeight="1" s="2">
      <c r="A692" s="22" t="inlineStr">
        <is>
          <t>весна</t>
        </is>
      </c>
      <c r="B692" s="9" t="inlineStr">
        <is>
          <t>Методы и средства подготовки научно-технической и конструкторской документации</t>
        </is>
      </c>
      <c r="C692" s="9" t="inlineStr">
        <is>
          <t>Консультация</t>
        </is>
      </c>
      <c r="D692" s="9" t="inlineStr">
        <is>
          <t>Т1О-404Б-17</t>
        </is>
      </c>
      <c r="E692" s="10" t="n">
        <v>1</v>
      </c>
      <c r="F692" s="9" t="inlineStr">
        <is>
          <t>08770</t>
        </is>
      </c>
      <c r="G692" s="11" t="n">
        <v>0</v>
      </c>
      <c r="H692" s="9" t="inlineStr">
        <is>
          <t xml:space="preserve">81725     </t>
        </is>
      </c>
      <c r="I692" s="9" t="inlineStr">
        <is>
          <t xml:space="preserve">Еремеев Николай Владимирович </t>
        </is>
      </c>
      <c r="J692" s="9" t="inlineStr">
        <is>
          <t>доцент</t>
        </is>
      </c>
      <c r="K692" s="9" t="n"/>
      <c r="L692" s="9" t="n"/>
      <c r="M692" s="12">
        <f>SUMIFS($E$2:$E$1130,$A$2:$A$1130,"осень",$I$2:$I$1130,I692)</f>
        <v/>
      </c>
      <c r="N692" s="13">
        <f>SUMIFS($E$2:$E$1130,$A$2:$A$1130,"весна",$I$2:$I$1130,I692)</f>
        <v/>
      </c>
      <c r="O692" s="14">
        <f>M692+N692</f>
        <v/>
      </c>
      <c r="P692" s="15">
        <f>O692/$P$1</f>
        <v/>
      </c>
    </row>
    <row r="693" hidden="1" ht="15.75" customHeight="1" s="2">
      <c r="A693" s="22" t="inlineStr">
        <is>
          <t>весна</t>
        </is>
      </c>
      <c r="B693" s="9" t="inlineStr">
        <is>
          <t>Производство отливок из титановых сплавов</t>
        </is>
      </c>
      <c r="C693" s="9" t="inlineStr">
        <is>
          <t>ЛК</t>
        </is>
      </c>
      <c r="D693" s="9" t="inlineStr">
        <is>
          <t>Т11О-102М-20</t>
        </is>
      </c>
      <c r="E693" s="10" t="n">
        <v>18</v>
      </c>
      <c r="F693" s="9" t="inlineStr">
        <is>
          <t>06201</t>
        </is>
      </c>
      <c r="G693" s="10" t="n">
        <v>18</v>
      </c>
      <c r="H693" s="9" t="inlineStr">
        <is>
          <t xml:space="preserve">82018     </t>
        </is>
      </c>
      <c r="I693" s="9" t="inlineStr">
        <is>
          <t>Бережной Дмитрий Васильевич</t>
        </is>
      </c>
      <c r="J693" s="9" t="inlineStr">
        <is>
          <t>доцент</t>
        </is>
      </c>
      <c r="K693" s="9" t="n"/>
      <c r="L693" s="9" t="n"/>
      <c r="M693" s="12">
        <f>SUMIFS($E$2:$E$1130,$A$2:$A$1130,"осень",$I$2:$I$1130,I693)</f>
        <v/>
      </c>
      <c r="N693" s="13">
        <f>SUMIFS($E$2:$E$1130,$A$2:$A$1130,"весна",$I$2:$I$1130,I693)</f>
        <v/>
      </c>
      <c r="O693" s="14">
        <f>M693+N693</f>
        <v/>
      </c>
      <c r="P693" s="15">
        <f>O693/$P$1</f>
        <v/>
      </c>
    </row>
    <row r="694" hidden="1" ht="15.75" customHeight="1" s="2">
      <c r="A694" s="22" t="inlineStr">
        <is>
          <t>весна</t>
        </is>
      </c>
      <c r="B694" s="9" t="inlineStr">
        <is>
          <t>Производство отливок из титановых сплавов</t>
        </is>
      </c>
      <c r="C694" s="9" t="inlineStr">
        <is>
          <t>КР</t>
        </is>
      </c>
      <c r="D694" s="9" t="inlineStr">
        <is>
          <t>Т11О-102М-20</t>
        </is>
      </c>
      <c r="E694" s="10" t="n">
        <v>15</v>
      </c>
      <c r="F694" s="9" t="inlineStr">
        <is>
          <t>06201</t>
        </is>
      </c>
      <c r="G694" s="11" t="n">
        <v>0</v>
      </c>
      <c r="H694" s="9" t="inlineStr">
        <is>
          <t xml:space="preserve">82018     </t>
        </is>
      </c>
      <c r="I694" s="9" t="inlineStr">
        <is>
          <t>Бережной Дмитрий Васильевич</t>
        </is>
      </c>
      <c r="J694" s="9" t="inlineStr">
        <is>
          <t>доцент</t>
        </is>
      </c>
      <c r="K694" s="9" t="n"/>
      <c r="L694" s="9" t="n"/>
      <c r="M694" s="12">
        <f>SUMIFS($E$2:$E$1130,$A$2:$A$1130,"осень",$I$2:$I$1130,I694)</f>
        <v/>
      </c>
      <c r="N694" s="13">
        <f>SUMIFS($E$2:$E$1130,$A$2:$A$1130,"весна",$I$2:$I$1130,I694)</f>
        <v/>
      </c>
      <c r="O694" s="14">
        <f>M694+N694</f>
        <v/>
      </c>
      <c r="P694" s="15">
        <f>O694/$P$1</f>
        <v/>
      </c>
    </row>
    <row r="695" hidden="1" ht="15.75" customHeight="1" s="2">
      <c r="A695" s="22" t="inlineStr">
        <is>
          <t>весна</t>
        </is>
      </c>
      <c r="B695" s="9" t="inlineStr">
        <is>
          <t>Производство отливок из титановых сплавов</t>
        </is>
      </c>
      <c r="C695" s="9" t="inlineStr">
        <is>
          <t>Зачет с оценкой</t>
        </is>
      </c>
      <c r="D695" s="9" t="inlineStr">
        <is>
          <t>Т11О-102М-20</t>
        </is>
      </c>
      <c r="E695" s="10" t="n">
        <v>2</v>
      </c>
      <c r="F695" s="9" t="inlineStr">
        <is>
          <t>06201</t>
        </is>
      </c>
      <c r="G695" s="11" t="n">
        <v>0</v>
      </c>
      <c r="H695" s="9" t="inlineStr">
        <is>
          <t xml:space="preserve">82018     </t>
        </is>
      </c>
      <c r="I695" s="9" t="inlineStr">
        <is>
          <t>Бережной Дмитрий Васильевич</t>
        </is>
      </c>
      <c r="J695" s="9" t="inlineStr">
        <is>
          <t>доцент</t>
        </is>
      </c>
      <c r="K695" s="9" t="n"/>
      <c r="L695" s="9" t="n"/>
      <c r="M695" s="12">
        <f>SUMIFS($E$2:$E$1130,$A$2:$A$1130,"осень",$I$2:$I$1130,I695)</f>
        <v/>
      </c>
      <c r="N695" s="13">
        <f>SUMIFS($E$2:$E$1130,$A$2:$A$1130,"весна",$I$2:$I$1130,I695)</f>
        <v/>
      </c>
      <c r="O695" s="14">
        <f>M695+N695</f>
        <v/>
      </c>
      <c r="P695" s="15">
        <f>O695/$P$1</f>
        <v/>
      </c>
    </row>
    <row r="696" hidden="1" ht="15.75" customHeight="1" s="2">
      <c r="A696" s="22" t="inlineStr">
        <is>
          <t>весна</t>
        </is>
      </c>
      <c r="B696" s="9" t="inlineStr">
        <is>
          <t>Производство отливок из титановых сплавов</t>
        </is>
      </c>
      <c r="C696" s="9" t="inlineStr">
        <is>
          <t>ПЗ</t>
        </is>
      </c>
      <c r="D696" s="9" t="inlineStr">
        <is>
          <t>Т11О-102М-20</t>
        </is>
      </c>
      <c r="E696" s="10" t="n">
        <v>44</v>
      </c>
      <c r="F696" s="9" t="inlineStr">
        <is>
          <t>06201</t>
        </is>
      </c>
      <c r="G696" s="10" t="n">
        <v>44</v>
      </c>
      <c r="H696" s="9" t="inlineStr">
        <is>
          <t xml:space="preserve">82018     </t>
        </is>
      </c>
      <c r="I696" s="9" t="inlineStr">
        <is>
          <t>Бережной Дмитрий Васильевич</t>
        </is>
      </c>
      <c r="J696" s="9" t="inlineStr">
        <is>
          <t>доцент</t>
        </is>
      </c>
      <c r="K696" s="9" t="n"/>
      <c r="L696" s="9" t="n"/>
      <c r="M696" s="12">
        <f>SUMIFS($E$2:$E$1130,$A$2:$A$1130,"осень",$I$2:$I$1130,I696)</f>
        <v/>
      </c>
      <c r="N696" s="13">
        <f>SUMIFS($E$2:$E$1130,$A$2:$A$1130,"весна",$I$2:$I$1130,I696)</f>
        <v/>
      </c>
      <c r="O696" s="14">
        <f>M696+N696</f>
        <v/>
      </c>
      <c r="P696" s="15">
        <f>O696/$P$1</f>
        <v/>
      </c>
    </row>
    <row r="697" hidden="1" ht="15.75" customHeight="1" s="2">
      <c r="A697" s="22" t="inlineStr">
        <is>
          <t>весна</t>
        </is>
      </c>
      <c r="B697" s="9" t="inlineStr">
        <is>
          <t>Производство отливок из титановых сплавов</t>
        </is>
      </c>
      <c r="C697" s="9" t="inlineStr">
        <is>
          <t>Консультация</t>
        </is>
      </c>
      <c r="D697" s="9" t="inlineStr">
        <is>
          <t>Т11О-102М-20</t>
        </is>
      </c>
      <c r="E697" s="10" t="n">
        <v>1</v>
      </c>
      <c r="F697" s="9" t="inlineStr">
        <is>
          <t>06201</t>
        </is>
      </c>
      <c r="G697" s="11" t="n">
        <v>0</v>
      </c>
      <c r="H697" s="9" t="inlineStr">
        <is>
          <t xml:space="preserve">82018     </t>
        </is>
      </c>
      <c r="I697" s="9" t="inlineStr">
        <is>
          <t>Бережной Дмитрий Васильевич</t>
        </is>
      </c>
      <c r="J697" s="9" t="inlineStr">
        <is>
          <t>доцент</t>
        </is>
      </c>
      <c r="K697" s="9" t="n"/>
      <c r="L697" s="9" t="n"/>
      <c r="M697" s="12">
        <f>SUMIFS($E$2:$E$1130,$A$2:$A$1130,"осень",$I$2:$I$1130,I697)</f>
        <v/>
      </c>
      <c r="N697" s="13">
        <f>SUMIFS($E$2:$E$1130,$A$2:$A$1130,"весна",$I$2:$I$1130,I697)</f>
        <v/>
      </c>
      <c r="O697" s="14">
        <f>M697+N697</f>
        <v/>
      </c>
      <c r="P697" s="15">
        <f>O697/$P$1</f>
        <v/>
      </c>
    </row>
    <row r="698" hidden="1" ht="15.75" customHeight="1" s="2">
      <c r="A698" s="9" t="inlineStr">
        <is>
          <t>весна</t>
        </is>
      </c>
      <c r="B698" s="9" t="inlineStr">
        <is>
          <t>Современные технологии сварки плавлением</t>
        </is>
      </c>
      <c r="C698" s="9" t="inlineStr">
        <is>
          <t>ЛК</t>
        </is>
      </c>
      <c r="D698" s="9" t="inlineStr">
        <is>
          <t>Т11О-104М-20</t>
        </is>
      </c>
      <c r="E698" s="10" t="n">
        <v>12</v>
      </c>
      <c r="F698" s="9" t="inlineStr">
        <is>
          <t>04595</t>
        </is>
      </c>
      <c r="G698" s="10" t="n">
        <v>12</v>
      </c>
      <c r="H698" s="9" t="inlineStr">
        <is>
          <t xml:space="preserve">89090     </t>
        </is>
      </c>
      <c r="I698" s="9" t="inlineStr">
        <is>
          <t>Степанов Владимир Валерьевич</t>
        </is>
      </c>
      <c r="J698" s="9" t="n"/>
      <c r="K698" s="9" t="n"/>
      <c r="L698" s="9" t="n"/>
      <c r="M698" s="12">
        <f>SUMIFS($E$2:$E$1130,$A$2:$A$1130,"осень",$I$2:$I$1130,I698)</f>
        <v/>
      </c>
      <c r="N698" s="13">
        <f>SUMIFS($E$2:$E$1130,$A$2:$A$1130,"весна",$I$2:$I$1130,I698)</f>
        <v/>
      </c>
      <c r="O698" s="14">
        <f>M698+N698</f>
        <v/>
      </c>
      <c r="P698" s="15">
        <f>O698/$P$1</f>
        <v/>
      </c>
    </row>
    <row r="699" hidden="1" ht="15.75" customHeight="1" s="2">
      <c r="A699" s="9" t="inlineStr">
        <is>
          <t>весна</t>
        </is>
      </c>
      <c r="B699" s="9" t="inlineStr">
        <is>
          <t>Современные технологии сварки плавлением</t>
        </is>
      </c>
      <c r="C699" s="9" t="inlineStr">
        <is>
          <t>ПЗ</t>
        </is>
      </c>
      <c r="D699" s="9" t="inlineStr">
        <is>
          <t>Т11О-104М-20</t>
        </is>
      </c>
      <c r="E699" s="10" t="n">
        <v>36</v>
      </c>
      <c r="F699" s="9" t="inlineStr">
        <is>
          <t>04595</t>
        </is>
      </c>
      <c r="G699" s="10" t="n">
        <v>36</v>
      </c>
      <c r="H699" s="9" t="inlineStr">
        <is>
          <t xml:space="preserve">89090     </t>
        </is>
      </c>
      <c r="I699" s="9" t="inlineStr">
        <is>
          <t>Степанов Владимир Валерьевич</t>
        </is>
      </c>
      <c r="J699" s="9" t="n"/>
      <c r="K699" s="9" t="n"/>
      <c r="L699" s="9" t="n"/>
      <c r="M699" s="12">
        <f>SUMIFS($E$2:$E$1130,$A$2:$A$1130,"осень",$I$2:$I$1130,I699)</f>
        <v/>
      </c>
      <c r="N699" s="13">
        <f>SUMIFS($E$2:$E$1130,$A$2:$A$1130,"весна",$I$2:$I$1130,I699)</f>
        <v/>
      </c>
      <c r="O699" s="14">
        <f>M699+N699</f>
        <v/>
      </c>
      <c r="P699" s="15">
        <f>O699/$P$1</f>
        <v/>
      </c>
    </row>
    <row r="700" hidden="1" ht="15.75" customHeight="1" s="2">
      <c r="A700" s="9" t="inlineStr">
        <is>
          <t>весна</t>
        </is>
      </c>
      <c r="B700" s="9" t="inlineStr">
        <is>
          <t>Современные технологии сварки плавлением</t>
        </is>
      </c>
      <c r="C700" s="9" t="inlineStr">
        <is>
          <t>Экзамен</t>
        </is>
      </c>
      <c r="D700" s="9" t="inlineStr">
        <is>
          <t>Т11О-104М-20</t>
        </is>
      </c>
      <c r="E700" s="10" t="n">
        <v>3</v>
      </c>
      <c r="F700" s="9" t="inlineStr">
        <is>
          <t>04595</t>
        </is>
      </c>
      <c r="G700" s="11" t="n">
        <v>0</v>
      </c>
      <c r="H700" s="9" t="inlineStr">
        <is>
          <t xml:space="preserve">89090     </t>
        </is>
      </c>
      <c r="I700" s="9" t="inlineStr">
        <is>
          <t>Степанов Владимир Валерьевич</t>
        </is>
      </c>
      <c r="J700" s="9" t="n"/>
      <c r="K700" s="9" t="n"/>
      <c r="L700" s="9" t="n"/>
      <c r="M700" s="12">
        <f>SUMIFS($E$2:$E$1130,$A$2:$A$1130,"осень",$I$2:$I$1130,I700)</f>
        <v/>
      </c>
      <c r="N700" s="13">
        <f>SUMIFS($E$2:$E$1130,$A$2:$A$1130,"весна",$I$2:$I$1130,I700)</f>
        <v/>
      </c>
      <c r="O700" s="14">
        <f>M700+N700</f>
        <v/>
      </c>
      <c r="P700" s="15">
        <f>O700/$P$1</f>
        <v/>
      </c>
    </row>
    <row r="701" hidden="1" ht="15.75" customHeight="1" s="2">
      <c r="A701" s="9" t="inlineStr">
        <is>
          <t>весна</t>
        </is>
      </c>
      <c r="B701" s="9" t="inlineStr">
        <is>
          <t>Современные технологии сварки плавлением</t>
        </is>
      </c>
      <c r="C701" s="9" t="inlineStr">
        <is>
          <t>Консультация</t>
        </is>
      </c>
      <c r="D701" s="9" t="inlineStr">
        <is>
          <t>Т11О-104М-20</t>
        </is>
      </c>
      <c r="E701" s="10" t="n">
        <v>3</v>
      </c>
      <c r="F701" s="9" t="inlineStr">
        <is>
          <t>04595</t>
        </is>
      </c>
      <c r="G701" s="11" t="n">
        <v>0</v>
      </c>
      <c r="H701" s="9" t="inlineStr">
        <is>
          <t xml:space="preserve">89090     </t>
        </is>
      </c>
      <c r="I701" s="9" t="inlineStr">
        <is>
          <t>Степанов Владимир Валерьевич</t>
        </is>
      </c>
      <c r="J701" s="9" t="n"/>
      <c r="K701" s="9" t="n"/>
      <c r="L701" s="9" t="n"/>
      <c r="M701" s="12">
        <f>SUMIFS($E$2:$E$1130,$A$2:$A$1130,"осень",$I$2:$I$1130,I701)</f>
        <v/>
      </c>
      <c r="N701" s="13">
        <f>SUMIFS($E$2:$E$1130,$A$2:$A$1130,"весна",$I$2:$I$1130,I701)</f>
        <v/>
      </c>
      <c r="O701" s="14">
        <f>M701+N701</f>
        <v/>
      </c>
      <c r="P701" s="15">
        <f>O701/$P$1</f>
        <v/>
      </c>
    </row>
    <row r="702" hidden="1" ht="15.75" customHeight="1" s="2">
      <c r="A702" s="9" t="inlineStr">
        <is>
          <t>весна</t>
        </is>
      </c>
      <c r="B702" s="9" t="inlineStr">
        <is>
          <t>Современные технологии сварки давлением</t>
        </is>
      </c>
      <c r="C702" s="9" t="inlineStr">
        <is>
          <t>ЛК</t>
        </is>
      </c>
      <c r="D702" s="9" t="inlineStr">
        <is>
          <t>Т11О-104М-20</t>
        </is>
      </c>
      <c r="E702" s="10" t="n">
        <v>8</v>
      </c>
      <c r="F702" s="9" t="inlineStr">
        <is>
          <t>04595</t>
        </is>
      </c>
      <c r="G702" s="10" t="n">
        <v>8</v>
      </c>
      <c r="H702" s="9" t="inlineStr">
        <is>
          <t xml:space="preserve">82075     </t>
        </is>
      </c>
      <c r="I702" s="9" t="inlineStr">
        <is>
          <t>Сидякин Виталий Александрович</t>
        </is>
      </c>
      <c r="J702" s="9" t="n"/>
      <c r="K702" s="9" t="n"/>
      <c r="L702" s="9" t="n"/>
      <c r="M702" s="12">
        <f>SUMIFS($E$2:$E$1130,$A$2:$A$1130,"осень",$I$2:$I$1130,I702)</f>
        <v/>
      </c>
      <c r="N702" s="13">
        <f>SUMIFS($E$2:$E$1130,$A$2:$A$1130,"весна",$I$2:$I$1130,I702)</f>
        <v/>
      </c>
      <c r="O702" s="14">
        <f>M702+N702</f>
        <v/>
      </c>
      <c r="P702" s="15">
        <f>O702/$P$1</f>
        <v/>
      </c>
    </row>
    <row r="703" hidden="1" ht="15.75" customHeight="1" s="2">
      <c r="A703" s="9" t="inlineStr">
        <is>
          <t>весна</t>
        </is>
      </c>
      <c r="B703" s="9" t="inlineStr">
        <is>
          <t>Современные технологии сварки давлением</t>
        </is>
      </c>
      <c r="C703" s="9" t="inlineStr">
        <is>
          <t>ПЗ</t>
        </is>
      </c>
      <c r="D703" s="9" t="inlineStr">
        <is>
          <t>Т11О-104М-20</t>
        </is>
      </c>
      <c r="E703" s="10" t="n">
        <v>28</v>
      </c>
      <c r="F703" s="9" t="inlineStr">
        <is>
          <t>04595</t>
        </is>
      </c>
      <c r="G703" s="10" t="n">
        <v>28</v>
      </c>
      <c r="H703" s="9" t="inlineStr">
        <is>
          <t xml:space="preserve">82075     </t>
        </is>
      </c>
      <c r="I703" s="9" t="inlineStr">
        <is>
          <t>Сидякин Виталий Александрович</t>
        </is>
      </c>
      <c r="J703" s="9" t="n"/>
      <c r="K703" s="9" t="n"/>
      <c r="L703" s="9" t="n"/>
      <c r="M703" s="12">
        <f>SUMIFS($E$2:$E$1130,$A$2:$A$1130,"осень",$I$2:$I$1130,I703)</f>
        <v/>
      </c>
      <c r="N703" s="13">
        <f>SUMIFS($E$2:$E$1130,$A$2:$A$1130,"весна",$I$2:$I$1130,I703)</f>
        <v/>
      </c>
      <c r="O703" s="14">
        <f>M703+N703</f>
        <v/>
      </c>
      <c r="P703" s="15">
        <f>O703/$P$1</f>
        <v/>
      </c>
    </row>
    <row r="704" hidden="1" ht="15.75" customHeight="1" s="2">
      <c r="A704" s="9" t="inlineStr">
        <is>
          <t>весна</t>
        </is>
      </c>
      <c r="B704" s="9" t="inlineStr">
        <is>
          <t>Современные технологии сварки давлением</t>
        </is>
      </c>
      <c r="C704" s="9" t="inlineStr">
        <is>
          <t>Экзамен</t>
        </is>
      </c>
      <c r="D704" s="9" t="inlineStr">
        <is>
          <t>Т11О-104М-20</t>
        </is>
      </c>
      <c r="E704" s="10" t="n">
        <v>3</v>
      </c>
      <c r="F704" s="9" t="inlineStr">
        <is>
          <t>04595</t>
        </is>
      </c>
      <c r="G704" s="11" t="n">
        <v>0</v>
      </c>
      <c r="H704" s="9" t="inlineStr">
        <is>
          <t xml:space="preserve">82075     </t>
        </is>
      </c>
      <c r="I704" s="9" t="inlineStr">
        <is>
          <t>Сидякин Виталий Александрович</t>
        </is>
      </c>
      <c r="J704" s="9" t="n"/>
      <c r="K704" s="9" t="n"/>
      <c r="L704" s="9" t="n"/>
      <c r="M704" s="12">
        <f>SUMIFS($E$2:$E$1130,$A$2:$A$1130,"осень",$I$2:$I$1130,I704)</f>
        <v/>
      </c>
      <c r="N704" s="13">
        <f>SUMIFS($E$2:$E$1130,$A$2:$A$1130,"весна",$I$2:$I$1130,I704)</f>
        <v/>
      </c>
      <c r="O704" s="14">
        <f>M704+N704</f>
        <v/>
      </c>
      <c r="P704" s="15">
        <f>O704/$P$1</f>
        <v/>
      </c>
    </row>
    <row r="705" hidden="1" ht="15.75" customHeight="1" s="2">
      <c r="A705" s="9" t="inlineStr">
        <is>
          <t>весна</t>
        </is>
      </c>
      <c r="B705" s="9" t="inlineStr">
        <is>
          <t>Современные технологии сварки давлением</t>
        </is>
      </c>
      <c r="C705" s="9" t="inlineStr">
        <is>
          <t>Консультация</t>
        </is>
      </c>
      <c r="D705" s="9" t="inlineStr">
        <is>
          <t>Т11О-104М-20</t>
        </is>
      </c>
      <c r="E705" s="10" t="n">
        <v>2</v>
      </c>
      <c r="F705" s="9" t="inlineStr">
        <is>
          <t>04595</t>
        </is>
      </c>
      <c r="G705" s="11" t="n">
        <v>0</v>
      </c>
      <c r="H705" s="9" t="inlineStr">
        <is>
          <t xml:space="preserve">82075     </t>
        </is>
      </c>
      <c r="I705" s="9" t="inlineStr">
        <is>
          <t>Сидякин Виталий Александрович</t>
        </is>
      </c>
      <c r="J705" s="9" t="n"/>
      <c r="K705" s="9" t="n"/>
      <c r="L705" s="9" t="n"/>
      <c r="M705" s="12">
        <f>SUMIFS($E$2:$E$1130,$A$2:$A$1130,"осень",$I$2:$I$1130,I705)</f>
        <v/>
      </c>
      <c r="N705" s="13">
        <f>SUMIFS($E$2:$E$1130,$A$2:$A$1130,"весна",$I$2:$I$1130,I705)</f>
        <v/>
      </c>
      <c r="O705" s="14">
        <f>M705+N705</f>
        <v/>
      </c>
      <c r="P705" s="15">
        <f>O705/$P$1</f>
        <v/>
      </c>
    </row>
    <row r="706" hidden="1" ht="15.75" customHeight="1" s="2">
      <c r="A706" s="9" t="inlineStr">
        <is>
          <t>весна</t>
        </is>
      </c>
      <c r="B706" s="9" t="inlineStr">
        <is>
          <t>Современные технологии пайки</t>
        </is>
      </c>
      <c r="C706" s="9" t="inlineStr">
        <is>
          <t>ЛК</t>
        </is>
      </c>
      <c r="D706" s="9" t="inlineStr">
        <is>
          <t>Т11О-104М-20</t>
        </is>
      </c>
      <c r="E706" s="10" t="n">
        <v>8</v>
      </c>
      <c r="F706" s="9" t="inlineStr">
        <is>
          <t>04595</t>
        </is>
      </c>
      <c r="G706" s="10" t="n">
        <v>8</v>
      </c>
      <c r="H706" s="9" t="inlineStr">
        <is>
          <t xml:space="preserve">92509     </t>
        </is>
      </c>
      <c r="I706" s="9" t="inlineStr">
        <is>
          <t xml:space="preserve">Пашков Игорь Николаевич </t>
        </is>
      </c>
      <c r="J706" s="9" t="n"/>
      <c r="K706" s="9" t="n"/>
      <c r="L706" s="9" t="n"/>
      <c r="M706" s="12">
        <f>SUMIFS($E$2:$E$1130,$A$2:$A$1130,"осень",$I$2:$I$1130,I706)</f>
        <v/>
      </c>
      <c r="N706" s="13">
        <f>SUMIFS($E$2:$E$1130,$A$2:$A$1130,"весна",$I$2:$I$1130,I706)</f>
        <v/>
      </c>
      <c r="O706" s="14">
        <f>M706+N706</f>
        <v/>
      </c>
      <c r="P706" s="15">
        <f>O706/$P$1</f>
        <v/>
      </c>
    </row>
    <row r="707" hidden="1" ht="15.75" customHeight="1" s="2">
      <c r="A707" s="9" t="inlineStr">
        <is>
          <t>весна</t>
        </is>
      </c>
      <c r="B707" s="9" t="inlineStr">
        <is>
          <t>Современные технологии пайки</t>
        </is>
      </c>
      <c r="C707" s="9" t="inlineStr">
        <is>
          <t>КР</t>
        </is>
      </c>
      <c r="D707" s="9" t="inlineStr">
        <is>
          <t>Т11О-104М-20</t>
        </is>
      </c>
      <c r="E707" s="10" t="n">
        <v>18</v>
      </c>
      <c r="F707" s="9" t="inlineStr">
        <is>
          <t>04595</t>
        </is>
      </c>
      <c r="G707" s="11" t="n">
        <v>0</v>
      </c>
      <c r="H707" s="9" t="inlineStr">
        <is>
          <t xml:space="preserve">92509     </t>
        </is>
      </c>
      <c r="I707" s="9" t="inlineStr">
        <is>
          <t xml:space="preserve">Пашков Игорь Николаевич </t>
        </is>
      </c>
      <c r="J707" s="9" t="n"/>
      <c r="K707" s="9" t="n"/>
      <c r="L707" s="9" t="n"/>
      <c r="M707" s="12">
        <f>SUMIFS($E$2:$E$1130,$A$2:$A$1130,"осень",$I$2:$I$1130,I707)</f>
        <v/>
      </c>
      <c r="N707" s="13">
        <f>SUMIFS($E$2:$E$1130,$A$2:$A$1130,"весна",$I$2:$I$1130,I707)</f>
        <v/>
      </c>
      <c r="O707" s="14">
        <f>M707+N707</f>
        <v/>
      </c>
      <c r="P707" s="15">
        <f>O707/$P$1</f>
        <v/>
      </c>
    </row>
    <row r="708" hidden="1" ht="15.75" customHeight="1" s="2">
      <c r="A708" s="9" t="inlineStr">
        <is>
          <t>весна</t>
        </is>
      </c>
      <c r="B708" s="9" t="inlineStr">
        <is>
          <t>Современные технологии пайки</t>
        </is>
      </c>
      <c r="C708" s="9" t="inlineStr">
        <is>
          <t>Зачет с оценкой</t>
        </is>
      </c>
      <c r="D708" s="9" t="inlineStr">
        <is>
          <t>Т11О-104М-20</t>
        </is>
      </c>
      <c r="E708" s="10" t="n">
        <v>2</v>
      </c>
      <c r="F708" s="9" t="inlineStr">
        <is>
          <t>04595</t>
        </is>
      </c>
      <c r="G708" s="11" t="n">
        <v>0</v>
      </c>
      <c r="H708" s="9" t="inlineStr">
        <is>
          <t xml:space="preserve">92509     </t>
        </is>
      </c>
      <c r="I708" s="9" t="inlineStr">
        <is>
          <t xml:space="preserve">Пашков Игорь Николаевич </t>
        </is>
      </c>
      <c r="J708" s="9" t="n"/>
      <c r="K708" s="9" t="n"/>
      <c r="L708" s="9" t="n"/>
      <c r="M708" s="12">
        <f>SUMIFS($E$2:$E$1130,$A$2:$A$1130,"осень",$I$2:$I$1130,I708)</f>
        <v/>
      </c>
      <c r="N708" s="13">
        <f>SUMIFS($E$2:$E$1130,$A$2:$A$1130,"весна",$I$2:$I$1130,I708)</f>
        <v/>
      </c>
      <c r="O708" s="14">
        <f>M708+N708</f>
        <v/>
      </c>
      <c r="P708" s="15">
        <f>O708/$P$1</f>
        <v/>
      </c>
    </row>
    <row r="709" hidden="1" ht="15.75" customHeight="1" s="2">
      <c r="A709" s="9" t="inlineStr">
        <is>
          <t>весна</t>
        </is>
      </c>
      <c r="B709" s="9" t="inlineStr">
        <is>
          <t>Современные технологии пайки</t>
        </is>
      </c>
      <c r="C709" s="9" t="inlineStr">
        <is>
          <t>ПЗ</t>
        </is>
      </c>
      <c r="D709" s="9" t="inlineStr">
        <is>
          <t>Т11О-104М-20</t>
        </is>
      </c>
      <c r="E709" s="10" t="n">
        <v>28</v>
      </c>
      <c r="F709" s="9" t="inlineStr">
        <is>
          <t>04595</t>
        </is>
      </c>
      <c r="G709" s="10" t="n">
        <v>28</v>
      </c>
      <c r="H709" s="9" t="inlineStr">
        <is>
          <t xml:space="preserve">92509     </t>
        </is>
      </c>
      <c r="I709" s="9" t="inlineStr">
        <is>
          <t xml:space="preserve">Пашков Игорь Николаевич </t>
        </is>
      </c>
      <c r="J709" s="9" t="n"/>
      <c r="K709" s="9" t="n"/>
      <c r="L709" s="9" t="n"/>
      <c r="M709" s="12">
        <f>SUMIFS($E$2:$E$1130,$A$2:$A$1130,"осень",$I$2:$I$1130,I709)</f>
        <v/>
      </c>
      <c r="N709" s="13">
        <f>SUMIFS($E$2:$E$1130,$A$2:$A$1130,"весна",$I$2:$I$1130,I709)</f>
        <v/>
      </c>
      <c r="O709" s="14">
        <f>M709+N709</f>
        <v/>
      </c>
      <c r="P709" s="15">
        <f>O709/$P$1</f>
        <v/>
      </c>
    </row>
    <row r="710" hidden="1" ht="15.75" customHeight="1" s="2">
      <c r="A710" s="9" t="inlineStr">
        <is>
          <t>весна</t>
        </is>
      </c>
      <c r="B710" s="9" t="inlineStr">
        <is>
          <t>Разработка ресурсосберегающих технологий диффузионной сварки</t>
        </is>
      </c>
      <c r="C710" s="9" t="inlineStr">
        <is>
          <t>ЛК</t>
        </is>
      </c>
      <c r="D710" s="9" t="inlineStr">
        <is>
          <t>Т11О-103М-20</t>
        </is>
      </c>
      <c r="E710" s="10" t="n">
        <v>12</v>
      </c>
      <c r="F710" s="9" t="inlineStr">
        <is>
          <t>06203</t>
        </is>
      </c>
      <c r="G710" s="10" t="n">
        <v>12</v>
      </c>
      <c r="H710" s="9" t="inlineStr">
        <is>
          <t xml:space="preserve">82090     </t>
        </is>
      </c>
      <c r="I710" s="9" t="inlineStr">
        <is>
          <t xml:space="preserve">Барабанова Ольга Алексеевна </t>
        </is>
      </c>
      <c r="J710" s="9" t="n"/>
      <c r="K710" s="9" t="n"/>
      <c r="L710" s="9" t="n"/>
      <c r="M710" s="12">
        <f>SUMIFS($E$2:$E$1130,$A$2:$A$1130,"осень",$I$2:$I$1130,I710)</f>
        <v/>
      </c>
      <c r="N710" s="13">
        <f>SUMIFS($E$2:$E$1130,$A$2:$A$1130,"весна",$I$2:$I$1130,I710)</f>
        <v/>
      </c>
      <c r="O710" s="14">
        <f>M710+N710</f>
        <v/>
      </c>
      <c r="P710" s="15">
        <f>O710/$P$1</f>
        <v/>
      </c>
    </row>
    <row r="711" hidden="1" ht="15.75" customHeight="1" s="2">
      <c r="A711" s="9" t="inlineStr">
        <is>
          <t>весна</t>
        </is>
      </c>
      <c r="B711" s="9" t="inlineStr">
        <is>
          <t>Разработка ресурсосберегающих технологий диффузионной сварки</t>
        </is>
      </c>
      <c r="C711" s="9" t="inlineStr">
        <is>
          <t>Зачет с оценкой</t>
        </is>
      </c>
      <c r="D711" s="9" t="inlineStr">
        <is>
          <t>Т11О-103М-20</t>
        </is>
      </c>
      <c r="E711" s="10" t="n">
        <v>2</v>
      </c>
      <c r="F711" s="9" t="inlineStr">
        <is>
          <t>06203</t>
        </is>
      </c>
      <c r="G711" s="11" t="n">
        <v>0</v>
      </c>
      <c r="H711" s="9" t="inlineStr">
        <is>
          <t xml:space="preserve">82090     </t>
        </is>
      </c>
      <c r="I711" s="9" t="inlineStr">
        <is>
          <t xml:space="preserve">Барабанова Ольга Алексеевна </t>
        </is>
      </c>
      <c r="J711" s="9" t="n"/>
      <c r="K711" s="9" t="n"/>
      <c r="L711" s="9" t="n"/>
      <c r="M711" s="12">
        <f>SUMIFS($E$2:$E$1130,$A$2:$A$1130,"осень",$I$2:$I$1130,I711)</f>
        <v/>
      </c>
      <c r="N711" s="13">
        <f>SUMIFS($E$2:$E$1130,$A$2:$A$1130,"весна",$I$2:$I$1130,I711)</f>
        <v/>
      </c>
      <c r="O711" s="14">
        <f>M711+N711</f>
        <v/>
      </c>
      <c r="P711" s="15">
        <f>O711/$P$1</f>
        <v/>
      </c>
    </row>
    <row r="712" hidden="1" ht="15.75" customHeight="1" s="2">
      <c r="A712" s="9" t="inlineStr">
        <is>
          <t>весна</t>
        </is>
      </c>
      <c r="B712" s="9" t="inlineStr">
        <is>
          <t>Разработка ресурсосберегающих технологий диффузионной сварки</t>
        </is>
      </c>
      <c r="C712" s="9" t="inlineStr">
        <is>
          <t>ПЗ</t>
        </is>
      </c>
      <c r="D712" s="9" t="inlineStr">
        <is>
          <t>Т11О-103М-20</t>
        </is>
      </c>
      <c r="E712" s="10" t="n">
        <v>24</v>
      </c>
      <c r="F712" s="9" t="inlineStr">
        <is>
          <t>06203</t>
        </is>
      </c>
      <c r="G712" s="10" t="n">
        <v>24</v>
      </c>
      <c r="H712" s="9" t="inlineStr">
        <is>
          <t xml:space="preserve">82090     </t>
        </is>
      </c>
      <c r="I712" s="9" t="inlineStr">
        <is>
          <t xml:space="preserve">Барабанова Ольга Алексеевна </t>
        </is>
      </c>
      <c r="J712" s="9" t="n"/>
      <c r="K712" s="9" t="n"/>
      <c r="L712" s="9" t="n"/>
      <c r="M712" s="12">
        <f>SUMIFS($E$2:$E$1130,$A$2:$A$1130,"осень",$I$2:$I$1130,I712)</f>
        <v/>
      </c>
      <c r="N712" s="13">
        <f>SUMIFS($E$2:$E$1130,$A$2:$A$1130,"весна",$I$2:$I$1130,I712)</f>
        <v/>
      </c>
      <c r="O712" s="14">
        <f>M712+N712</f>
        <v/>
      </c>
      <c r="P712" s="15">
        <f>O712/$P$1</f>
        <v/>
      </c>
    </row>
    <row r="713" hidden="1" ht="15.75" customHeight="1" s="2">
      <c r="A713" s="9" t="inlineStr">
        <is>
          <t>весна</t>
        </is>
      </c>
      <c r="B713" s="9" t="inlineStr">
        <is>
          <t>Разработка ресурсосберегающих технологий диффузионной сварки</t>
        </is>
      </c>
      <c r="C713" s="9" t="inlineStr">
        <is>
          <t>Консультация</t>
        </is>
      </c>
      <c r="D713" s="9" t="inlineStr">
        <is>
          <t>Т11О-103М-20</t>
        </is>
      </c>
      <c r="E713" s="10" t="n">
        <v>1</v>
      </c>
      <c r="F713" s="9" t="inlineStr">
        <is>
          <t>06203</t>
        </is>
      </c>
      <c r="G713" s="11" t="n">
        <v>0</v>
      </c>
      <c r="H713" s="9" t="inlineStr">
        <is>
          <t xml:space="preserve">82090     </t>
        </is>
      </c>
      <c r="I713" s="9" t="inlineStr">
        <is>
          <t xml:space="preserve">Барабанова Ольга Алексеевна </t>
        </is>
      </c>
      <c r="J713" s="9" t="n"/>
      <c r="K713" s="9" t="n"/>
      <c r="L713" s="9" t="n"/>
      <c r="M713" s="12">
        <f>SUMIFS($E$2:$E$1130,$A$2:$A$1130,"осень",$I$2:$I$1130,I713)</f>
        <v/>
      </c>
      <c r="N713" s="13">
        <f>SUMIFS($E$2:$E$1130,$A$2:$A$1130,"весна",$I$2:$I$1130,I713)</f>
        <v/>
      </c>
      <c r="O713" s="14">
        <f>M713+N713</f>
        <v/>
      </c>
      <c r="P713" s="15">
        <f>O713/$P$1</f>
        <v/>
      </c>
    </row>
    <row r="714" hidden="1" ht="15.75" customHeight="1" s="2">
      <c r="A714" s="9" t="inlineStr">
        <is>
          <t>весна</t>
        </is>
      </c>
      <c r="B714" s="9" t="inlineStr">
        <is>
          <t>Общая металлургия</t>
        </is>
      </c>
      <c r="C714" s="9" t="inlineStr">
        <is>
          <t>ЛК</t>
        </is>
      </c>
      <c r="D714" s="9" t="inlineStr">
        <is>
          <t>Т11О-101Б-20, Т11О-102Б-20</t>
        </is>
      </c>
      <c r="E714" s="10" t="n">
        <v>24</v>
      </c>
      <c r="F714" s="9" t="inlineStr">
        <is>
          <t>13524</t>
        </is>
      </c>
      <c r="G714" s="10" t="n">
        <v>24</v>
      </c>
      <c r="H714" s="9" t="inlineStr">
        <is>
          <t xml:space="preserve">82022     </t>
        </is>
      </c>
      <c r="I714" s="9" t="inlineStr">
        <is>
          <t xml:space="preserve">Телицына Ольга Валентиновна </t>
        </is>
      </c>
      <c r="J714" s="9" t="n"/>
      <c r="K714" s="9" t="n"/>
      <c r="L714" s="9" t="n"/>
      <c r="M714" s="12">
        <f>SUMIFS($E$2:$E$1130,$A$2:$A$1130,"осень",$I$2:$I$1130,I714)</f>
        <v/>
      </c>
      <c r="N714" s="13">
        <f>SUMIFS($E$2:$E$1130,$A$2:$A$1130,"весна",$I$2:$I$1130,I714)</f>
        <v/>
      </c>
      <c r="O714" s="14">
        <f>M714+N714</f>
        <v/>
      </c>
      <c r="P714" s="15">
        <f>O714/$P$1</f>
        <v/>
      </c>
    </row>
    <row r="715" hidden="1" ht="15.75" customHeight="1" s="2">
      <c r="A715" s="9" t="inlineStr">
        <is>
          <t>весна</t>
        </is>
      </c>
      <c r="B715" s="9" t="inlineStr">
        <is>
          <t>Общая металлургия</t>
        </is>
      </c>
      <c r="C715" s="9" t="inlineStr">
        <is>
          <t>ЛК</t>
        </is>
      </c>
      <c r="D715" s="9" t="inlineStr">
        <is>
          <t>Т11О-201Б-19, Т11О-202Б-19</t>
        </is>
      </c>
      <c r="E715" s="10" t="n">
        <v>24</v>
      </c>
      <c r="F715" s="9" t="inlineStr">
        <is>
          <t>08947</t>
        </is>
      </c>
      <c r="G715" s="10" t="n">
        <v>24</v>
      </c>
      <c r="H715" s="9" t="inlineStr">
        <is>
          <t xml:space="preserve">82022     </t>
        </is>
      </c>
      <c r="I715" s="9" t="inlineStr">
        <is>
          <t xml:space="preserve">Телицына Ольга Валентиновна </t>
        </is>
      </c>
      <c r="J715" s="9" t="n"/>
      <c r="K715" s="9" t="n"/>
      <c r="L715" s="9" t="n"/>
      <c r="M715" s="12">
        <f>SUMIFS($E$2:$E$1130,$A$2:$A$1130,"осень",$I$2:$I$1130,I715)</f>
        <v/>
      </c>
      <c r="N715" s="13">
        <f>SUMIFS($E$2:$E$1130,$A$2:$A$1130,"весна",$I$2:$I$1130,I715)</f>
        <v/>
      </c>
      <c r="O715" s="14">
        <f>M715+N715</f>
        <v/>
      </c>
      <c r="P715" s="15">
        <f>O715/$P$1</f>
        <v/>
      </c>
    </row>
    <row r="716" hidden="1" ht="15.75" customHeight="1" s="2">
      <c r="A716" s="9" t="inlineStr">
        <is>
          <t>весна</t>
        </is>
      </c>
      <c r="B716" s="9" t="inlineStr">
        <is>
          <t>Общая металлургия</t>
        </is>
      </c>
      <c r="C716" s="9" t="inlineStr">
        <is>
          <t>Зачет с оценкой</t>
        </is>
      </c>
      <c r="D716" s="9" t="inlineStr">
        <is>
          <t>Т11О-201Б-19</t>
        </is>
      </c>
      <c r="E716" s="10" t="n">
        <v>6</v>
      </c>
      <c r="F716" s="9" t="inlineStr">
        <is>
          <t>08947</t>
        </is>
      </c>
      <c r="G716" s="11" t="n">
        <v>0</v>
      </c>
      <c r="H716" s="9" t="inlineStr">
        <is>
          <t xml:space="preserve">82022     </t>
        </is>
      </c>
      <c r="I716" s="9" t="inlineStr">
        <is>
          <t xml:space="preserve">Телицына Ольга Валентиновна </t>
        </is>
      </c>
      <c r="J716" s="9" t="n"/>
      <c r="K716" s="9" t="n"/>
      <c r="L716" s="9" t="n"/>
      <c r="M716" s="12">
        <f>SUMIFS($E$2:$E$1130,$A$2:$A$1130,"осень",$I$2:$I$1130,I716)</f>
        <v/>
      </c>
      <c r="N716" s="13">
        <f>SUMIFS($E$2:$E$1130,$A$2:$A$1130,"весна",$I$2:$I$1130,I716)</f>
        <v/>
      </c>
      <c r="O716" s="14">
        <f>M716+N716</f>
        <v/>
      </c>
      <c r="P716" s="15">
        <f>O716/$P$1</f>
        <v/>
      </c>
    </row>
    <row r="717" hidden="1" ht="15.75" customHeight="1" s="2">
      <c r="A717" s="9" t="inlineStr">
        <is>
          <t>весна</t>
        </is>
      </c>
      <c r="B717" s="9" t="inlineStr">
        <is>
          <t>Общая металлургия</t>
        </is>
      </c>
      <c r="C717" s="9" t="inlineStr">
        <is>
          <t>Зачет с оценкой</t>
        </is>
      </c>
      <c r="D717" s="9" t="inlineStr">
        <is>
          <t>Т11О-202Б-19</t>
        </is>
      </c>
      <c r="E717" s="10" t="n">
        <v>8</v>
      </c>
      <c r="F717" s="9" t="inlineStr">
        <is>
          <t>08947</t>
        </is>
      </c>
      <c r="G717" s="11" t="n">
        <v>0</v>
      </c>
      <c r="H717" s="9" t="inlineStr">
        <is>
          <t xml:space="preserve">82022     </t>
        </is>
      </c>
      <c r="I717" s="9" t="inlineStr">
        <is>
          <t xml:space="preserve">Телицына Ольга Валентиновна </t>
        </is>
      </c>
      <c r="J717" s="9" t="n"/>
      <c r="K717" s="9" t="n"/>
      <c r="L717" s="9" t="n"/>
      <c r="M717" s="12">
        <f>SUMIFS($E$2:$E$1130,$A$2:$A$1130,"осень",$I$2:$I$1130,I717)</f>
        <v/>
      </c>
      <c r="N717" s="13">
        <f>SUMIFS($E$2:$E$1130,$A$2:$A$1130,"весна",$I$2:$I$1130,I717)</f>
        <v/>
      </c>
      <c r="O717" s="14">
        <f>M717+N717</f>
        <v/>
      </c>
      <c r="P717" s="15">
        <f>O717/$P$1</f>
        <v/>
      </c>
    </row>
    <row r="718" hidden="1" ht="15.75" customHeight="1" s="2">
      <c r="A718" s="9" t="inlineStr">
        <is>
          <t>весна</t>
        </is>
      </c>
      <c r="B718" s="9" t="inlineStr">
        <is>
          <t>Общая металлургия</t>
        </is>
      </c>
      <c r="C718" s="9" t="inlineStr">
        <is>
          <t>ПЗ</t>
        </is>
      </c>
      <c r="D718" s="9" t="inlineStr">
        <is>
          <t>Т11О-101Б-20</t>
        </is>
      </c>
      <c r="E718" s="10" t="n">
        <v>26</v>
      </c>
      <c r="F718" s="9" t="inlineStr">
        <is>
          <t>13524</t>
        </is>
      </c>
      <c r="G718" s="10" t="n">
        <v>26</v>
      </c>
      <c r="H718" s="9" t="inlineStr">
        <is>
          <t xml:space="preserve">82022     </t>
        </is>
      </c>
      <c r="I718" s="9" t="inlineStr">
        <is>
          <t xml:space="preserve">Телицына Ольга Валентиновна </t>
        </is>
      </c>
      <c r="J718" s="9" t="n"/>
      <c r="K718" s="9" t="n"/>
      <c r="L718" s="9" t="n"/>
      <c r="M718" s="12">
        <f>SUMIFS($E$2:$E$1130,$A$2:$A$1130,"осень",$I$2:$I$1130,I718)</f>
        <v/>
      </c>
      <c r="N718" s="13">
        <f>SUMIFS($E$2:$E$1130,$A$2:$A$1130,"весна",$I$2:$I$1130,I718)</f>
        <v/>
      </c>
      <c r="O718" s="14">
        <f>M718+N718</f>
        <v/>
      </c>
      <c r="P718" s="15">
        <f>O718/$P$1</f>
        <v/>
      </c>
    </row>
    <row r="719" hidden="1" ht="15.75" customHeight="1" s="2">
      <c r="A719" s="9" t="inlineStr">
        <is>
          <t>весна</t>
        </is>
      </c>
      <c r="B719" s="9" t="inlineStr">
        <is>
          <t>Общая металлургия</t>
        </is>
      </c>
      <c r="C719" s="9" t="inlineStr">
        <is>
          <t>ПЗ</t>
        </is>
      </c>
      <c r="D719" s="9" t="inlineStr">
        <is>
          <t>Т11О-102Б-20</t>
        </is>
      </c>
      <c r="E719" s="10" t="n">
        <v>26</v>
      </c>
      <c r="F719" s="9" t="inlineStr">
        <is>
          <t>13524</t>
        </is>
      </c>
      <c r="G719" s="10" t="n">
        <v>26</v>
      </c>
      <c r="H719" s="9" t="inlineStr">
        <is>
          <t xml:space="preserve">82022     </t>
        </is>
      </c>
      <c r="I719" s="9" t="inlineStr">
        <is>
          <t xml:space="preserve">Телицына Ольга Валентиновна </t>
        </is>
      </c>
      <c r="J719" s="9" t="n"/>
      <c r="K719" s="9" t="n"/>
      <c r="L719" s="9" t="n"/>
      <c r="M719" s="12">
        <f>SUMIFS($E$2:$E$1130,$A$2:$A$1130,"осень",$I$2:$I$1130,I719)</f>
        <v/>
      </c>
      <c r="N719" s="13">
        <f>SUMIFS($E$2:$E$1130,$A$2:$A$1130,"весна",$I$2:$I$1130,I719)</f>
        <v/>
      </c>
      <c r="O719" s="14">
        <f>M719+N719</f>
        <v/>
      </c>
      <c r="P719" s="15">
        <f>O719/$P$1</f>
        <v/>
      </c>
    </row>
    <row r="720" hidden="1" ht="15.75" customHeight="1" s="2">
      <c r="A720" s="9" t="inlineStr">
        <is>
          <t>весна</t>
        </is>
      </c>
      <c r="B720" s="9" t="inlineStr">
        <is>
          <t>Общая металлургия</t>
        </is>
      </c>
      <c r="C720" s="9" t="inlineStr">
        <is>
          <t>ПЗ</t>
        </is>
      </c>
      <c r="D720" s="9" t="inlineStr">
        <is>
          <t>Т11О-201Б-19</t>
        </is>
      </c>
      <c r="E720" s="10" t="n">
        <v>26</v>
      </c>
      <c r="F720" s="9" t="inlineStr">
        <is>
          <t>08947</t>
        </is>
      </c>
      <c r="G720" s="10" t="n">
        <v>26</v>
      </c>
      <c r="H720" s="9" t="inlineStr">
        <is>
          <t xml:space="preserve">82022     </t>
        </is>
      </c>
      <c r="I720" s="9" t="inlineStr">
        <is>
          <t xml:space="preserve">Телицына Ольга Валентиновна </t>
        </is>
      </c>
      <c r="J720" s="9" t="n"/>
      <c r="K720" s="9" t="n"/>
      <c r="L720" s="9" t="n"/>
      <c r="M720" s="12">
        <f>SUMIFS($E$2:$E$1130,$A$2:$A$1130,"осень",$I$2:$I$1130,I720)</f>
        <v/>
      </c>
      <c r="N720" s="13">
        <f>SUMIFS($E$2:$E$1130,$A$2:$A$1130,"весна",$I$2:$I$1130,I720)</f>
        <v/>
      </c>
      <c r="O720" s="14">
        <f>M720+N720</f>
        <v/>
      </c>
      <c r="P720" s="15">
        <f>O720/$P$1</f>
        <v/>
      </c>
    </row>
    <row r="721" hidden="1" ht="15.75" customHeight="1" s="2">
      <c r="A721" s="9" t="inlineStr">
        <is>
          <t>весна</t>
        </is>
      </c>
      <c r="B721" s="9" t="inlineStr">
        <is>
          <t>Общая металлургия</t>
        </is>
      </c>
      <c r="C721" s="9" t="inlineStr">
        <is>
          <t>ПЗ</t>
        </is>
      </c>
      <c r="D721" s="9" t="inlineStr">
        <is>
          <t>Т11О-202Б-19</t>
        </is>
      </c>
      <c r="E721" s="10" t="n">
        <v>26</v>
      </c>
      <c r="F721" s="9" t="inlineStr">
        <is>
          <t>08947</t>
        </is>
      </c>
      <c r="G721" s="10" t="n">
        <v>26</v>
      </c>
      <c r="H721" s="9" t="inlineStr">
        <is>
          <t xml:space="preserve">82022     </t>
        </is>
      </c>
      <c r="I721" s="9" t="inlineStr">
        <is>
          <t xml:space="preserve">Телицына Ольга Валентиновна </t>
        </is>
      </c>
      <c r="J721" s="9" t="n"/>
      <c r="K721" s="9" t="n"/>
      <c r="L721" s="9" t="n"/>
      <c r="M721" s="12">
        <f>SUMIFS($E$2:$E$1130,$A$2:$A$1130,"осень",$I$2:$I$1130,I721)</f>
        <v/>
      </c>
      <c r="N721" s="13">
        <f>SUMIFS($E$2:$E$1130,$A$2:$A$1130,"весна",$I$2:$I$1130,I721)</f>
        <v/>
      </c>
      <c r="O721" s="14">
        <f>M721+N721</f>
        <v/>
      </c>
      <c r="P721" s="15">
        <f>O721/$P$1</f>
        <v/>
      </c>
    </row>
    <row r="722" hidden="1" ht="15.75" customHeight="1" s="2">
      <c r="A722" s="9" t="inlineStr">
        <is>
          <t>весна</t>
        </is>
      </c>
      <c r="B722" s="9" t="inlineStr">
        <is>
          <t>Общая металлургия</t>
        </is>
      </c>
      <c r="C722" s="9" t="inlineStr">
        <is>
          <t>Экзамен</t>
        </is>
      </c>
      <c r="D722" s="9" t="inlineStr">
        <is>
          <t>Т11О-101Б-20</t>
        </is>
      </c>
      <c r="E722" s="10" t="n">
        <v>10</v>
      </c>
      <c r="F722" s="9" t="inlineStr">
        <is>
          <t>13524</t>
        </is>
      </c>
      <c r="G722" s="11" t="n">
        <v>0</v>
      </c>
      <c r="H722" s="9" t="inlineStr">
        <is>
          <t xml:space="preserve">82022     </t>
        </is>
      </c>
      <c r="I722" s="9" t="inlineStr">
        <is>
          <t xml:space="preserve">Телицына Ольга Валентиновна </t>
        </is>
      </c>
      <c r="J722" s="9" t="n"/>
      <c r="K722" s="9" t="n"/>
      <c r="L722" s="9" t="n"/>
      <c r="M722" s="12">
        <f>SUMIFS($E$2:$E$1130,$A$2:$A$1130,"осень",$I$2:$I$1130,I722)</f>
        <v/>
      </c>
      <c r="N722" s="13">
        <f>SUMIFS($E$2:$E$1130,$A$2:$A$1130,"весна",$I$2:$I$1130,I722)</f>
        <v/>
      </c>
      <c r="O722" s="14">
        <f>M722+N722</f>
        <v/>
      </c>
      <c r="P722" s="15">
        <f>O722/$P$1</f>
        <v/>
      </c>
    </row>
    <row r="723" hidden="1" ht="15.75" customHeight="1" s="2">
      <c r="A723" s="9" t="inlineStr">
        <is>
          <t>весна</t>
        </is>
      </c>
      <c r="B723" s="9" t="inlineStr">
        <is>
          <t>Общая металлургия</t>
        </is>
      </c>
      <c r="C723" s="9" t="inlineStr">
        <is>
          <t>Экзамен</t>
        </is>
      </c>
      <c r="D723" s="9" t="inlineStr">
        <is>
          <t>Т11О-102Б-20</t>
        </is>
      </c>
      <c r="E723" s="10" t="n">
        <v>10</v>
      </c>
      <c r="F723" s="9" t="inlineStr">
        <is>
          <t>13524</t>
        </is>
      </c>
      <c r="G723" s="11" t="n">
        <v>0</v>
      </c>
      <c r="H723" s="9" t="inlineStr">
        <is>
          <t xml:space="preserve">82022     </t>
        </is>
      </c>
      <c r="I723" s="9" t="inlineStr">
        <is>
          <t xml:space="preserve">Телицына Ольга Валентиновна </t>
        </is>
      </c>
      <c r="J723" s="9" t="n"/>
      <c r="K723" s="9" t="n"/>
      <c r="L723" s="9" t="n"/>
      <c r="M723" s="12">
        <f>SUMIFS($E$2:$E$1130,$A$2:$A$1130,"осень",$I$2:$I$1130,I723)</f>
        <v/>
      </c>
      <c r="N723" s="13">
        <f>SUMIFS($E$2:$E$1130,$A$2:$A$1130,"весна",$I$2:$I$1130,I723)</f>
        <v/>
      </c>
      <c r="O723" s="14">
        <f>M723+N723</f>
        <v/>
      </c>
      <c r="P723" s="15">
        <f>O723/$P$1</f>
        <v/>
      </c>
    </row>
    <row r="724" hidden="1" ht="15.75" customHeight="1" s="2">
      <c r="A724" s="9" t="inlineStr">
        <is>
          <t>весна</t>
        </is>
      </c>
      <c r="B724" s="9" t="inlineStr">
        <is>
          <t>Общая металлургия</t>
        </is>
      </c>
      <c r="C724" s="9" t="inlineStr">
        <is>
          <t>Консультация</t>
        </is>
      </c>
      <c r="D724" s="9" t="inlineStr">
        <is>
          <t>Т11О-101Б-20</t>
        </is>
      </c>
      <c r="E724" s="10" t="n">
        <v>3</v>
      </c>
      <c r="F724" s="9" t="inlineStr">
        <is>
          <t>13524</t>
        </is>
      </c>
      <c r="G724" s="11" t="n">
        <v>0</v>
      </c>
      <c r="H724" s="9" t="inlineStr">
        <is>
          <t xml:space="preserve">82022     </t>
        </is>
      </c>
      <c r="I724" s="9" t="inlineStr">
        <is>
          <t xml:space="preserve">Телицына Ольга Валентиновна </t>
        </is>
      </c>
      <c r="J724" s="9" t="n"/>
      <c r="K724" s="9" t="n"/>
      <c r="L724" s="9" t="n"/>
      <c r="M724" s="12">
        <f>SUMIFS($E$2:$E$1130,$A$2:$A$1130,"осень",$I$2:$I$1130,I724)</f>
        <v/>
      </c>
      <c r="N724" s="13">
        <f>SUMIFS($E$2:$E$1130,$A$2:$A$1130,"весна",$I$2:$I$1130,I724)</f>
        <v/>
      </c>
      <c r="O724" s="14">
        <f>M724+N724</f>
        <v/>
      </c>
      <c r="P724" s="15">
        <f>O724/$P$1</f>
        <v/>
      </c>
    </row>
    <row r="725" hidden="1" ht="15.75" customHeight="1" s="2">
      <c r="A725" s="9" t="inlineStr">
        <is>
          <t>весна</t>
        </is>
      </c>
      <c r="B725" s="9" t="inlineStr">
        <is>
          <t>Общая металлургия</t>
        </is>
      </c>
      <c r="C725" s="9" t="inlineStr">
        <is>
          <t>Консультация</t>
        </is>
      </c>
      <c r="D725" s="9" t="inlineStr">
        <is>
          <t>Т11О-102Б-20</t>
        </is>
      </c>
      <c r="E725" s="10" t="n">
        <v>3</v>
      </c>
      <c r="F725" s="9" t="inlineStr">
        <is>
          <t>13524</t>
        </is>
      </c>
      <c r="G725" s="11" t="n">
        <v>0</v>
      </c>
      <c r="H725" s="9" t="inlineStr">
        <is>
          <t xml:space="preserve">82022     </t>
        </is>
      </c>
      <c r="I725" s="9" t="inlineStr">
        <is>
          <t xml:space="preserve">Телицына Ольга Валентиновна </t>
        </is>
      </c>
      <c r="J725" s="9" t="n"/>
      <c r="K725" s="9" t="n"/>
      <c r="L725" s="9" t="n"/>
      <c r="M725" s="12">
        <f>SUMIFS($E$2:$E$1130,$A$2:$A$1130,"осень",$I$2:$I$1130,I725)</f>
        <v/>
      </c>
      <c r="N725" s="13">
        <f>SUMIFS($E$2:$E$1130,$A$2:$A$1130,"весна",$I$2:$I$1130,I725)</f>
        <v/>
      </c>
      <c r="O725" s="14">
        <f>M725+N725</f>
        <v/>
      </c>
      <c r="P725" s="15">
        <f>O725/$P$1</f>
        <v/>
      </c>
    </row>
    <row r="726" hidden="1" ht="15.75" customHeight="1" s="2">
      <c r="A726" s="9" t="inlineStr">
        <is>
          <t>весна</t>
        </is>
      </c>
      <c r="B726" s="9" t="inlineStr">
        <is>
          <t>Общая металлургия</t>
        </is>
      </c>
      <c r="C726" s="9" t="inlineStr">
        <is>
          <t>Консультация</t>
        </is>
      </c>
      <c r="D726" s="9" t="inlineStr">
        <is>
          <t>Т11О-201Б-19</t>
        </is>
      </c>
      <c r="E726" s="10" t="n">
        <v>1</v>
      </c>
      <c r="F726" s="9" t="inlineStr">
        <is>
          <t>08947</t>
        </is>
      </c>
      <c r="G726" s="11" t="n">
        <v>0</v>
      </c>
      <c r="H726" s="9" t="inlineStr">
        <is>
          <t xml:space="preserve">82022     </t>
        </is>
      </c>
      <c r="I726" s="9" t="inlineStr">
        <is>
          <t xml:space="preserve">Телицына Ольга Валентиновна </t>
        </is>
      </c>
      <c r="J726" s="9" t="n"/>
      <c r="K726" s="9" t="n"/>
      <c r="L726" s="9" t="n"/>
      <c r="M726" s="12">
        <f>SUMIFS($E$2:$E$1130,$A$2:$A$1130,"осень",$I$2:$I$1130,I726)</f>
        <v/>
      </c>
      <c r="N726" s="13">
        <f>SUMIFS($E$2:$E$1130,$A$2:$A$1130,"весна",$I$2:$I$1130,I726)</f>
        <v/>
      </c>
      <c r="O726" s="14">
        <f>M726+N726</f>
        <v/>
      </c>
      <c r="P726" s="15">
        <f>O726/$P$1</f>
        <v/>
      </c>
    </row>
    <row r="727" hidden="1" ht="15.75" customHeight="1" s="2">
      <c r="A727" s="9" t="inlineStr">
        <is>
          <t>весна</t>
        </is>
      </c>
      <c r="B727" s="9" t="inlineStr">
        <is>
          <t>Общая металлургия</t>
        </is>
      </c>
      <c r="C727" s="9" t="inlineStr">
        <is>
          <t>Консультация</t>
        </is>
      </c>
      <c r="D727" s="9" t="inlineStr">
        <is>
          <t>Т11О-202Б-19</t>
        </is>
      </c>
      <c r="E727" s="10" t="n">
        <v>1</v>
      </c>
      <c r="F727" s="9" t="inlineStr">
        <is>
          <t>08947</t>
        </is>
      </c>
      <c r="G727" s="11" t="n">
        <v>0</v>
      </c>
      <c r="H727" s="9" t="inlineStr">
        <is>
          <t xml:space="preserve">82022     </t>
        </is>
      </c>
      <c r="I727" s="9" t="inlineStr">
        <is>
          <t xml:space="preserve">Телицына Ольга Валентиновна </t>
        </is>
      </c>
      <c r="J727" s="9" t="n"/>
      <c r="K727" s="9" t="n"/>
      <c r="L727" s="9" t="n"/>
      <c r="M727" s="12">
        <f>SUMIFS($E$2:$E$1130,$A$2:$A$1130,"осень",$I$2:$I$1130,I727)</f>
        <v/>
      </c>
      <c r="N727" s="13">
        <f>SUMIFS($E$2:$E$1130,$A$2:$A$1130,"весна",$I$2:$I$1130,I727)</f>
        <v/>
      </c>
      <c r="O727" s="14">
        <f>M727+N727</f>
        <v/>
      </c>
      <c r="P727" s="15">
        <f>O727/$P$1</f>
        <v/>
      </c>
    </row>
    <row r="728" hidden="1" ht="15.75" customHeight="1" s="2">
      <c r="A728" s="22" t="inlineStr">
        <is>
          <t>весна</t>
        </is>
      </c>
      <c r="B728" s="9" t="inlineStr">
        <is>
          <t>Системы компьютерного моделирования литейных процессов</t>
        </is>
      </c>
      <c r="C728" s="9" t="inlineStr">
        <is>
          <t>ЛК</t>
        </is>
      </c>
      <c r="D728" s="9" t="inlineStr">
        <is>
          <t>Т1О-402Б-17</t>
        </is>
      </c>
      <c r="E728" s="10" t="n">
        <v>16</v>
      </c>
      <c r="F728" s="9" t="inlineStr">
        <is>
          <t>04517</t>
        </is>
      </c>
      <c r="G728" s="10" t="n">
        <v>16</v>
      </c>
      <c r="H728" s="9" t="inlineStr">
        <is>
          <t xml:space="preserve">82018     </t>
        </is>
      </c>
      <c r="I728" s="9" t="inlineStr">
        <is>
          <t>Бережной Дмитрий Васильевич</t>
        </is>
      </c>
      <c r="J728" s="9" t="inlineStr">
        <is>
          <t>доцент</t>
        </is>
      </c>
      <c r="K728" s="9" t="n"/>
      <c r="L728" s="9" t="n"/>
      <c r="M728" s="12">
        <f>SUMIFS($E$2:$E$1130,$A$2:$A$1130,"осень",$I$2:$I$1130,I728)</f>
        <v/>
      </c>
      <c r="N728" s="13">
        <f>SUMIFS($E$2:$E$1130,$A$2:$A$1130,"весна",$I$2:$I$1130,I728)</f>
        <v/>
      </c>
      <c r="O728" s="14">
        <f>M728+N728</f>
        <v/>
      </c>
      <c r="P728" s="15">
        <f>O728/$P$1</f>
        <v/>
      </c>
    </row>
    <row r="729" hidden="1" ht="15.75" customHeight="1" s="2">
      <c r="A729" s="22" t="inlineStr">
        <is>
          <t>весна</t>
        </is>
      </c>
      <c r="B729" s="9" t="inlineStr">
        <is>
          <t>Системы компьютерного моделирования литейных процессов</t>
        </is>
      </c>
      <c r="C729" s="9" t="inlineStr">
        <is>
          <t>Зачет с оценкой</t>
        </is>
      </c>
      <c r="D729" s="9" t="inlineStr">
        <is>
          <t>Т1О-402Б-17</t>
        </is>
      </c>
      <c r="E729" s="10" t="n">
        <v>6</v>
      </c>
      <c r="F729" s="9" t="inlineStr">
        <is>
          <t>04517</t>
        </is>
      </c>
      <c r="G729" s="11" t="n">
        <v>0</v>
      </c>
      <c r="H729" s="9" t="inlineStr">
        <is>
          <t xml:space="preserve">82018     </t>
        </is>
      </c>
      <c r="I729" s="9" t="inlineStr">
        <is>
          <t>Бережной Дмитрий Васильевич</t>
        </is>
      </c>
      <c r="J729" s="9" t="inlineStr">
        <is>
          <t>доцент</t>
        </is>
      </c>
      <c r="K729" s="9" t="n"/>
      <c r="L729" s="9" t="n"/>
      <c r="M729" s="12">
        <f>SUMIFS($E$2:$E$1130,$A$2:$A$1130,"осень",$I$2:$I$1130,I729)</f>
        <v/>
      </c>
      <c r="N729" s="13">
        <f>SUMIFS($E$2:$E$1130,$A$2:$A$1130,"весна",$I$2:$I$1130,I729)</f>
        <v/>
      </c>
      <c r="O729" s="14">
        <f>M729+N729</f>
        <v/>
      </c>
      <c r="P729" s="15">
        <f>O729/$P$1</f>
        <v/>
      </c>
    </row>
    <row r="730" hidden="1" ht="15.75" customHeight="1" s="2">
      <c r="A730" s="22" t="inlineStr">
        <is>
          <t>весна</t>
        </is>
      </c>
      <c r="B730" s="9" t="inlineStr">
        <is>
          <t>Системы компьютерного моделирования литейных процессов</t>
        </is>
      </c>
      <c r="C730" s="9" t="inlineStr">
        <is>
          <t>ПЗ</t>
        </is>
      </c>
      <c r="D730" s="9" t="inlineStr">
        <is>
          <t>Т1О-402Б-17</t>
        </is>
      </c>
      <c r="E730" s="10" t="n">
        <v>40</v>
      </c>
      <c r="F730" s="9" t="inlineStr">
        <is>
          <t>04517</t>
        </is>
      </c>
      <c r="G730" s="10" t="n">
        <v>40</v>
      </c>
      <c r="H730" s="9" t="inlineStr">
        <is>
          <t xml:space="preserve">82018     </t>
        </is>
      </c>
      <c r="I730" s="9" t="inlineStr">
        <is>
          <t>Бережной Дмитрий Васильевич</t>
        </is>
      </c>
      <c r="J730" s="9" t="inlineStr">
        <is>
          <t>доцент</t>
        </is>
      </c>
      <c r="K730" s="9" t="n"/>
      <c r="L730" s="9" t="n"/>
      <c r="M730" s="12">
        <f>SUMIFS($E$2:$E$1130,$A$2:$A$1130,"осень",$I$2:$I$1130,I730)</f>
        <v/>
      </c>
      <c r="N730" s="13">
        <f>SUMIFS($E$2:$E$1130,$A$2:$A$1130,"весна",$I$2:$I$1130,I730)</f>
        <v/>
      </c>
      <c r="O730" s="14">
        <f>M730+N730</f>
        <v/>
      </c>
      <c r="P730" s="15">
        <f>O730/$P$1</f>
        <v/>
      </c>
    </row>
    <row r="731" hidden="1" ht="15.75" customHeight="1" s="2">
      <c r="A731" s="22" t="inlineStr">
        <is>
          <t>весна</t>
        </is>
      </c>
      <c r="B731" s="9" t="inlineStr">
        <is>
          <t>Системы компьютерного моделирования литейных процессов</t>
        </is>
      </c>
      <c r="C731" s="9" t="inlineStr">
        <is>
          <t>Консультация</t>
        </is>
      </c>
      <c r="D731" s="9" t="inlineStr">
        <is>
          <t>Т1О-402Б-17</t>
        </is>
      </c>
      <c r="E731" s="10" t="n">
        <v>1</v>
      </c>
      <c r="F731" s="9" t="inlineStr">
        <is>
          <t>04517</t>
        </is>
      </c>
      <c r="G731" s="11" t="n">
        <v>0</v>
      </c>
      <c r="H731" s="9" t="inlineStr">
        <is>
          <t xml:space="preserve">82018     </t>
        </is>
      </c>
      <c r="I731" s="9" t="inlineStr">
        <is>
          <t>Бережной Дмитрий Васильевич</t>
        </is>
      </c>
      <c r="J731" s="9" t="inlineStr">
        <is>
          <t>доцент</t>
        </is>
      </c>
      <c r="K731" s="9" t="n"/>
      <c r="L731" s="9" t="n"/>
      <c r="M731" s="12">
        <f>SUMIFS($E$2:$E$1130,$A$2:$A$1130,"осень",$I$2:$I$1130,I731)</f>
        <v/>
      </c>
      <c r="N731" s="13">
        <f>SUMIFS($E$2:$E$1130,$A$2:$A$1130,"весна",$I$2:$I$1130,I731)</f>
        <v/>
      </c>
      <c r="O731" s="14">
        <f>M731+N731</f>
        <v/>
      </c>
      <c r="P731" s="15">
        <f>O731/$P$1</f>
        <v/>
      </c>
    </row>
    <row r="732" hidden="1" ht="15.75" customHeight="1" s="2">
      <c r="A732" s="9" t="inlineStr">
        <is>
          <t>весна</t>
        </is>
      </c>
      <c r="B732" s="9" t="inlineStr">
        <is>
          <t>Основы технологической подготовки производства сварных и паяных конструкций</t>
        </is>
      </c>
      <c r="C732" s="9" t="inlineStr">
        <is>
          <t>ЛК</t>
        </is>
      </c>
      <c r="D732" s="9" t="inlineStr">
        <is>
          <t>Т1О-401Б-17</t>
        </is>
      </c>
      <c r="E732" s="10" t="n">
        <v>24</v>
      </c>
      <c r="F732" s="9" t="inlineStr">
        <is>
          <t>06256</t>
        </is>
      </c>
      <c r="G732" s="10" t="n">
        <v>24</v>
      </c>
      <c r="H732" s="9" t="inlineStr">
        <is>
          <t xml:space="preserve">89090     </t>
        </is>
      </c>
      <c r="I732" s="9" t="inlineStr">
        <is>
          <t>Степанов Владимир Валерьевич</t>
        </is>
      </c>
      <c r="J732" s="9" t="n"/>
      <c r="K732" s="9" t="n"/>
      <c r="L732" s="9" t="n"/>
      <c r="M732" s="12">
        <f>SUMIFS($E$2:$E$1130,$A$2:$A$1130,"осень",$I$2:$I$1130,I732)</f>
        <v/>
      </c>
      <c r="N732" s="13">
        <f>SUMIFS($E$2:$E$1130,$A$2:$A$1130,"весна",$I$2:$I$1130,I732)</f>
        <v/>
      </c>
      <c r="O732" s="14">
        <f>M732+N732</f>
        <v/>
      </c>
      <c r="P732" s="15">
        <f>O732/$P$1</f>
        <v/>
      </c>
    </row>
    <row r="733" hidden="1" ht="15.75" customHeight="1" s="2">
      <c r="A733" s="9" t="inlineStr">
        <is>
          <t>весна</t>
        </is>
      </c>
      <c r="B733" s="9" t="inlineStr">
        <is>
          <t>Основы технологической подготовки производства сварных и паяных конструкций</t>
        </is>
      </c>
      <c r="C733" s="9" t="inlineStr">
        <is>
          <t>КР</t>
        </is>
      </c>
      <c r="D733" s="9" t="inlineStr">
        <is>
          <t>Т1О-401Б-17</t>
        </is>
      </c>
      <c r="E733" s="10" t="n">
        <v>48</v>
      </c>
      <c r="F733" s="9" t="inlineStr">
        <is>
          <t>06256</t>
        </is>
      </c>
      <c r="G733" s="11" t="n">
        <v>0</v>
      </c>
      <c r="H733" s="9" t="inlineStr">
        <is>
          <t xml:space="preserve">89090     </t>
        </is>
      </c>
      <c r="I733" s="9" t="inlineStr">
        <is>
          <t>Степанов Владимир Валерьевич</t>
        </is>
      </c>
      <c r="J733" s="9" t="n"/>
      <c r="K733" s="9" t="n"/>
      <c r="L733" s="9" t="n"/>
      <c r="M733" s="12">
        <f>SUMIFS($E$2:$E$1130,$A$2:$A$1130,"осень",$I$2:$I$1130,I733)</f>
        <v/>
      </c>
      <c r="N733" s="13">
        <f>SUMIFS($E$2:$E$1130,$A$2:$A$1130,"весна",$I$2:$I$1130,I733)</f>
        <v/>
      </c>
      <c r="O733" s="14">
        <f>M733+N733</f>
        <v/>
      </c>
      <c r="P733" s="15">
        <f>O733/$P$1</f>
        <v/>
      </c>
    </row>
    <row r="734" hidden="1" ht="15.75" customHeight="1" s="2">
      <c r="A734" s="9" t="inlineStr">
        <is>
          <t>весна</t>
        </is>
      </c>
      <c r="B734" s="9" t="inlineStr">
        <is>
          <t>Основы технологической подготовки производства сварных и паяных конструкций</t>
        </is>
      </c>
      <c r="C734" s="9" t="inlineStr">
        <is>
          <t>Зачет с оценкой</t>
        </is>
      </c>
      <c r="D734" s="9" t="inlineStr">
        <is>
          <t>Т1О-401Б-17</t>
        </is>
      </c>
      <c r="E734" s="10" t="n">
        <v>6</v>
      </c>
      <c r="F734" s="9" t="inlineStr">
        <is>
          <t>06256</t>
        </is>
      </c>
      <c r="G734" s="11" t="n">
        <v>0</v>
      </c>
      <c r="H734" s="9" t="inlineStr">
        <is>
          <t xml:space="preserve">89090     </t>
        </is>
      </c>
      <c r="I734" s="9" t="inlineStr">
        <is>
          <t>Степанов Владимир Валерьевич</t>
        </is>
      </c>
      <c r="J734" s="9" t="n"/>
      <c r="K734" s="9" t="n"/>
      <c r="L734" s="9" t="n"/>
      <c r="M734" s="12">
        <f>SUMIFS($E$2:$E$1130,$A$2:$A$1130,"осень",$I$2:$I$1130,I734)</f>
        <v/>
      </c>
      <c r="N734" s="13">
        <f>SUMIFS($E$2:$E$1130,$A$2:$A$1130,"весна",$I$2:$I$1130,I734)</f>
        <v/>
      </c>
      <c r="O734" s="14">
        <f>M734+N734</f>
        <v/>
      </c>
      <c r="P734" s="15">
        <f>O734/$P$1</f>
        <v/>
      </c>
    </row>
    <row r="735" hidden="1" ht="15.75" customHeight="1" s="2">
      <c r="A735" s="9" t="inlineStr">
        <is>
          <t>весна</t>
        </is>
      </c>
      <c r="B735" s="9" t="inlineStr">
        <is>
          <t>Основы технологической подготовки производства сварных и паяных конструкций</t>
        </is>
      </c>
      <c r="C735" s="9" t="inlineStr">
        <is>
          <t>ПЗ</t>
        </is>
      </c>
      <c r="D735" s="9" t="inlineStr">
        <is>
          <t>Т1О-401Б-17</t>
        </is>
      </c>
      <c r="E735" s="10" t="n">
        <v>40</v>
      </c>
      <c r="F735" s="9" t="inlineStr">
        <is>
          <t>06256</t>
        </is>
      </c>
      <c r="G735" s="10" t="n">
        <v>40</v>
      </c>
      <c r="H735" s="9" t="inlineStr">
        <is>
          <t xml:space="preserve">89090     </t>
        </is>
      </c>
      <c r="I735" s="9" t="inlineStr">
        <is>
          <t>Степанов Владимир Валерьевич</t>
        </is>
      </c>
      <c r="J735" s="9" t="n"/>
      <c r="K735" s="9" t="n"/>
      <c r="L735" s="9" t="n"/>
      <c r="M735" s="12">
        <f>SUMIFS($E$2:$E$1130,$A$2:$A$1130,"осень",$I$2:$I$1130,I735)</f>
        <v/>
      </c>
      <c r="N735" s="13">
        <f>SUMIFS($E$2:$E$1130,$A$2:$A$1130,"весна",$I$2:$I$1130,I735)</f>
        <v/>
      </c>
      <c r="O735" s="14">
        <f>M735+N735</f>
        <v/>
      </c>
      <c r="P735" s="15">
        <f>O735/$P$1</f>
        <v/>
      </c>
    </row>
    <row r="736" hidden="1" ht="15.75" customHeight="1" s="2">
      <c r="A736" s="9" t="inlineStr">
        <is>
          <t>весна</t>
        </is>
      </c>
      <c r="B736" s="9" t="inlineStr">
        <is>
          <t>Основы технологической подготовки производства сварных и паяных конструкций</t>
        </is>
      </c>
      <c r="C736" s="9" t="inlineStr">
        <is>
          <t>Консультация</t>
        </is>
      </c>
      <c r="D736" s="9" t="inlineStr">
        <is>
          <t>Т1О-401Б-17</t>
        </is>
      </c>
      <c r="E736" s="10" t="n">
        <v>1</v>
      </c>
      <c r="F736" s="9" t="inlineStr">
        <is>
          <t>06256</t>
        </is>
      </c>
      <c r="G736" s="11" t="n">
        <v>0</v>
      </c>
      <c r="H736" s="9" t="inlineStr">
        <is>
          <t xml:space="preserve">89090     </t>
        </is>
      </c>
      <c r="I736" s="9" t="inlineStr">
        <is>
          <t>Степанов Владимир Валерьевич</t>
        </is>
      </c>
      <c r="J736" s="9" t="n"/>
      <c r="K736" s="9" t="n"/>
      <c r="L736" s="9" t="n"/>
      <c r="M736" s="12">
        <f>SUMIFS($E$2:$E$1130,$A$2:$A$1130,"осень",$I$2:$I$1130,I736)</f>
        <v/>
      </c>
      <c r="N736" s="13">
        <f>SUMIFS($E$2:$E$1130,$A$2:$A$1130,"весна",$I$2:$I$1130,I736)</f>
        <v/>
      </c>
      <c r="O736" s="14">
        <f>M736+N736</f>
        <v/>
      </c>
      <c r="P736" s="15">
        <f>O736/$P$1</f>
        <v/>
      </c>
    </row>
    <row r="737" hidden="1" ht="15.75" customHeight="1" s="2">
      <c r="A737" s="9" t="inlineStr">
        <is>
          <t>весна</t>
        </is>
      </c>
      <c r="B737" s="9" t="inlineStr">
        <is>
          <t>Материаловедение и технологии композиционных материалов</t>
        </is>
      </c>
      <c r="C737" s="9" t="inlineStr">
        <is>
          <t>ЛК</t>
        </is>
      </c>
      <c r="D737" s="9" t="inlineStr">
        <is>
          <t>Т1О-402Б-17</t>
        </is>
      </c>
      <c r="E737" s="10" t="n">
        <v>34</v>
      </c>
      <c r="F737" s="9" t="inlineStr">
        <is>
          <t>04517</t>
        </is>
      </c>
      <c r="G737" s="10" t="n">
        <v>34</v>
      </c>
      <c r="H737" s="9" t="inlineStr">
        <is>
          <t xml:space="preserve">95460     </t>
        </is>
      </c>
      <c r="I737" s="9" t="inlineStr">
        <is>
          <t>Кубатина Екатерина Павловна</t>
        </is>
      </c>
      <c r="J737" s="9" t="n"/>
      <c r="K737" s="9" t="n"/>
      <c r="L737" s="9" t="n"/>
      <c r="M737" s="12">
        <f>SUMIFS($E$2:$E$1130,$A$2:$A$1130,"осень",$I$2:$I$1130,I737)</f>
        <v/>
      </c>
      <c r="N737" s="13">
        <f>SUMIFS($E$2:$E$1130,$A$2:$A$1130,"весна",$I$2:$I$1130,I737)</f>
        <v/>
      </c>
      <c r="O737" s="14">
        <f>M737+N737</f>
        <v/>
      </c>
      <c r="P737" s="15">
        <f>O737/$P$1</f>
        <v/>
      </c>
    </row>
    <row r="738" hidden="1" ht="15.75" customHeight="1" s="2">
      <c r="A738" s="9" t="inlineStr">
        <is>
          <t>весна</t>
        </is>
      </c>
      <c r="B738" s="9" t="inlineStr">
        <is>
          <t>Материаловедение и технологии композиционных материалов</t>
        </is>
      </c>
      <c r="C738" s="9" t="inlineStr">
        <is>
          <t>ПЗ</t>
        </is>
      </c>
      <c r="D738" s="9" t="inlineStr">
        <is>
          <t>Т1О-402Б-17</t>
        </is>
      </c>
      <c r="E738" s="10" t="n">
        <v>22</v>
      </c>
      <c r="F738" s="9" t="inlineStr">
        <is>
          <t>04517</t>
        </is>
      </c>
      <c r="G738" s="10" t="n">
        <v>22</v>
      </c>
      <c r="H738" s="9" t="inlineStr">
        <is>
          <t xml:space="preserve">95460     </t>
        </is>
      </c>
      <c r="I738" s="9" t="inlineStr">
        <is>
          <t>Кубатина Екатерина Павловна</t>
        </is>
      </c>
      <c r="J738" s="9" t="n"/>
      <c r="K738" s="9" t="n"/>
      <c r="L738" s="9" t="n"/>
      <c r="M738" s="12">
        <f>SUMIFS($E$2:$E$1130,$A$2:$A$1130,"осень",$I$2:$I$1130,I738)</f>
        <v/>
      </c>
      <c r="N738" s="13">
        <f>SUMIFS($E$2:$E$1130,$A$2:$A$1130,"весна",$I$2:$I$1130,I738)</f>
        <v/>
      </c>
      <c r="O738" s="14">
        <f>M738+N738</f>
        <v/>
      </c>
      <c r="P738" s="15">
        <f>O738/$P$1</f>
        <v/>
      </c>
    </row>
    <row r="739" hidden="1" ht="15.75" customHeight="1" s="2">
      <c r="A739" s="9" t="inlineStr">
        <is>
          <t>весна</t>
        </is>
      </c>
      <c r="B739" s="9" t="inlineStr">
        <is>
          <t>Материаловедение и технологии композиционных материалов</t>
        </is>
      </c>
      <c r="C739" s="9" t="inlineStr">
        <is>
          <t>Экзамен</t>
        </is>
      </c>
      <c r="D739" s="9" t="inlineStr">
        <is>
          <t>Т1О-402Б-17</t>
        </is>
      </c>
      <c r="E739" s="10" t="n">
        <v>9</v>
      </c>
      <c r="F739" s="9" t="inlineStr">
        <is>
          <t>04517</t>
        </is>
      </c>
      <c r="G739" s="11" t="n">
        <v>0</v>
      </c>
      <c r="H739" s="9" t="inlineStr">
        <is>
          <t xml:space="preserve">95460     </t>
        </is>
      </c>
      <c r="I739" s="9" t="inlineStr">
        <is>
          <t>Кубатина Екатерина Павловна</t>
        </is>
      </c>
      <c r="J739" s="9" t="n"/>
      <c r="K739" s="9" t="n"/>
      <c r="L739" s="9" t="n"/>
      <c r="M739" s="12">
        <f>SUMIFS($E$2:$E$1130,$A$2:$A$1130,"осень",$I$2:$I$1130,I739)</f>
        <v/>
      </c>
      <c r="N739" s="13">
        <f>SUMIFS($E$2:$E$1130,$A$2:$A$1130,"весна",$I$2:$I$1130,I739)</f>
        <v/>
      </c>
      <c r="O739" s="14">
        <f>M739+N739</f>
        <v/>
      </c>
      <c r="P739" s="15">
        <f>O739/$P$1</f>
        <v/>
      </c>
    </row>
    <row r="740" hidden="1" ht="15.75" customHeight="1" s="2">
      <c r="A740" s="9" t="inlineStr">
        <is>
          <t>весна</t>
        </is>
      </c>
      <c r="B740" s="9" t="inlineStr">
        <is>
          <t>Материаловедение и технологии композиционных материалов</t>
        </is>
      </c>
      <c r="C740" s="9" t="inlineStr">
        <is>
          <t>Консультация</t>
        </is>
      </c>
      <c r="D740" s="9" t="inlineStr">
        <is>
          <t>Т1О-402Б-17</t>
        </is>
      </c>
      <c r="E740" s="10" t="n">
        <v>4</v>
      </c>
      <c r="F740" s="9" t="inlineStr">
        <is>
          <t>04517</t>
        </is>
      </c>
      <c r="G740" s="11" t="n">
        <v>0</v>
      </c>
      <c r="H740" s="9" t="inlineStr">
        <is>
          <t xml:space="preserve">95460     </t>
        </is>
      </c>
      <c r="I740" s="9" t="inlineStr">
        <is>
          <t>Кубатина Екатерина Павловна</t>
        </is>
      </c>
      <c r="J740" s="9" t="n"/>
      <c r="K740" s="9" t="n"/>
      <c r="L740" s="9" t="n"/>
      <c r="M740" s="12">
        <f>SUMIFS($E$2:$E$1130,$A$2:$A$1130,"осень",$I$2:$I$1130,I740)</f>
        <v/>
      </c>
      <c r="N740" s="13">
        <f>SUMIFS($E$2:$E$1130,$A$2:$A$1130,"весна",$I$2:$I$1130,I740)</f>
        <v/>
      </c>
      <c r="O740" s="14">
        <f>M740+N740</f>
        <v/>
      </c>
      <c r="P740" s="15">
        <f>O740/$P$1</f>
        <v/>
      </c>
    </row>
    <row r="741" hidden="1" ht="15.75" customHeight="1" s="2">
      <c r="A741" s="9" t="inlineStr">
        <is>
          <t>весна</t>
        </is>
      </c>
      <c r="B741" s="9" t="inlineStr">
        <is>
          <t>Имитационное моделирование технологических процессов</t>
        </is>
      </c>
      <c r="C741" s="9" t="inlineStr">
        <is>
          <t>ЛК</t>
        </is>
      </c>
      <c r="D741" s="9" t="inlineStr">
        <is>
          <t>Т11О-101М-20, Т11О-102М-20, Т11О-103М-20, Т11О-104М-20</t>
        </is>
      </c>
      <c r="E741" s="10" t="n">
        <v>12</v>
      </c>
      <c r="F741" s="9" t="inlineStr">
        <is>
          <t>07987</t>
        </is>
      </c>
      <c r="G741" s="10" t="n">
        <v>12</v>
      </c>
      <c r="H741" s="9" t="inlineStr">
        <is>
          <t xml:space="preserve">81728     </t>
        </is>
      </c>
      <c r="I741" s="9" t="inlineStr">
        <is>
          <t xml:space="preserve">Галкин Виктор Иванович </t>
        </is>
      </c>
      <c r="J741" s="9" t="inlineStr">
        <is>
          <t>профессор</t>
        </is>
      </c>
      <c r="K741" s="9" t="n"/>
      <c r="L741" s="9" t="n"/>
      <c r="M741" s="12">
        <f>SUMIFS($E$2:$E$1130,$A$2:$A$1130,"осень",$I$2:$I$1130,I741)</f>
        <v/>
      </c>
      <c r="N741" s="13">
        <f>SUMIFS($E$2:$E$1130,$A$2:$A$1130,"весна",$I$2:$I$1130,I741)</f>
        <v/>
      </c>
      <c r="O741" s="14">
        <f>M741+N741</f>
        <v/>
      </c>
      <c r="P741" s="15">
        <f>O741/$P$1</f>
        <v/>
      </c>
    </row>
    <row r="742" hidden="1" ht="15.75" customHeight="1" s="2">
      <c r="A742" s="9" t="inlineStr">
        <is>
          <t>весна</t>
        </is>
      </c>
      <c r="B742" s="9" t="inlineStr">
        <is>
          <t>Имитационное моделирование технологических процессов</t>
        </is>
      </c>
      <c r="C742" s="9" t="inlineStr">
        <is>
          <t>ЛК</t>
        </is>
      </c>
      <c r="D742" s="9" t="inlineStr">
        <is>
          <t>М9О-104М-20</t>
        </is>
      </c>
      <c r="E742" s="10" t="n">
        <v>12</v>
      </c>
      <c r="F742" s="9" t="inlineStr">
        <is>
          <t>12598</t>
        </is>
      </c>
      <c r="G742" s="10" t="n">
        <v>12</v>
      </c>
      <c r="H742" s="9" t="inlineStr">
        <is>
          <t xml:space="preserve">81728     </t>
        </is>
      </c>
      <c r="I742" s="9" t="inlineStr">
        <is>
          <t xml:space="preserve">Галкин Виктор Иванович </t>
        </is>
      </c>
      <c r="J742" s="9" t="inlineStr">
        <is>
          <t>профессор</t>
        </is>
      </c>
      <c r="K742" s="9" t="n"/>
      <c r="L742" s="9" t="n"/>
      <c r="M742" s="12">
        <f>SUMIFS($E$2:$E$1130,$A$2:$A$1130,"осень",$I$2:$I$1130,I742)</f>
        <v/>
      </c>
      <c r="N742" s="13">
        <f>SUMIFS($E$2:$E$1130,$A$2:$A$1130,"весна",$I$2:$I$1130,I742)</f>
        <v/>
      </c>
      <c r="O742" s="14">
        <f>M742+N742</f>
        <v/>
      </c>
      <c r="P742" s="15">
        <f>O742/$P$1</f>
        <v/>
      </c>
    </row>
    <row r="743" hidden="1" ht="15.75" customHeight="1" s="2">
      <c r="A743" s="9" t="inlineStr">
        <is>
          <t>весна</t>
        </is>
      </c>
      <c r="B743" s="9" t="inlineStr">
        <is>
          <t>Имитационное моделирование технологических процессов</t>
        </is>
      </c>
      <c r="C743" s="9" t="inlineStr">
        <is>
          <t>ПЗ</t>
        </is>
      </c>
      <c r="D743" s="9" t="inlineStr">
        <is>
          <t>Т11О-101М-20</t>
        </is>
      </c>
      <c r="E743" s="10" t="n">
        <v>40</v>
      </c>
      <c r="F743" s="9" t="inlineStr">
        <is>
          <t>07987</t>
        </is>
      </c>
      <c r="G743" s="10" t="n">
        <v>40</v>
      </c>
      <c r="H743" s="9" t="inlineStr">
        <is>
          <t xml:space="preserve">81728     </t>
        </is>
      </c>
      <c r="I743" s="9" t="inlineStr">
        <is>
          <t xml:space="preserve">Галкин Виктор Иванович </t>
        </is>
      </c>
      <c r="J743" s="9" t="inlineStr">
        <is>
          <t>профессор</t>
        </is>
      </c>
      <c r="K743" s="9" t="n"/>
      <c r="L743" s="9" t="n"/>
      <c r="M743" s="12">
        <f>SUMIFS($E$2:$E$1130,$A$2:$A$1130,"осень",$I$2:$I$1130,I743)</f>
        <v/>
      </c>
      <c r="N743" s="13">
        <f>SUMIFS($E$2:$E$1130,$A$2:$A$1130,"весна",$I$2:$I$1130,I743)</f>
        <v/>
      </c>
      <c r="O743" s="14">
        <f>M743+N743</f>
        <v/>
      </c>
      <c r="P743" s="15">
        <f>O743/$P$1</f>
        <v/>
      </c>
    </row>
    <row r="744" hidden="1" ht="15.75" customHeight="1" s="2">
      <c r="A744" s="9" t="inlineStr">
        <is>
          <t>весна</t>
        </is>
      </c>
      <c r="B744" s="9" t="inlineStr">
        <is>
          <t>Имитационное моделирование технологических процессов</t>
        </is>
      </c>
      <c r="C744" s="9" t="inlineStr">
        <is>
          <t>ПЗ</t>
        </is>
      </c>
      <c r="D744" s="9" t="inlineStr">
        <is>
          <t>Т11О-102М-20</t>
        </is>
      </c>
      <c r="E744" s="10" t="n">
        <v>40</v>
      </c>
      <c r="F744" s="9" t="inlineStr">
        <is>
          <t>07987</t>
        </is>
      </c>
      <c r="G744" s="10" t="n">
        <v>40</v>
      </c>
      <c r="H744" s="9" t="inlineStr">
        <is>
          <t xml:space="preserve">81728     </t>
        </is>
      </c>
      <c r="I744" s="9" t="inlineStr">
        <is>
          <t xml:space="preserve">Галкин Виктор Иванович </t>
        </is>
      </c>
      <c r="J744" s="9" t="inlineStr">
        <is>
          <t>профессор</t>
        </is>
      </c>
      <c r="K744" s="9" t="n"/>
      <c r="L744" s="9" t="n"/>
      <c r="M744" s="12">
        <f>SUMIFS($E$2:$E$1130,$A$2:$A$1130,"осень",$I$2:$I$1130,I744)</f>
        <v/>
      </c>
      <c r="N744" s="13">
        <f>SUMIFS($E$2:$E$1130,$A$2:$A$1130,"весна",$I$2:$I$1130,I744)</f>
        <v/>
      </c>
      <c r="O744" s="14">
        <f>M744+N744</f>
        <v/>
      </c>
      <c r="P744" s="15">
        <f>O744/$P$1</f>
        <v/>
      </c>
    </row>
    <row r="745" hidden="1" ht="15.75" customHeight="1" s="2">
      <c r="A745" s="9" t="inlineStr">
        <is>
          <t>весна</t>
        </is>
      </c>
      <c r="B745" s="9" t="inlineStr">
        <is>
          <t>Имитационное моделирование технологических процессов</t>
        </is>
      </c>
      <c r="C745" s="9" t="inlineStr">
        <is>
          <t>ПЗ</t>
        </is>
      </c>
      <c r="D745" s="9" t="inlineStr">
        <is>
          <t>Т11О-103М-20</t>
        </is>
      </c>
      <c r="E745" s="10" t="n">
        <v>40</v>
      </c>
      <c r="F745" s="9" t="inlineStr">
        <is>
          <t>07987</t>
        </is>
      </c>
      <c r="G745" s="10" t="n">
        <v>40</v>
      </c>
      <c r="H745" s="9" t="inlineStr">
        <is>
          <t xml:space="preserve">81728     </t>
        </is>
      </c>
      <c r="I745" s="9" t="inlineStr">
        <is>
          <t xml:space="preserve">Галкин Виктор Иванович </t>
        </is>
      </c>
      <c r="J745" s="9" t="inlineStr">
        <is>
          <t>профессор</t>
        </is>
      </c>
      <c r="K745" s="9" t="n"/>
      <c r="L745" s="9" t="n"/>
      <c r="M745" s="12">
        <f>SUMIFS($E$2:$E$1130,$A$2:$A$1130,"осень",$I$2:$I$1130,I745)</f>
        <v/>
      </c>
      <c r="N745" s="13">
        <f>SUMIFS($E$2:$E$1130,$A$2:$A$1130,"весна",$I$2:$I$1130,I745)</f>
        <v/>
      </c>
      <c r="O745" s="14">
        <f>M745+N745</f>
        <v/>
      </c>
      <c r="P745" s="15">
        <f>O745/$P$1</f>
        <v/>
      </c>
    </row>
    <row r="746" hidden="1" ht="15.75" customHeight="1" s="2">
      <c r="A746" s="9" t="inlineStr">
        <is>
          <t>весна</t>
        </is>
      </c>
      <c r="B746" s="9" t="inlineStr">
        <is>
          <t>Имитационное моделирование технологических процессов</t>
        </is>
      </c>
      <c r="C746" s="9" t="inlineStr">
        <is>
          <t>ПЗ</t>
        </is>
      </c>
      <c r="D746" s="9" t="inlineStr">
        <is>
          <t>Т11О-104М-20</t>
        </is>
      </c>
      <c r="E746" s="10" t="n">
        <v>40</v>
      </c>
      <c r="F746" s="9" t="inlineStr">
        <is>
          <t>07987</t>
        </is>
      </c>
      <c r="G746" s="10" t="n">
        <v>40</v>
      </c>
      <c r="H746" s="9" t="inlineStr">
        <is>
          <t xml:space="preserve">81728     </t>
        </is>
      </c>
      <c r="I746" s="9" t="inlineStr">
        <is>
          <t xml:space="preserve">Галкин Виктор Иванович </t>
        </is>
      </c>
      <c r="J746" s="9" t="inlineStr">
        <is>
          <t>профессор</t>
        </is>
      </c>
      <c r="K746" s="9" t="n"/>
      <c r="L746" s="9" t="n"/>
      <c r="M746" s="12">
        <f>SUMIFS($E$2:$E$1130,$A$2:$A$1130,"осень",$I$2:$I$1130,I746)</f>
        <v/>
      </c>
      <c r="N746" s="13">
        <f>SUMIFS($E$2:$E$1130,$A$2:$A$1130,"весна",$I$2:$I$1130,I746)</f>
        <v/>
      </c>
      <c r="O746" s="14">
        <f>M746+N746</f>
        <v/>
      </c>
      <c r="P746" s="15">
        <f>O746/$P$1</f>
        <v/>
      </c>
    </row>
    <row r="747" hidden="1" ht="15.75" customHeight="1" s="2">
      <c r="A747" s="9" t="inlineStr">
        <is>
          <t>весна</t>
        </is>
      </c>
      <c r="B747" s="9" t="inlineStr">
        <is>
          <t>Имитационное моделирование технологических процессов</t>
        </is>
      </c>
      <c r="C747" s="9" t="inlineStr">
        <is>
          <t>ПЗ</t>
        </is>
      </c>
      <c r="D747" s="9" t="inlineStr">
        <is>
          <t>М9О-104М-20</t>
        </is>
      </c>
      <c r="E747" s="10" t="n">
        <v>40</v>
      </c>
      <c r="F747" s="9" t="inlineStr">
        <is>
          <t>12598</t>
        </is>
      </c>
      <c r="G747" s="10" t="n">
        <v>40</v>
      </c>
      <c r="H747" s="9" t="inlineStr">
        <is>
          <t xml:space="preserve">81728     </t>
        </is>
      </c>
      <c r="I747" s="9" t="inlineStr">
        <is>
          <t xml:space="preserve">Галкин Виктор Иванович </t>
        </is>
      </c>
      <c r="J747" s="9" t="inlineStr">
        <is>
          <t>профессор</t>
        </is>
      </c>
      <c r="K747" s="9" t="n"/>
      <c r="L747" s="9" t="n"/>
      <c r="M747" s="12">
        <f>SUMIFS($E$2:$E$1130,$A$2:$A$1130,"осень",$I$2:$I$1130,I747)</f>
        <v/>
      </c>
      <c r="N747" s="13">
        <f>SUMIFS($E$2:$E$1130,$A$2:$A$1130,"весна",$I$2:$I$1130,I747)</f>
        <v/>
      </c>
      <c r="O747" s="14">
        <f>M747+N747</f>
        <v/>
      </c>
      <c r="P747" s="15">
        <f>O747/$P$1</f>
        <v/>
      </c>
    </row>
    <row r="748" hidden="1" ht="15.75" customHeight="1" s="2">
      <c r="A748" s="9" t="inlineStr">
        <is>
          <t>весна</t>
        </is>
      </c>
      <c r="B748" s="9" t="inlineStr">
        <is>
          <t>Имитационное моделирование технологических процессов</t>
        </is>
      </c>
      <c r="C748" s="9" t="inlineStr">
        <is>
          <t>Экзамен</t>
        </is>
      </c>
      <c r="D748" s="9" t="inlineStr">
        <is>
          <t>Т11О-101М-20</t>
        </is>
      </c>
      <c r="E748" s="10" t="n">
        <v>3</v>
      </c>
      <c r="F748" s="9" t="inlineStr">
        <is>
          <t>07987</t>
        </is>
      </c>
      <c r="G748" s="11" t="n">
        <v>0</v>
      </c>
      <c r="H748" s="9" t="inlineStr">
        <is>
          <t xml:space="preserve">81728     </t>
        </is>
      </c>
      <c r="I748" s="9" t="inlineStr">
        <is>
          <t xml:space="preserve">Галкин Виктор Иванович </t>
        </is>
      </c>
      <c r="J748" s="9" t="inlineStr">
        <is>
          <t>профессор</t>
        </is>
      </c>
      <c r="K748" s="9" t="n"/>
      <c r="L748" s="9" t="n"/>
      <c r="M748" s="12">
        <f>SUMIFS($E$2:$E$1130,$A$2:$A$1130,"осень",$I$2:$I$1130,I748)</f>
        <v/>
      </c>
      <c r="N748" s="13">
        <f>SUMIFS($E$2:$E$1130,$A$2:$A$1130,"весна",$I$2:$I$1130,I748)</f>
        <v/>
      </c>
      <c r="O748" s="14">
        <f>M748+N748</f>
        <v/>
      </c>
      <c r="P748" s="15">
        <f>O748/$P$1</f>
        <v/>
      </c>
    </row>
    <row r="749" hidden="1" ht="15.75" customHeight="1" s="2">
      <c r="A749" s="9" t="inlineStr">
        <is>
          <t>весна</t>
        </is>
      </c>
      <c r="B749" s="9" t="inlineStr">
        <is>
          <t>Имитационное моделирование технологических процессов</t>
        </is>
      </c>
      <c r="C749" s="9" t="inlineStr">
        <is>
          <t>Экзамен</t>
        </is>
      </c>
      <c r="D749" s="9" t="inlineStr">
        <is>
          <t>Т11О-102М-20</t>
        </is>
      </c>
      <c r="E749" s="10" t="n">
        <v>3</v>
      </c>
      <c r="F749" s="9" t="inlineStr">
        <is>
          <t>07987</t>
        </is>
      </c>
      <c r="G749" s="11" t="n">
        <v>0</v>
      </c>
      <c r="H749" s="9" t="inlineStr">
        <is>
          <t xml:space="preserve">81728     </t>
        </is>
      </c>
      <c r="I749" s="9" t="inlineStr">
        <is>
          <t xml:space="preserve">Галкин Виктор Иванович </t>
        </is>
      </c>
      <c r="J749" s="9" t="inlineStr">
        <is>
          <t>профессор</t>
        </is>
      </c>
      <c r="K749" s="9" t="n"/>
      <c r="L749" s="9" t="n"/>
      <c r="M749" s="12">
        <f>SUMIFS($E$2:$E$1130,$A$2:$A$1130,"осень",$I$2:$I$1130,I749)</f>
        <v/>
      </c>
      <c r="N749" s="13">
        <f>SUMIFS($E$2:$E$1130,$A$2:$A$1130,"весна",$I$2:$I$1130,I749)</f>
        <v/>
      </c>
      <c r="O749" s="14">
        <f>M749+N749</f>
        <v/>
      </c>
      <c r="P749" s="15">
        <f>O749/$P$1</f>
        <v/>
      </c>
    </row>
    <row r="750" hidden="1" ht="15.75" customHeight="1" s="2">
      <c r="A750" s="9" t="inlineStr">
        <is>
          <t>весна</t>
        </is>
      </c>
      <c r="B750" s="9" t="inlineStr">
        <is>
          <t>Имитационное моделирование технологических процессов</t>
        </is>
      </c>
      <c r="C750" s="9" t="inlineStr">
        <is>
          <t>Экзамен</t>
        </is>
      </c>
      <c r="D750" s="9" t="inlineStr">
        <is>
          <t>Т11О-103М-20</t>
        </is>
      </c>
      <c r="E750" s="10" t="n">
        <v>3</v>
      </c>
      <c r="F750" s="9" t="inlineStr">
        <is>
          <t>07987</t>
        </is>
      </c>
      <c r="G750" s="11" t="n">
        <v>0</v>
      </c>
      <c r="H750" s="9" t="inlineStr">
        <is>
          <t xml:space="preserve">81728     </t>
        </is>
      </c>
      <c r="I750" s="9" t="inlineStr">
        <is>
          <t xml:space="preserve">Галкин Виктор Иванович </t>
        </is>
      </c>
      <c r="J750" s="9" t="inlineStr">
        <is>
          <t>профессор</t>
        </is>
      </c>
      <c r="K750" s="9" t="n"/>
      <c r="L750" s="9" t="n"/>
      <c r="M750" s="12">
        <f>SUMIFS($E$2:$E$1130,$A$2:$A$1130,"осень",$I$2:$I$1130,I750)</f>
        <v/>
      </c>
      <c r="N750" s="13">
        <f>SUMIFS($E$2:$E$1130,$A$2:$A$1130,"весна",$I$2:$I$1130,I750)</f>
        <v/>
      </c>
      <c r="O750" s="14">
        <f>M750+N750</f>
        <v/>
      </c>
      <c r="P750" s="15">
        <f>O750/$P$1</f>
        <v/>
      </c>
    </row>
    <row r="751" hidden="1" ht="15.75" customHeight="1" s="2">
      <c r="A751" s="9" t="inlineStr">
        <is>
          <t>весна</t>
        </is>
      </c>
      <c r="B751" s="9" t="inlineStr">
        <is>
          <t>Имитационное моделирование технологических процессов</t>
        </is>
      </c>
      <c r="C751" s="9" t="inlineStr">
        <is>
          <t>Экзамен</t>
        </is>
      </c>
      <c r="D751" s="9" t="inlineStr">
        <is>
          <t>Т11О-104М-20</t>
        </is>
      </c>
      <c r="E751" s="10" t="n">
        <v>3</v>
      </c>
      <c r="F751" s="9" t="inlineStr">
        <is>
          <t>07987</t>
        </is>
      </c>
      <c r="G751" s="11" t="n">
        <v>0</v>
      </c>
      <c r="H751" s="9" t="inlineStr">
        <is>
          <t xml:space="preserve">81728     </t>
        </is>
      </c>
      <c r="I751" s="9" t="inlineStr">
        <is>
          <t xml:space="preserve">Галкин Виктор Иванович </t>
        </is>
      </c>
      <c r="J751" s="9" t="inlineStr">
        <is>
          <t>профессор</t>
        </is>
      </c>
      <c r="K751" s="9" t="n"/>
      <c r="L751" s="9" t="n"/>
      <c r="M751" s="12">
        <f>SUMIFS($E$2:$E$1130,$A$2:$A$1130,"осень",$I$2:$I$1130,I751)</f>
        <v/>
      </c>
      <c r="N751" s="13">
        <f>SUMIFS($E$2:$E$1130,$A$2:$A$1130,"весна",$I$2:$I$1130,I751)</f>
        <v/>
      </c>
      <c r="O751" s="14">
        <f>M751+N751</f>
        <v/>
      </c>
      <c r="P751" s="15">
        <f>O751/$P$1</f>
        <v/>
      </c>
    </row>
    <row r="752" hidden="1" ht="15.75" customHeight="1" s="2">
      <c r="A752" s="9" t="inlineStr">
        <is>
          <t>весна</t>
        </is>
      </c>
      <c r="B752" s="9" t="inlineStr">
        <is>
          <t>Имитационное моделирование технологических процессов</t>
        </is>
      </c>
      <c r="C752" s="9" t="inlineStr">
        <is>
          <t>Экзамен</t>
        </is>
      </c>
      <c r="D752" s="9" t="inlineStr">
        <is>
          <t>М9О-104М-20</t>
        </is>
      </c>
      <c r="E752" s="10" t="n">
        <v>3</v>
      </c>
      <c r="F752" s="9" t="inlineStr">
        <is>
          <t>12598</t>
        </is>
      </c>
      <c r="G752" s="11" t="n">
        <v>0</v>
      </c>
      <c r="H752" s="9" t="inlineStr">
        <is>
          <t xml:space="preserve">81728     </t>
        </is>
      </c>
      <c r="I752" s="9" t="inlineStr">
        <is>
          <t xml:space="preserve">Галкин Виктор Иванович </t>
        </is>
      </c>
      <c r="J752" s="9" t="inlineStr">
        <is>
          <t>профессор</t>
        </is>
      </c>
      <c r="K752" s="9" t="n"/>
      <c r="L752" s="9" t="n"/>
      <c r="M752" s="12">
        <f>SUMIFS($E$2:$E$1130,$A$2:$A$1130,"осень",$I$2:$I$1130,I752)</f>
        <v/>
      </c>
      <c r="N752" s="13">
        <f>SUMIFS($E$2:$E$1130,$A$2:$A$1130,"весна",$I$2:$I$1130,I752)</f>
        <v/>
      </c>
      <c r="O752" s="14">
        <f>M752+N752</f>
        <v/>
      </c>
      <c r="P752" s="15">
        <f>O752/$P$1</f>
        <v/>
      </c>
    </row>
    <row r="753" hidden="1" ht="15.75" customHeight="1" s="2">
      <c r="A753" s="9" t="inlineStr">
        <is>
          <t>весна</t>
        </is>
      </c>
      <c r="B753" s="9" t="inlineStr">
        <is>
          <t>Имитационное моделирование технологических процессов</t>
        </is>
      </c>
      <c r="C753" s="9" t="inlineStr">
        <is>
          <t>Консультация</t>
        </is>
      </c>
      <c r="D753" s="9" t="inlineStr">
        <is>
          <t>Т11О-101М-20</t>
        </is>
      </c>
      <c r="E753" s="10" t="n">
        <v>3</v>
      </c>
      <c r="F753" s="9" t="inlineStr">
        <is>
          <t>07987</t>
        </is>
      </c>
      <c r="G753" s="11" t="n">
        <v>0</v>
      </c>
      <c r="H753" s="9" t="inlineStr">
        <is>
          <t xml:space="preserve">81728     </t>
        </is>
      </c>
      <c r="I753" s="9" t="inlineStr">
        <is>
          <t xml:space="preserve">Галкин Виктор Иванович </t>
        </is>
      </c>
      <c r="J753" s="9" t="inlineStr">
        <is>
          <t>профессор</t>
        </is>
      </c>
      <c r="K753" s="9" t="n"/>
      <c r="L753" s="9" t="n"/>
      <c r="M753" s="12">
        <f>SUMIFS($E$2:$E$1130,$A$2:$A$1130,"осень",$I$2:$I$1130,I753)</f>
        <v/>
      </c>
      <c r="N753" s="13">
        <f>SUMIFS($E$2:$E$1130,$A$2:$A$1130,"весна",$I$2:$I$1130,I753)</f>
        <v/>
      </c>
      <c r="O753" s="14">
        <f>M753+N753</f>
        <v/>
      </c>
      <c r="P753" s="15">
        <f>O753/$P$1</f>
        <v/>
      </c>
    </row>
    <row r="754" hidden="1" ht="15.75" customHeight="1" s="2">
      <c r="A754" s="9" t="inlineStr">
        <is>
          <t>весна</t>
        </is>
      </c>
      <c r="B754" s="9" t="inlineStr">
        <is>
          <t>Имитационное моделирование технологических процессов</t>
        </is>
      </c>
      <c r="C754" s="9" t="inlineStr">
        <is>
          <t>Консультация</t>
        </is>
      </c>
      <c r="D754" s="9" t="inlineStr">
        <is>
          <t>Т11О-102М-20</t>
        </is>
      </c>
      <c r="E754" s="10" t="n">
        <v>3</v>
      </c>
      <c r="F754" s="9" t="inlineStr">
        <is>
          <t>07987</t>
        </is>
      </c>
      <c r="G754" s="11" t="n">
        <v>0</v>
      </c>
      <c r="H754" s="9" t="inlineStr">
        <is>
          <t xml:space="preserve">81728     </t>
        </is>
      </c>
      <c r="I754" s="9" t="inlineStr">
        <is>
          <t xml:space="preserve">Галкин Виктор Иванович </t>
        </is>
      </c>
      <c r="J754" s="9" t="inlineStr">
        <is>
          <t>профессор</t>
        </is>
      </c>
      <c r="K754" s="9" t="n"/>
      <c r="L754" s="9" t="n"/>
      <c r="M754" s="12">
        <f>SUMIFS($E$2:$E$1130,$A$2:$A$1130,"осень",$I$2:$I$1130,I754)</f>
        <v/>
      </c>
      <c r="N754" s="13">
        <f>SUMIFS($E$2:$E$1130,$A$2:$A$1130,"весна",$I$2:$I$1130,I754)</f>
        <v/>
      </c>
      <c r="O754" s="14">
        <f>M754+N754</f>
        <v/>
      </c>
      <c r="P754" s="15">
        <f>O754/$P$1</f>
        <v/>
      </c>
    </row>
    <row r="755" hidden="1" ht="15.75" customHeight="1" s="2">
      <c r="A755" s="9" t="inlineStr">
        <is>
          <t>весна</t>
        </is>
      </c>
      <c r="B755" s="9" t="inlineStr">
        <is>
          <t>Имитационное моделирование технологических процессов</t>
        </is>
      </c>
      <c r="C755" s="9" t="inlineStr">
        <is>
          <t>Консультация</t>
        </is>
      </c>
      <c r="D755" s="9" t="inlineStr">
        <is>
          <t>Т11О-103М-20</t>
        </is>
      </c>
      <c r="E755" s="10" t="n">
        <v>3</v>
      </c>
      <c r="F755" s="9" t="inlineStr">
        <is>
          <t>07987</t>
        </is>
      </c>
      <c r="G755" s="11" t="n">
        <v>0</v>
      </c>
      <c r="H755" s="9" t="inlineStr">
        <is>
          <t xml:space="preserve">81728     </t>
        </is>
      </c>
      <c r="I755" s="9" t="inlineStr">
        <is>
          <t xml:space="preserve">Галкин Виктор Иванович </t>
        </is>
      </c>
      <c r="J755" s="9" t="inlineStr">
        <is>
          <t>профессор</t>
        </is>
      </c>
      <c r="K755" s="9" t="n"/>
      <c r="L755" s="9" t="n"/>
      <c r="M755" s="12">
        <f>SUMIFS($E$2:$E$1130,$A$2:$A$1130,"осень",$I$2:$I$1130,I755)</f>
        <v/>
      </c>
      <c r="N755" s="13">
        <f>SUMIFS($E$2:$E$1130,$A$2:$A$1130,"весна",$I$2:$I$1130,I755)</f>
        <v/>
      </c>
      <c r="O755" s="14">
        <f>M755+N755</f>
        <v/>
      </c>
      <c r="P755" s="15">
        <f>O755/$P$1</f>
        <v/>
      </c>
    </row>
    <row r="756" hidden="1" ht="15.75" customHeight="1" s="2">
      <c r="A756" s="9" t="inlineStr">
        <is>
          <t>весна</t>
        </is>
      </c>
      <c r="B756" s="9" t="inlineStr">
        <is>
          <t>Имитационное моделирование технологических процессов</t>
        </is>
      </c>
      <c r="C756" s="9" t="inlineStr">
        <is>
          <t>Консультация</t>
        </is>
      </c>
      <c r="D756" s="9" t="inlineStr">
        <is>
          <t>Т11О-104М-20</t>
        </is>
      </c>
      <c r="E756" s="10" t="n">
        <v>3</v>
      </c>
      <c r="F756" s="9" t="inlineStr">
        <is>
          <t>07987</t>
        </is>
      </c>
      <c r="G756" s="11" t="n">
        <v>0</v>
      </c>
      <c r="H756" s="9" t="inlineStr">
        <is>
          <t xml:space="preserve">81728     </t>
        </is>
      </c>
      <c r="I756" s="9" t="inlineStr">
        <is>
          <t xml:space="preserve">Галкин Виктор Иванович </t>
        </is>
      </c>
      <c r="J756" s="9" t="inlineStr">
        <is>
          <t>профессор</t>
        </is>
      </c>
      <c r="K756" s="9" t="n"/>
      <c r="L756" s="9" t="n"/>
      <c r="M756" s="12">
        <f>SUMIFS($E$2:$E$1130,$A$2:$A$1130,"осень",$I$2:$I$1130,I756)</f>
        <v/>
      </c>
      <c r="N756" s="13">
        <f>SUMIFS($E$2:$E$1130,$A$2:$A$1130,"весна",$I$2:$I$1130,I756)</f>
        <v/>
      </c>
      <c r="O756" s="14">
        <f>M756+N756</f>
        <v/>
      </c>
      <c r="P756" s="15">
        <f>O756/$P$1</f>
        <v/>
      </c>
    </row>
    <row r="757" hidden="1" ht="15.75" customHeight="1" s="2">
      <c r="A757" s="9" t="inlineStr">
        <is>
          <t>весна</t>
        </is>
      </c>
      <c r="B757" s="9" t="inlineStr">
        <is>
          <t>Имитационное моделирование технологических процессов</t>
        </is>
      </c>
      <c r="C757" s="9" t="inlineStr">
        <is>
          <t>Консультация</t>
        </is>
      </c>
      <c r="D757" s="9" t="inlineStr">
        <is>
          <t>М9О-104М-20</t>
        </is>
      </c>
      <c r="E757" s="10" t="n">
        <v>3</v>
      </c>
      <c r="F757" s="9" t="inlineStr">
        <is>
          <t>12598</t>
        </is>
      </c>
      <c r="G757" s="11" t="n">
        <v>0</v>
      </c>
      <c r="H757" s="9" t="inlineStr">
        <is>
          <t xml:space="preserve">81728     </t>
        </is>
      </c>
      <c r="I757" s="9" t="inlineStr">
        <is>
          <t xml:space="preserve">Галкин Виктор Иванович </t>
        </is>
      </c>
      <c r="J757" s="9" t="inlineStr">
        <is>
          <t>профессор</t>
        </is>
      </c>
      <c r="K757" s="9" t="n"/>
      <c r="L757" s="9" t="n"/>
      <c r="M757" s="12">
        <f>SUMIFS($E$2:$E$1130,$A$2:$A$1130,"осень",$I$2:$I$1130,I757)</f>
        <v/>
      </c>
      <c r="N757" s="13">
        <f>SUMIFS($E$2:$E$1130,$A$2:$A$1130,"весна",$I$2:$I$1130,I757)</f>
        <v/>
      </c>
      <c r="O757" s="14">
        <f>M757+N757</f>
        <v/>
      </c>
      <c r="P757" s="15">
        <f>O757/$P$1</f>
        <v/>
      </c>
    </row>
    <row r="758" hidden="1" ht="15.75" customHeight="1" s="2">
      <c r="A758" s="9" t="inlineStr">
        <is>
          <t>весна</t>
        </is>
      </c>
      <c r="B758" s="9" t="inlineStr">
        <is>
          <t>Проектирование участков, цехов обработки металлов давлением и металлургических предприятий</t>
        </is>
      </c>
      <c r="C758" s="9" t="inlineStr">
        <is>
          <t>КП</t>
        </is>
      </c>
      <c r="D758" s="9" t="inlineStr">
        <is>
          <t>Т11О-101М-20</t>
        </is>
      </c>
      <c r="E758" s="10" t="n">
        <v>24</v>
      </c>
      <c r="F758" s="9" t="inlineStr">
        <is>
          <t>04489</t>
        </is>
      </c>
      <c r="G758" s="11" t="n">
        <v>0</v>
      </c>
      <c r="H758" s="9" t="inlineStr">
        <is>
          <t xml:space="preserve">81729     </t>
        </is>
      </c>
      <c r="I758" s="9" t="inlineStr">
        <is>
          <t xml:space="preserve">Соколов Алексей Викторович </t>
        </is>
      </c>
      <c r="J758" s="9" t="inlineStr">
        <is>
          <t>доцент</t>
        </is>
      </c>
      <c r="K758" s="9" t="n"/>
      <c r="L758" s="9" t="n"/>
      <c r="M758" s="12">
        <f>SUMIFS($E$2:$E$1130,$A$2:$A$1130,"осень",$I$2:$I$1130,I758)</f>
        <v/>
      </c>
      <c r="N758" s="13">
        <f>SUMIFS($E$2:$E$1130,$A$2:$A$1130,"весна",$I$2:$I$1130,I758)</f>
        <v/>
      </c>
      <c r="O758" s="14">
        <f>M758+N758</f>
        <v/>
      </c>
      <c r="P758" s="15">
        <f>O758/$P$1</f>
        <v/>
      </c>
    </row>
    <row r="759" hidden="1" ht="15.75" customHeight="1" s="2">
      <c r="A759" s="9" t="inlineStr">
        <is>
          <t>весна</t>
        </is>
      </c>
      <c r="B759" s="9" t="inlineStr">
        <is>
          <t>Проектирование участков, цехов обработки металлов давлением и металлургических предприятий</t>
        </is>
      </c>
      <c r="C759" s="9" t="inlineStr">
        <is>
          <t>ЛК</t>
        </is>
      </c>
      <c r="D759" s="9" t="inlineStr">
        <is>
          <t>Т11О-101М-20</t>
        </is>
      </c>
      <c r="E759" s="10" t="n">
        <v>12</v>
      </c>
      <c r="F759" s="9" t="inlineStr">
        <is>
          <t>04489</t>
        </is>
      </c>
      <c r="G759" s="10" t="n">
        <v>12</v>
      </c>
      <c r="H759" s="9" t="inlineStr">
        <is>
          <t xml:space="preserve">81729     </t>
        </is>
      </c>
      <c r="I759" s="9" t="inlineStr">
        <is>
          <t xml:space="preserve">Соколов Алексей Викторович </t>
        </is>
      </c>
      <c r="J759" s="9" t="inlineStr">
        <is>
          <t>доцент</t>
        </is>
      </c>
      <c r="K759" s="9" t="n"/>
      <c r="L759" s="9" t="n"/>
      <c r="M759" s="12">
        <f>SUMIFS($E$2:$E$1130,$A$2:$A$1130,"осень",$I$2:$I$1130,I759)</f>
        <v/>
      </c>
      <c r="N759" s="13">
        <f>SUMIFS($E$2:$E$1130,$A$2:$A$1130,"весна",$I$2:$I$1130,I759)</f>
        <v/>
      </c>
      <c r="O759" s="14">
        <f>M759+N759</f>
        <v/>
      </c>
      <c r="P759" s="15">
        <f>O759/$P$1</f>
        <v/>
      </c>
    </row>
    <row r="760" hidden="1" ht="15.75" customHeight="1" s="2">
      <c r="A760" s="9" t="inlineStr">
        <is>
          <t>весна</t>
        </is>
      </c>
      <c r="B760" s="9" t="inlineStr">
        <is>
          <t>Проектирование участков, цехов обработки металлов давлением и металлургических предприятий</t>
        </is>
      </c>
      <c r="C760" s="9" t="inlineStr">
        <is>
          <t>Зачет с оценкой</t>
        </is>
      </c>
      <c r="D760" s="9" t="inlineStr">
        <is>
          <t>Т11О-101М-20</t>
        </is>
      </c>
      <c r="E760" s="10" t="n">
        <v>2</v>
      </c>
      <c r="F760" s="9" t="inlineStr">
        <is>
          <t>04489</t>
        </is>
      </c>
      <c r="G760" s="11" t="n">
        <v>0</v>
      </c>
      <c r="H760" s="9" t="inlineStr">
        <is>
          <t xml:space="preserve">81729     </t>
        </is>
      </c>
      <c r="I760" s="9" t="inlineStr">
        <is>
          <t xml:space="preserve">Соколов Алексей Викторович </t>
        </is>
      </c>
      <c r="J760" s="9" t="inlineStr">
        <is>
          <t>доцент</t>
        </is>
      </c>
      <c r="K760" s="9" t="n"/>
      <c r="L760" s="9" t="n"/>
      <c r="M760" s="12">
        <f>SUMIFS($E$2:$E$1130,$A$2:$A$1130,"осень",$I$2:$I$1130,I760)</f>
        <v/>
      </c>
      <c r="N760" s="13">
        <f>SUMIFS($E$2:$E$1130,$A$2:$A$1130,"весна",$I$2:$I$1130,I760)</f>
        <v/>
      </c>
      <c r="O760" s="14">
        <f>M760+N760</f>
        <v/>
      </c>
      <c r="P760" s="15">
        <f>O760/$P$1</f>
        <v/>
      </c>
    </row>
    <row r="761" hidden="1" ht="15.75" customHeight="1" s="2">
      <c r="A761" s="9" t="inlineStr">
        <is>
          <t>весна</t>
        </is>
      </c>
      <c r="B761" s="9" t="inlineStr">
        <is>
          <t>Проектирование участков, цехов обработки металлов давлением и металлургических предприятий</t>
        </is>
      </c>
      <c r="C761" s="9" t="inlineStr">
        <is>
          <t>ПЗ</t>
        </is>
      </c>
      <c r="D761" s="9" t="inlineStr">
        <is>
          <t>Т11О-101М-20</t>
        </is>
      </c>
      <c r="E761" s="10" t="n">
        <v>38</v>
      </c>
      <c r="F761" s="9" t="inlineStr">
        <is>
          <t>04489</t>
        </is>
      </c>
      <c r="G761" s="10" t="n">
        <v>38</v>
      </c>
      <c r="H761" s="9" t="inlineStr">
        <is>
          <t xml:space="preserve">81729     </t>
        </is>
      </c>
      <c r="I761" s="9" t="inlineStr">
        <is>
          <t xml:space="preserve">Соколов Алексей Викторович </t>
        </is>
      </c>
      <c r="J761" s="9" t="inlineStr">
        <is>
          <t>доцент</t>
        </is>
      </c>
      <c r="K761" s="9" t="n"/>
      <c r="L761" s="9" t="n"/>
      <c r="M761" s="12">
        <f>SUMIFS($E$2:$E$1130,$A$2:$A$1130,"осень",$I$2:$I$1130,I761)</f>
        <v/>
      </c>
      <c r="N761" s="13">
        <f>SUMIFS($E$2:$E$1130,$A$2:$A$1130,"весна",$I$2:$I$1130,I761)</f>
        <v/>
      </c>
      <c r="O761" s="14">
        <f>M761+N761</f>
        <v/>
      </c>
      <c r="P761" s="15">
        <f>O761/$P$1</f>
        <v/>
      </c>
    </row>
    <row r="762" hidden="1" ht="15.75" customHeight="1" s="2">
      <c r="A762" s="9" t="inlineStr">
        <is>
          <t>весна</t>
        </is>
      </c>
      <c r="B762" s="9" t="inlineStr">
        <is>
          <t>Проектирование участков, цехов обработки металлов давлением и металлургических предприятий</t>
        </is>
      </c>
      <c r="C762" s="9" t="inlineStr">
        <is>
          <t>Консультация</t>
        </is>
      </c>
      <c r="D762" s="9" t="inlineStr">
        <is>
          <t>Т11О-101М-20</t>
        </is>
      </c>
      <c r="E762" s="10" t="n">
        <v>1</v>
      </c>
      <c r="F762" s="9" t="inlineStr">
        <is>
          <t>04489</t>
        </is>
      </c>
      <c r="G762" s="11" t="n">
        <v>0</v>
      </c>
      <c r="H762" s="9" t="inlineStr">
        <is>
          <t xml:space="preserve">81729     </t>
        </is>
      </c>
      <c r="I762" s="9" t="inlineStr">
        <is>
          <t xml:space="preserve">Соколов Алексей Викторович </t>
        </is>
      </c>
      <c r="J762" s="9" t="inlineStr">
        <is>
          <t>доцент</t>
        </is>
      </c>
      <c r="K762" s="9" t="n"/>
      <c r="L762" s="9" t="n"/>
      <c r="M762" s="12">
        <f>SUMIFS($E$2:$E$1130,$A$2:$A$1130,"осень",$I$2:$I$1130,I762)</f>
        <v/>
      </c>
      <c r="N762" s="13">
        <f>SUMIFS($E$2:$E$1130,$A$2:$A$1130,"весна",$I$2:$I$1130,I762)</f>
        <v/>
      </c>
      <c r="O762" s="14">
        <f>M762+N762</f>
        <v/>
      </c>
      <c r="P762" s="15">
        <f>O762/$P$1</f>
        <v/>
      </c>
    </row>
    <row r="763" hidden="1" ht="15.75" customHeight="1" s="2">
      <c r="A763" s="9" t="inlineStr">
        <is>
          <t>весна</t>
        </is>
      </c>
      <c r="B763" s="9" t="inlineStr">
        <is>
          <t>Основы автоматизации технологических процессов</t>
        </is>
      </c>
      <c r="C763" s="9" t="inlineStr">
        <is>
          <t>ЛК</t>
        </is>
      </c>
      <c r="D763" s="9" t="inlineStr">
        <is>
          <t>Т1В-412Б-17</t>
        </is>
      </c>
      <c r="E763" s="10" t="n">
        <v>20</v>
      </c>
      <c r="F763" s="9" t="inlineStr">
        <is>
          <t>08769</t>
        </is>
      </c>
      <c r="G763" s="10" t="n">
        <v>20</v>
      </c>
      <c r="H763" s="9" t="inlineStr">
        <is>
          <t xml:space="preserve">81716     </t>
        </is>
      </c>
      <c r="I763" s="9" t="inlineStr">
        <is>
          <t xml:space="preserve">Жаров Максим Владимирович </t>
        </is>
      </c>
      <c r="J763" s="9" t="inlineStr">
        <is>
          <t>доцент</t>
        </is>
      </c>
      <c r="K763" s="9" t="n"/>
      <c r="L763" s="9" t="n"/>
      <c r="M763" s="12">
        <f>SUMIFS($E$2:$E$1130,$A$2:$A$1130,"осень",$I$2:$I$1130,I763)</f>
        <v/>
      </c>
      <c r="N763" s="13">
        <f>SUMIFS($E$2:$E$1130,$A$2:$A$1130,"весна",$I$2:$I$1130,I763)</f>
        <v/>
      </c>
      <c r="O763" s="14">
        <f>M763+N763</f>
        <v/>
      </c>
      <c r="P763" s="15">
        <f>O763/$P$1</f>
        <v/>
      </c>
    </row>
    <row r="764" hidden="1" ht="15.75" customHeight="1" s="2">
      <c r="A764" s="9" t="inlineStr">
        <is>
          <t>весна</t>
        </is>
      </c>
      <c r="B764" s="9" t="inlineStr">
        <is>
          <t>Основы автоматизации технологических процессов</t>
        </is>
      </c>
      <c r="C764" s="9" t="inlineStr">
        <is>
          <t>Зачет с оценкой</t>
        </is>
      </c>
      <c r="D764" s="9" t="inlineStr">
        <is>
          <t>Т1В-412Б-17</t>
        </is>
      </c>
      <c r="E764" s="10" t="n">
        <v>4</v>
      </c>
      <c r="F764" s="9" t="inlineStr">
        <is>
          <t>08769</t>
        </is>
      </c>
      <c r="G764" s="11" t="n">
        <v>0</v>
      </c>
      <c r="H764" s="9" t="inlineStr">
        <is>
          <t xml:space="preserve">81716     </t>
        </is>
      </c>
      <c r="I764" s="9" t="inlineStr">
        <is>
          <t xml:space="preserve">Жаров Максим Владимирович </t>
        </is>
      </c>
      <c r="J764" s="9" t="inlineStr">
        <is>
          <t>доцент</t>
        </is>
      </c>
      <c r="K764" s="9" t="n"/>
      <c r="L764" s="9" t="n"/>
      <c r="M764" s="12">
        <f>SUMIFS($E$2:$E$1130,$A$2:$A$1130,"осень",$I$2:$I$1130,I764)</f>
        <v/>
      </c>
      <c r="N764" s="13">
        <f>SUMIFS($E$2:$E$1130,$A$2:$A$1130,"весна",$I$2:$I$1130,I764)</f>
        <v/>
      </c>
      <c r="O764" s="14">
        <f>M764+N764</f>
        <v/>
      </c>
      <c r="P764" s="15">
        <f>O764/$P$1</f>
        <v/>
      </c>
    </row>
    <row r="765" hidden="1" ht="15.75" customHeight="1" s="2">
      <c r="A765" s="9" t="inlineStr">
        <is>
          <t>весна</t>
        </is>
      </c>
      <c r="B765" s="9" t="inlineStr">
        <is>
          <t>Основы автоматизации технологических процессов</t>
        </is>
      </c>
      <c r="C765" s="9" t="inlineStr">
        <is>
          <t>ПЗ</t>
        </is>
      </c>
      <c r="D765" s="9" t="inlineStr">
        <is>
          <t>Т1В-412Б-17</t>
        </is>
      </c>
      <c r="E765" s="10" t="n">
        <v>22</v>
      </c>
      <c r="F765" s="9" t="inlineStr">
        <is>
          <t>08769</t>
        </is>
      </c>
      <c r="G765" s="10" t="n">
        <v>22</v>
      </c>
      <c r="H765" s="9" t="inlineStr">
        <is>
          <t xml:space="preserve">81716     </t>
        </is>
      </c>
      <c r="I765" s="9" t="inlineStr">
        <is>
          <t xml:space="preserve">Жаров Максим Владимирович </t>
        </is>
      </c>
      <c r="J765" s="9" t="inlineStr">
        <is>
          <t>доцент</t>
        </is>
      </c>
      <c r="K765" s="9" t="n"/>
      <c r="L765" s="9" t="n"/>
      <c r="M765" s="12">
        <f>SUMIFS($E$2:$E$1130,$A$2:$A$1130,"осень",$I$2:$I$1130,I765)</f>
        <v/>
      </c>
      <c r="N765" s="13">
        <f>SUMIFS($E$2:$E$1130,$A$2:$A$1130,"весна",$I$2:$I$1130,I765)</f>
        <v/>
      </c>
      <c r="O765" s="14">
        <f>M765+N765</f>
        <v/>
      </c>
      <c r="P765" s="15">
        <f>O765/$P$1</f>
        <v/>
      </c>
    </row>
    <row r="766" hidden="1" ht="15.75" customHeight="1" s="2">
      <c r="A766" s="9" t="inlineStr">
        <is>
          <t>весна</t>
        </is>
      </c>
      <c r="B766" s="9" t="inlineStr">
        <is>
          <t>Основы автоматизации технологических процессов</t>
        </is>
      </c>
      <c r="C766" s="9" t="inlineStr">
        <is>
          <t>Консультация</t>
        </is>
      </c>
      <c r="D766" s="9" t="inlineStr">
        <is>
          <t>Т1В-412Б-17</t>
        </is>
      </c>
      <c r="E766" s="10" t="n">
        <v>2</v>
      </c>
      <c r="F766" s="9" t="inlineStr">
        <is>
          <t>08769</t>
        </is>
      </c>
      <c r="G766" s="11" t="n">
        <v>0</v>
      </c>
      <c r="H766" s="9" t="inlineStr">
        <is>
          <t xml:space="preserve">81716     </t>
        </is>
      </c>
      <c r="I766" s="9" t="inlineStr">
        <is>
          <t xml:space="preserve">Жаров Максим Владимирович </t>
        </is>
      </c>
      <c r="J766" s="9" t="inlineStr">
        <is>
          <t>доцент</t>
        </is>
      </c>
      <c r="K766" s="9" t="n"/>
      <c r="L766" s="9" t="n"/>
      <c r="M766" s="12">
        <f>SUMIFS($E$2:$E$1130,$A$2:$A$1130,"осень",$I$2:$I$1130,I766)</f>
        <v/>
      </c>
      <c r="N766" s="13">
        <f>SUMIFS($E$2:$E$1130,$A$2:$A$1130,"весна",$I$2:$I$1130,I766)</f>
        <v/>
      </c>
      <c r="O766" s="14">
        <f>M766+N766</f>
        <v/>
      </c>
      <c r="P766" s="15">
        <f>O766/$P$1</f>
        <v/>
      </c>
    </row>
    <row r="767" hidden="1" ht="15.75" customHeight="1" s="2">
      <c r="A767" s="9" t="inlineStr">
        <is>
          <t>весна</t>
        </is>
      </c>
      <c r="B767" s="9" t="inlineStr">
        <is>
          <t>Основы математического и имитационного моделирования</t>
        </is>
      </c>
      <c r="C767" s="9" t="inlineStr">
        <is>
          <t>ЛК</t>
        </is>
      </c>
      <c r="D767" s="9" t="inlineStr">
        <is>
          <t>Т11О-304Б-18</t>
        </is>
      </c>
      <c r="E767" s="10" t="n">
        <v>16</v>
      </c>
      <c r="F767" s="9" t="inlineStr">
        <is>
          <t>08770</t>
        </is>
      </c>
      <c r="G767" s="10" t="n">
        <v>16</v>
      </c>
      <c r="H767" s="9" t="inlineStr">
        <is>
          <t xml:space="preserve">81728     </t>
        </is>
      </c>
      <c r="I767" s="9" t="inlineStr">
        <is>
          <t xml:space="preserve">Галкин Виктор Иванович </t>
        </is>
      </c>
      <c r="J767" s="9" t="inlineStr">
        <is>
          <t>профессор</t>
        </is>
      </c>
      <c r="K767" s="9" t="n"/>
      <c r="L767" s="9" t="n"/>
      <c r="M767" s="12">
        <f>SUMIFS($E$2:$E$1130,$A$2:$A$1130,"осень",$I$2:$I$1130,I767)</f>
        <v/>
      </c>
      <c r="N767" s="13">
        <f>SUMIFS($E$2:$E$1130,$A$2:$A$1130,"весна",$I$2:$I$1130,I767)</f>
        <v/>
      </c>
      <c r="O767" s="14">
        <f>M767+N767</f>
        <v/>
      </c>
      <c r="P767" s="15">
        <f>O767/$P$1</f>
        <v/>
      </c>
    </row>
    <row r="768" hidden="1" ht="15.75" customHeight="1" s="2">
      <c r="A768" s="9" t="inlineStr">
        <is>
          <t>весна</t>
        </is>
      </c>
      <c r="B768" s="9" t="inlineStr">
        <is>
          <t>Основы математического и имитационного моделирования</t>
        </is>
      </c>
      <c r="C768" s="9" t="inlineStr">
        <is>
          <t>ПЗ</t>
        </is>
      </c>
      <c r="D768" s="9" t="inlineStr">
        <is>
          <t>Т11О-304Б-18</t>
        </is>
      </c>
      <c r="E768" s="10" t="n">
        <v>24</v>
      </c>
      <c r="F768" s="9" t="inlineStr">
        <is>
          <t>08770</t>
        </is>
      </c>
      <c r="G768" s="10" t="n">
        <v>24</v>
      </c>
      <c r="H768" s="9" t="inlineStr">
        <is>
          <t xml:space="preserve">81728     </t>
        </is>
      </c>
      <c r="I768" s="9" t="inlineStr">
        <is>
          <t xml:space="preserve">Галкин Виктор Иванович </t>
        </is>
      </c>
      <c r="J768" s="9" t="inlineStr">
        <is>
          <t>профессор</t>
        </is>
      </c>
      <c r="K768" s="9" t="n"/>
      <c r="L768" s="9" t="n"/>
      <c r="M768" s="12">
        <f>SUMIFS($E$2:$E$1130,$A$2:$A$1130,"осень",$I$2:$I$1130,I768)</f>
        <v/>
      </c>
      <c r="N768" s="13">
        <f>SUMIFS($E$2:$E$1130,$A$2:$A$1130,"весна",$I$2:$I$1130,I768)</f>
        <v/>
      </c>
      <c r="O768" s="14">
        <f>M768+N768</f>
        <v/>
      </c>
      <c r="P768" s="15">
        <f>O768/$P$1</f>
        <v/>
      </c>
    </row>
    <row r="769" hidden="1" ht="15.75" customHeight="1" s="2">
      <c r="A769" s="9" t="inlineStr">
        <is>
          <t>весна</t>
        </is>
      </c>
      <c r="B769" s="9" t="inlineStr">
        <is>
          <t>Основы математического и имитационного моделирования</t>
        </is>
      </c>
      <c r="C769" s="9" t="inlineStr">
        <is>
          <t>Экзамен</t>
        </is>
      </c>
      <c r="D769" s="9" t="inlineStr">
        <is>
          <t>Т11О-304Б-18</t>
        </is>
      </c>
      <c r="E769" s="10" t="n">
        <v>9</v>
      </c>
      <c r="F769" s="9" t="inlineStr">
        <is>
          <t>08770</t>
        </is>
      </c>
      <c r="G769" s="11" t="n">
        <v>0</v>
      </c>
      <c r="H769" s="9" t="inlineStr">
        <is>
          <t xml:space="preserve">81728     </t>
        </is>
      </c>
      <c r="I769" s="9" t="inlineStr">
        <is>
          <t xml:space="preserve">Галкин Виктор Иванович </t>
        </is>
      </c>
      <c r="J769" s="9" t="inlineStr">
        <is>
          <t>профессор</t>
        </is>
      </c>
      <c r="K769" s="9" t="n"/>
      <c r="L769" s="9" t="n"/>
      <c r="M769" s="12">
        <f>SUMIFS($E$2:$E$1130,$A$2:$A$1130,"осень",$I$2:$I$1130,I769)</f>
        <v/>
      </c>
      <c r="N769" s="13">
        <f>SUMIFS($E$2:$E$1130,$A$2:$A$1130,"весна",$I$2:$I$1130,I769)</f>
        <v/>
      </c>
      <c r="O769" s="14">
        <f>M769+N769</f>
        <v/>
      </c>
      <c r="P769" s="15">
        <f>O769/$P$1</f>
        <v/>
      </c>
    </row>
    <row r="770" hidden="1" ht="15.75" customHeight="1" s="2">
      <c r="A770" s="9" t="inlineStr">
        <is>
          <t>весна</t>
        </is>
      </c>
      <c r="B770" s="9" t="inlineStr">
        <is>
          <t>Основы математического и имитационного моделирования</t>
        </is>
      </c>
      <c r="C770" s="9" t="inlineStr">
        <is>
          <t>Консультация</t>
        </is>
      </c>
      <c r="D770" s="9" t="inlineStr">
        <is>
          <t>Т11О-304Б-18</t>
        </is>
      </c>
      <c r="E770" s="10" t="n">
        <v>3</v>
      </c>
      <c r="F770" s="9" t="inlineStr">
        <is>
          <t>08770</t>
        </is>
      </c>
      <c r="G770" s="11" t="n">
        <v>0</v>
      </c>
      <c r="H770" s="9" t="inlineStr">
        <is>
          <t xml:space="preserve">81728     </t>
        </is>
      </c>
      <c r="I770" s="9" t="inlineStr">
        <is>
          <t xml:space="preserve">Галкин Виктор Иванович </t>
        </is>
      </c>
      <c r="J770" s="9" t="inlineStr">
        <is>
          <t>профессор</t>
        </is>
      </c>
      <c r="K770" s="9" t="n"/>
      <c r="L770" s="9" t="n"/>
      <c r="M770" s="12">
        <f>SUMIFS($E$2:$E$1130,$A$2:$A$1130,"осень",$I$2:$I$1130,I770)</f>
        <v/>
      </c>
      <c r="N770" s="13">
        <f>SUMIFS($E$2:$E$1130,$A$2:$A$1130,"весна",$I$2:$I$1130,I770)</f>
        <v/>
      </c>
      <c r="O770" s="14">
        <f>M770+N770</f>
        <v/>
      </c>
      <c r="P770" s="15">
        <f>O770/$P$1</f>
        <v/>
      </c>
    </row>
    <row r="771" hidden="1" ht="15.75" customHeight="1" s="2">
      <c r="A771" s="9" t="inlineStr">
        <is>
          <t>весна</t>
        </is>
      </c>
      <c r="B771" s="9" t="inlineStr">
        <is>
          <t>Основы технологии и организации получения продукции методами ППП</t>
        </is>
      </c>
      <c r="C771" s="9" t="inlineStr">
        <is>
          <t>ЛК</t>
        </is>
      </c>
      <c r="D771" s="9" t="inlineStr">
        <is>
          <t>Т11О-304Б-18</t>
        </is>
      </c>
      <c r="E771" s="10" t="n">
        <v>16</v>
      </c>
      <c r="F771" s="9" t="inlineStr">
        <is>
          <t>08770</t>
        </is>
      </c>
      <c r="G771" s="10" t="n">
        <v>16</v>
      </c>
      <c r="H771" s="9" t="inlineStr">
        <is>
          <t xml:space="preserve">81724     </t>
        </is>
      </c>
      <c r="I771" s="9" t="inlineStr">
        <is>
          <t xml:space="preserve">Галкин Евгений Владимирович </t>
        </is>
      </c>
      <c r="J771" s="9" t="inlineStr">
        <is>
          <t>доцент</t>
        </is>
      </c>
      <c r="K771" s="9" t="n"/>
      <c r="L771" s="9" t="n"/>
      <c r="M771" s="12">
        <f>SUMIFS($E$2:$E$1130,$A$2:$A$1130,"осень",$I$2:$I$1130,I771)</f>
        <v/>
      </c>
      <c r="N771" s="13">
        <f>SUMIFS($E$2:$E$1130,$A$2:$A$1130,"весна",$I$2:$I$1130,I771)</f>
        <v/>
      </c>
      <c r="O771" s="14">
        <f>M771+N771</f>
        <v/>
      </c>
      <c r="P771" s="15">
        <f>O771/$P$1</f>
        <v/>
      </c>
    </row>
    <row r="772" hidden="1" ht="15.75" customHeight="1" s="2">
      <c r="A772" s="9" t="inlineStr">
        <is>
          <t>весна</t>
        </is>
      </c>
      <c r="B772" s="9" t="inlineStr">
        <is>
          <t>Основы технологии и организации получения продукции методами ППП</t>
        </is>
      </c>
      <c r="C772" s="9" t="inlineStr">
        <is>
          <t>Зачет с оценкой</t>
        </is>
      </c>
      <c r="D772" s="9" t="inlineStr">
        <is>
          <t>Т11О-304Б-18</t>
        </is>
      </c>
      <c r="E772" s="10" t="n">
        <v>6</v>
      </c>
      <c r="F772" s="9" t="inlineStr">
        <is>
          <t>08770</t>
        </is>
      </c>
      <c r="G772" s="11" t="n">
        <v>0</v>
      </c>
      <c r="H772" s="9" t="inlineStr">
        <is>
          <t xml:space="preserve">81724     </t>
        </is>
      </c>
      <c r="I772" s="9" t="inlineStr">
        <is>
          <t xml:space="preserve">Галкин Евгений Владимирович </t>
        </is>
      </c>
      <c r="J772" s="9" t="inlineStr">
        <is>
          <t>доцент</t>
        </is>
      </c>
      <c r="K772" s="9" t="n"/>
      <c r="L772" s="9" t="n"/>
      <c r="M772" s="12">
        <f>SUMIFS($E$2:$E$1130,$A$2:$A$1130,"осень",$I$2:$I$1130,I772)</f>
        <v/>
      </c>
      <c r="N772" s="13">
        <f>SUMIFS($E$2:$E$1130,$A$2:$A$1130,"весна",$I$2:$I$1130,I772)</f>
        <v/>
      </c>
      <c r="O772" s="14">
        <f>M772+N772</f>
        <v/>
      </c>
      <c r="P772" s="15">
        <f>O772/$P$1</f>
        <v/>
      </c>
    </row>
    <row r="773" hidden="1" ht="15.75" customHeight="1" s="2">
      <c r="A773" s="9" t="inlineStr">
        <is>
          <t>весна</t>
        </is>
      </c>
      <c r="B773" s="9" t="inlineStr">
        <is>
          <t>Основы технологии и организации получения продукции методами ППП</t>
        </is>
      </c>
      <c r="C773" s="9" t="inlineStr">
        <is>
          <t>ПЗ</t>
        </is>
      </c>
      <c r="D773" s="9" t="inlineStr">
        <is>
          <t>Т11О-304Б-18</t>
        </is>
      </c>
      <c r="E773" s="10" t="n">
        <v>24</v>
      </c>
      <c r="F773" s="9" t="inlineStr">
        <is>
          <t>08770</t>
        </is>
      </c>
      <c r="G773" s="10" t="n">
        <v>24</v>
      </c>
      <c r="H773" s="9" t="inlineStr">
        <is>
          <t xml:space="preserve">81724     </t>
        </is>
      </c>
      <c r="I773" s="9" t="inlineStr">
        <is>
          <t xml:space="preserve">Галкин Евгений Владимирович </t>
        </is>
      </c>
      <c r="J773" s="9" t="inlineStr">
        <is>
          <t>доцент</t>
        </is>
      </c>
      <c r="K773" s="9" t="n"/>
      <c r="L773" s="9" t="n"/>
      <c r="M773" s="12">
        <f>SUMIFS($E$2:$E$1130,$A$2:$A$1130,"осень",$I$2:$I$1130,I773)</f>
        <v/>
      </c>
      <c r="N773" s="13">
        <f>SUMIFS($E$2:$E$1130,$A$2:$A$1130,"весна",$I$2:$I$1130,I773)</f>
        <v/>
      </c>
      <c r="O773" s="14">
        <f>M773+N773</f>
        <v/>
      </c>
      <c r="P773" s="15">
        <f>O773/$P$1</f>
        <v/>
      </c>
    </row>
    <row r="774" hidden="1" ht="15.75" customHeight="1" s="2">
      <c r="A774" s="9" t="inlineStr">
        <is>
          <t>весна</t>
        </is>
      </c>
      <c r="B774" s="9" t="inlineStr">
        <is>
          <t>Основы технологии и организации получения продукции методами ППП</t>
        </is>
      </c>
      <c r="C774" s="9" t="inlineStr">
        <is>
          <t>Консультация</t>
        </is>
      </c>
      <c r="D774" s="9" t="inlineStr">
        <is>
          <t>Т11О-304Б-18</t>
        </is>
      </c>
      <c r="E774" s="10" t="n">
        <v>1</v>
      </c>
      <c r="F774" s="9" t="inlineStr">
        <is>
          <t>08770</t>
        </is>
      </c>
      <c r="G774" s="11" t="n">
        <v>0</v>
      </c>
      <c r="H774" s="9" t="inlineStr">
        <is>
          <t xml:space="preserve">81724     </t>
        </is>
      </c>
      <c r="I774" s="9" t="inlineStr">
        <is>
          <t xml:space="preserve">Галкин Евгений Владимирович </t>
        </is>
      </c>
      <c r="J774" s="9" t="inlineStr">
        <is>
          <t>доцент</t>
        </is>
      </c>
      <c r="K774" s="9" t="n"/>
      <c r="L774" s="9" t="n"/>
      <c r="M774" s="12">
        <f>SUMIFS($E$2:$E$1130,$A$2:$A$1130,"осень",$I$2:$I$1130,I774)</f>
        <v/>
      </c>
      <c r="N774" s="13">
        <f>SUMIFS($E$2:$E$1130,$A$2:$A$1130,"весна",$I$2:$I$1130,I774)</f>
        <v/>
      </c>
      <c r="O774" s="14">
        <f>M774+N774</f>
        <v/>
      </c>
      <c r="P774" s="15">
        <f>O774/$P$1</f>
        <v/>
      </c>
    </row>
    <row r="775" hidden="1" ht="15.75" customHeight="1" s="2">
      <c r="A775" s="9" t="inlineStr">
        <is>
          <t>весна</t>
        </is>
      </c>
      <c r="B775" s="9" t="inlineStr">
        <is>
          <t>Диагностика и надежность автоматизированных систем</t>
        </is>
      </c>
      <c r="C775" s="9" t="inlineStr">
        <is>
          <t>ЛК</t>
        </is>
      </c>
      <c r="D775" s="9" t="inlineStr">
        <is>
          <t>Т11О-304Б-18</t>
        </is>
      </c>
      <c r="E775" s="10" t="n">
        <v>12</v>
      </c>
      <c r="F775" s="9" t="inlineStr">
        <is>
          <t>08770</t>
        </is>
      </c>
      <c r="G775" s="10" t="n">
        <v>12</v>
      </c>
      <c r="H775" s="9" t="inlineStr">
        <is>
          <t xml:space="preserve">81724     </t>
        </is>
      </c>
      <c r="I775" s="9" t="inlineStr">
        <is>
          <t xml:space="preserve">Галкин Евгений Владимирович </t>
        </is>
      </c>
      <c r="J775" s="9" t="inlineStr">
        <is>
          <t>доцент</t>
        </is>
      </c>
      <c r="K775" s="9" t="n"/>
      <c r="L775" s="9" t="n"/>
      <c r="M775" s="12">
        <f>SUMIFS($E$2:$E$1130,$A$2:$A$1130,"осень",$I$2:$I$1130,I775)</f>
        <v/>
      </c>
      <c r="N775" s="13">
        <f>SUMIFS($E$2:$E$1130,$A$2:$A$1130,"весна",$I$2:$I$1130,I775)</f>
        <v/>
      </c>
      <c r="O775" s="14">
        <f>M775+N775</f>
        <v/>
      </c>
      <c r="P775" s="15">
        <f>O775/$P$1</f>
        <v/>
      </c>
    </row>
    <row r="776" hidden="1" ht="15.75" customHeight="1" s="2">
      <c r="A776" s="9" t="inlineStr">
        <is>
          <t>весна</t>
        </is>
      </c>
      <c r="B776" s="9" t="inlineStr">
        <is>
          <t>Диагностика и надежность автоматизированных систем</t>
        </is>
      </c>
      <c r="C776" s="9" t="inlineStr">
        <is>
          <t>ЛР</t>
        </is>
      </c>
      <c r="D776" s="9" t="inlineStr">
        <is>
          <t>Т11О-304Б-18</t>
        </is>
      </c>
      <c r="E776" s="10" t="n">
        <v>40</v>
      </c>
      <c r="F776" s="9" t="inlineStr">
        <is>
          <t>08770</t>
        </is>
      </c>
      <c r="G776" s="10" t="n">
        <v>20</v>
      </c>
      <c r="H776" s="9" t="inlineStr">
        <is>
          <t xml:space="preserve">81724     </t>
        </is>
      </c>
      <c r="I776" s="9" t="inlineStr">
        <is>
          <t xml:space="preserve">Галкин Евгений Владимирович </t>
        </is>
      </c>
      <c r="J776" s="9" t="inlineStr">
        <is>
          <t>доцент</t>
        </is>
      </c>
      <c r="K776" s="9" t="n"/>
      <c r="L776" s="9" t="n"/>
      <c r="M776" s="12">
        <f>SUMIFS($E$2:$E$1130,$A$2:$A$1130,"осень",$I$2:$I$1130,I776)</f>
        <v/>
      </c>
      <c r="N776" s="13">
        <f>SUMIFS($E$2:$E$1130,$A$2:$A$1130,"весна",$I$2:$I$1130,I776)</f>
        <v/>
      </c>
      <c r="O776" s="14">
        <f>M776+N776</f>
        <v/>
      </c>
      <c r="P776" s="15">
        <f>O776/$P$1</f>
        <v/>
      </c>
    </row>
    <row r="777" hidden="1" ht="15.75" customHeight="1" s="2">
      <c r="A777" s="9" t="inlineStr">
        <is>
          <t>весна</t>
        </is>
      </c>
      <c r="B777" s="9" t="inlineStr">
        <is>
          <t>Диагностика и надежность автоматизированных систем</t>
        </is>
      </c>
      <c r="C777" s="9" t="inlineStr">
        <is>
          <t>Зачет</t>
        </is>
      </c>
      <c r="D777" s="9" t="inlineStr">
        <is>
          <t>Т11О-304Б-18</t>
        </is>
      </c>
      <c r="E777" s="10" t="n">
        <v>6</v>
      </c>
      <c r="F777" s="9" t="inlineStr">
        <is>
          <t>08770</t>
        </is>
      </c>
      <c r="G777" s="11" t="n">
        <v>0</v>
      </c>
      <c r="H777" s="9" t="inlineStr">
        <is>
          <t xml:space="preserve">81724     </t>
        </is>
      </c>
      <c r="I777" s="9" t="inlineStr">
        <is>
          <t xml:space="preserve">Галкин Евгений Владимирович </t>
        </is>
      </c>
      <c r="J777" s="9" t="inlineStr">
        <is>
          <t>доцент</t>
        </is>
      </c>
      <c r="K777" s="9" t="n"/>
      <c r="L777" s="9" t="n"/>
      <c r="M777" s="12">
        <f>SUMIFS($E$2:$E$1130,$A$2:$A$1130,"осень",$I$2:$I$1130,I777)</f>
        <v/>
      </c>
      <c r="N777" s="13">
        <f>SUMIFS($E$2:$E$1130,$A$2:$A$1130,"весна",$I$2:$I$1130,I777)</f>
        <v/>
      </c>
      <c r="O777" s="14">
        <f>M777+N777</f>
        <v/>
      </c>
      <c r="P777" s="15">
        <f>O777/$P$1</f>
        <v/>
      </c>
    </row>
    <row r="778" hidden="1" ht="15.75" customHeight="1" s="2">
      <c r="A778" s="9" t="inlineStr">
        <is>
          <t>весна</t>
        </is>
      </c>
      <c r="B778" s="9" t="inlineStr">
        <is>
          <t>Диагностика и надежность автоматизированных систем</t>
        </is>
      </c>
      <c r="C778" s="9" t="inlineStr">
        <is>
          <t>Консультация</t>
        </is>
      </c>
      <c r="D778" s="9" t="inlineStr">
        <is>
          <t>Т11О-304Б-18</t>
        </is>
      </c>
      <c r="E778" s="10" t="n">
        <v>1</v>
      </c>
      <c r="F778" s="9" t="inlineStr">
        <is>
          <t>08770</t>
        </is>
      </c>
      <c r="G778" s="11" t="n">
        <v>0</v>
      </c>
      <c r="H778" s="9" t="inlineStr">
        <is>
          <t xml:space="preserve">81724     </t>
        </is>
      </c>
      <c r="I778" s="9" t="inlineStr">
        <is>
          <t xml:space="preserve">Галкин Евгений Владимирович </t>
        </is>
      </c>
      <c r="J778" s="9" t="inlineStr">
        <is>
          <t>доцент</t>
        </is>
      </c>
      <c r="K778" s="9" t="n"/>
      <c r="L778" s="9" t="n"/>
      <c r="M778" s="12">
        <f>SUMIFS($E$2:$E$1130,$A$2:$A$1130,"осень",$I$2:$I$1130,I778)</f>
        <v/>
      </c>
      <c r="N778" s="13">
        <f>SUMIFS($E$2:$E$1130,$A$2:$A$1130,"весна",$I$2:$I$1130,I778)</f>
        <v/>
      </c>
      <c r="O778" s="14">
        <f>M778+N778</f>
        <v/>
      </c>
      <c r="P778" s="15">
        <f>O778/$P$1</f>
        <v/>
      </c>
    </row>
    <row r="779" hidden="1" ht="15.75" customHeight="1" s="2">
      <c r="A779" s="22" t="inlineStr">
        <is>
          <t>весна</t>
        </is>
      </c>
      <c r="B779" s="9" t="inlineStr">
        <is>
          <t>Организация и планирование автоматизированных производств</t>
        </is>
      </c>
      <c r="C779" s="9" t="inlineStr">
        <is>
          <t>ЛК</t>
        </is>
      </c>
      <c r="D779" s="9" t="inlineStr">
        <is>
          <t>Т1О-404Б-17</t>
        </is>
      </c>
      <c r="E779" s="10" t="n">
        <v>16</v>
      </c>
      <c r="F779" s="9" t="inlineStr">
        <is>
          <t>08770</t>
        </is>
      </c>
      <c r="G779" s="10" t="n">
        <v>16</v>
      </c>
      <c r="H779" s="9" t="inlineStr">
        <is>
          <t xml:space="preserve">81716     </t>
        </is>
      </c>
      <c r="I779" s="9" t="inlineStr">
        <is>
          <t xml:space="preserve">Жаров Максим Владимирович </t>
        </is>
      </c>
      <c r="J779" s="9" t="inlineStr">
        <is>
          <t>доцент</t>
        </is>
      </c>
      <c r="K779" s="9" t="n"/>
      <c r="L779" s="9" t="n"/>
      <c r="M779" s="12">
        <f>SUMIFS($E$2:$E$1130,$A$2:$A$1130,"осень",$I$2:$I$1130,I779)</f>
        <v/>
      </c>
      <c r="N779" s="13">
        <f>SUMIFS($E$2:$E$1130,$A$2:$A$1130,"весна",$I$2:$I$1130,I779)</f>
        <v/>
      </c>
      <c r="O779" s="14">
        <f>M779+N779</f>
        <v/>
      </c>
      <c r="P779" s="15">
        <f>O779/$P$1</f>
        <v/>
      </c>
    </row>
    <row r="780" hidden="1" ht="15.75" customHeight="1" s="2">
      <c r="A780" s="22" t="inlineStr">
        <is>
          <t>весна</t>
        </is>
      </c>
      <c r="B780" s="9" t="inlineStr">
        <is>
          <t>Организация и планирование автоматизированных производств</t>
        </is>
      </c>
      <c r="C780" s="9" t="inlineStr">
        <is>
          <t>ПЗ</t>
        </is>
      </c>
      <c r="D780" s="9" t="inlineStr">
        <is>
          <t>Т1О-404Б-17</t>
        </is>
      </c>
      <c r="E780" s="10" t="n">
        <v>8</v>
      </c>
      <c r="F780" s="9" t="inlineStr">
        <is>
          <t>08770</t>
        </is>
      </c>
      <c r="G780" s="10" t="n">
        <v>8</v>
      </c>
      <c r="H780" s="9" t="inlineStr">
        <is>
          <t xml:space="preserve">81716     </t>
        </is>
      </c>
      <c r="I780" s="9" t="inlineStr">
        <is>
          <t xml:space="preserve">Жаров Максим Владимирович </t>
        </is>
      </c>
      <c r="J780" s="9" t="inlineStr">
        <is>
          <t>доцент</t>
        </is>
      </c>
      <c r="K780" s="9" t="n"/>
      <c r="L780" s="9" t="n"/>
      <c r="M780" s="12">
        <f>SUMIFS($E$2:$E$1130,$A$2:$A$1130,"осень",$I$2:$I$1130,I780)</f>
        <v/>
      </c>
      <c r="N780" s="13">
        <f>SUMIFS($E$2:$E$1130,$A$2:$A$1130,"весна",$I$2:$I$1130,I780)</f>
        <v/>
      </c>
      <c r="O780" s="14">
        <f>M780+N780</f>
        <v/>
      </c>
      <c r="P780" s="15">
        <f>O780/$P$1</f>
        <v/>
      </c>
    </row>
    <row r="781" hidden="1" ht="15.75" customHeight="1" s="2">
      <c r="A781" s="22" t="inlineStr">
        <is>
          <t>весна</t>
        </is>
      </c>
      <c r="B781" s="9" t="inlineStr">
        <is>
          <t>Организация и планирование автоматизированных производств</t>
        </is>
      </c>
      <c r="C781" s="9" t="inlineStr">
        <is>
          <t>Зачет</t>
        </is>
      </c>
      <c r="D781" s="9" t="inlineStr">
        <is>
          <t>Т1О-404Б-17</t>
        </is>
      </c>
      <c r="E781" s="10" t="n">
        <v>8</v>
      </c>
      <c r="F781" s="9" t="inlineStr">
        <is>
          <t>08770</t>
        </is>
      </c>
      <c r="G781" s="11" t="n">
        <v>0</v>
      </c>
      <c r="H781" s="9" t="inlineStr">
        <is>
          <t xml:space="preserve">81716     </t>
        </is>
      </c>
      <c r="I781" s="9" t="inlineStr">
        <is>
          <t xml:space="preserve">Жаров Максим Владимирович </t>
        </is>
      </c>
      <c r="J781" s="9" t="inlineStr">
        <is>
          <t>доцент</t>
        </is>
      </c>
      <c r="K781" s="9" t="n"/>
      <c r="L781" s="9" t="n"/>
      <c r="M781" s="12">
        <f>SUMIFS($E$2:$E$1130,$A$2:$A$1130,"осень",$I$2:$I$1130,I781)</f>
        <v/>
      </c>
      <c r="N781" s="13">
        <f>SUMIFS($E$2:$E$1130,$A$2:$A$1130,"весна",$I$2:$I$1130,I781)</f>
        <v/>
      </c>
      <c r="O781" s="14">
        <f>M781+N781</f>
        <v/>
      </c>
      <c r="P781" s="15">
        <f>O781/$P$1</f>
        <v/>
      </c>
    </row>
    <row r="782" hidden="1" ht="15.75" customHeight="1" s="2">
      <c r="A782" s="22" t="inlineStr">
        <is>
          <t>весна</t>
        </is>
      </c>
      <c r="B782" s="9" t="inlineStr">
        <is>
          <t>Организация и планирование автоматизированных производств</t>
        </is>
      </c>
      <c r="C782" s="9" t="inlineStr">
        <is>
          <t>Консультация</t>
        </is>
      </c>
      <c r="D782" s="9" t="inlineStr">
        <is>
          <t>Т1О-404Б-17</t>
        </is>
      </c>
      <c r="E782" s="10" t="n">
        <v>1</v>
      </c>
      <c r="F782" s="9" t="inlineStr">
        <is>
          <t>08770</t>
        </is>
      </c>
      <c r="G782" s="11" t="n">
        <v>0</v>
      </c>
      <c r="H782" s="9" t="inlineStr">
        <is>
          <t xml:space="preserve">81716     </t>
        </is>
      </c>
      <c r="I782" s="9" t="inlineStr">
        <is>
          <t xml:space="preserve">Жаров Максим Владимирович </t>
        </is>
      </c>
      <c r="J782" s="9" t="inlineStr">
        <is>
          <t>доцент</t>
        </is>
      </c>
      <c r="K782" s="9" t="n"/>
      <c r="L782" s="9" t="n"/>
      <c r="M782" s="12">
        <f>SUMIFS($E$2:$E$1130,$A$2:$A$1130,"осень",$I$2:$I$1130,I782)</f>
        <v/>
      </c>
      <c r="N782" s="13">
        <f>SUMIFS($E$2:$E$1130,$A$2:$A$1130,"весна",$I$2:$I$1130,I782)</f>
        <v/>
      </c>
      <c r="O782" s="14">
        <f>M782+N782</f>
        <v/>
      </c>
      <c r="P782" s="15">
        <f>O782/$P$1</f>
        <v/>
      </c>
    </row>
    <row r="783" hidden="1" ht="15.75" customHeight="1" s="2">
      <c r="A783" s="9" t="inlineStr">
        <is>
          <t>весна</t>
        </is>
      </c>
      <c r="B783" s="9" t="inlineStr">
        <is>
          <t>CALS-технологии в производстве продукции</t>
        </is>
      </c>
      <c r="C783" s="9" t="inlineStr">
        <is>
          <t>ЛК</t>
        </is>
      </c>
      <c r="D783" s="9" t="inlineStr">
        <is>
          <t>Т1О-404Б-17</t>
        </is>
      </c>
      <c r="E783" s="10" t="n">
        <v>24</v>
      </c>
      <c r="F783" s="9" t="inlineStr">
        <is>
          <t>08770</t>
        </is>
      </c>
      <c r="G783" s="10" t="n">
        <v>24</v>
      </c>
      <c r="H783" s="9" t="inlineStr">
        <is>
          <t xml:space="preserve">81724     </t>
        </is>
      </c>
      <c r="I783" s="9" t="inlineStr">
        <is>
          <t xml:space="preserve">Галкин Евгений Владимирович </t>
        </is>
      </c>
      <c r="J783" s="9" t="inlineStr">
        <is>
          <t>доцент</t>
        </is>
      </c>
      <c r="K783" s="9" t="n"/>
      <c r="L783" s="9" t="n"/>
      <c r="M783" s="12">
        <f>SUMIFS($E$2:$E$1130,$A$2:$A$1130,"осень",$I$2:$I$1130,I783)</f>
        <v/>
      </c>
      <c r="N783" s="13">
        <f>SUMIFS($E$2:$E$1130,$A$2:$A$1130,"весна",$I$2:$I$1130,I783)</f>
        <v/>
      </c>
      <c r="O783" s="14">
        <f>M783+N783</f>
        <v/>
      </c>
      <c r="P783" s="15">
        <f>O783/$P$1</f>
        <v/>
      </c>
    </row>
    <row r="784" hidden="1" ht="15.75" customHeight="1" s="2">
      <c r="A784" s="9" t="inlineStr">
        <is>
          <t>весна</t>
        </is>
      </c>
      <c r="B784" s="9" t="inlineStr">
        <is>
          <t>CALS-технологии в производстве продукции</t>
        </is>
      </c>
      <c r="C784" s="9" t="inlineStr">
        <is>
          <t>ПЗ</t>
        </is>
      </c>
      <c r="D784" s="9" t="inlineStr">
        <is>
          <t>Т1О-404Б-17</t>
        </is>
      </c>
      <c r="E784" s="10" t="n">
        <v>32</v>
      </c>
      <c r="F784" s="9" t="inlineStr">
        <is>
          <t>08770</t>
        </is>
      </c>
      <c r="G784" s="10" t="n">
        <v>32</v>
      </c>
      <c r="H784" s="9" t="inlineStr">
        <is>
          <t xml:space="preserve">81724     </t>
        </is>
      </c>
      <c r="I784" s="9" t="inlineStr">
        <is>
          <t xml:space="preserve">Галкин Евгений Владимирович </t>
        </is>
      </c>
      <c r="J784" s="9" t="inlineStr">
        <is>
          <t>доцент</t>
        </is>
      </c>
      <c r="K784" s="9" t="n"/>
      <c r="L784" s="9" t="n"/>
      <c r="M784" s="12">
        <f>SUMIFS($E$2:$E$1130,$A$2:$A$1130,"осень",$I$2:$I$1130,I784)</f>
        <v/>
      </c>
      <c r="N784" s="13">
        <f>SUMIFS($E$2:$E$1130,$A$2:$A$1130,"весна",$I$2:$I$1130,I784)</f>
        <v/>
      </c>
      <c r="O784" s="14">
        <f>M784+N784</f>
        <v/>
      </c>
      <c r="P784" s="15">
        <f>O784/$P$1</f>
        <v/>
      </c>
    </row>
    <row r="785" hidden="1" ht="15.75" customHeight="1" s="2">
      <c r="A785" s="9" t="inlineStr">
        <is>
          <t>весна</t>
        </is>
      </c>
      <c r="B785" s="9" t="inlineStr">
        <is>
          <t>CALS-технологии в производстве продукции</t>
        </is>
      </c>
      <c r="C785" s="9" t="inlineStr">
        <is>
          <t>Экзамен</t>
        </is>
      </c>
      <c r="D785" s="9" t="inlineStr">
        <is>
          <t>Т1О-404Б-17</t>
        </is>
      </c>
      <c r="E785" s="10" t="n">
        <v>12</v>
      </c>
      <c r="F785" s="9" t="inlineStr">
        <is>
          <t>08770</t>
        </is>
      </c>
      <c r="G785" s="11" t="n">
        <v>0</v>
      </c>
      <c r="H785" s="9" t="inlineStr">
        <is>
          <t xml:space="preserve">81724     </t>
        </is>
      </c>
      <c r="I785" s="9" t="inlineStr">
        <is>
          <t xml:space="preserve">Галкин Евгений Владимирович </t>
        </is>
      </c>
      <c r="J785" s="9" t="inlineStr">
        <is>
          <t>доцент</t>
        </is>
      </c>
      <c r="K785" s="9" t="n"/>
      <c r="L785" s="9" t="n"/>
      <c r="M785" s="12">
        <f>SUMIFS($E$2:$E$1130,$A$2:$A$1130,"осень",$I$2:$I$1130,I785)</f>
        <v/>
      </c>
      <c r="N785" s="13">
        <f>SUMIFS($E$2:$E$1130,$A$2:$A$1130,"весна",$I$2:$I$1130,I785)</f>
        <v/>
      </c>
      <c r="O785" s="14">
        <f>M785+N785</f>
        <v/>
      </c>
      <c r="P785" s="15">
        <f>O785/$P$1</f>
        <v/>
      </c>
    </row>
    <row r="786" hidden="1" ht="15.75" customHeight="1" s="2">
      <c r="A786" s="9" t="inlineStr">
        <is>
          <t>весна</t>
        </is>
      </c>
      <c r="B786" s="9" t="inlineStr">
        <is>
          <t>CALS-технологии в производстве продукции</t>
        </is>
      </c>
      <c r="C786" s="9" t="inlineStr">
        <is>
          <t>Консультация</t>
        </is>
      </c>
      <c r="D786" s="9" t="inlineStr">
        <is>
          <t>Т1О-404Б-17</t>
        </is>
      </c>
      <c r="E786" s="10" t="n">
        <v>3</v>
      </c>
      <c r="F786" s="9" t="inlineStr">
        <is>
          <t>08770</t>
        </is>
      </c>
      <c r="G786" s="11" t="n">
        <v>0</v>
      </c>
      <c r="H786" s="9" t="inlineStr">
        <is>
          <t xml:space="preserve">81724     </t>
        </is>
      </c>
      <c r="I786" s="9" t="inlineStr">
        <is>
          <t xml:space="preserve">Галкин Евгений Владимирович </t>
        </is>
      </c>
      <c r="J786" s="9" t="inlineStr">
        <is>
          <t>доцент</t>
        </is>
      </c>
      <c r="K786" s="9" t="n"/>
      <c r="L786" s="9" t="n"/>
      <c r="M786" s="12">
        <f>SUMIFS($E$2:$E$1130,$A$2:$A$1130,"осень",$I$2:$I$1130,I786)</f>
        <v/>
      </c>
      <c r="N786" s="13">
        <f>SUMIFS($E$2:$E$1130,$A$2:$A$1130,"весна",$I$2:$I$1130,I786)</f>
        <v/>
      </c>
      <c r="O786" s="14">
        <f>M786+N786</f>
        <v/>
      </c>
      <c r="P786" s="15">
        <f>O786/$P$1</f>
        <v/>
      </c>
    </row>
    <row r="787" hidden="1" ht="15.75" customHeight="1" s="2">
      <c r="A787" s="9" t="inlineStr">
        <is>
          <t>весна</t>
        </is>
      </c>
      <c r="B787" s="9" t="inlineStr">
        <is>
          <t>ESS-технологии в управлении жизненным циклом продукции</t>
        </is>
      </c>
      <c r="C787" s="9" t="inlineStr">
        <is>
          <t>ЛК</t>
        </is>
      </c>
      <c r="D787" s="9" t="inlineStr">
        <is>
          <t>Т1О-404Б-17</t>
        </is>
      </c>
      <c r="E787" s="10" t="n">
        <v>16</v>
      </c>
      <c r="F787" s="9" t="inlineStr">
        <is>
          <t>08770</t>
        </is>
      </c>
      <c r="G787" s="10" t="n">
        <v>16</v>
      </c>
      <c r="H787" s="9" t="inlineStr">
        <is>
          <t xml:space="preserve">81716     </t>
        </is>
      </c>
      <c r="I787" s="9" t="inlineStr">
        <is>
          <t xml:space="preserve">Жаров Максим Владимирович </t>
        </is>
      </c>
      <c r="J787" s="9" t="inlineStr">
        <is>
          <t>доцент</t>
        </is>
      </c>
      <c r="K787" s="9" t="n"/>
      <c r="L787" s="9" t="n"/>
      <c r="M787" s="12">
        <f>SUMIFS($E$2:$E$1130,$A$2:$A$1130,"осень",$I$2:$I$1130,I787)</f>
        <v/>
      </c>
      <c r="N787" s="13">
        <f>SUMIFS($E$2:$E$1130,$A$2:$A$1130,"весна",$I$2:$I$1130,I787)</f>
        <v/>
      </c>
      <c r="O787" s="14">
        <f>M787+N787</f>
        <v/>
      </c>
      <c r="P787" s="15">
        <f>O787/$P$1</f>
        <v/>
      </c>
    </row>
    <row r="788" hidden="1" ht="15.75" customHeight="1" s="2">
      <c r="A788" s="9" t="inlineStr">
        <is>
          <t>весна</t>
        </is>
      </c>
      <c r="B788" s="9" t="inlineStr">
        <is>
          <t>ESS-технологии в управлении жизненным циклом продукции</t>
        </is>
      </c>
      <c r="C788" s="9" t="inlineStr">
        <is>
          <t>ПЗ</t>
        </is>
      </c>
      <c r="D788" s="9" t="inlineStr">
        <is>
          <t>Т1О-404Б-17</t>
        </is>
      </c>
      <c r="E788" s="10" t="n">
        <v>24</v>
      </c>
      <c r="F788" s="9" t="inlineStr">
        <is>
          <t>08770</t>
        </is>
      </c>
      <c r="G788" s="10" t="n">
        <v>24</v>
      </c>
      <c r="H788" s="9" t="inlineStr">
        <is>
          <t xml:space="preserve">81716     </t>
        </is>
      </c>
      <c r="I788" s="9" t="inlineStr">
        <is>
          <t xml:space="preserve">Жаров Максим Владимирович </t>
        </is>
      </c>
      <c r="J788" s="9" t="inlineStr">
        <is>
          <t>доцент</t>
        </is>
      </c>
      <c r="K788" s="9" t="n"/>
      <c r="L788" s="9" t="n"/>
      <c r="M788" s="12">
        <f>SUMIFS($E$2:$E$1130,$A$2:$A$1130,"осень",$I$2:$I$1130,I788)</f>
        <v/>
      </c>
      <c r="N788" s="13">
        <f>SUMIFS($E$2:$E$1130,$A$2:$A$1130,"весна",$I$2:$I$1130,I788)</f>
        <v/>
      </c>
      <c r="O788" s="14">
        <f>M788+N788</f>
        <v/>
      </c>
      <c r="P788" s="15">
        <f>O788/$P$1</f>
        <v/>
      </c>
    </row>
    <row r="789" hidden="1" ht="15.75" customHeight="1" s="2">
      <c r="A789" s="9" t="inlineStr">
        <is>
          <t>весна</t>
        </is>
      </c>
      <c r="B789" s="9" t="inlineStr">
        <is>
          <t>ESS-технологии в управлении жизненным циклом продукции</t>
        </is>
      </c>
      <c r="C789" s="9" t="inlineStr">
        <is>
          <t>Зачет</t>
        </is>
      </c>
      <c r="D789" s="9" t="inlineStr">
        <is>
          <t>Т1О-404Б-17</t>
        </is>
      </c>
      <c r="E789" s="10" t="n">
        <v>8</v>
      </c>
      <c r="F789" s="9" t="inlineStr">
        <is>
          <t>08770</t>
        </is>
      </c>
      <c r="G789" s="11" t="n">
        <v>0</v>
      </c>
      <c r="H789" s="9" t="inlineStr">
        <is>
          <t xml:space="preserve">81716     </t>
        </is>
      </c>
      <c r="I789" s="9" t="inlineStr">
        <is>
          <t xml:space="preserve">Жаров Максим Владимирович </t>
        </is>
      </c>
      <c r="J789" s="9" t="inlineStr">
        <is>
          <t>доцент</t>
        </is>
      </c>
      <c r="K789" s="9" t="n"/>
      <c r="L789" s="9" t="n"/>
      <c r="M789" s="12">
        <f>SUMIFS($E$2:$E$1130,$A$2:$A$1130,"осень",$I$2:$I$1130,I789)</f>
        <v/>
      </c>
      <c r="N789" s="13">
        <f>SUMIFS($E$2:$E$1130,$A$2:$A$1130,"весна",$I$2:$I$1130,I789)</f>
        <v/>
      </c>
      <c r="O789" s="14">
        <f>M789+N789</f>
        <v/>
      </c>
      <c r="P789" s="15">
        <f>O789/$P$1</f>
        <v/>
      </c>
    </row>
    <row r="790" hidden="1" ht="15.75" customHeight="1" s="2">
      <c r="A790" s="9" t="inlineStr">
        <is>
          <t>весна</t>
        </is>
      </c>
      <c r="B790" s="9" t="inlineStr">
        <is>
          <t>ESS-технологии в управлении жизненным циклом продукции</t>
        </is>
      </c>
      <c r="C790" s="9" t="inlineStr">
        <is>
          <t>Консультация</t>
        </is>
      </c>
      <c r="D790" s="9" t="inlineStr">
        <is>
          <t>Т1О-404Б-17</t>
        </is>
      </c>
      <c r="E790" s="10" t="n">
        <v>1</v>
      </c>
      <c r="F790" s="9" t="inlineStr">
        <is>
          <t>08770</t>
        </is>
      </c>
      <c r="G790" s="11" t="n">
        <v>0</v>
      </c>
      <c r="H790" s="9" t="inlineStr">
        <is>
          <t xml:space="preserve">81716     </t>
        </is>
      </c>
      <c r="I790" s="9" t="inlineStr">
        <is>
          <t xml:space="preserve">Жаров Максим Владимирович </t>
        </is>
      </c>
      <c r="J790" s="9" t="inlineStr">
        <is>
          <t>доцент</t>
        </is>
      </c>
      <c r="K790" s="9" t="n"/>
      <c r="L790" s="9" t="n"/>
      <c r="M790" s="12">
        <f>SUMIFS($E$2:$E$1130,$A$2:$A$1130,"осень",$I$2:$I$1130,I790)</f>
        <v/>
      </c>
      <c r="N790" s="13">
        <f>SUMIFS($E$2:$E$1130,$A$2:$A$1130,"весна",$I$2:$I$1130,I790)</f>
        <v/>
      </c>
      <c r="O790" s="14">
        <f>M790+N790</f>
        <v/>
      </c>
      <c r="P790" s="15">
        <f>O790/$P$1</f>
        <v/>
      </c>
    </row>
    <row r="791" hidden="1" ht="15.75" customHeight="1" s="2">
      <c r="A791" s="9" t="inlineStr">
        <is>
          <t>весна</t>
        </is>
      </c>
      <c r="B791" s="9" t="inlineStr">
        <is>
          <t>Технология прокатно-прессового производства</t>
        </is>
      </c>
      <c r="C791" s="9" t="inlineStr">
        <is>
          <t>ЛК</t>
        </is>
      </c>
      <c r="D791" s="9" t="inlineStr">
        <is>
          <t>Т1В-412Б-17</t>
        </is>
      </c>
      <c r="E791" s="10" t="n">
        <v>26</v>
      </c>
      <c r="F791" s="9" t="inlineStr">
        <is>
          <t>08769</t>
        </is>
      </c>
      <c r="G791" s="10" t="n">
        <v>26</v>
      </c>
      <c r="H791" s="9" t="inlineStr">
        <is>
          <t xml:space="preserve">81722     </t>
        </is>
      </c>
      <c r="I791" s="9" t="inlineStr">
        <is>
          <t xml:space="preserve">Шленский Алексей Геннадьевич </t>
        </is>
      </c>
      <c r="J791" s="9" t="inlineStr">
        <is>
          <t>доцент</t>
        </is>
      </c>
      <c r="K791" s="9" t="n"/>
      <c r="L791" s="9" t="n"/>
      <c r="M791" s="12">
        <f>SUMIFS($E$2:$E$1130,$A$2:$A$1130,"осень",$I$2:$I$1130,I791)</f>
        <v/>
      </c>
      <c r="N791" s="13">
        <f>SUMIFS($E$2:$E$1130,$A$2:$A$1130,"весна",$I$2:$I$1130,I791)</f>
        <v/>
      </c>
      <c r="O791" s="14">
        <f>M791+N791</f>
        <v/>
      </c>
      <c r="P791" s="15">
        <f>O791/$P$1</f>
        <v/>
      </c>
    </row>
    <row r="792" hidden="1" ht="15.75" customHeight="1" s="2">
      <c r="A792" s="9" t="inlineStr">
        <is>
          <t>весна</t>
        </is>
      </c>
      <c r="B792" s="9" t="inlineStr">
        <is>
          <t>Технология прокатно-прессового производства</t>
        </is>
      </c>
      <c r="C792" s="9" t="inlineStr">
        <is>
          <t>КР</t>
        </is>
      </c>
      <c r="D792" s="9" t="inlineStr">
        <is>
          <t>Т1В-412Б-17</t>
        </is>
      </c>
      <c r="E792" s="10" t="n">
        <v>33</v>
      </c>
      <c r="F792" s="9" t="inlineStr">
        <is>
          <t>08769</t>
        </is>
      </c>
      <c r="G792" s="11" t="n">
        <v>0</v>
      </c>
      <c r="H792" s="9" t="inlineStr">
        <is>
          <t xml:space="preserve">81722     </t>
        </is>
      </c>
      <c r="I792" s="9" t="inlineStr">
        <is>
          <t xml:space="preserve">Шленский Алексей Геннадьевич </t>
        </is>
      </c>
      <c r="J792" s="9" t="inlineStr">
        <is>
          <t>доцент</t>
        </is>
      </c>
      <c r="K792" s="9" t="n"/>
      <c r="L792" s="9" t="n"/>
      <c r="M792" s="12">
        <f>SUMIFS($E$2:$E$1130,$A$2:$A$1130,"осень",$I$2:$I$1130,I792)</f>
        <v/>
      </c>
      <c r="N792" s="13">
        <f>SUMIFS($E$2:$E$1130,$A$2:$A$1130,"весна",$I$2:$I$1130,I792)</f>
        <v/>
      </c>
      <c r="O792" s="14">
        <f>M792+N792</f>
        <v/>
      </c>
      <c r="P792" s="15">
        <f>O792/$P$1</f>
        <v/>
      </c>
    </row>
    <row r="793" hidden="1" ht="15.75" customHeight="1" s="2">
      <c r="A793" s="9" t="inlineStr">
        <is>
          <t>весна</t>
        </is>
      </c>
      <c r="B793" s="9" t="inlineStr">
        <is>
          <t>Технология прокатно-прессового производства</t>
        </is>
      </c>
      <c r="C793" s="9" t="inlineStr">
        <is>
          <t>ПЗ</t>
        </is>
      </c>
      <c r="D793" s="9" t="inlineStr">
        <is>
          <t>Т1В-412Б-17</t>
        </is>
      </c>
      <c r="E793" s="10" t="n">
        <v>42</v>
      </c>
      <c r="F793" s="9" t="inlineStr">
        <is>
          <t>08769</t>
        </is>
      </c>
      <c r="G793" s="10" t="n">
        <v>42</v>
      </c>
      <c r="H793" s="9" t="inlineStr">
        <is>
          <t xml:space="preserve">81722     </t>
        </is>
      </c>
      <c r="I793" s="9" t="inlineStr">
        <is>
          <t xml:space="preserve">Шленский Алексей Геннадьевич </t>
        </is>
      </c>
      <c r="J793" s="9" t="inlineStr">
        <is>
          <t>доцент</t>
        </is>
      </c>
      <c r="K793" s="9" t="n"/>
      <c r="L793" s="9" t="n"/>
      <c r="M793" s="12">
        <f>SUMIFS($E$2:$E$1130,$A$2:$A$1130,"осень",$I$2:$I$1130,I793)</f>
        <v/>
      </c>
      <c r="N793" s="13">
        <f>SUMIFS($E$2:$E$1130,$A$2:$A$1130,"весна",$I$2:$I$1130,I793)</f>
        <v/>
      </c>
      <c r="O793" s="14">
        <f>M793+N793</f>
        <v/>
      </c>
      <c r="P793" s="15">
        <f>O793/$P$1</f>
        <v/>
      </c>
    </row>
    <row r="794" hidden="1" ht="15.75" customHeight="1" s="2">
      <c r="A794" s="9" t="inlineStr">
        <is>
          <t>весна</t>
        </is>
      </c>
      <c r="B794" s="9" t="inlineStr">
        <is>
          <t>Технология прокатно-прессового производства</t>
        </is>
      </c>
      <c r="C794" s="9" t="inlineStr">
        <is>
          <t>Экзамен</t>
        </is>
      </c>
      <c r="D794" s="9" t="inlineStr">
        <is>
          <t>Т1В-412Б-17</t>
        </is>
      </c>
      <c r="E794" s="10" t="n">
        <v>6</v>
      </c>
      <c r="F794" s="9" t="inlineStr">
        <is>
          <t>08769</t>
        </is>
      </c>
      <c r="G794" s="11" t="n">
        <v>0</v>
      </c>
      <c r="H794" s="9" t="inlineStr">
        <is>
          <t xml:space="preserve">81722     </t>
        </is>
      </c>
      <c r="I794" s="9" t="inlineStr">
        <is>
          <t xml:space="preserve">Шленский Алексей Геннадьевич </t>
        </is>
      </c>
      <c r="J794" s="9" t="inlineStr">
        <is>
          <t>доцент</t>
        </is>
      </c>
      <c r="K794" s="9" t="n"/>
      <c r="L794" s="9" t="n"/>
      <c r="M794" s="12">
        <f>SUMIFS($E$2:$E$1130,$A$2:$A$1130,"осень",$I$2:$I$1130,I794)</f>
        <v/>
      </c>
      <c r="N794" s="13">
        <f>SUMIFS($E$2:$E$1130,$A$2:$A$1130,"весна",$I$2:$I$1130,I794)</f>
        <v/>
      </c>
      <c r="O794" s="14">
        <f>M794+N794</f>
        <v/>
      </c>
      <c r="P794" s="15">
        <f>O794/$P$1</f>
        <v/>
      </c>
    </row>
    <row r="795" hidden="1" ht="15.75" customHeight="1" s="2">
      <c r="A795" s="9" t="inlineStr">
        <is>
          <t>весна</t>
        </is>
      </c>
      <c r="B795" s="9" t="inlineStr">
        <is>
          <t>Технология прокатно-прессового производства</t>
        </is>
      </c>
      <c r="C795" s="9" t="inlineStr">
        <is>
          <t>Консультация</t>
        </is>
      </c>
      <c r="D795" s="9" t="inlineStr">
        <is>
          <t>Т1В-412Б-17</t>
        </is>
      </c>
      <c r="E795" s="10" t="n">
        <v>5</v>
      </c>
      <c r="F795" s="9" t="inlineStr">
        <is>
          <t>08769</t>
        </is>
      </c>
      <c r="G795" s="11" t="n">
        <v>0</v>
      </c>
      <c r="H795" s="9" t="inlineStr">
        <is>
          <t xml:space="preserve">81722     </t>
        </is>
      </c>
      <c r="I795" s="9" t="inlineStr">
        <is>
          <t xml:space="preserve">Шленский Алексей Геннадьевич </t>
        </is>
      </c>
      <c r="J795" s="9" t="inlineStr">
        <is>
          <t>доцент</t>
        </is>
      </c>
      <c r="K795" s="9" t="n"/>
      <c r="L795" s="9" t="n"/>
      <c r="M795" s="12">
        <f>SUMIFS($E$2:$E$1130,$A$2:$A$1130,"осень",$I$2:$I$1130,I795)</f>
        <v/>
      </c>
      <c r="N795" s="13">
        <f>SUMIFS($E$2:$E$1130,$A$2:$A$1130,"весна",$I$2:$I$1130,I795)</f>
        <v/>
      </c>
      <c r="O795" s="14">
        <f>M795+N795</f>
        <v/>
      </c>
      <c r="P795" s="15">
        <f>O795/$P$1</f>
        <v/>
      </c>
    </row>
    <row r="796" hidden="1" ht="15.75" customHeight="1" s="2">
      <c r="A796" s="9" t="inlineStr">
        <is>
          <t>весна</t>
        </is>
      </c>
      <c r="B796" s="9" t="inlineStr">
        <is>
          <t>Программирование и алгоритмизация</t>
        </is>
      </c>
      <c r="C796" s="9" t="inlineStr">
        <is>
          <t>ЛК</t>
        </is>
      </c>
      <c r="D796" s="9" t="inlineStr">
        <is>
          <t>Т11О-103Б-20</t>
        </is>
      </c>
      <c r="E796" s="10" t="n">
        <v>12</v>
      </c>
      <c r="F796" s="9" t="inlineStr">
        <is>
          <t>13288</t>
        </is>
      </c>
      <c r="G796" s="10" t="n">
        <v>12</v>
      </c>
      <c r="H796" s="9" t="inlineStr">
        <is>
          <t xml:space="preserve">81721     </t>
        </is>
      </c>
      <c r="I796" s="9" t="inlineStr">
        <is>
          <t xml:space="preserve">Преображенский Евгений Владимирович </t>
        </is>
      </c>
      <c r="J796" s="9" t="inlineStr">
        <is>
          <t>доцент</t>
        </is>
      </c>
      <c r="K796" s="9" t="n"/>
      <c r="L796" s="9" t="n"/>
      <c r="M796" s="12">
        <f>SUMIFS($E$2:$E$1130,$A$2:$A$1130,"осень",$I$2:$I$1130,I796)</f>
        <v/>
      </c>
      <c r="N796" s="13">
        <f>SUMIFS($E$2:$E$1130,$A$2:$A$1130,"весна",$I$2:$I$1130,I796)</f>
        <v/>
      </c>
      <c r="O796" s="14">
        <f>M796+N796</f>
        <v/>
      </c>
      <c r="P796" s="15">
        <f>O796/$P$1</f>
        <v/>
      </c>
    </row>
    <row r="797" hidden="1" ht="15.75" customHeight="1" s="2">
      <c r="A797" s="9" t="inlineStr">
        <is>
          <t>весна</t>
        </is>
      </c>
      <c r="B797" s="9" t="inlineStr">
        <is>
          <t>Программирование и алгоритмизация</t>
        </is>
      </c>
      <c r="C797" s="9" t="inlineStr">
        <is>
          <t>ПЗ</t>
        </is>
      </c>
      <c r="D797" s="9" t="inlineStr">
        <is>
          <t>Т11О-103Б-20</t>
        </is>
      </c>
      <c r="E797" s="10" t="n">
        <v>18</v>
      </c>
      <c r="F797" s="9" t="inlineStr">
        <is>
          <t>13288</t>
        </is>
      </c>
      <c r="G797" s="10" t="n">
        <v>18</v>
      </c>
      <c r="H797" s="9" t="inlineStr">
        <is>
          <t xml:space="preserve">81721     </t>
        </is>
      </c>
      <c r="I797" s="9" t="inlineStr">
        <is>
          <t xml:space="preserve">Преображенский Евгений Владимирович </t>
        </is>
      </c>
      <c r="J797" s="9" t="inlineStr">
        <is>
          <t>доцент</t>
        </is>
      </c>
      <c r="K797" s="9" t="n"/>
      <c r="L797" s="9" t="n"/>
      <c r="M797" s="12">
        <f>SUMIFS($E$2:$E$1130,$A$2:$A$1130,"осень",$I$2:$I$1130,I797)</f>
        <v/>
      </c>
      <c r="N797" s="13">
        <f>SUMIFS($E$2:$E$1130,$A$2:$A$1130,"весна",$I$2:$I$1130,I797)</f>
        <v/>
      </c>
      <c r="O797" s="14">
        <f>M797+N797</f>
        <v/>
      </c>
      <c r="P797" s="15">
        <f>O797/$P$1</f>
        <v/>
      </c>
    </row>
    <row r="798" hidden="1" ht="15.75" customHeight="1" s="2">
      <c r="A798" s="9" t="inlineStr">
        <is>
          <t>весна</t>
        </is>
      </c>
      <c r="B798" s="9" t="inlineStr">
        <is>
          <t>Программирование и алгоритмизация</t>
        </is>
      </c>
      <c r="C798" s="9" t="inlineStr">
        <is>
          <t>Зачет</t>
        </is>
      </c>
      <c r="D798" s="9" t="inlineStr">
        <is>
          <t>Т11О-103Б-20</t>
        </is>
      </c>
      <c r="E798" s="10" t="n">
        <v>5</v>
      </c>
      <c r="F798" s="9" t="inlineStr">
        <is>
          <t>13288</t>
        </is>
      </c>
      <c r="G798" s="11" t="n">
        <v>0</v>
      </c>
      <c r="H798" s="9" t="inlineStr">
        <is>
          <t xml:space="preserve">81721     </t>
        </is>
      </c>
      <c r="I798" s="9" t="inlineStr">
        <is>
          <t xml:space="preserve">Преображенский Евгений Владимирович </t>
        </is>
      </c>
      <c r="J798" s="9" t="inlineStr">
        <is>
          <t>доцент</t>
        </is>
      </c>
      <c r="K798" s="9" t="n"/>
      <c r="L798" s="9" t="n"/>
      <c r="M798" s="12">
        <f>SUMIFS($E$2:$E$1130,$A$2:$A$1130,"осень",$I$2:$I$1130,I798)</f>
        <v/>
      </c>
      <c r="N798" s="13">
        <f>SUMIFS($E$2:$E$1130,$A$2:$A$1130,"весна",$I$2:$I$1130,I798)</f>
        <v/>
      </c>
      <c r="O798" s="14">
        <f>M798+N798</f>
        <v/>
      </c>
      <c r="P798" s="15">
        <f>O798/$P$1</f>
        <v/>
      </c>
    </row>
    <row r="799" hidden="1" ht="15.75" customHeight="1" s="2">
      <c r="A799" s="9" t="inlineStr">
        <is>
          <t>весна</t>
        </is>
      </c>
      <c r="B799" s="9" t="inlineStr">
        <is>
          <t>Программирование и алгоритмизация</t>
        </is>
      </c>
      <c r="C799" s="9" t="inlineStr">
        <is>
          <t>Консультация</t>
        </is>
      </c>
      <c r="D799" s="9" t="inlineStr">
        <is>
          <t>Т11О-103Б-20</t>
        </is>
      </c>
      <c r="E799" s="10" t="n">
        <v>1</v>
      </c>
      <c r="F799" s="9" t="inlineStr">
        <is>
          <t>13288</t>
        </is>
      </c>
      <c r="G799" s="11" t="n">
        <v>0</v>
      </c>
      <c r="H799" s="9" t="inlineStr">
        <is>
          <t xml:space="preserve">81721     </t>
        </is>
      </c>
      <c r="I799" s="9" t="inlineStr">
        <is>
          <t xml:space="preserve">Преображенский Евгений Владимирович </t>
        </is>
      </c>
      <c r="J799" s="9" t="inlineStr">
        <is>
          <t>доцент</t>
        </is>
      </c>
      <c r="K799" s="9" t="n"/>
      <c r="L799" s="9" t="n"/>
      <c r="M799" s="12">
        <f>SUMIFS($E$2:$E$1130,$A$2:$A$1130,"осень",$I$2:$I$1130,I799)</f>
        <v/>
      </c>
      <c r="N799" s="13">
        <f>SUMIFS($E$2:$E$1130,$A$2:$A$1130,"весна",$I$2:$I$1130,I799)</f>
        <v/>
      </c>
      <c r="O799" s="14">
        <f>M799+N799</f>
        <v/>
      </c>
      <c r="P799" s="15">
        <f>O799/$P$1</f>
        <v/>
      </c>
    </row>
    <row r="800" hidden="1" ht="15.75" customHeight="1" s="2">
      <c r="A800" s="22" t="inlineStr">
        <is>
          <t>весна</t>
        </is>
      </c>
      <c r="B800" s="9" t="inlineStr">
        <is>
          <t>Автоматизация технологических процессов ОМД</t>
        </is>
      </c>
      <c r="C800" s="9" t="inlineStr">
        <is>
          <t>ЛК</t>
        </is>
      </c>
      <c r="D800" s="9" t="inlineStr">
        <is>
          <t>Т1В-516Б-16</t>
        </is>
      </c>
      <c r="E800" s="10" t="n">
        <v>4</v>
      </c>
      <c r="F800" s="9" t="inlineStr">
        <is>
          <t>04644</t>
        </is>
      </c>
      <c r="G800" s="10" t="n">
        <v>4</v>
      </c>
      <c r="H800" s="9" t="inlineStr">
        <is>
          <t xml:space="preserve">81722     </t>
        </is>
      </c>
      <c r="I800" s="9" t="inlineStr">
        <is>
          <t xml:space="preserve">Шленский Алексей Геннадьевич </t>
        </is>
      </c>
      <c r="J800" s="9" t="inlineStr">
        <is>
          <t>доцент</t>
        </is>
      </c>
      <c r="K800" s="9" t="n"/>
      <c r="L800" s="9" t="n"/>
      <c r="M800" s="12">
        <f>SUMIFS($E$2:$E$1130,$A$2:$A$1130,"осень",$I$2:$I$1130,I800)</f>
        <v/>
      </c>
      <c r="N800" s="13">
        <f>SUMIFS($E$2:$E$1130,$A$2:$A$1130,"весна",$I$2:$I$1130,I800)</f>
        <v/>
      </c>
      <c r="O800" s="14">
        <f>M800+N800</f>
        <v/>
      </c>
      <c r="P800" s="15">
        <f>O800/$P$1</f>
        <v/>
      </c>
    </row>
    <row r="801" hidden="1" ht="15.75" customHeight="1" s="2">
      <c r="A801" s="22" t="inlineStr">
        <is>
          <t>весна</t>
        </is>
      </c>
      <c r="B801" s="9" t="inlineStr">
        <is>
          <t>Автоматизация технологических процессов ОМД</t>
        </is>
      </c>
      <c r="C801" s="9" t="inlineStr">
        <is>
          <t>ПЗ</t>
        </is>
      </c>
      <c r="D801" s="9" t="inlineStr">
        <is>
          <t>Т1В-516Б-16</t>
        </is>
      </c>
      <c r="E801" s="10" t="n">
        <v>8</v>
      </c>
      <c r="F801" s="9" t="inlineStr">
        <is>
          <t>04644</t>
        </is>
      </c>
      <c r="G801" s="10" t="n">
        <v>8</v>
      </c>
      <c r="H801" s="9" t="inlineStr">
        <is>
          <t xml:space="preserve">81722     </t>
        </is>
      </c>
      <c r="I801" s="9" t="inlineStr">
        <is>
          <t xml:space="preserve">Шленский Алексей Геннадьевич </t>
        </is>
      </c>
      <c r="J801" s="9" t="inlineStr">
        <is>
          <t>доцент</t>
        </is>
      </c>
      <c r="K801" s="9" t="n"/>
      <c r="L801" s="9" t="n"/>
      <c r="M801" s="12">
        <f>SUMIFS($E$2:$E$1130,$A$2:$A$1130,"осень",$I$2:$I$1130,I801)</f>
        <v/>
      </c>
      <c r="N801" s="13">
        <f>SUMIFS($E$2:$E$1130,$A$2:$A$1130,"весна",$I$2:$I$1130,I801)</f>
        <v/>
      </c>
      <c r="O801" s="14">
        <f>M801+N801</f>
        <v/>
      </c>
      <c r="P801" s="15">
        <f>O801/$P$1</f>
        <v/>
      </c>
    </row>
    <row r="802" hidden="1" ht="15.75" customHeight="1" s="2">
      <c r="A802" s="22" t="inlineStr">
        <is>
          <t>весна</t>
        </is>
      </c>
      <c r="B802" s="9" t="inlineStr">
        <is>
          <t>Автоматизация технологических процессов ОМД</t>
        </is>
      </c>
      <c r="C802" s="9" t="inlineStr">
        <is>
          <t>КСР</t>
        </is>
      </c>
      <c r="D802" s="9" t="inlineStr">
        <is>
          <t>Т1В-516Б-16</t>
        </is>
      </c>
      <c r="E802" s="10" t="n">
        <v>4</v>
      </c>
      <c r="F802" s="9" t="inlineStr">
        <is>
          <t>04644</t>
        </is>
      </c>
      <c r="G802" s="10" t="n">
        <v>4</v>
      </c>
      <c r="H802" s="9" t="inlineStr">
        <is>
          <t xml:space="preserve">81722     </t>
        </is>
      </c>
      <c r="I802" s="9" t="inlineStr">
        <is>
          <t xml:space="preserve">Шленский Алексей Геннадьевич </t>
        </is>
      </c>
      <c r="J802" s="9" t="inlineStr">
        <is>
          <t>доцент</t>
        </is>
      </c>
      <c r="K802" s="9" t="n"/>
      <c r="L802" s="9" t="n"/>
      <c r="M802" s="12">
        <f>SUMIFS($E$2:$E$1130,$A$2:$A$1130,"осень",$I$2:$I$1130,I802)</f>
        <v/>
      </c>
      <c r="N802" s="13">
        <f>SUMIFS($E$2:$E$1130,$A$2:$A$1130,"весна",$I$2:$I$1130,I802)</f>
        <v/>
      </c>
      <c r="O802" s="14">
        <f>M802+N802</f>
        <v/>
      </c>
      <c r="P802" s="15">
        <f>O802/$P$1</f>
        <v/>
      </c>
    </row>
    <row r="803" hidden="1" ht="15.75" customHeight="1" s="2">
      <c r="A803" s="22" t="inlineStr">
        <is>
          <t>весна</t>
        </is>
      </c>
      <c r="B803" s="9" t="inlineStr">
        <is>
          <t>Автоматизация технологических процессов ОМД</t>
        </is>
      </c>
      <c r="C803" s="9" t="inlineStr">
        <is>
          <t>Зачет</t>
        </is>
      </c>
      <c r="D803" s="9" t="inlineStr">
        <is>
          <t>Т1В-516Б-16</t>
        </is>
      </c>
      <c r="E803" s="10" t="n">
        <v>2</v>
      </c>
      <c r="F803" s="9" t="inlineStr">
        <is>
          <t>04644</t>
        </is>
      </c>
      <c r="G803" s="11" t="n">
        <v>0</v>
      </c>
      <c r="H803" s="9" t="inlineStr">
        <is>
          <t xml:space="preserve">81722     </t>
        </is>
      </c>
      <c r="I803" s="9" t="inlineStr">
        <is>
          <t xml:space="preserve">Шленский Алексей Геннадьевич </t>
        </is>
      </c>
      <c r="J803" s="9" t="inlineStr">
        <is>
          <t>доцент</t>
        </is>
      </c>
      <c r="K803" s="9" t="n"/>
      <c r="L803" s="9" t="n"/>
      <c r="M803" s="12">
        <f>SUMIFS($E$2:$E$1130,$A$2:$A$1130,"осень",$I$2:$I$1130,I803)</f>
        <v/>
      </c>
      <c r="N803" s="13">
        <f>SUMIFS($E$2:$E$1130,$A$2:$A$1130,"весна",$I$2:$I$1130,I803)</f>
        <v/>
      </c>
      <c r="O803" s="14">
        <f>M803+N803</f>
        <v/>
      </c>
      <c r="P803" s="15">
        <f>O803/$P$1</f>
        <v/>
      </c>
    </row>
    <row r="804" hidden="1" ht="15.75" customHeight="1" s="2">
      <c r="A804" s="9" t="inlineStr">
        <is>
          <t>весна</t>
        </is>
      </c>
      <c r="B804" s="9" t="inlineStr">
        <is>
          <t>Теория обработки металлов давлением</t>
        </is>
      </c>
      <c r="C804" s="9" t="inlineStr">
        <is>
          <t>ЛК</t>
        </is>
      </c>
      <c r="D804" s="9" t="inlineStr">
        <is>
          <t>Т11О-301Б-18, Т11О-302Б-18</t>
        </is>
      </c>
      <c r="E804" s="10" t="n">
        <v>32</v>
      </c>
      <c r="F804" s="9" t="inlineStr">
        <is>
          <t>08947</t>
        </is>
      </c>
      <c r="G804" s="10" t="n">
        <v>32</v>
      </c>
      <c r="H804" s="9" t="inlineStr">
        <is>
          <t xml:space="preserve">81720     </t>
        </is>
      </c>
      <c r="I804" s="9" t="inlineStr">
        <is>
          <t xml:space="preserve">Палтиевич Андрей Романович </t>
        </is>
      </c>
      <c r="J804" s="9" t="n"/>
      <c r="K804" s="9" t="n"/>
      <c r="L804" s="9" t="inlineStr">
        <is>
          <t>Кроме вторника</t>
        </is>
      </c>
      <c r="M804" s="12">
        <f>SUMIFS($E$2:$E$1130,$A$2:$A$1130,"осень",$I$2:$I$1130,I804)</f>
        <v/>
      </c>
      <c r="N804" s="13">
        <f>SUMIFS($E$2:$E$1130,$A$2:$A$1130,"весна",$I$2:$I$1130,I804)</f>
        <v/>
      </c>
      <c r="O804" s="14">
        <f>M804+N804</f>
        <v/>
      </c>
      <c r="P804" s="15">
        <f>O804/$P$1</f>
        <v/>
      </c>
    </row>
    <row r="805" hidden="1" ht="15.75" customHeight="1" s="2">
      <c r="A805" s="9" t="inlineStr">
        <is>
          <t>весна</t>
        </is>
      </c>
      <c r="B805" s="9" t="inlineStr">
        <is>
          <t>Теория обработки металлов давлением</t>
        </is>
      </c>
      <c r="C805" s="9" t="inlineStr">
        <is>
          <t>ПЗ</t>
        </is>
      </c>
      <c r="D805" s="9" t="inlineStr">
        <is>
          <t>Т11О-301Б-18</t>
        </is>
      </c>
      <c r="E805" s="10" t="n">
        <v>20</v>
      </c>
      <c r="F805" s="9" t="inlineStr">
        <is>
          <t>08947</t>
        </is>
      </c>
      <c r="G805" s="10" t="n">
        <v>20</v>
      </c>
      <c r="H805" s="9" t="inlineStr">
        <is>
          <t xml:space="preserve">81720     </t>
        </is>
      </c>
      <c r="I805" s="9" t="inlineStr">
        <is>
          <t xml:space="preserve">Палтиевич Андрей Романович </t>
        </is>
      </c>
      <c r="J805" s="9" t="n"/>
      <c r="K805" s="9" t="n"/>
      <c r="L805" s="9" t="inlineStr">
        <is>
          <t>Кроме вторника</t>
        </is>
      </c>
      <c r="M805" s="12">
        <f>SUMIFS($E$2:$E$1130,$A$2:$A$1130,"осень",$I$2:$I$1130,I805)</f>
        <v/>
      </c>
      <c r="N805" s="13">
        <f>SUMIFS($E$2:$E$1130,$A$2:$A$1130,"весна",$I$2:$I$1130,I805)</f>
        <v/>
      </c>
      <c r="O805" s="14">
        <f>M805+N805</f>
        <v/>
      </c>
      <c r="P805" s="15">
        <f>O805/$P$1</f>
        <v/>
      </c>
    </row>
    <row r="806" hidden="1" ht="15.75" customHeight="1" s="2">
      <c r="A806" s="9" t="inlineStr">
        <is>
          <t>весна</t>
        </is>
      </c>
      <c r="B806" s="9" t="inlineStr">
        <is>
          <t>Теория обработки металлов давлением</t>
        </is>
      </c>
      <c r="C806" s="9" t="inlineStr">
        <is>
          <t>ПЗ</t>
        </is>
      </c>
      <c r="D806" s="9" t="inlineStr">
        <is>
          <t>Т11О-302Б-18</t>
        </is>
      </c>
      <c r="E806" s="10" t="n">
        <v>20</v>
      </c>
      <c r="F806" s="9" t="inlineStr">
        <is>
          <t>08947</t>
        </is>
      </c>
      <c r="G806" s="10" t="n">
        <v>20</v>
      </c>
      <c r="H806" s="9" t="inlineStr">
        <is>
          <t xml:space="preserve">81720     </t>
        </is>
      </c>
      <c r="I806" s="9" t="inlineStr">
        <is>
          <t xml:space="preserve">Палтиевич Андрей Романович </t>
        </is>
      </c>
      <c r="J806" s="9" t="n"/>
      <c r="K806" s="9" t="n"/>
      <c r="L806" s="9" t="inlineStr">
        <is>
          <t>Кроме вторника</t>
        </is>
      </c>
      <c r="M806" s="12">
        <f>SUMIFS($E$2:$E$1130,$A$2:$A$1130,"осень",$I$2:$I$1130,I806)</f>
        <v/>
      </c>
      <c r="N806" s="13">
        <f>SUMIFS($E$2:$E$1130,$A$2:$A$1130,"весна",$I$2:$I$1130,I806)</f>
        <v/>
      </c>
      <c r="O806" s="14">
        <f>M806+N806</f>
        <v/>
      </c>
      <c r="P806" s="15">
        <f>O806/$P$1</f>
        <v/>
      </c>
    </row>
    <row r="807" hidden="1" ht="15.75" customHeight="1" s="2">
      <c r="A807" s="9" t="inlineStr">
        <is>
          <t>весна</t>
        </is>
      </c>
      <c r="B807" s="9" t="inlineStr">
        <is>
          <t>Теория обработки металлов давлением</t>
        </is>
      </c>
      <c r="C807" s="9" t="inlineStr">
        <is>
          <t>ЛР</t>
        </is>
      </c>
      <c r="D807" s="9" t="inlineStr">
        <is>
          <t>Т11О-301Б-18</t>
        </is>
      </c>
      <c r="E807" s="10" t="n">
        <v>32</v>
      </c>
      <c r="F807" s="9" t="inlineStr">
        <is>
          <t>08947</t>
        </is>
      </c>
      <c r="G807" s="10" t="n">
        <v>16</v>
      </c>
      <c r="H807" s="9" t="inlineStr">
        <is>
          <t xml:space="preserve">81720     </t>
        </is>
      </c>
      <c r="I807" s="9" t="inlineStr">
        <is>
          <t xml:space="preserve">Палтиевич Андрей Романович </t>
        </is>
      </c>
      <c r="J807" s="9" t="n"/>
      <c r="K807" s="9" t="n"/>
      <c r="L807" s="9" t="inlineStr">
        <is>
          <t>Кроме вторника</t>
        </is>
      </c>
      <c r="M807" s="12">
        <f>SUMIFS($E$2:$E$1130,$A$2:$A$1130,"осень",$I$2:$I$1130,I807)</f>
        <v/>
      </c>
      <c r="N807" s="13">
        <f>SUMIFS($E$2:$E$1130,$A$2:$A$1130,"весна",$I$2:$I$1130,I807)</f>
        <v/>
      </c>
      <c r="O807" s="14">
        <f>M807+N807</f>
        <v/>
      </c>
      <c r="P807" s="15">
        <f>O807/$P$1</f>
        <v/>
      </c>
    </row>
    <row r="808" hidden="1" ht="15.75" customHeight="1" s="2">
      <c r="A808" s="9" t="inlineStr">
        <is>
          <t>весна</t>
        </is>
      </c>
      <c r="B808" s="9" t="inlineStr">
        <is>
          <t>Теория обработки металлов давлением</t>
        </is>
      </c>
      <c r="C808" s="9" t="inlineStr">
        <is>
          <t>ЛР</t>
        </is>
      </c>
      <c r="D808" s="9" t="inlineStr">
        <is>
          <t>Т11О-302Б-18</t>
        </is>
      </c>
      <c r="E808" s="10" t="n">
        <v>16</v>
      </c>
      <c r="F808" s="9" t="inlineStr">
        <is>
          <t>08947</t>
        </is>
      </c>
      <c r="G808" s="10" t="n">
        <v>16</v>
      </c>
      <c r="H808" s="9" t="inlineStr">
        <is>
          <t xml:space="preserve">81720     </t>
        </is>
      </c>
      <c r="I808" s="9" t="inlineStr">
        <is>
          <t xml:space="preserve">Палтиевич Андрей Романович </t>
        </is>
      </c>
      <c r="J808" s="9" t="n"/>
      <c r="K808" s="9" t="n"/>
      <c r="L808" s="9" t="inlineStr">
        <is>
          <t>Кроме вторника</t>
        </is>
      </c>
      <c r="M808" s="12">
        <f>SUMIFS($E$2:$E$1130,$A$2:$A$1130,"осень",$I$2:$I$1130,I808)</f>
        <v/>
      </c>
      <c r="N808" s="13">
        <f>SUMIFS($E$2:$E$1130,$A$2:$A$1130,"весна",$I$2:$I$1130,I808)</f>
        <v/>
      </c>
      <c r="O808" s="14">
        <f>M808+N808</f>
        <v/>
      </c>
      <c r="P808" s="15">
        <f>O808/$P$1</f>
        <v/>
      </c>
    </row>
    <row r="809" hidden="1" ht="15.75" customHeight="1" s="2">
      <c r="A809" s="9" t="inlineStr">
        <is>
          <t>весна</t>
        </is>
      </c>
      <c r="B809" s="9" t="inlineStr">
        <is>
          <t>Теория обработки металлов давлением</t>
        </is>
      </c>
      <c r="C809" s="9" t="inlineStr">
        <is>
          <t>Экзамен</t>
        </is>
      </c>
      <c r="D809" s="9" t="inlineStr">
        <is>
          <t>Т11О-301Б-18</t>
        </is>
      </c>
      <c r="E809" s="10" t="n">
        <v>9</v>
      </c>
      <c r="F809" s="9" t="inlineStr">
        <is>
          <t>08947</t>
        </is>
      </c>
      <c r="G809" s="11" t="n">
        <v>0</v>
      </c>
      <c r="H809" s="9" t="inlineStr">
        <is>
          <t xml:space="preserve">81720     </t>
        </is>
      </c>
      <c r="I809" s="9" t="inlineStr">
        <is>
          <t xml:space="preserve">Палтиевич Андрей Романович </t>
        </is>
      </c>
      <c r="J809" s="9" t="n"/>
      <c r="K809" s="9" t="n"/>
      <c r="L809" s="9" t="inlineStr">
        <is>
          <t>Кроме вторника</t>
        </is>
      </c>
      <c r="M809" s="12">
        <f>SUMIFS($E$2:$E$1130,$A$2:$A$1130,"осень",$I$2:$I$1130,I809)</f>
        <v/>
      </c>
      <c r="N809" s="13">
        <f>SUMIFS($E$2:$E$1130,$A$2:$A$1130,"весна",$I$2:$I$1130,I809)</f>
        <v/>
      </c>
      <c r="O809" s="14">
        <f>M809+N809</f>
        <v/>
      </c>
      <c r="P809" s="15">
        <f>O809/$P$1</f>
        <v/>
      </c>
    </row>
    <row r="810" hidden="1" ht="15.75" customHeight="1" s="2">
      <c r="A810" s="9" t="inlineStr">
        <is>
          <t>весна</t>
        </is>
      </c>
      <c r="B810" s="9" t="inlineStr">
        <is>
          <t>Теория обработки металлов давлением</t>
        </is>
      </c>
      <c r="C810" s="9" t="inlineStr">
        <is>
          <t>Экзамен</t>
        </is>
      </c>
      <c r="D810" s="9" t="inlineStr">
        <is>
          <t>Т11О-302Б-18</t>
        </is>
      </c>
      <c r="E810" s="10" t="n">
        <v>7</v>
      </c>
      <c r="F810" s="9" t="inlineStr">
        <is>
          <t>08947</t>
        </is>
      </c>
      <c r="G810" s="11" t="n">
        <v>0</v>
      </c>
      <c r="H810" s="9" t="inlineStr">
        <is>
          <t xml:space="preserve">81720     </t>
        </is>
      </c>
      <c r="I810" s="9" t="inlineStr">
        <is>
          <t xml:space="preserve">Палтиевич Андрей Романович </t>
        </is>
      </c>
      <c r="J810" s="9" t="n"/>
      <c r="K810" s="9" t="n"/>
      <c r="L810" s="9" t="inlineStr">
        <is>
          <t>Кроме вторника</t>
        </is>
      </c>
      <c r="M810" s="12">
        <f>SUMIFS($E$2:$E$1130,$A$2:$A$1130,"осень",$I$2:$I$1130,I810)</f>
        <v/>
      </c>
      <c r="N810" s="13">
        <f>SUMIFS($E$2:$E$1130,$A$2:$A$1130,"весна",$I$2:$I$1130,I810)</f>
        <v/>
      </c>
      <c r="O810" s="14">
        <f>M810+N810</f>
        <v/>
      </c>
      <c r="P810" s="15">
        <f>O810/$P$1</f>
        <v/>
      </c>
    </row>
    <row r="811" hidden="1" ht="15.75" customHeight="1" s="2">
      <c r="A811" s="9" t="inlineStr">
        <is>
          <t>весна</t>
        </is>
      </c>
      <c r="B811" s="9" t="inlineStr">
        <is>
          <t>Теория обработки металлов давлением</t>
        </is>
      </c>
      <c r="C811" s="9" t="inlineStr">
        <is>
          <t>Консультация</t>
        </is>
      </c>
      <c r="D811" s="9" t="inlineStr">
        <is>
          <t>Т11О-301Б-18</t>
        </is>
      </c>
      <c r="E811" s="10" t="n">
        <v>4</v>
      </c>
      <c r="F811" s="9" t="inlineStr">
        <is>
          <t>08947</t>
        </is>
      </c>
      <c r="G811" s="11" t="n">
        <v>0</v>
      </c>
      <c r="H811" s="9" t="inlineStr">
        <is>
          <t xml:space="preserve">81720     </t>
        </is>
      </c>
      <c r="I811" s="9" t="inlineStr">
        <is>
          <t xml:space="preserve">Палтиевич Андрей Романович </t>
        </is>
      </c>
      <c r="J811" s="9" t="n"/>
      <c r="K811" s="9" t="n"/>
      <c r="L811" s="9" t="inlineStr">
        <is>
          <t>Кроме вторника</t>
        </is>
      </c>
      <c r="M811" s="12">
        <f>SUMIFS($E$2:$E$1130,$A$2:$A$1130,"осень",$I$2:$I$1130,I811)</f>
        <v/>
      </c>
      <c r="N811" s="13">
        <f>SUMIFS($E$2:$E$1130,$A$2:$A$1130,"весна",$I$2:$I$1130,I811)</f>
        <v/>
      </c>
      <c r="O811" s="14">
        <f>M811+N811</f>
        <v/>
      </c>
      <c r="P811" s="15">
        <f>O811/$P$1</f>
        <v/>
      </c>
    </row>
    <row r="812" hidden="1" ht="15.75" customHeight="1" s="2">
      <c r="A812" s="9" t="inlineStr">
        <is>
          <t>весна</t>
        </is>
      </c>
      <c r="B812" s="9" t="inlineStr">
        <is>
          <t>Теория обработки металлов давлением</t>
        </is>
      </c>
      <c r="C812" s="9" t="inlineStr">
        <is>
          <t>Консультация</t>
        </is>
      </c>
      <c r="D812" s="9" t="inlineStr">
        <is>
          <t>Т11О-302Б-18</t>
        </is>
      </c>
      <c r="E812" s="10" t="n">
        <v>4</v>
      </c>
      <c r="F812" s="9" t="inlineStr">
        <is>
          <t>08947</t>
        </is>
      </c>
      <c r="G812" s="11" t="n">
        <v>0</v>
      </c>
      <c r="H812" s="9" t="inlineStr">
        <is>
          <t xml:space="preserve">81720     </t>
        </is>
      </c>
      <c r="I812" s="9" t="inlineStr">
        <is>
          <t xml:space="preserve">Палтиевич Андрей Романович </t>
        </is>
      </c>
      <c r="J812" s="9" t="n"/>
      <c r="K812" s="9" t="n"/>
      <c r="L812" s="9" t="inlineStr">
        <is>
          <t>Кроме вторника</t>
        </is>
      </c>
      <c r="M812" s="12">
        <f>SUMIFS($E$2:$E$1130,$A$2:$A$1130,"осень",$I$2:$I$1130,I812)</f>
        <v/>
      </c>
      <c r="N812" s="13">
        <f>SUMIFS($E$2:$E$1130,$A$2:$A$1130,"весна",$I$2:$I$1130,I812)</f>
        <v/>
      </c>
      <c r="O812" s="14">
        <f>M812+N812</f>
        <v/>
      </c>
      <c r="P812" s="15">
        <f>O812/$P$1</f>
        <v/>
      </c>
    </row>
    <row r="813" hidden="1" ht="15.75" customHeight="1" s="2">
      <c r="A813" s="9" t="inlineStr">
        <is>
          <t>весна</t>
        </is>
      </c>
      <c r="B813" s="9" t="inlineStr">
        <is>
          <t>Технология кузнечно-штамповочного производства</t>
        </is>
      </c>
      <c r="C813" s="9" t="inlineStr">
        <is>
          <t>КП</t>
        </is>
      </c>
      <c r="D813" s="9" t="inlineStr">
        <is>
          <t>Т1В-516Б-16</t>
        </is>
      </c>
      <c r="E813" s="10" t="n">
        <v>24</v>
      </c>
      <c r="F813" s="9" t="inlineStr">
        <is>
          <t>04644</t>
        </is>
      </c>
      <c r="G813" s="11" t="n">
        <v>0</v>
      </c>
      <c r="H813" s="9" t="inlineStr">
        <is>
          <t xml:space="preserve">81729     </t>
        </is>
      </c>
      <c r="I813" s="9" t="inlineStr">
        <is>
          <t xml:space="preserve">Соколов Алексей Викторович </t>
        </is>
      </c>
      <c r="J813" s="9" t="inlineStr">
        <is>
          <t>доцент</t>
        </is>
      </c>
      <c r="K813" s="9" t="n"/>
      <c r="L813" s="9" t="n"/>
      <c r="M813" s="12">
        <f>SUMIFS($E$2:$E$1130,$A$2:$A$1130,"осень",$I$2:$I$1130,I813)</f>
        <v/>
      </c>
      <c r="N813" s="13">
        <f>SUMIFS($E$2:$E$1130,$A$2:$A$1130,"весна",$I$2:$I$1130,I813)</f>
        <v/>
      </c>
      <c r="O813" s="14">
        <f>M813+N813</f>
        <v/>
      </c>
      <c r="P813" s="15">
        <f>O813/$P$1</f>
        <v/>
      </c>
    </row>
    <row r="814" hidden="1" ht="15.75" customHeight="1" s="2">
      <c r="A814" s="9" t="inlineStr">
        <is>
          <t>весна</t>
        </is>
      </c>
      <c r="B814" s="9" t="inlineStr">
        <is>
          <t>Технология кузнечно-штамповочного производства</t>
        </is>
      </c>
      <c r="C814" s="9" t="inlineStr">
        <is>
          <t>КП</t>
        </is>
      </c>
      <c r="D814" s="9" t="inlineStr">
        <is>
          <t>Т1О-401Б-17</t>
        </is>
      </c>
      <c r="E814" s="10" t="n">
        <v>64</v>
      </c>
      <c r="F814" s="9" t="inlineStr">
        <is>
          <t>06256</t>
        </is>
      </c>
      <c r="G814" s="11" t="n">
        <v>0</v>
      </c>
      <c r="H814" s="9" t="inlineStr">
        <is>
          <t xml:space="preserve">81729     </t>
        </is>
      </c>
      <c r="I814" s="9" t="inlineStr">
        <is>
          <t xml:space="preserve">Соколов Алексей Викторович </t>
        </is>
      </c>
      <c r="J814" s="9" t="inlineStr">
        <is>
          <t>доцент</t>
        </is>
      </c>
      <c r="K814" s="9" t="n"/>
      <c r="L814" s="9" t="n"/>
      <c r="M814" s="12">
        <f>SUMIFS($E$2:$E$1130,$A$2:$A$1130,"осень",$I$2:$I$1130,I814)</f>
        <v/>
      </c>
      <c r="N814" s="13">
        <f>SUMIFS($E$2:$E$1130,$A$2:$A$1130,"весна",$I$2:$I$1130,I814)</f>
        <v/>
      </c>
      <c r="O814" s="14">
        <f>M814+N814</f>
        <v/>
      </c>
      <c r="P814" s="15">
        <f>O814/$P$1</f>
        <v/>
      </c>
    </row>
    <row r="815" hidden="1" ht="15.75" customHeight="1" s="2">
      <c r="A815" s="9" t="inlineStr">
        <is>
          <t>весна</t>
        </is>
      </c>
      <c r="B815" s="9" t="inlineStr">
        <is>
          <t>Технология кузнечно-штамповочного производства</t>
        </is>
      </c>
      <c r="C815" s="9" t="inlineStr">
        <is>
          <t>ЛК</t>
        </is>
      </c>
      <c r="D815" s="9" t="inlineStr">
        <is>
          <t>Т1В-516Б-16</t>
        </is>
      </c>
      <c r="E815" s="10" t="n">
        <v>8</v>
      </c>
      <c r="F815" s="9" t="inlineStr">
        <is>
          <t>04644</t>
        </is>
      </c>
      <c r="G815" s="11" t="n">
        <v>0</v>
      </c>
      <c r="H815" s="9" t="inlineStr">
        <is>
          <t xml:space="preserve">81729     </t>
        </is>
      </c>
      <c r="I815" s="9" t="inlineStr">
        <is>
          <t xml:space="preserve">Соколов Алексей Викторович </t>
        </is>
      </c>
      <c r="J815" s="9" t="inlineStr">
        <is>
          <t>доцент</t>
        </is>
      </c>
      <c r="K815" s="9" t="n"/>
      <c r="L815" s="9" t="n"/>
      <c r="M815" s="12">
        <f>SUMIFS($E$2:$E$1130,$A$2:$A$1130,"осень",$I$2:$I$1130,I815)</f>
        <v/>
      </c>
      <c r="N815" s="13">
        <f>SUMIFS($E$2:$E$1130,$A$2:$A$1130,"весна",$I$2:$I$1130,I815)</f>
        <v/>
      </c>
      <c r="O815" s="14">
        <f>M815+N815</f>
        <v/>
      </c>
      <c r="P815" s="15">
        <f>O815/$P$1</f>
        <v/>
      </c>
    </row>
    <row r="816" hidden="1" ht="15.75" customHeight="1" s="2">
      <c r="A816" s="9" t="inlineStr">
        <is>
          <t>весна</t>
        </is>
      </c>
      <c r="B816" s="9" t="inlineStr">
        <is>
          <t>Технология кузнечно-штамповочного производства</t>
        </is>
      </c>
      <c r="C816" s="9" t="inlineStr">
        <is>
          <t>ЛК</t>
        </is>
      </c>
      <c r="D816" s="9" t="inlineStr">
        <is>
          <t>Т1О-401Б-17</t>
        </is>
      </c>
      <c r="E816" s="10" t="n">
        <v>20</v>
      </c>
      <c r="F816" s="9" t="inlineStr">
        <is>
          <t>06256</t>
        </is>
      </c>
      <c r="G816" s="10" t="n">
        <v>20</v>
      </c>
      <c r="H816" s="9" t="inlineStr">
        <is>
          <t xml:space="preserve">81729     </t>
        </is>
      </c>
      <c r="I816" s="9" t="inlineStr">
        <is>
          <t xml:space="preserve">Соколов Алексей Викторович </t>
        </is>
      </c>
      <c r="J816" s="9" t="inlineStr">
        <is>
          <t>доцент</t>
        </is>
      </c>
      <c r="K816" s="9" t="n"/>
      <c r="L816" s="9" t="n"/>
      <c r="M816" s="12">
        <f>SUMIFS($E$2:$E$1130,$A$2:$A$1130,"осень",$I$2:$I$1130,I816)</f>
        <v/>
      </c>
      <c r="N816" s="13">
        <f>SUMIFS($E$2:$E$1130,$A$2:$A$1130,"весна",$I$2:$I$1130,I816)</f>
        <v/>
      </c>
      <c r="O816" s="14">
        <f>M816+N816</f>
        <v/>
      </c>
      <c r="P816" s="15">
        <f>O816/$P$1</f>
        <v/>
      </c>
    </row>
    <row r="817" hidden="1" ht="15.75" customHeight="1" s="2">
      <c r="A817" s="9" t="inlineStr">
        <is>
          <t>весна</t>
        </is>
      </c>
      <c r="B817" s="9" t="inlineStr">
        <is>
          <t>Технология кузнечно-штамповочного производства</t>
        </is>
      </c>
      <c r="C817" s="9" t="inlineStr">
        <is>
          <t>ПЗ</t>
        </is>
      </c>
      <c r="D817" s="9" t="inlineStr">
        <is>
          <t>Т1В-516Б-16</t>
        </is>
      </c>
      <c r="E817" s="10" t="n">
        <v>12</v>
      </c>
      <c r="F817" s="9" t="inlineStr">
        <is>
          <t>04644</t>
        </is>
      </c>
      <c r="G817" s="11" t="n">
        <v>0</v>
      </c>
      <c r="H817" s="9" t="inlineStr">
        <is>
          <t xml:space="preserve">81729     </t>
        </is>
      </c>
      <c r="I817" s="9" t="inlineStr">
        <is>
          <t xml:space="preserve">Соколов Алексей Викторович </t>
        </is>
      </c>
      <c r="J817" s="9" t="inlineStr">
        <is>
          <t>доцент</t>
        </is>
      </c>
      <c r="K817" s="9" t="n"/>
      <c r="L817" s="9" t="n"/>
      <c r="M817" s="12">
        <f>SUMIFS($E$2:$E$1130,$A$2:$A$1130,"осень",$I$2:$I$1130,I817)</f>
        <v/>
      </c>
      <c r="N817" s="13">
        <f>SUMIFS($E$2:$E$1130,$A$2:$A$1130,"весна",$I$2:$I$1130,I817)</f>
        <v/>
      </c>
      <c r="O817" s="14">
        <f>M817+N817</f>
        <v/>
      </c>
      <c r="P817" s="15">
        <f>O817/$P$1</f>
        <v/>
      </c>
    </row>
    <row r="818" hidden="1" ht="15.75" customHeight="1" s="2">
      <c r="A818" s="9" t="inlineStr">
        <is>
          <t>весна</t>
        </is>
      </c>
      <c r="B818" s="9" t="inlineStr">
        <is>
          <t>Технология кузнечно-штамповочного производства</t>
        </is>
      </c>
      <c r="C818" s="9" t="inlineStr">
        <is>
          <t>ПЗ</t>
        </is>
      </c>
      <c r="D818" s="9" t="inlineStr">
        <is>
          <t>Т1О-401Б-17</t>
        </is>
      </c>
      <c r="E818" s="10" t="n">
        <v>32</v>
      </c>
      <c r="F818" s="9" t="inlineStr">
        <is>
          <t>06256</t>
        </is>
      </c>
      <c r="G818" s="10" t="n">
        <v>32</v>
      </c>
      <c r="H818" s="9" t="inlineStr">
        <is>
          <t xml:space="preserve">81729     </t>
        </is>
      </c>
      <c r="I818" s="9" t="inlineStr">
        <is>
          <t xml:space="preserve">Соколов Алексей Викторович </t>
        </is>
      </c>
      <c r="J818" s="9" t="inlineStr">
        <is>
          <t>доцент</t>
        </is>
      </c>
      <c r="K818" s="9" t="n"/>
      <c r="L818" s="9" t="n"/>
      <c r="M818" s="12">
        <f>SUMIFS($E$2:$E$1130,$A$2:$A$1130,"осень",$I$2:$I$1130,I818)</f>
        <v/>
      </c>
      <c r="N818" s="13">
        <f>SUMIFS($E$2:$E$1130,$A$2:$A$1130,"весна",$I$2:$I$1130,I818)</f>
        <v/>
      </c>
      <c r="O818" s="14">
        <f>M818+N818</f>
        <v/>
      </c>
      <c r="P818" s="15">
        <f>O818/$P$1</f>
        <v/>
      </c>
    </row>
    <row r="819" hidden="1" ht="15.75" customHeight="1" s="2">
      <c r="A819" s="9" t="inlineStr">
        <is>
          <t>весна</t>
        </is>
      </c>
      <c r="B819" s="9" t="inlineStr">
        <is>
          <t>Технология кузнечно-штамповочного производства</t>
        </is>
      </c>
      <c r="C819" s="9" t="inlineStr">
        <is>
          <t>Экзамен</t>
        </is>
      </c>
      <c r="D819" s="9" t="inlineStr">
        <is>
          <t>Т1О-401Б-17</t>
        </is>
      </c>
      <c r="E819" s="10" t="n">
        <v>8</v>
      </c>
      <c r="F819" s="9" t="inlineStr">
        <is>
          <t>06256</t>
        </is>
      </c>
      <c r="G819" s="11" t="n">
        <v>0</v>
      </c>
      <c r="H819" s="9" t="inlineStr">
        <is>
          <t xml:space="preserve">81729     </t>
        </is>
      </c>
      <c r="I819" s="9" t="inlineStr">
        <is>
          <t xml:space="preserve">Соколов Алексей Викторович </t>
        </is>
      </c>
      <c r="J819" s="9" t="inlineStr">
        <is>
          <t>доцент</t>
        </is>
      </c>
      <c r="K819" s="9" t="n"/>
      <c r="L819" s="9" t="n"/>
      <c r="M819" s="12">
        <f>SUMIFS($E$2:$E$1130,$A$2:$A$1130,"осень",$I$2:$I$1130,I819)</f>
        <v/>
      </c>
      <c r="N819" s="13">
        <f>SUMIFS($E$2:$E$1130,$A$2:$A$1130,"весна",$I$2:$I$1130,I819)</f>
        <v/>
      </c>
      <c r="O819" s="14">
        <f>M819+N819</f>
        <v/>
      </c>
      <c r="P819" s="15">
        <f>O819/$P$1</f>
        <v/>
      </c>
    </row>
    <row r="820" hidden="1" ht="15.75" customHeight="1" s="2">
      <c r="A820" s="9" t="inlineStr">
        <is>
          <t>весна</t>
        </is>
      </c>
      <c r="B820" s="9" t="inlineStr">
        <is>
          <t>Технология кузнечно-штамповочного производства</t>
        </is>
      </c>
      <c r="C820" s="9" t="inlineStr">
        <is>
          <t>КСР</t>
        </is>
      </c>
      <c r="D820" s="9" t="inlineStr">
        <is>
          <t>Т1В-516Б-16</t>
        </is>
      </c>
      <c r="E820" s="10" t="n">
        <v>6</v>
      </c>
      <c r="F820" s="9" t="inlineStr">
        <is>
          <t>04644</t>
        </is>
      </c>
      <c r="G820" s="11" t="n">
        <v>0</v>
      </c>
      <c r="H820" s="9" t="inlineStr">
        <is>
          <t xml:space="preserve">81729     </t>
        </is>
      </c>
      <c r="I820" s="9" t="inlineStr">
        <is>
          <t xml:space="preserve">Соколов Алексей Викторович </t>
        </is>
      </c>
      <c r="J820" s="9" t="inlineStr">
        <is>
          <t>доцент</t>
        </is>
      </c>
      <c r="K820" s="9" t="n"/>
      <c r="L820" s="9" t="n"/>
      <c r="M820" s="12">
        <f>SUMIFS($E$2:$E$1130,$A$2:$A$1130,"осень",$I$2:$I$1130,I820)</f>
        <v/>
      </c>
      <c r="N820" s="13">
        <f>SUMIFS($E$2:$E$1130,$A$2:$A$1130,"весна",$I$2:$I$1130,I820)</f>
        <v/>
      </c>
      <c r="O820" s="14">
        <f>M820+N820</f>
        <v/>
      </c>
      <c r="P820" s="15">
        <f>O820/$P$1</f>
        <v/>
      </c>
    </row>
    <row r="821" hidden="1" ht="15.75" customHeight="1" s="2">
      <c r="A821" s="9" t="inlineStr">
        <is>
          <t>весна</t>
        </is>
      </c>
      <c r="B821" s="9" t="inlineStr">
        <is>
          <t>Технология кузнечно-штамповочного производства</t>
        </is>
      </c>
      <c r="C821" s="9" t="inlineStr">
        <is>
          <t>Консультация</t>
        </is>
      </c>
      <c r="D821" s="9" t="inlineStr">
        <is>
          <t>Т1В-516Б-16</t>
        </is>
      </c>
      <c r="E821" s="10" t="n">
        <v>1</v>
      </c>
      <c r="F821" s="9" t="inlineStr">
        <is>
          <t>04644</t>
        </is>
      </c>
      <c r="G821" s="11" t="n">
        <v>0</v>
      </c>
      <c r="H821" s="9" t="inlineStr">
        <is>
          <t xml:space="preserve">81729     </t>
        </is>
      </c>
      <c r="I821" s="9" t="inlineStr">
        <is>
          <t xml:space="preserve">Соколов Алексей Викторович </t>
        </is>
      </c>
      <c r="J821" s="9" t="inlineStr">
        <is>
          <t>доцент</t>
        </is>
      </c>
      <c r="K821" s="9" t="n"/>
      <c r="L821" s="9" t="n"/>
      <c r="M821" s="12">
        <f>SUMIFS($E$2:$E$1130,$A$2:$A$1130,"осень",$I$2:$I$1130,I821)</f>
        <v/>
      </c>
      <c r="N821" s="13">
        <f>SUMIFS($E$2:$E$1130,$A$2:$A$1130,"весна",$I$2:$I$1130,I821)</f>
        <v/>
      </c>
      <c r="O821" s="14">
        <f>M821+N821</f>
        <v/>
      </c>
      <c r="P821" s="15">
        <f>O821/$P$1</f>
        <v/>
      </c>
    </row>
    <row r="822" hidden="1" ht="15.75" customHeight="1" s="2">
      <c r="A822" s="9" t="inlineStr">
        <is>
          <t>весна</t>
        </is>
      </c>
      <c r="B822" s="9" t="inlineStr">
        <is>
          <t>Технология кузнечно-штамповочного производства</t>
        </is>
      </c>
      <c r="C822" s="9" t="inlineStr">
        <is>
          <t>Консультация</t>
        </is>
      </c>
      <c r="D822" s="9" t="inlineStr">
        <is>
          <t>Т1О-401Б-17</t>
        </is>
      </c>
      <c r="E822" s="10" t="n">
        <v>3</v>
      </c>
      <c r="F822" s="9" t="inlineStr">
        <is>
          <t>06256</t>
        </is>
      </c>
      <c r="G822" s="11" t="n">
        <v>0</v>
      </c>
      <c r="H822" s="9" t="inlineStr">
        <is>
          <t xml:space="preserve">81729     </t>
        </is>
      </c>
      <c r="I822" s="9" t="inlineStr">
        <is>
          <t xml:space="preserve">Соколов Алексей Викторович </t>
        </is>
      </c>
      <c r="J822" s="9" t="inlineStr">
        <is>
          <t>доцент</t>
        </is>
      </c>
      <c r="K822" s="9" t="n"/>
      <c r="L822" s="9" t="n"/>
      <c r="M822" s="12">
        <f>SUMIFS($E$2:$E$1130,$A$2:$A$1130,"осень",$I$2:$I$1130,I822)</f>
        <v/>
      </c>
      <c r="N822" s="13">
        <f>SUMIFS($E$2:$E$1130,$A$2:$A$1130,"весна",$I$2:$I$1130,I822)</f>
        <v/>
      </c>
      <c r="O822" s="14">
        <f>M822+N822</f>
        <v/>
      </c>
      <c r="P822" s="15">
        <f>O822/$P$1</f>
        <v/>
      </c>
    </row>
    <row r="823" hidden="1" ht="15.75" customHeight="1" s="2">
      <c r="A823" s="9" t="inlineStr">
        <is>
          <t>весна</t>
        </is>
      </c>
      <c r="B823" s="9" t="inlineStr">
        <is>
          <t>Современные способы исследований металлических материалов</t>
        </is>
      </c>
      <c r="C823" s="9" t="inlineStr">
        <is>
          <t>ЛК</t>
        </is>
      </c>
      <c r="D823" s="9" t="inlineStr">
        <is>
          <t>Т11О-101М-20</t>
        </is>
      </c>
      <c r="E823" s="10" t="n">
        <v>8</v>
      </c>
      <c r="F823" s="9" t="inlineStr">
        <is>
          <t>04489</t>
        </is>
      </c>
      <c r="G823" s="10" t="n">
        <v>8</v>
      </c>
      <c r="H823" s="9" t="inlineStr">
        <is>
          <t xml:space="preserve">81724     </t>
        </is>
      </c>
      <c r="I823" s="9" t="inlineStr">
        <is>
          <t xml:space="preserve">Галкин Евгений Владимирович </t>
        </is>
      </c>
      <c r="J823" s="9" t="inlineStr">
        <is>
          <t>доцент</t>
        </is>
      </c>
      <c r="K823" s="9" t="n"/>
      <c r="L823" s="9" t="n"/>
      <c r="M823" s="12">
        <f>SUMIFS($E$2:$E$1130,$A$2:$A$1130,"осень",$I$2:$I$1130,I823)</f>
        <v/>
      </c>
      <c r="N823" s="13">
        <f>SUMIFS($E$2:$E$1130,$A$2:$A$1130,"весна",$I$2:$I$1130,I823)</f>
        <v/>
      </c>
      <c r="O823" s="14">
        <f>M823+N823</f>
        <v/>
      </c>
      <c r="P823" s="15">
        <f>O823/$P$1</f>
        <v/>
      </c>
    </row>
    <row r="824" hidden="1" ht="15.75" customHeight="1" s="2">
      <c r="A824" s="9" t="inlineStr">
        <is>
          <t>весна</t>
        </is>
      </c>
      <c r="B824" s="9" t="inlineStr">
        <is>
          <t>Современные способы исследований металлических материалов</t>
        </is>
      </c>
      <c r="C824" s="9" t="inlineStr">
        <is>
          <t>КР</t>
        </is>
      </c>
      <c r="D824" s="9" t="inlineStr">
        <is>
          <t>Т11О-101М-20</t>
        </is>
      </c>
      <c r="E824" s="10" t="n">
        <v>18</v>
      </c>
      <c r="F824" s="9" t="inlineStr">
        <is>
          <t>04489</t>
        </is>
      </c>
      <c r="G824" s="11" t="n">
        <v>0</v>
      </c>
      <c r="H824" s="9" t="inlineStr">
        <is>
          <t xml:space="preserve">81724     </t>
        </is>
      </c>
      <c r="I824" s="9" t="inlineStr">
        <is>
          <t xml:space="preserve">Галкин Евгений Владимирович </t>
        </is>
      </c>
      <c r="J824" s="9" t="inlineStr">
        <is>
          <t>доцент</t>
        </is>
      </c>
      <c r="K824" s="9" t="n"/>
      <c r="L824" s="9" t="n"/>
      <c r="M824" s="12">
        <f>SUMIFS($E$2:$E$1130,$A$2:$A$1130,"осень",$I$2:$I$1130,I824)</f>
        <v/>
      </c>
      <c r="N824" s="13">
        <f>SUMIFS($E$2:$E$1130,$A$2:$A$1130,"весна",$I$2:$I$1130,I824)</f>
        <v/>
      </c>
      <c r="O824" s="14">
        <f>M824+N824</f>
        <v/>
      </c>
      <c r="P824" s="15">
        <f>O824/$P$1</f>
        <v/>
      </c>
    </row>
    <row r="825" hidden="1" ht="15.75" customHeight="1" s="2">
      <c r="A825" s="9" t="inlineStr">
        <is>
          <t>весна</t>
        </is>
      </c>
      <c r="B825" s="9" t="inlineStr">
        <is>
          <t>Современные способы исследований металлических материалов</t>
        </is>
      </c>
      <c r="C825" s="9" t="inlineStr">
        <is>
          <t>ПЗ</t>
        </is>
      </c>
      <c r="D825" s="9" t="inlineStr">
        <is>
          <t>Т11О-101М-20</t>
        </is>
      </c>
      <c r="E825" s="10" t="n">
        <v>18</v>
      </c>
      <c r="F825" s="9" t="inlineStr">
        <is>
          <t>04489</t>
        </is>
      </c>
      <c r="G825" s="10" t="n">
        <v>18</v>
      </c>
      <c r="H825" s="9" t="inlineStr">
        <is>
          <t xml:space="preserve">81724     </t>
        </is>
      </c>
      <c r="I825" s="9" t="inlineStr">
        <is>
          <t xml:space="preserve">Галкин Евгений Владимирович </t>
        </is>
      </c>
      <c r="J825" s="9" t="inlineStr">
        <is>
          <t>доцент</t>
        </is>
      </c>
      <c r="K825" s="9" t="n"/>
      <c r="L825" s="9" t="n"/>
      <c r="M825" s="12">
        <f>SUMIFS($E$2:$E$1130,$A$2:$A$1130,"осень",$I$2:$I$1130,I825)</f>
        <v/>
      </c>
      <c r="N825" s="13">
        <f>SUMIFS($E$2:$E$1130,$A$2:$A$1130,"весна",$I$2:$I$1130,I825)</f>
        <v/>
      </c>
      <c r="O825" s="14">
        <f>M825+N825</f>
        <v/>
      </c>
      <c r="P825" s="15">
        <f>O825/$P$1</f>
        <v/>
      </c>
    </row>
    <row r="826" hidden="1" ht="15.75" customHeight="1" s="2">
      <c r="A826" s="9" t="inlineStr">
        <is>
          <t>весна</t>
        </is>
      </c>
      <c r="B826" s="9" t="inlineStr">
        <is>
          <t>Современные способы исследований металлических материалов</t>
        </is>
      </c>
      <c r="C826" s="9" t="inlineStr">
        <is>
          <t>Экзамен</t>
        </is>
      </c>
      <c r="D826" s="9" t="inlineStr">
        <is>
          <t>Т11О-101М-20</t>
        </is>
      </c>
      <c r="E826" s="10" t="n">
        <v>3</v>
      </c>
      <c r="F826" s="9" t="inlineStr">
        <is>
          <t>04489</t>
        </is>
      </c>
      <c r="G826" s="11" t="n">
        <v>0</v>
      </c>
      <c r="H826" s="9" t="inlineStr">
        <is>
          <t xml:space="preserve">81724     </t>
        </is>
      </c>
      <c r="I826" s="9" t="inlineStr">
        <is>
          <t xml:space="preserve">Галкин Евгений Владимирович </t>
        </is>
      </c>
      <c r="J826" s="9" t="inlineStr">
        <is>
          <t>доцент</t>
        </is>
      </c>
      <c r="K826" s="9" t="n"/>
      <c r="L826" s="9" t="n"/>
      <c r="M826" s="12">
        <f>SUMIFS($E$2:$E$1130,$A$2:$A$1130,"осень",$I$2:$I$1130,I826)</f>
        <v/>
      </c>
      <c r="N826" s="13">
        <f>SUMIFS($E$2:$E$1130,$A$2:$A$1130,"весна",$I$2:$I$1130,I826)</f>
        <v/>
      </c>
      <c r="O826" s="14">
        <f>M826+N826</f>
        <v/>
      </c>
      <c r="P826" s="15">
        <f>O826/$P$1</f>
        <v/>
      </c>
    </row>
    <row r="827" hidden="1" ht="15.75" customHeight="1" s="2">
      <c r="A827" s="9" t="inlineStr">
        <is>
          <t>весна</t>
        </is>
      </c>
      <c r="B827" s="9" t="inlineStr">
        <is>
          <t>Современные способы исследований металлических материалов</t>
        </is>
      </c>
      <c r="C827" s="9" t="inlineStr">
        <is>
          <t>Консультация</t>
        </is>
      </c>
      <c r="D827" s="9" t="inlineStr">
        <is>
          <t>Т11О-101М-20</t>
        </is>
      </c>
      <c r="E827" s="10" t="n">
        <v>2</v>
      </c>
      <c r="F827" s="9" t="inlineStr">
        <is>
          <t>04489</t>
        </is>
      </c>
      <c r="G827" s="11" t="n">
        <v>0</v>
      </c>
      <c r="H827" s="9" t="inlineStr">
        <is>
          <t xml:space="preserve">81724     </t>
        </is>
      </c>
      <c r="I827" s="9" t="inlineStr">
        <is>
          <t xml:space="preserve">Галкин Евгений Владимирович </t>
        </is>
      </c>
      <c r="J827" s="9" t="inlineStr">
        <is>
          <t>доцент</t>
        </is>
      </c>
      <c r="K827" s="9" t="n"/>
      <c r="L827" s="9" t="n"/>
      <c r="M827" s="12">
        <f>SUMIFS($E$2:$E$1130,$A$2:$A$1130,"осень",$I$2:$I$1130,I827)</f>
        <v/>
      </c>
      <c r="N827" s="13">
        <f>SUMIFS($E$2:$E$1130,$A$2:$A$1130,"весна",$I$2:$I$1130,I827)</f>
        <v/>
      </c>
      <c r="O827" s="14">
        <f>M827+N827</f>
        <v/>
      </c>
      <c r="P827" s="15">
        <f>O827/$P$1</f>
        <v/>
      </c>
    </row>
    <row r="828" hidden="1" ht="15.75" customHeight="1" s="2">
      <c r="A828" s="22" t="inlineStr">
        <is>
          <t>весна</t>
        </is>
      </c>
      <c r="B828" s="9" t="inlineStr">
        <is>
          <t>Информационные технологии в научно-исследовательской деятельности</t>
        </is>
      </c>
      <c r="C828" s="9" t="inlineStr">
        <is>
          <t>ЛК</t>
        </is>
      </c>
      <c r="D828" s="9" t="inlineStr">
        <is>
          <t>Т11О-101М-20</t>
        </is>
      </c>
      <c r="E828" s="10" t="n">
        <v>12</v>
      </c>
      <c r="F828" s="9" t="inlineStr">
        <is>
          <t>04489</t>
        </is>
      </c>
      <c r="G828" s="10" t="n">
        <v>12</v>
      </c>
      <c r="H828" s="9" t="inlineStr">
        <is>
          <t xml:space="preserve">81722     </t>
        </is>
      </c>
      <c r="I828" s="9" t="inlineStr">
        <is>
          <t xml:space="preserve">Шленский Алексей Геннадьевич </t>
        </is>
      </c>
      <c r="J828" s="9" t="inlineStr">
        <is>
          <t>доцент</t>
        </is>
      </c>
      <c r="K828" s="9" t="n"/>
      <c r="L828" s="9" t="n"/>
      <c r="M828" s="12">
        <f>SUMIFS($E$2:$E$1130,$A$2:$A$1130,"осень",$I$2:$I$1130,I828)</f>
        <v/>
      </c>
      <c r="N828" s="13">
        <f>SUMIFS($E$2:$E$1130,$A$2:$A$1130,"весна",$I$2:$I$1130,I828)</f>
        <v/>
      </c>
      <c r="O828" s="14">
        <f>M828+N828</f>
        <v/>
      </c>
      <c r="P828" s="15">
        <f>O828/$P$1</f>
        <v/>
      </c>
    </row>
    <row r="829" hidden="1" ht="15.75" customHeight="1" s="2">
      <c r="A829" s="22" t="inlineStr">
        <is>
          <t>весна</t>
        </is>
      </c>
      <c r="B829" s="9" t="inlineStr">
        <is>
          <t>Информационные технологии в научно-исследовательской деятельности</t>
        </is>
      </c>
      <c r="C829" s="9" t="inlineStr">
        <is>
          <t>ПЗ</t>
        </is>
      </c>
      <c r="D829" s="9" t="inlineStr">
        <is>
          <t>Т11О-101М-20</t>
        </is>
      </c>
      <c r="E829" s="10" t="n">
        <v>30</v>
      </c>
      <c r="F829" s="9" t="inlineStr">
        <is>
          <t>04489</t>
        </is>
      </c>
      <c r="G829" s="10" t="n">
        <v>30</v>
      </c>
      <c r="H829" s="9" t="inlineStr">
        <is>
          <t xml:space="preserve">93584     </t>
        </is>
      </c>
      <c r="I829" s="9" t="inlineStr">
        <is>
          <t xml:space="preserve">Комаров Роман Сергеевич </t>
        </is>
      </c>
      <c r="J829" s="9" t="n"/>
      <c r="K829" s="9" t="n"/>
      <c r="L829" s="9" t="n"/>
      <c r="M829" s="12">
        <f>SUMIFS($E$2:$E$1130,$A$2:$A$1130,"осень",$I$2:$I$1130,I829)</f>
        <v/>
      </c>
      <c r="N829" s="13">
        <f>SUMIFS($E$2:$E$1130,$A$2:$A$1130,"весна",$I$2:$I$1130,I829)</f>
        <v/>
      </c>
      <c r="O829" s="14">
        <f>M829+N829</f>
        <v/>
      </c>
      <c r="P829" s="15">
        <f>O829/$P$1</f>
        <v/>
      </c>
    </row>
    <row r="830" hidden="1" ht="15.75" customHeight="1" s="2">
      <c r="A830" s="22" t="inlineStr">
        <is>
          <t>весна</t>
        </is>
      </c>
      <c r="B830" s="9" t="inlineStr">
        <is>
          <t>Информационные технологии в научно-исследовательской деятельности</t>
        </is>
      </c>
      <c r="C830" s="9" t="inlineStr">
        <is>
          <t>Зачет</t>
        </is>
      </c>
      <c r="D830" s="9" t="inlineStr">
        <is>
          <t>Т11О-101М-20</t>
        </is>
      </c>
      <c r="E830" s="10" t="n">
        <v>2</v>
      </c>
      <c r="F830" s="9" t="inlineStr">
        <is>
          <t>04489</t>
        </is>
      </c>
      <c r="G830" s="11" t="n">
        <v>0</v>
      </c>
      <c r="H830" s="9" t="inlineStr">
        <is>
          <t xml:space="preserve">81722     </t>
        </is>
      </c>
      <c r="I830" s="9" t="inlineStr">
        <is>
          <t xml:space="preserve">Шленский Алексей Геннадьевич </t>
        </is>
      </c>
      <c r="J830" s="9" t="inlineStr">
        <is>
          <t>доцент</t>
        </is>
      </c>
      <c r="K830" s="9" t="n"/>
      <c r="L830" s="9" t="n"/>
      <c r="M830" s="12">
        <f>SUMIFS($E$2:$E$1130,$A$2:$A$1130,"осень",$I$2:$I$1130,I830)</f>
        <v/>
      </c>
      <c r="N830" s="13">
        <f>SUMIFS($E$2:$E$1130,$A$2:$A$1130,"весна",$I$2:$I$1130,I830)</f>
        <v/>
      </c>
      <c r="O830" s="14">
        <f>M830+N830</f>
        <v/>
      </c>
      <c r="P830" s="15">
        <f>O830/$P$1</f>
        <v/>
      </c>
    </row>
    <row r="831" hidden="1" ht="15.75" customHeight="1" s="2">
      <c r="A831" s="22" t="inlineStr">
        <is>
          <t>весна</t>
        </is>
      </c>
      <c r="B831" s="9" t="inlineStr">
        <is>
          <t>Информационные технологии в научно-исследовательской деятельности</t>
        </is>
      </c>
      <c r="C831" s="9" t="inlineStr">
        <is>
          <t>Консультация</t>
        </is>
      </c>
      <c r="D831" s="9" t="inlineStr">
        <is>
          <t>Т11О-101М-20</t>
        </is>
      </c>
      <c r="E831" s="10" t="n">
        <v>1</v>
      </c>
      <c r="F831" s="9" t="inlineStr">
        <is>
          <t>04489</t>
        </is>
      </c>
      <c r="G831" s="11" t="n">
        <v>0</v>
      </c>
      <c r="H831" s="9" t="inlineStr">
        <is>
          <t xml:space="preserve">81722     </t>
        </is>
      </c>
      <c r="I831" s="9" t="inlineStr">
        <is>
          <t xml:space="preserve">Шленский Алексей Геннадьевич </t>
        </is>
      </c>
      <c r="J831" s="9" t="inlineStr">
        <is>
          <t>доцент</t>
        </is>
      </c>
      <c r="K831" s="9" t="n"/>
      <c r="L831" s="9" t="n"/>
      <c r="M831" s="12">
        <f>SUMIFS($E$2:$E$1130,$A$2:$A$1130,"осень",$I$2:$I$1130,I831)</f>
        <v/>
      </c>
      <c r="N831" s="13">
        <f>SUMIFS($E$2:$E$1130,$A$2:$A$1130,"весна",$I$2:$I$1130,I831)</f>
        <v/>
      </c>
      <c r="O831" s="14">
        <f>M831+N831</f>
        <v/>
      </c>
      <c r="P831" s="15">
        <f>O831/$P$1</f>
        <v/>
      </c>
    </row>
    <row r="832" hidden="1" ht="15.75" customHeight="1" s="2">
      <c r="A832" s="9" t="inlineStr">
        <is>
          <t>весна</t>
        </is>
      </c>
      <c r="B832" s="9" t="inlineStr">
        <is>
          <t>Технологичность сварных и паянных конструкций</t>
        </is>
      </c>
      <c r="C832" s="9" t="inlineStr">
        <is>
          <t>ЛК</t>
        </is>
      </c>
      <c r="D832" s="9" t="inlineStr">
        <is>
          <t>Т11О-104М-20</t>
        </is>
      </c>
      <c r="E832" s="10" t="n">
        <v>4</v>
      </c>
      <c r="F832" s="9" t="inlineStr">
        <is>
          <t>04595</t>
        </is>
      </c>
      <c r="G832" s="10" t="n">
        <v>4</v>
      </c>
      <c r="H832" s="9" t="inlineStr">
        <is>
          <t xml:space="preserve">82023     </t>
        </is>
      </c>
      <c r="I832" s="9" t="inlineStr">
        <is>
          <t xml:space="preserve">Федоров Сергей Александрович </t>
        </is>
      </c>
      <c r="J832" s="9" t="n"/>
      <c r="K832" s="9" t="n"/>
      <c r="L832" s="9" t="n"/>
      <c r="M832" s="12">
        <f>SUMIFS($E$2:$E$1130,$A$2:$A$1130,"осень",$I$2:$I$1130,I832)</f>
        <v/>
      </c>
      <c r="N832" s="13">
        <f>SUMIFS($E$2:$E$1130,$A$2:$A$1130,"весна",$I$2:$I$1130,I832)</f>
        <v/>
      </c>
      <c r="O832" s="14">
        <f>M832+N832</f>
        <v/>
      </c>
      <c r="P832" s="15">
        <f>O832/$P$1</f>
        <v/>
      </c>
    </row>
    <row r="833" hidden="1" ht="15.75" customHeight="1" s="2">
      <c r="A833" s="9" t="inlineStr">
        <is>
          <t>весна</t>
        </is>
      </c>
      <c r="B833" s="9" t="inlineStr">
        <is>
          <t>Технологичность сварных и паянных конструкций</t>
        </is>
      </c>
      <c r="C833" s="9" t="inlineStr">
        <is>
          <t>Зачет с оценкой</t>
        </is>
      </c>
      <c r="D833" s="9" t="inlineStr">
        <is>
          <t>Т11О-104М-20</t>
        </is>
      </c>
      <c r="E833" s="10" t="n">
        <v>2</v>
      </c>
      <c r="F833" s="9" t="inlineStr">
        <is>
          <t>04595</t>
        </is>
      </c>
      <c r="G833" s="11" t="n">
        <v>0</v>
      </c>
      <c r="H833" s="9" t="inlineStr">
        <is>
          <t xml:space="preserve">82023     </t>
        </is>
      </c>
      <c r="I833" s="9" t="inlineStr">
        <is>
          <t xml:space="preserve">Федоров Сергей Александрович </t>
        </is>
      </c>
      <c r="J833" s="9" t="n"/>
      <c r="K833" s="9" t="n"/>
      <c r="L833" s="9" t="n"/>
      <c r="M833" s="12">
        <f>SUMIFS($E$2:$E$1130,$A$2:$A$1130,"осень",$I$2:$I$1130,I833)</f>
        <v/>
      </c>
      <c r="N833" s="13">
        <f>SUMIFS($E$2:$E$1130,$A$2:$A$1130,"весна",$I$2:$I$1130,I833)</f>
        <v/>
      </c>
      <c r="O833" s="14">
        <f>M833+N833</f>
        <v/>
      </c>
      <c r="P833" s="15">
        <f>O833/$P$1</f>
        <v/>
      </c>
    </row>
    <row r="834" hidden="1" ht="15.75" customHeight="1" s="2">
      <c r="A834" s="9" t="inlineStr">
        <is>
          <t>весна</t>
        </is>
      </c>
      <c r="B834" s="9" t="inlineStr">
        <is>
          <t>Технологичность сварных и паянных конструкций</t>
        </is>
      </c>
      <c r="C834" s="9" t="inlineStr">
        <is>
          <t>ПЗ</t>
        </is>
      </c>
      <c r="D834" s="9" t="inlineStr">
        <is>
          <t>Т11О-104М-20</t>
        </is>
      </c>
      <c r="E834" s="10" t="n">
        <v>28</v>
      </c>
      <c r="F834" s="9" t="inlineStr">
        <is>
          <t>04595</t>
        </is>
      </c>
      <c r="G834" s="10" t="n">
        <v>28</v>
      </c>
      <c r="H834" s="9" t="inlineStr">
        <is>
          <t xml:space="preserve">82023     </t>
        </is>
      </c>
      <c r="I834" s="9" t="inlineStr">
        <is>
          <t xml:space="preserve">Федоров Сергей Александрович </t>
        </is>
      </c>
      <c r="J834" s="9" t="n"/>
      <c r="K834" s="9" t="n"/>
      <c r="L834" s="9" t="n"/>
      <c r="M834" s="12">
        <f>SUMIFS($E$2:$E$1130,$A$2:$A$1130,"осень",$I$2:$I$1130,I834)</f>
        <v/>
      </c>
      <c r="N834" s="13">
        <f>SUMIFS($E$2:$E$1130,$A$2:$A$1130,"весна",$I$2:$I$1130,I834)</f>
        <v/>
      </c>
      <c r="O834" s="14">
        <f>M834+N834</f>
        <v/>
      </c>
      <c r="P834" s="15">
        <f>O834/$P$1</f>
        <v/>
      </c>
    </row>
    <row r="835" hidden="1" ht="15.75" customHeight="1" s="2">
      <c r="A835" s="9" t="inlineStr">
        <is>
          <t>весна</t>
        </is>
      </c>
      <c r="B835" s="9" t="inlineStr">
        <is>
          <t>Информационные технологии  в металлургии</t>
        </is>
      </c>
      <c r="C835" s="9" t="inlineStr">
        <is>
          <t>ЛК</t>
        </is>
      </c>
      <c r="D835" s="9" t="inlineStr">
        <is>
          <t>Т11О-201Б-19, Т11О-202Б-19</t>
        </is>
      </c>
      <c r="E835" s="10" t="n">
        <v>32</v>
      </c>
      <c r="F835" s="9" t="inlineStr">
        <is>
          <t>12880</t>
        </is>
      </c>
      <c r="G835" s="10" t="n">
        <v>32</v>
      </c>
      <c r="H835" s="9" t="inlineStr">
        <is>
          <t xml:space="preserve">81720     </t>
        </is>
      </c>
      <c r="I835" s="9" t="inlineStr">
        <is>
          <t xml:space="preserve">Палтиевич Андрей Романович </t>
        </is>
      </c>
      <c r="J835" s="9" t="n"/>
      <c r="K835" s="9" t="n"/>
      <c r="L835" s="9" t="inlineStr">
        <is>
          <t>Кроме вторника</t>
        </is>
      </c>
      <c r="M835" s="12">
        <f>SUMIFS($E$2:$E$1130,$A$2:$A$1130,"осень",$I$2:$I$1130,I835)</f>
        <v/>
      </c>
      <c r="N835" s="13">
        <f>SUMIFS($E$2:$E$1130,$A$2:$A$1130,"весна",$I$2:$I$1130,I835)</f>
        <v/>
      </c>
      <c r="O835" s="14">
        <f>M835+N835</f>
        <v/>
      </c>
      <c r="P835" s="15">
        <f>O835/$P$1</f>
        <v/>
      </c>
    </row>
    <row r="836" hidden="1" ht="15.75" customHeight="1" s="2">
      <c r="A836" s="9" t="inlineStr">
        <is>
          <t>весна</t>
        </is>
      </c>
      <c r="B836" s="9" t="inlineStr">
        <is>
          <t>Информационные технологии  в металлургии</t>
        </is>
      </c>
      <c r="C836" s="9" t="inlineStr">
        <is>
          <t>Зачет с оценкой</t>
        </is>
      </c>
      <c r="D836" s="9" t="inlineStr">
        <is>
          <t>Т11О-201Б-19</t>
        </is>
      </c>
      <c r="E836" s="10" t="n">
        <v>6</v>
      </c>
      <c r="F836" s="9" t="inlineStr">
        <is>
          <t>12880</t>
        </is>
      </c>
      <c r="G836" s="11" t="n">
        <v>0</v>
      </c>
      <c r="H836" s="9" t="inlineStr">
        <is>
          <t xml:space="preserve">81720     </t>
        </is>
      </c>
      <c r="I836" s="9" t="inlineStr">
        <is>
          <t xml:space="preserve">Палтиевич Андрей Романович </t>
        </is>
      </c>
      <c r="J836" s="9" t="n"/>
      <c r="K836" s="9" t="n"/>
      <c r="L836" s="9" t="inlineStr">
        <is>
          <t>Кроме вторника</t>
        </is>
      </c>
      <c r="M836" s="12">
        <f>SUMIFS($E$2:$E$1130,$A$2:$A$1130,"осень",$I$2:$I$1130,I836)</f>
        <v/>
      </c>
      <c r="N836" s="13">
        <f>SUMIFS($E$2:$E$1130,$A$2:$A$1130,"весна",$I$2:$I$1130,I836)</f>
        <v/>
      </c>
      <c r="O836" s="14">
        <f>M836+N836</f>
        <v/>
      </c>
      <c r="P836" s="15">
        <f>O836/$P$1</f>
        <v/>
      </c>
    </row>
    <row r="837" hidden="1" ht="15.75" customHeight="1" s="2">
      <c r="A837" s="9" t="inlineStr">
        <is>
          <t>весна</t>
        </is>
      </c>
      <c r="B837" s="9" t="inlineStr">
        <is>
          <t>Информационные технологии  в металлургии</t>
        </is>
      </c>
      <c r="C837" s="9" t="inlineStr">
        <is>
          <t>Зачет с оценкой</t>
        </is>
      </c>
      <c r="D837" s="9" t="inlineStr">
        <is>
          <t>Т11О-202Б-19</t>
        </is>
      </c>
      <c r="E837" s="10" t="n">
        <v>8</v>
      </c>
      <c r="F837" s="9" t="inlineStr">
        <is>
          <t>12880</t>
        </is>
      </c>
      <c r="G837" s="11" t="n">
        <v>0</v>
      </c>
      <c r="H837" s="9" t="inlineStr">
        <is>
          <t xml:space="preserve">81720     </t>
        </is>
      </c>
      <c r="I837" s="9" t="inlineStr">
        <is>
          <t xml:space="preserve">Палтиевич Андрей Романович </t>
        </is>
      </c>
      <c r="J837" s="9" t="n"/>
      <c r="K837" s="9" t="n"/>
      <c r="L837" s="9" t="inlineStr">
        <is>
          <t>Кроме вторника</t>
        </is>
      </c>
      <c r="M837" s="12">
        <f>SUMIFS($E$2:$E$1130,$A$2:$A$1130,"осень",$I$2:$I$1130,I837)</f>
        <v/>
      </c>
      <c r="N837" s="13">
        <f>SUMIFS($E$2:$E$1130,$A$2:$A$1130,"весна",$I$2:$I$1130,I837)</f>
        <v/>
      </c>
      <c r="O837" s="14">
        <f>M837+N837</f>
        <v/>
      </c>
      <c r="P837" s="15">
        <f>O837/$P$1</f>
        <v/>
      </c>
    </row>
    <row r="838" hidden="1" ht="15.75" customHeight="1" s="2">
      <c r="A838" s="9" t="inlineStr">
        <is>
          <t>весна</t>
        </is>
      </c>
      <c r="B838" s="9" t="inlineStr">
        <is>
          <t>Информационные технологии  в металлургии</t>
        </is>
      </c>
      <c r="C838" s="9" t="inlineStr">
        <is>
          <t>ПЗ</t>
        </is>
      </c>
      <c r="D838" s="9" t="inlineStr">
        <is>
          <t>Т11О-201Б-19</t>
        </is>
      </c>
      <c r="E838" s="10" t="n">
        <v>52</v>
      </c>
      <c r="F838" s="9" t="inlineStr">
        <is>
          <t>12880</t>
        </is>
      </c>
      <c r="G838" s="10" t="n">
        <v>52</v>
      </c>
      <c r="H838" s="9" t="inlineStr">
        <is>
          <t xml:space="preserve">81720     </t>
        </is>
      </c>
      <c r="I838" s="9" t="inlineStr">
        <is>
          <t xml:space="preserve">Палтиевич Андрей Романович </t>
        </is>
      </c>
      <c r="J838" s="9" t="n"/>
      <c r="K838" s="9" t="n"/>
      <c r="L838" s="9" t="inlineStr">
        <is>
          <t>Кроме вторника</t>
        </is>
      </c>
      <c r="M838" s="12">
        <f>SUMIFS($E$2:$E$1130,$A$2:$A$1130,"осень",$I$2:$I$1130,I838)</f>
        <v/>
      </c>
      <c r="N838" s="13">
        <f>SUMIFS($E$2:$E$1130,$A$2:$A$1130,"весна",$I$2:$I$1130,I838)</f>
        <v/>
      </c>
      <c r="O838" s="14">
        <f>M838+N838</f>
        <v/>
      </c>
      <c r="P838" s="15">
        <f>O838/$P$1</f>
        <v/>
      </c>
    </row>
    <row r="839" hidden="1" ht="15.75" customHeight="1" s="2">
      <c r="A839" s="22" t="inlineStr">
        <is>
          <t>весна</t>
        </is>
      </c>
      <c r="B839" s="9" t="inlineStr">
        <is>
          <t>Информационные технологии  в металлургии</t>
        </is>
      </c>
      <c r="C839" s="9" t="inlineStr">
        <is>
          <t>ПЗ</t>
        </is>
      </c>
      <c r="D839" s="9" t="inlineStr">
        <is>
          <t>Т11О-202Б-19</t>
        </is>
      </c>
      <c r="E839" s="10" t="n">
        <v>52</v>
      </c>
      <c r="F839" s="9" t="inlineStr">
        <is>
          <t>12880</t>
        </is>
      </c>
      <c r="G839" s="10" t="n">
        <v>52</v>
      </c>
      <c r="H839" s="9" t="inlineStr">
        <is>
          <t xml:space="preserve">95799     </t>
        </is>
      </c>
      <c r="I839" s="9" t="inlineStr">
        <is>
          <t>Монастырский Алексей Валерьевич</t>
        </is>
      </c>
      <c r="J839" s="9" t="n"/>
      <c r="K839" s="9" t="n"/>
      <c r="L839" s="9" t="inlineStr">
        <is>
          <t>Чт с 16-30</t>
        </is>
      </c>
      <c r="M839" s="12">
        <f>SUMIFS($E$2:$E$1130,$A$2:$A$1130,"осень",$I$2:$I$1130,I839)</f>
        <v/>
      </c>
      <c r="N839" s="13">
        <f>SUMIFS($E$2:$E$1130,$A$2:$A$1130,"весна",$I$2:$I$1130,I839)</f>
        <v/>
      </c>
      <c r="O839" s="14">
        <f>M839+N839</f>
        <v/>
      </c>
      <c r="P839" s="15">
        <f>O839/$P$1</f>
        <v/>
      </c>
    </row>
    <row r="840" hidden="1" ht="15.75" customHeight="1" s="2">
      <c r="A840" s="9" t="inlineStr">
        <is>
          <t>весна</t>
        </is>
      </c>
      <c r="B840" s="9" t="inlineStr">
        <is>
          <t>Информационные технологии  в металлургии</t>
        </is>
      </c>
      <c r="C840" s="9" t="inlineStr">
        <is>
          <t>Консультация</t>
        </is>
      </c>
      <c r="D840" s="9" t="inlineStr">
        <is>
          <t>Т11О-201Б-19</t>
        </is>
      </c>
      <c r="E840" s="10" t="n">
        <v>2</v>
      </c>
      <c r="F840" s="9" t="inlineStr">
        <is>
          <t>12880</t>
        </is>
      </c>
      <c r="G840" s="11" t="n">
        <v>0</v>
      </c>
      <c r="H840" s="9" t="inlineStr">
        <is>
          <t xml:space="preserve">81720     </t>
        </is>
      </c>
      <c r="I840" s="9" t="inlineStr">
        <is>
          <t xml:space="preserve">Палтиевич Андрей Романович </t>
        </is>
      </c>
      <c r="J840" s="9" t="n"/>
      <c r="K840" s="9" t="n"/>
      <c r="L840" s="9" t="inlineStr">
        <is>
          <t>Кроме вторника</t>
        </is>
      </c>
      <c r="M840" s="12">
        <f>SUMIFS($E$2:$E$1130,$A$2:$A$1130,"осень",$I$2:$I$1130,I840)</f>
        <v/>
      </c>
      <c r="N840" s="13">
        <f>SUMIFS($E$2:$E$1130,$A$2:$A$1130,"весна",$I$2:$I$1130,I840)</f>
        <v/>
      </c>
      <c r="O840" s="14">
        <f>M840+N840</f>
        <v/>
      </c>
      <c r="P840" s="15">
        <f>O840/$P$1</f>
        <v/>
      </c>
    </row>
    <row r="841" hidden="1" ht="15.75" customHeight="1" s="2">
      <c r="A841" s="22" t="inlineStr">
        <is>
          <t>весна</t>
        </is>
      </c>
      <c r="B841" s="9" t="inlineStr">
        <is>
          <t>Информационные технологии  в металлургии</t>
        </is>
      </c>
      <c r="C841" s="9" t="inlineStr">
        <is>
          <t>Консультация</t>
        </is>
      </c>
      <c r="D841" s="9" t="inlineStr">
        <is>
          <t>Т11О-202Б-19</t>
        </is>
      </c>
      <c r="E841" s="10" t="n">
        <v>2</v>
      </c>
      <c r="F841" s="9" t="inlineStr">
        <is>
          <t>12880</t>
        </is>
      </c>
      <c r="G841" s="11" t="n">
        <v>0</v>
      </c>
      <c r="H841" s="9" t="inlineStr">
        <is>
          <t xml:space="preserve">95799     </t>
        </is>
      </c>
      <c r="I841" s="9" t="inlineStr">
        <is>
          <t>Монастырский Алексей Валерьевич</t>
        </is>
      </c>
      <c r="J841" s="9" t="n"/>
      <c r="K841" s="9" t="n"/>
      <c r="L841" s="9" t="inlineStr">
        <is>
          <t>Чт с 16-30</t>
        </is>
      </c>
      <c r="M841" s="12">
        <f>SUMIFS($E$2:$E$1130,$A$2:$A$1130,"осень",$I$2:$I$1130,I841)</f>
        <v/>
      </c>
      <c r="N841" s="13">
        <f>SUMIFS($E$2:$E$1130,$A$2:$A$1130,"весна",$I$2:$I$1130,I841)</f>
        <v/>
      </c>
      <c r="O841" s="14">
        <f>M841+N841</f>
        <v/>
      </c>
      <c r="P841" s="15">
        <f>O841/$P$1</f>
        <v/>
      </c>
    </row>
    <row r="842" hidden="1" ht="15.75" customHeight="1" s="2">
      <c r="A842" s="9" t="inlineStr">
        <is>
          <t>весна</t>
        </is>
      </c>
      <c r="B842" s="9" t="inlineStr">
        <is>
          <t>Технологические процессы производства наноматериалов</t>
        </is>
      </c>
      <c r="C842" s="9" t="inlineStr">
        <is>
          <t>ЛК</t>
        </is>
      </c>
      <c r="D842" s="9" t="inlineStr">
        <is>
          <t>Т1О-402Б-17</t>
        </is>
      </c>
      <c r="E842" s="10" t="n">
        <v>34</v>
      </c>
      <c r="F842" s="9" t="inlineStr">
        <is>
          <t>04517</t>
        </is>
      </c>
      <c r="G842" s="10" t="n">
        <v>34</v>
      </c>
      <c r="H842" s="9" t="inlineStr">
        <is>
          <t xml:space="preserve">82060     </t>
        </is>
      </c>
      <c r="I842" s="9" t="inlineStr">
        <is>
          <t xml:space="preserve">Лозован Александр Александрович </t>
        </is>
      </c>
      <c r="J842" s="9" t="inlineStr">
        <is>
          <t>профессор</t>
        </is>
      </c>
      <c r="K842" s="9" t="n"/>
      <c r="L842" s="9" t="n"/>
      <c r="M842" s="12">
        <f>SUMIFS($E$2:$E$1130,$A$2:$A$1130,"осень",$I$2:$I$1130,I842)</f>
        <v/>
      </c>
      <c r="N842" s="13">
        <f>SUMIFS($E$2:$E$1130,$A$2:$A$1130,"весна",$I$2:$I$1130,I842)</f>
        <v/>
      </c>
      <c r="O842" s="14">
        <f>M842+N842</f>
        <v/>
      </c>
      <c r="P842" s="15">
        <f>O842/$P$1</f>
        <v/>
      </c>
    </row>
    <row r="843" hidden="1" ht="15.75" customHeight="1" s="2">
      <c r="A843" s="9" t="inlineStr">
        <is>
          <t>весна</t>
        </is>
      </c>
      <c r="B843" s="9" t="inlineStr">
        <is>
          <t>Технологические процессы производства наноматериалов</t>
        </is>
      </c>
      <c r="C843" s="9" t="inlineStr">
        <is>
          <t>КР</t>
        </is>
      </c>
      <c r="D843" s="9" t="inlineStr">
        <is>
          <t>Т1О-402Б-17</t>
        </is>
      </c>
      <c r="E843" s="10" t="n">
        <v>51</v>
      </c>
      <c r="F843" s="9" t="inlineStr">
        <is>
          <t>04517</t>
        </is>
      </c>
      <c r="G843" s="11" t="n">
        <v>0</v>
      </c>
      <c r="H843" s="9" t="inlineStr">
        <is>
          <t xml:space="preserve">82060     </t>
        </is>
      </c>
      <c r="I843" s="9" t="inlineStr">
        <is>
          <t xml:space="preserve">Лозован Александр Александрович </t>
        </is>
      </c>
      <c r="J843" s="9" t="inlineStr">
        <is>
          <t>профессор</t>
        </is>
      </c>
      <c r="K843" s="9" t="n"/>
      <c r="L843" s="9" t="n"/>
      <c r="M843" s="12">
        <f>SUMIFS($E$2:$E$1130,$A$2:$A$1130,"осень",$I$2:$I$1130,I843)</f>
        <v/>
      </c>
      <c r="N843" s="13">
        <f>SUMIFS($E$2:$E$1130,$A$2:$A$1130,"весна",$I$2:$I$1130,I843)</f>
        <v/>
      </c>
      <c r="O843" s="14">
        <f>M843+N843</f>
        <v/>
      </c>
      <c r="P843" s="15">
        <f>O843/$P$1</f>
        <v/>
      </c>
    </row>
    <row r="844" hidden="1" ht="15.75" customHeight="1" s="2">
      <c r="A844" s="9" t="inlineStr">
        <is>
          <t>весна</t>
        </is>
      </c>
      <c r="B844" s="9" t="inlineStr">
        <is>
          <t>Технологические процессы производства наноматериалов</t>
        </is>
      </c>
      <c r="C844" s="9" t="inlineStr">
        <is>
          <t>Зачет с оценкой</t>
        </is>
      </c>
      <c r="D844" s="9" t="inlineStr">
        <is>
          <t>Т1О-402Б-17</t>
        </is>
      </c>
      <c r="E844" s="10" t="n">
        <v>6</v>
      </c>
      <c r="F844" s="9" t="inlineStr">
        <is>
          <t>04517</t>
        </is>
      </c>
      <c r="G844" s="11" t="n">
        <v>0</v>
      </c>
      <c r="H844" s="9" t="inlineStr">
        <is>
          <t xml:space="preserve">82060     </t>
        </is>
      </c>
      <c r="I844" s="9" t="inlineStr">
        <is>
          <t xml:space="preserve">Лозован Александр Александрович </t>
        </is>
      </c>
      <c r="J844" s="9" t="inlineStr">
        <is>
          <t>профессор</t>
        </is>
      </c>
      <c r="K844" s="9" t="n"/>
      <c r="L844" s="9" t="n"/>
      <c r="M844" s="12">
        <f>SUMIFS($E$2:$E$1130,$A$2:$A$1130,"осень",$I$2:$I$1130,I844)</f>
        <v/>
      </c>
      <c r="N844" s="13">
        <f>SUMIFS($E$2:$E$1130,$A$2:$A$1130,"весна",$I$2:$I$1130,I844)</f>
        <v/>
      </c>
      <c r="O844" s="14">
        <f>M844+N844</f>
        <v/>
      </c>
      <c r="P844" s="15">
        <f>O844/$P$1</f>
        <v/>
      </c>
    </row>
    <row r="845" hidden="1" ht="15.75" customHeight="1" s="2">
      <c r="A845" s="9" t="inlineStr">
        <is>
          <t>весна</t>
        </is>
      </c>
      <c r="B845" s="9" t="inlineStr">
        <is>
          <t>Технологические процессы производства наноматериалов</t>
        </is>
      </c>
      <c r="C845" s="9" t="inlineStr">
        <is>
          <t>ПЗ</t>
        </is>
      </c>
      <c r="D845" s="9" t="inlineStr">
        <is>
          <t>Т1О-402Б-17</t>
        </is>
      </c>
      <c r="E845" s="10" t="n">
        <v>14</v>
      </c>
      <c r="F845" s="9" t="inlineStr">
        <is>
          <t>04517</t>
        </is>
      </c>
      <c r="G845" s="10" t="n">
        <v>14</v>
      </c>
      <c r="H845" s="9" t="inlineStr">
        <is>
          <t xml:space="preserve">95460     </t>
        </is>
      </c>
      <c r="I845" s="9" t="inlineStr">
        <is>
          <t>Кубатина Екатерина Павловна</t>
        </is>
      </c>
      <c r="J845" s="9" t="n"/>
      <c r="K845" s="9" t="n"/>
      <c r="L845" s="9" t="n"/>
      <c r="M845" s="12">
        <f>SUMIFS($E$2:$E$1130,$A$2:$A$1130,"осень",$I$2:$I$1130,I845)</f>
        <v/>
      </c>
      <c r="N845" s="13">
        <f>SUMIFS($E$2:$E$1130,$A$2:$A$1130,"весна",$I$2:$I$1130,I845)</f>
        <v/>
      </c>
      <c r="O845" s="14">
        <f>M845+N845</f>
        <v/>
      </c>
      <c r="P845" s="15">
        <f>O845/$P$1</f>
        <v/>
      </c>
    </row>
    <row r="846" hidden="1" ht="15.75" customHeight="1" s="2">
      <c r="A846" s="9" t="inlineStr">
        <is>
          <t>весна</t>
        </is>
      </c>
      <c r="B846" s="9" t="inlineStr">
        <is>
          <t>Технологические процессы производства наноматериалов</t>
        </is>
      </c>
      <c r="C846" s="9" t="inlineStr">
        <is>
          <t>ЛР</t>
        </is>
      </c>
      <c r="D846" s="9" t="inlineStr">
        <is>
          <t>Т1О-402Б-17</t>
        </is>
      </c>
      <c r="E846" s="10" t="n">
        <v>16</v>
      </c>
      <c r="F846" s="9" t="inlineStr">
        <is>
          <t>04517</t>
        </is>
      </c>
      <c r="G846" s="10" t="n">
        <v>8</v>
      </c>
      <c r="H846" s="9" t="inlineStr">
        <is>
          <t xml:space="preserve">82060     </t>
        </is>
      </c>
      <c r="I846" s="9" t="inlineStr">
        <is>
          <t xml:space="preserve">Лозован Александр Александрович </t>
        </is>
      </c>
      <c r="J846" s="9" t="inlineStr">
        <is>
          <t>профессор</t>
        </is>
      </c>
      <c r="K846" s="9" t="n"/>
      <c r="L846" s="9" t="n"/>
      <c r="M846" s="12">
        <f>SUMIFS($E$2:$E$1130,$A$2:$A$1130,"осень",$I$2:$I$1130,I846)</f>
        <v/>
      </c>
      <c r="N846" s="13">
        <f>SUMIFS($E$2:$E$1130,$A$2:$A$1130,"весна",$I$2:$I$1130,I846)</f>
        <v/>
      </c>
      <c r="O846" s="14">
        <f>M846+N846</f>
        <v/>
      </c>
      <c r="P846" s="15">
        <f>O846/$P$1</f>
        <v/>
      </c>
    </row>
    <row r="847" hidden="1" ht="15.75" customHeight="1" s="2">
      <c r="A847" s="9" t="inlineStr">
        <is>
          <t>весна</t>
        </is>
      </c>
      <c r="B847" s="9" t="inlineStr">
        <is>
          <t>Технологические процессы производства наноматериалов</t>
        </is>
      </c>
      <c r="C847" s="9" t="inlineStr">
        <is>
          <t>Консультация</t>
        </is>
      </c>
      <c r="D847" s="9" t="inlineStr">
        <is>
          <t>Т1О-402Б-17</t>
        </is>
      </c>
      <c r="E847" s="10" t="n">
        <v>2</v>
      </c>
      <c r="F847" s="9" t="inlineStr">
        <is>
          <t>04517</t>
        </is>
      </c>
      <c r="G847" s="11" t="n">
        <v>0</v>
      </c>
      <c r="H847" s="9" t="inlineStr">
        <is>
          <t xml:space="preserve">82060     </t>
        </is>
      </c>
      <c r="I847" s="9" t="inlineStr">
        <is>
          <t xml:space="preserve">Лозован Александр Александрович </t>
        </is>
      </c>
      <c r="J847" s="9" t="inlineStr">
        <is>
          <t>профессор</t>
        </is>
      </c>
      <c r="K847" s="9" t="n"/>
      <c r="L847" s="9" t="n"/>
      <c r="M847" s="12">
        <f>SUMIFS($E$2:$E$1130,$A$2:$A$1130,"осень",$I$2:$I$1130,I847)</f>
        <v/>
      </c>
      <c r="N847" s="13">
        <f>SUMIFS($E$2:$E$1130,$A$2:$A$1130,"весна",$I$2:$I$1130,I847)</f>
        <v/>
      </c>
      <c r="O847" s="14">
        <f>M847+N847</f>
        <v/>
      </c>
      <c r="P847" s="15">
        <f>O847/$P$1</f>
        <v/>
      </c>
    </row>
    <row r="848" hidden="1" ht="15.75" customHeight="1" s="2">
      <c r="A848" s="9" t="inlineStr">
        <is>
          <t>весна</t>
        </is>
      </c>
      <c r="B848" s="9" t="inlineStr">
        <is>
          <t>Плавка и литье цветных металлов и сплавов</t>
        </is>
      </c>
      <c r="C848" s="9" t="inlineStr">
        <is>
          <t>ЛК</t>
        </is>
      </c>
      <c r="D848" s="9" t="inlineStr">
        <is>
          <t>Т1О-402Б-17</t>
        </is>
      </c>
      <c r="E848" s="10" t="n">
        <v>24</v>
      </c>
      <c r="F848" s="9" t="inlineStr">
        <is>
          <t>04517</t>
        </is>
      </c>
      <c r="G848" s="10" t="n">
        <v>24</v>
      </c>
      <c r="H848" s="9" t="inlineStr">
        <is>
          <t xml:space="preserve">82019     </t>
        </is>
      </c>
      <c r="I848" s="9" t="inlineStr">
        <is>
          <t xml:space="preserve">Бобрышев Борис Леонидович </t>
        </is>
      </c>
      <c r="J848" s="9" t="n"/>
      <c r="K848" s="9" t="n"/>
      <c r="L848" s="9" t="n"/>
      <c r="M848" s="12">
        <f>SUMIFS($E$2:$E$1130,$A$2:$A$1130,"осень",$I$2:$I$1130,I848)</f>
        <v/>
      </c>
      <c r="N848" s="13">
        <f>SUMIFS($E$2:$E$1130,$A$2:$A$1130,"весна",$I$2:$I$1130,I848)</f>
        <v/>
      </c>
      <c r="O848" s="14">
        <f>M848+N848</f>
        <v/>
      </c>
      <c r="P848" s="15">
        <f>O848/$P$1</f>
        <v/>
      </c>
    </row>
    <row r="849" hidden="1" ht="15.75" customHeight="1" s="2">
      <c r="A849" s="9" t="inlineStr">
        <is>
          <t>весна</t>
        </is>
      </c>
      <c r="B849" s="9" t="inlineStr">
        <is>
          <t>Плавка и литье цветных металлов и сплавов</t>
        </is>
      </c>
      <c r="C849" s="9" t="inlineStr">
        <is>
          <t>КР</t>
        </is>
      </c>
      <c r="D849" s="9" t="inlineStr">
        <is>
          <t>Т1О-402Б-17</t>
        </is>
      </c>
      <c r="E849" s="10" t="n">
        <v>51</v>
      </c>
      <c r="F849" s="9" t="inlineStr">
        <is>
          <t>04517</t>
        </is>
      </c>
      <c r="G849" s="11" t="n">
        <v>0</v>
      </c>
      <c r="H849" s="9" t="inlineStr">
        <is>
          <t xml:space="preserve">82019     </t>
        </is>
      </c>
      <c r="I849" s="9" t="inlineStr">
        <is>
          <t xml:space="preserve">Бобрышев Борис Леонидович </t>
        </is>
      </c>
      <c r="J849" s="9" t="n"/>
      <c r="K849" s="9" t="n"/>
      <c r="L849" s="9" t="n"/>
      <c r="M849" s="12">
        <f>SUMIFS($E$2:$E$1130,$A$2:$A$1130,"осень",$I$2:$I$1130,I849)</f>
        <v/>
      </c>
      <c r="N849" s="13">
        <f>SUMIFS($E$2:$E$1130,$A$2:$A$1130,"весна",$I$2:$I$1130,I849)</f>
        <v/>
      </c>
      <c r="O849" s="14">
        <f>M849+N849</f>
        <v/>
      </c>
      <c r="P849" s="15">
        <f>O849/$P$1</f>
        <v/>
      </c>
    </row>
    <row r="850" hidden="1" ht="15.75" customHeight="1" s="2">
      <c r="A850" s="9" t="inlineStr">
        <is>
          <t>весна</t>
        </is>
      </c>
      <c r="B850" s="9" t="inlineStr">
        <is>
          <t>Плавка и литье цветных металлов и сплавов</t>
        </is>
      </c>
      <c r="C850" s="9" t="inlineStr">
        <is>
          <t>Зачет с оценкой</t>
        </is>
      </c>
      <c r="D850" s="9" t="inlineStr">
        <is>
          <t>Т1О-402Б-17</t>
        </is>
      </c>
      <c r="E850" s="10" t="n">
        <v>6</v>
      </c>
      <c r="F850" s="9" t="inlineStr">
        <is>
          <t>04517</t>
        </is>
      </c>
      <c r="G850" s="11" t="n">
        <v>0</v>
      </c>
      <c r="H850" s="9" t="inlineStr">
        <is>
          <t xml:space="preserve">82019     </t>
        </is>
      </c>
      <c r="I850" s="9" t="inlineStr">
        <is>
          <t xml:space="preserve">Бобрышев Борис Леонидович </t>
        </is>
      </c>
      <c r="J850" s="9" t="n"/>
      <c r="K850" s="9" t="n"/>
      <c r="L850" s="9" t="n"/>
      <c r="M850" s="12">
        <f>SUMIFS($E$2:$E$1130,$A$2:$A$1130,"осень",$I$2:$I$1130,I850)</f>
        <v/>
      </c>
      <c r="N850" s="13">
        <f>SUMIFS($E$2:$E$1130,$A$2:$A$1130,"весна",$I$2:$I$1130,I850)</f>
        <v/>
      </c>
      <c r="O850" s="14">
        <f>M850+N850</f>
        <v/>
      </c>
      <c r="P850" s="15">
        <f>O850/$P$1</f>
        <v/>
      </c>
    </row>
    <row r="851" hidden="1" ht="15.75" customHeight="1" s="2">
      <c r="A851" s="9" t="inlineStr">
        <is>
          <t>весна</t>
        </is>
      </c>
      <c r="B851" s="9" t="inlineStr">
        <is>
          <t>Плавка и литье цветных металлов и сплавов</t>
        </is>
      </c>
      <c r="C851" s="9" t="inlineStr">
        <is>
          <t>ЛР</t>
        </is>
      </c>
      <c r="D851" s="9" t="inlineStr">
        <is>
          <t>Т1О-402Б-17</t>
        </is>
      </c>
      <c r="E851" s="10" t="n">
        <v>64</v>
      </c>
      <c r="F851" s="9" t="inlineStr">
        <is>
          <t>04517</t>
        </is>
      </c>
      <c r="G851" s="10" t="n">
        <v>32</v>
      </c>
      <c r="H851" s="9" t="inlineStr">
        <is>
          <t xml:space="preserve">82019     </t>
        </is>
      </c>
      <c r="I851" s="9" t="inlineStr">
        <is>
          <t xml:space="preserve">Бобрышев Борис Леонидович </t>
        </is>
      </c>
      <c r="J851" s="9" t="n"/>
      <c r="K851" s="9" t="n"/>
      <c r="L851" s="9" t="n"/>
      <c r="M851" s="12">
        <f>SUMIFS($E$2:$E$1130,$A$2:$A$1130,"осень",$I$2:$I$1130,I851)</f>
        <v/>
      </c>
      <c r="N851" s="13">
        <f>SUMIFS($E$2:$E$1130,$A$2:$A$1130,"весна",$I$2:$I$1130,I851)</f>
        <v/>
      </c>
      <c r="O851" s="14">
        <f>M851+N851</f>
        <v/>
      </c>
      <c r="P851" s="15">
        <f>O851/$P$1</f>
        <v/>
      </c>
    </row>
    <row r="852" hidden="1" ht="15.75" customHeight="1" s="2">
      <c r="A852" s="9" t="inlineStr">
        <is>
          <t>весна</t>
        </is>
      </c>
      <c r="B852" s="9" t="inlineStr">
        <is>
          <t>Плавка и литье цветных металлов и сплавов</t>
        </is>
      </c>
      <c r="C852" s="9" t="inlineStr">
        <is>
          <t>Консультация</t>
        </is>
      </c>
      <c r="D852" s="9" t="inlineStr">
        <is>
          <t>Т1О-402Б-17</t>
        </is>
      </c>
      <c r="E852" s="10" t="n">
        <v>1</v>
      </c>
      <c r="F852" s="9" t="inlineStr">
        <is>
          <t>04517</t>
        </is>
      </c>
      <c r="G852" s="11" t="n">
        <v>0</v>
      </c>
      <c r="H852" s="9" t="inlineStr">
        <is>
          <t xml:space="preserve">82019     </t>
        </is>
      </c>
      <c r="I852" s="9" t="inlineStr">
        <is>
          <t xml:space="preserve">Бобрышев Борис Леонидович </t>
        </is>
      </c>
      <c r="J852" s="9" t="n"/>
      <c r="K852" s="9" t="n"/>
      <c r="L852" s="9" t="n"/>
      <c r="M852" s="12">
        <f>SUMIFS($E$2:$E$1130,$A$2:$A$1130,"осень",$I$2:$I$1130,I852)</f>
        <v/>
      </c>
      <c r="N852" s="13">
        <f>SUMIFS($E$2:$E$1130,$A$2:$A$1130,"весна",$I$2:$I$1130,I852)</f>
        <v/>
      </c>
      <c r="O852" s="14">
        <f>M852+N852</f>
        <v/>
      </c>
      <c r="P852" s="15">
        <f>O852/$P$1</f>
        <v/>
      </c>
    </row>
    <row r="853" hidden="1" ht="15.75" customHeight="1" s="2">
      <c r="A853" s="9" t="inlineStr">
        <is>
          <t>весна</t>
        </is>
      </c>
      <c r="B853" s="9" t="inlineStr">
        <is>
          <t>Плавка и литье чугунов, стали и сплавов со специальными свойствами</t>
        </is>
      </c>
      <c r="C853" s="9" t="inlineStr">
        <is>
          <t>ЛК</t>
        </is>
      </c>
      <c r="D853" s="9" t="inlineStr">
        <is>
          <t>Т1О-402Б-17</t>
        </is>
      </c>
      <c r="E853" s="10" t="n">
        <v>24</v>
      </c>
      <c r="F853" s="9" t="inlineStr">
        <is>
          <t>04517</t>
        </is>
      </c>
      <c r="G853" s="10" t="n">
        <v>24</v>
      </c>
      <c r="H853" s="9" t="inlineStr">
        <is>
          <t xml:space="preserve">89068     </t>
        </is>
      </c>
      <c r="I853" s="9" t="inlineStr">
        <is>
          <t xml:space="preserve">Петров Игорь Алексеевич </t>
        </is>
      </c>
      <c r="J853" s="9" t="inlineStr">
        <is>
          <t>доцент</t>
        </is>
      </c>
      <c r="K853" s="9" t="n"/>
      <c r="L853" s="9" t="n"/>
      <c r="M853" s="12">
        <f>SUMIFS($E$2:$E$1130,$A$2:$A$1130,"осень",$I$2:$I$1130,I853)</f>
        <v/>
      </c>
      <c r="N853" s="13">
        <f>SUMIFS($E$2:$E$1130,$A$2:$A$1130,"весна",$I$2:$I$1130,I853)</f>
        <v/>
      </c>
      <c r="O853" s="14">
        <f>M853+N853</f>
        <v/>
      </c>
      <c r="P853" s="15">
        <f>O853/$P$1</f>
        <v/>
      </c>
    </row>
    <row r="854" hidden="1" ht="15.75" customHeight="1" s="2">
      <c r="A854" s="9" t="inlineStr">
        <is>
          <t>весна</t>
        </is>
      </c>
      <c r="B854" s="9" t="inlineStr">
        <is>
          <t>Плавка и литье чугунов, стали и сплавов со специальными свойствами</t>
        </is>
      </c>
      <c r="C854" s="9" t="inlineStr">
        <is>
          <t>ЛР</t>
        </is>
      </c>
      <c r="D854" s="9" t="inlineStr">
        <is>
          <t>Т1О-402Б-17</t>
        </is>
      </c>
      <c r="E854" s="10" t="n">
        <v>64</v>
      </c>
      <c r="F854" s="9" t="inlineStr">
        <is>
          <t>04517</t>
        </is>
      </c>
      <c r="G854" s="10" t="n">
        <v>32</v>
      </c>
      <c r="H854" s="9" t="inlineStr">
        <is>
          <t xml:space="preserve">89068     </t>
        </is>
      </c>
      <c r="I854" s="9" t="inlineStr">
        <is>
          <t xml:space="preserve">Петров Игорь Алексеевич </t>
        </is>
      </c>
      <c r="J854" s="9" t="inlineStr">
        <is>
          <t>доцент</t>
        </is>
      </c>
      <c r="K854" s="9" t="n"/>
      <c r="L854" s="9" t="n"/>
      <c r="M854" s="12">
        <f>SUMIFS($E$2:$E$1130,$A$2:$A$1130,"осень",$I$2:$I$1130,I854)</f>
        <v/>
      </c>
      <c r="N854" s="13">
        <f>SUMIFS($E$2:$E$1130,$A$2:$A$1130,"весна",$I$2:$I$1130,I854)</f>
        <v/>
      </c>
      <c r="O854" s="14">
        <f>M854+N854</f>
        <v/>
      </c>
      <c r="P854" s="15">
        <f>O854/$P$1</f>
        <v/>
      </c>
    </row>
    <row r="855" hidden="1" ht="15.75" customHeight="1" s="2">
      <c r="A855" s="9" t="inlineStr">
        <is>
          <t>весна</t>
        </is>
      </c>
      <c r="B855" s="9" t="inlineStr">
        <is>
          <t>Плавка и литье чугунов, стали и сплавов со специальными свойствами</t>
        </is>
      </c>
      <c r="C855" s="9" t="inlineStr">
        <is>
          <t>Экзамен</t>
        </is>
      </c>
      <c r="D855" s="9" t="inlineStr">
        <is>
          <t>Т1О-402Б-17</t>
        </is>
      </c>
      <c r="E855" s="10" t="n">
        <v>9</v>
      </c>
      <c r="F855" s="9" t="inlineStr">
        <is>
          <t>04517</t>
        </is>
      </c>
      <c r="G855" s="11" t="n">
        <v>0</v>
      </c>
      <c r="H855" s="9" t="inlineStr">
        <is>
          <t xml:space="preserve">89068     </t>
        </is>
      </c>
      <c r="I855" s="9" t="inlineStr">
        <is>
          <t xml:space="preserve">Петров Игорь Алексеевич </t>
        </is>
      </c>
      <c r="J855" s="9" t="inlineStr">
        <is>
          <t>доцент</t>
        </is>
      </c>
      <c r="K855" s="9" t="n"/>
      <c r="L855" s="9" t="n"/>
      <c r="M855" s="12">
        <f>SUMIFS($E$2:$E$1130,$A$2:$A$1130,"осень",$I$2:$I$1130,I855)</f>
        <v/>
      </c>
      <c r="N855" s="13">
        <f>SUMIFS($E$2:$E$1130,$A$2:$A$1130,"весна",$I$2:$I$1130,I855)</f>
        <v/>
      </c>
      <c r="O855" s="14">
        <f>M855+N855</f>
        <v/>
      </c>
      <c r="P855" s="15">
        <f>O855/$P$1</f>
        <v/>
      </c>
    </row>
    <row r="856" hidden="1" ht="15.75" customHeight="1" s="2">
      <c r="A856" s="9" t="inlineStr">
        <is>
          <t>весна</t>
        </is>
      </c>
      <c r="B856" s="9" t="inlineStr">
        <is>
          <t>Плавка и литье чугунов, стали и сплавов со специальными свойствами</t>
        </is>
      </c>
      <c r="C856" s="9" t="inlineStr">
        <is>
          <t>Консультация</t>
        </is>
      </c>
      <c r="D856" s="9" t="inlineStr">
        <is>
          <t>Т1О-402Б-17</t>
        </is>
      </c>
      <c r="E856" s="10" t="n">
        <v>3</v>
      </c>
      <c r="F856" s="9" t="inlineStr">
        <is>
          <t>04517</t>
        </is>
      </c>
      <c r="G856" s="11" t="n">
        <v>0</v>
      </c>
      <c r="H856" s="9" t="inlineStr">
        <is>
          <t xml:space="preserve">89068     </t>
        </is>
      </c>
      <c r="I856" s="9" t="inlineStr">
        <is>
          <t xml:space="preserve">Петров Игорь Алексеевич </t>
        </is>
      </c>
      <c r="J856" s="9" t="inlineStr">
        <is>
          <t>доцент</t>
        </is>
      </c>
      <c r="K856" s="9" t="n"/>
      <c r="L856" s="9" t="n"/>
      <c r="M856" s="12">
        <f>SUMIFS($E$2:$E$1130,$A$2:$A$1130,"осень",$I$2:$I$1130,I856)</f>
        <v/>
      </c>
      <c r="N856" s="13">
        <f>SUMIFS($E$2:$E$1130,$A$2:$A$1130,"весна",$I$2:$I$1130,I856)</f>
        <v/>
      </c>
      <c r="O856" s="14">
        <f>M856+N856</f>
        <v/>
      </c>
      <c r="P856" s="15">
        <f>O856/$P$1</f>
        <v/>
      </c>
    </row>
    <row r="857" hidden="1" ht="15.75" customHeight="1" s="2">
      <c r="A857" s="9" t="inlineStr">
        <is>
          <t>весна</t>
        </is>
      </c>
      <c r="B857" s="9" t="inlineStr">
        <is>
          <t>Основы сварки и пайки</t>
        </is>
      </c>
      <c r="C857" s="9" t="inlineStr">
        <is>
          <t>ЛК</t>
        </is>
      </c>
      <c r="D857" s="9" t="inlineStr">
        <is>
          <t>Т11О-301Б-18, Т11О-302Б-18</t>
        </is>
      </c>
      <c r="E857" s="10" t="n">
        <v>32</v>
      </c>
      <c r="F857" s="9" t="inlineStr">
        <is>
          <t>08947</t>
        </is>
      </c>
      <c r="G857" s="10" t="n">
        <v>32</v>
      </c>
      <c r="H857" s="9" t="inlineStr">
        <is>
          <t xml:space="preserve">82056     </t>
        </is>
      </c>
      <c r="I857" s="9" t="inlineStr">
        <is>
          <t xml:space="preserve">Никитина Елена Владимировна </t>
        </is>
      </c>
      <c r="J857" s="9" t="n"/>
      <c r="K857" s="9" t="n"/>
      <c r="L857" s="9" t="n"/>
      <c r="M857" s="12">
        <f>SUMIFS($E$2:$E$1130,$A$2:$A$1130,"осень",$I$2:$I$1130,I857)</f>
        <v/>
      </c>
      <c r="N857" s="13">
        <f>SUMIFS($E$2:$E$1130,$A$2:$A$1130,"весна",$I$2:$I$1130,I857)</f>
        <v/>
      </c>
      <c r="O857" s="14">
        <f>M857+N857</f>
        <v/>
      </c>
      <c r="P857" s="15">
        <f>O857/$P$1</f>
        <v/>
      </c>
    </row>
    <row r="858" hidden="1" ht="15.75" customHeight="1" s="2">
      <c r="A858" s="9" t="inlineStr">
        <is>
          <t>весна</t>
        </is>
      </c>
      <c r="B858" s="9" t="inlineStr">
        <is>
          <t>Основы сварки и пайки</t>
        </is>
      </c>
      <c r="C858" s="9" t="inlineStr">
        <is>
          <t>ПЗ</t>
        </is>
      </c>
      <c r="D858" s="9" t="inlineStr">
        <is>
          <t>Т11О-301Б-18</t>
        </is>
      </c>
      <c r="E858" s="10" t="n">
        <v>20</v>
      </c>
      <c r="F858" s="9" t="inlineStr">
        <is>
          <t>08947</t>
        </is>
      </c>
      <c r="G858" s="10" t="n">
        <v>20</v>
      </c>
      <c r="H858" s="9" t="inlineStr">
        <is>
          <t xml:space="preserve">82056     </t>
        </is>
      </c>
      <c r="I858" s="9" t="inlineStr">
        <is>
          <t xml:space="preserve">Никитина Елена Владимировна </t>
        </is>
      </c>
      <c r="J858" s="9" t="n"/>
      <c r="K858" s="9" t="n"/>
      <c r="L858" s="9" t="n"/>
      <c r="M858" s="12">
        <f>SUMIFS($E$2:$E$1130,$A$2:$A$1130,"осень",$I$2:$I$1130,I858)</f>
        <v/>
      </c>
      <c r="N858" s="13">
        <f>SUMIFS($E$2:$E$1130,$A$2:$A$1130,"весна",$I$2:$I$1130,I858)</f>
        <v/>
      </c>
      <c r="O858" s="14">
        <f>M858+N858</f>
        <v/>
      </c>
      <c r="P858" s="15">
        <f>O858/$P$1</f>
        <v/>
      </c>
    </row>
    <row r="859" hidden="1" ht="15.75" customHeight="1" s="2">
      <c r="A859" s="9" t="inlineStr">
        <is>
          <t>весна</t>
        </is>
      </c>
      <c r="B859" s="9" t="inlineStr">
        <is>
          <t>Основы сварки и пайки</t>
        </is>
      </c>
      <c r="C859" s="9" t="inlineStr">
        <is>
          <t>ПЗ</t>
        </is>
      </c>
      <c r="D859" s="9" t="inlineStr">
        <is>
          <t>Т11О-302Б-18</t>
        </is>
      </c>
      <c r="E859" s="10" t="n">
        <v>20</v>
      </c>
      <c r="F859" s="9" t="inlineStr">
        <is>
          <t>08947</t>
        </is>
      </c>
      <c r="G859" s="10" t="n">
        <v>20</v>
      </c>
      <c r="H859" s="9" t="inlineStr">
        <is>
          <t xml:space="preserve">82056     </t>
        </is>
      </c>
      <c r="I859" s="9" t="inlineStr">
        <is>
          <t xml:space="preserve">Никитина Елена Владимировна </t>
        </is>
      </c>
      <c r="J859" s="9" t="n"/>
      <c r="K859" s="9" t="n"/>
      <c r="L859" s="9" t="n"/>
      <c r="M859" s="12">
        <f>SUMIFS($E$2:$E$1130,$A$2:$A$1130,"осень",$I$2:$I$1130,I859)</f>
        <v/>
      </c>
      <c r="N859" s="13">
        <f>SUMIFS($E$2:$E$1130,$A$2:$A$1130,"весна",$I$2:$I$1130,I859)</f>
        <v/>
      </c>
      <c r="O859" s="14">
        <f>M859+N859</f>
        <v/>
      </c>
      <c r="P859" s="15">
        <f>O859/$P$1</f>
        <v/>
      </c>
    </row>
    <row r="860" hidden="1" ht="15.75" customHeight="1" s="2">
      <c r="A860" s="9" t="inlineStr">
        <is>
          <t>весна</t>
        </is>
      </c>
      <c r="B860" s="9" t="inlineStr">
        <is>
          <t>Основы сварки и пайки</t>
        </is>
      </c>
      <c r="C860" s="9" t="inlineStr">
        <is>
          <t>ЛР</t>
        </is>
      </c>
      <c r="D860" s="9" t="inlineStr">
        <is>
          <t>Т11О-301Б-18</t>
        </is>
      </c>
      <c r="E860" s="10" t="n">
        <v>32</v>
      </c>
      <c r="F860" s="9" t="inlineStr">
        <is>
          <t>08947</t>
        </is>
      </c>
      <c r="G860" s="10" t="n">
        <v>16</v>
      </c>
      <c r="H860" s="9" t="inlineStr">
        <is>
          <t xml:space="preserve">82056     </t>
        </is>
      </c>
      <c r="I860" s="9" t="inlineStr">
        <is>
          <t xml:space="preserve">Никитина Елена Владимировна </t>
        </is>
      </c>
      <c r="J860" s="9" t="n"/>
      <c r="K860" s="9" t="n"/>
      <c r="L860" s="9" t="n"/>
      <c r="M860" s="12">
        <f>SUMIFS($E$2:$E$1130,$A$2:$A$1130,"осень",$I$2:$I$1130,I860)</f>
        <v/>
      </c>
      <c r="N860" s="13">
        <f>SUMIFS($E$2:$E$1130,$A$2:$A$1130,"весна",$I$2:$I$1130,I860)</f>
        <v/>
      </c>
      <c r="O860" s="14">
        <f>M860+N860</f>
        <v/>
      </c>
      <c r="P860" s="15">
        <f>O860/$P$1</f>
        <v/>
      </c>
    </row>
    <row r="861" hidden="1" ht="15.75" customHeight="1" s="2">
      <c r="A861" s="9" t="inlineStr">
        <is>
          <t>весна</t>
        </is>
      </c>
      <c r="B861" s="9" t="inlineStr">
        <is>
          <t>Основы сварки и пайки</t>
        </is>
      </c>
      <c r="C861" s="9" t="inlineStr">
        <is>
          <t>ЛР</t>
        </is>
      </c>
      <c r="D861" s="9" t="inlineStr">
        <is>
          <t>Т11О-302Б-18</t>
        </is>
      </c>
      <c r="E861" s="10" t="n">
        <v>16</v>
      </c>
      <c r="F861" s="9" t="inlineStr">
        <is>
          <t>08947</t>
        </is>
      </c>
      <c r="G861" s="10" t="n">
        <v>16</v>
      </c>
      <c r="H861" s="9" t="inlineStr">
        <is>
          <t xml:space="preserve">82056     </t>
        </is>
      </c>
      <c r="I861" s="9" t="inlineStr">
        <is>
          <t xml:space="preserve">Никитина Елена Владимировна </t>
        </is>
      </c>
      <c r="J861" s="9" t="n"/>
      <c r="K861" s="9" t="n"/>
      <c r="L861" s="9" t="n"/>
      <c r="M861" s="12">
        <f>SUMIFS($E$2:$E$1130,$A$2:$A$1130,"осень",$I$2:$I$1130,I861)</f>
        <v/>
      </c>
      <c r="N861" s="13">
        <f>SUMIFS($E$2:$E$1130,$A$2:$A$1130,"весна",$I$2:$I$1130,I861)</f>
        <v/>
      </c>
      <c r="O861" s="14">
        <f>M861+N861</f>
        <v/>
      </c>
      <c r="P861" s="15">
        <f>O861/$P$1</f>
        <v/>
      </c>
    </row>
    <row r="862" hidden="1" ht="15.75" customHeight="1" s="2">
      <c r="A862" s="9" t="inlineStr">
        <is>
          <t>весна</t>
        </is>
      </c>
      <c r="B862" s="9" t="inlineStr">
        <is>
          <t>Основы сварки и пайки</t>
        </is>
      </c>
      <c r="C862" s="9" t="inlineStr">
        <is>
          <t>Экзамен</t>
        </is>
      </c>
      <c r="D862" s="9" t="inlineStr">
        <is>
          <t>Т11О-301Б-18</t>
        </is>
      </c>
      <c r="E862" s="10" t="n">
        <v>9</v>
      </c>
      <c r="F862" s="9" t="inlineStr">
        <is>
          <t>08947</t>
        </is>
      </c>
      <c r="G862" s="11" t="n">
        <v>0</v>
      </c>
      <c r="H862" s="9" t="inlineStr">
        <is>
          <t xml:space="preserve">82056     </t>
        </is>
      </c>
      <c r="I862" s="9" t="inlineStr">
        <is>
          <t xml:space="preserve">Никитина Елена Владимировна </t>
        </is>
      </c>
      <c r="J862" s="9" t="n"/>
      <c r="K862" s="9" t="n"/>
      <c r="L862" s="9" t="n"/>
      <c r="M862" s="12">
        <f>SUMIFS($E$2:$E$1130,$A$2:$A$1130,"осень",$I$2:$I$1130,I862)</f>
        <v/>
      </c>
      <c r="N862" s="13">
        <f>SUMIFS($E$2:$E$1130,$A$2:$A$1130,"весна",$I$2:$I$1130,I862)</f>
        <v/>
      </c>
      <c r="O862" s="14">
        <f>M862+N862</f>
        <v/>
      </c>
      <c r="P862" s="15">
        <f>O862/$P$1</f>
        <v/>
      </c>
    </row>
    <row r="863" hidden="1" ht="15.75" customHeight="1" s="2">
      <c r="A863" s="9" t="inlineStr">
        <is>
          <t>весна</t>
        </is>
      </c>
      <c r="B863" s="9" t="inlineStr">
        <is>
          <t>Основы сварки и пайки</t>
        </is>
      </c>
      <c r="C863" s="9" t="inlineStr">
        <is>
          <t>Экзамен</t>
        </is>
      </c>
      <c r="D863" s="9" t="inlineStr">
        <is>
          <t>Т11О-302Б-18</t>
        </is>
      </c>
      <c r="E863" s="10" t="n">
        <v>7</v>
      </c>
      <c r="F863" s="9" t="inlineStr">
        <is>
          <t>08947</t>
        </is>
      </c>
      <c r="G863" s="11" t="n">
        <v>0</v>
      </c>
      <c r="H863" s="9" t="inlineStr">
        <is>
          <t xml:space="preserve">82056     </t>
        </is>
      </c>
      <c r="I863" s="9" t="inlineStr">
        <is>
          <t xml:space="preserve">Никитина Елена Владимировна </t>
        </is>
      </c>
      <c r="J863" s="9" t="n"/>
      <c r="K863" s="9" t="n"/>
      <c r="L863" s="9" t="n"/>
      <c r="M863" s="12">
        <f>SUMIFS($E$2:$E$1130,$A$2:$A$1130,"осень",$I$2:$I$1130,I863)</f>
        <v/>
      </c>
      <c r="N863" s="13">
        <f>SUMIFS($E$2:$E$1130,$A$2:$A$1130,"весна",$I$2:$I$1130,I863)</f>
        <v/>
      </c>
      <c r="O863" s="14">
        <f>M863+N863</f>
        <v/>
      </c>
      <c r="P863" s="15">
        <f>O863/$P$1</f>
        <v/>
      </c>
    </row>
    <row r="864" hidden="1" ht="15.75" customHeight="1" s="2">
      <c r="A864" s="9" t="inlineStr">
        <is>
          <t>весна</t>
        </is>
      </c>
      <c r="B864" s="9" t="inlineStr">
        <is>
          <t>Основы сварки и пайки</t>
        </is>
      </c>
      <c r="C864" s="9" t="inlineStr">
        <is>
          <t>Консультация</t>
        </is>
      </c>
      <c r="D864" s="9" t="inlineStr">
        <is>
          <t>Т11О-301Б-18</t>
        </is>
      </c>
      <c r="E864" s="10" t="n">
        <v>4</v>
      </c>
      <c r="F864" s="9" t="inlineStr">
        <is>
          <t>08947</t>
        </is>
      </c>
      <c r="G864" s="11" t="n">
        <v>0</v>
      </c>
      <c r="H864" s="9" t="inlineStr">
        <is>
          <t xml:space="preserve">82056     </t>
        </is>
      </c>
      <c r="I864" s="9" t="inlineStr">
        <is>
          <t xml:space="preserve">Никитина Елена Владимировна </t>
        </is>
      </c>
      <c r="J864" s="9" t="n"/>
      <c r="K864" s="9" t="n"/>
      <c r="L864" s="9" t="n"/>
      <c r="M864" s="12">
        <f>SUMIFS($E$2:$E$1130,$A$2:$A$1130,"осень",$I$2:$I$1130,I864)</f>
        <v/>
      </c>
      <c r="N864" s="13">
        <f>SUMIFS($E$2:$E$1130,$A$2:$A$1130,"весна",$I$2:$I$1130,I864)</f>
        <v/>
      </c>
      <c r="O864" s="14">
        <f>M864+N864</f>
        <v/>
      </c>
      <c r="P864" s="15">
        <f>O864/$P$1</f>
        <v/>
      </c>
    </row>
    <row r="865" hidden="1" ht="15.75" customHeight="1" s="2">
      <c r="A865" s="9" t="inlineStr">
        <is>
          <t>весна</t>
        </is>
      </c>
      <c r="B865" s="9" t="inlineStr">
        <is>
          <t>Основы сварки и пайки</t>
        </is>
      </c>
      <c r="C865" s="9" t="inlineStr">
        <is>
          <t>Консультация</t>
        </is>
      </c>
      <c r="D865" s="9" t="inlineStr">
        <is>
          <t>Т11О-302Б-18</t>
        </is>
      </c>
      <c r="E865" s="10" t="n">
        <v>4</v>
      </c>
      <c r="F865" s="9" t="inlineStr">
        <is>
          <t>08947</t>
        </is>
      </c>
      <c r="G865" s="11" t="n">
        <v>0</v>
      </c>
      <c r="H865" s="9" t="inlineStr">
        <is>
          <t xml:space="preserve">82056     </t>
        </is>
      </c>
      <c r="I865" s="9" t="inlineStr">
        <is>
          <t xml:space="preserve">Никитина Елена Владимировна </t>
        </is>
      </c>
      <c r="J865" s="9" t="n"/>
      <c r="K865" s="9" t="n"/>
      <c r="L865" s="9" t="n"/>
      <c r="M865" s="12">
        <f>SUMIFS($E$2:$E$1130,$A$2:$A$1130,"осень",$I$2:$I$1130,I865)</f>
        <v/>
      </c>
      <c r="N865" s="13">
        <f>SUMIFS($E$2:$E$1130,$A$2:$A$1130,"весна",$I$2:$I$1130,I865)</f>
        <v/>
      </c>
      <c r="O865" s="14">
        <f>M865+N865</f>
        <v/>
      </c>
      <c r="P865" s="15">
        <f>O865/$P$1</f>
        <v/>
      </c>
    </row>
    <row r="866" hidden="1" ht="15.75" customHeight="1" s="2">
      <c r="A866" s="9" t="inlineStr">
        <is>
          <t>весна</t>
        </is>
      </c>
      <c r="B866" s="9" t="inlineStr">
        <is>
          <t>Оборудование литейных цехов</t>
        </is>
      </c>
      <c r="C866" s="9" t="inlineStr">
        <is>
          <t>ЛК</t>
        </is>
      </c>
      <c r="D866" s="9" t="inlineStr">
        <is>
          <t>Т11О-102М-20</t>
        </is>
      </c>
      <c r="E866" s="10" t="n">
        <v>12</v>
      </c>
      <c r="F866" s="9" t="inlineStr">
        <is>
          <t>06201</t>
        </is>
      </c>
      <c r="G866" s="10" t="n">
        <v>12</v>
      </c>
      <c r="H866" s="9" t="inlineStr">
        <is>
          <t xml:space="preserve">82019     </t>
        </is>
      </c>
      <c r="I866" s="9" t="inlineStr">
        <is>
          <t xml:space="preserve">Бобрышев Борис Леонидович </t>
        </is>
      </c>
      <c r="J866" s="9" t="n"/>
      <c r="K866" s="9" t="n"/>
      <c r="L866" s="9" t="n"/>
      <c r="M866" s="12">
        <f>SUMIFS($E$2:$E$1130,$A$2:$A$1130,"осень",$I$2:$I$1130,I866)</f>
        <v/>
      </c>
      <c r="N866" s="13">
        <f>SUMIFS($E$2:$E$1130,$A$2:$A$1130,"весна",$I$2:$I$1130,I866)</f>
        <v/>
      </c>
      <c r="O866" s="14">
        <f>M866+N866</f>
        <v/>
      </c>
      <c r="P866" s="15">
        <f>O866/$P$1</f>
        <v/>
      </c>
    </row>
    <row r="867" hidden="1" ht="15.75" customHeight="1" s="2">
      <c r="A867" s="9" t="inlineStr">
        <is>
          <t>весна</t>
        </is>
      </c>
      <c r="B867" s="9" t="inlineStr">
        <is>
          <t>Оборудование литейных цехов</t>
        </is>
      </c>
      <c r="C867" s="9" t="inlineStr">
        <is>
          <t>ПЗ</t>
        </is>
      </c>
      <c r="D867" s="9" t="inlineStr">
        <is>
          <t>Т11О-102М-20</t>
        </is>
      </c>
      <c r="E867" s="10" t="n">
        <v>24</v>
      </c>
      <c r="F867" s="9" t="inlineStr">
        <is>
          <t>06201</t>
        </is>
      </c>
      <c r="G867" s="10" t="n">
        <v>24</v>
      </c>
      <c r="H867" s="9" t="inlineStr">
        <is>
          <t xml:space="preserve">82019     </t>
        </is>
      </c>
      <c r="I867" s="9" t="inlineStr">
        <is>
          <t xml:space="preserve">Бобрышев Борис Леонидович </t>
        </is>
      </c>
      <c r="J867" s="9" t="n"/>
      <c r="K867" s="9" t="n"/>
      <c r="L867" s="9" t="n"/>
      <c r="M867" s="12">
        <f>SUMIFS($E$2:$E$1130,$A$2:$A$1130,"осень",$I$2:$I$1130,I867)</f>
        <v/>
      </c>
      <c r="N867" s="13">
        <f>SUMIFS($E$2:$E$1130,$A$2:$A$1130,"весна",$I$2:$I$1130,I867)</f>
        <v/>
      </c>
      <c r="O867" s="14">
        <f>M867+N867</f>
        <v/>
      </c>
      <c r="P867" s="15">
        <f>O867/$P$1</f>
        <v/>
      </c>
    </row>
    <row r="868" hidden="1" ht="15.75" customHeight="1" s="2">
      <c r="A868" s="9" t="inlineStr">
        <is>
          <t>весна</t>
        </is>
      </c>
      <c r="B868" s="9" t="inlineStr">
        <is>
          <t>Оборудование литейных цехов</t>
        </is>
      </c>
      <c r="C868" s="9" t="inlineStr">
        <is>
          <t>Зачет</t>
        </is>
      </c>
      <c r="D868" s="9" t="inlineStr">
        <is>
          <t>Т11О-102М-20</t>
        </is>
      </c>
      <c r="E868" s="10" t="n">
        <v>2</v>
      </c>
      <c r="F868" s="9" t="inlineStr">
        <is>
          <t>06201</t>
        </is>
      </c>
      <c r="G868" s="11" t="n">
        <v>0</v>
      </c>
      <c r="H868" s="9" t="inlineStr">
        <is>
          <t xml:space="preserve">82019     </t>
        </is>
      </c>
      <c r="I868" s="9" t="inlineStr">
        <is>
          <t xml:space="preserve">Бобрышев Борис Леонидович </t>
        </is>
      </c>
      <c r="J868" s="9" t="n"/>
      <c r="K868" s="9" t="n"/>
      <c r="L868" s="9" t="n"/>
      <c r="M868" s="12">
        <f>SUMIFS($E$2:$E$1130,$A$2:$A$1130,"осень",$I$2:$I$1130,I868)</f>
        <v/>
      </c>
      <c r="N868" s="13">
        <f>SUMIFS($E$2:$E$1130,$A$2:$A$1130,"весна",$I$2:$I$1130,I868)</f>
        <v/>
      </c>
      <c r="O868" s="14">
        <f>M868+N868</f>
        <v/>
      </c>
      <c r="P868" s="15">
        <f>O868/$P$1</f>
        <v/>
      </c>
    </row>
    <row r="869" hidden="1" ht="15.75" customHeight="1" s="2">
      <c r="A869" s="9" t="inlineStr">
        <is>
          <t>весна</t>
        </is>
      </c>
      <c r="B869" s="9" t="inlineStr">
        <is>
          <t>Оборудование литейных цехов</t>
        </is>
      </c>
      <c r="C869" s="9" t="inlineStr">
        <is>
          <t>Консультация</t>
        </is>
      </c>
      <c r="D869" s="9" t="inlineStr">
        <is>
          <t>Т11О-102М-20</t>
        </is>
      </c>
      <c r="E869" s="10" t="n">
        <v>1</v>
      </c>
      <c r="F869" s="9" t="inlineStr">
        <is>
          <t>06201</t>
        </is>
      </c>
      <c r="G869" s="11" t="n">
        <v>0</v>
      </c>
      <c r="H869" s="9" t="inlineStr">
        <is>
          <t xml:space="preserve">82019     </t>
        </is>
      </c>
      <c r="I869" s="9" t="inlineStr">
        <is>
          <t xml:space="preserve">Бобрышев Борис Леонидович </t>
        </is>
      </c>
      <c r="J869" s="9" t="n"/>
      <c r="K869" s="9" t="n"/>
      <c r="L869" s="9" t="n"/>
      <c r="M869" s="12">
        <f>SUMIFS($E$2:$E$1130,$A$2:$A$1130,"осень",$I$2:$I$1130,I869)</f>
        <v/>
      </c>
      <c r="N869" s="13">
        <f>SUMIFS($E$2:$E$1130,$A$2:$A$1130,"весна",$I$2:$I$1130,I869)</f>
        <v/>
      </c>
      <c r="O869" s="14">
        <f>M869+N869</f>
        <v/>
      </c>
      <c r="P869" s="15">
        <f>O869/$P$1</f>
        <v/>
      </c>
    </row>
    <row r="870" hidden="1" ht="15.75" customHeight="1" s="2">
      <c r="A870" s="9" t="inlineStr">
        <is>
          <t>весна</t>
        </is>
      </c>
      <c r="B870" s="9" t="inlineStr">
        <is>
          <t>Теория, технология и оборудование нанесения покрытий</t>
        </is>
      </c>
      <c r="C870" s="9" t="inlineStr">
        <is>
          <t>ЛК</t>
        </is>
      </c>
      <c r="D870" s="9" t="inlineStr">
        <is>
          <t>Т11О-103М-20</t>
        </is>
      </c>
      <c r="E870" s="10" t="n">
        <v>12</v>
      </c>
      <c r="F870" s="9" t="inlineStr">
        <is>
          <t>06203</t>
        </is>
      </c>
      <c r="G870" s="10" t="n">
        <v>12</v>
      </c>
      <c r="H870" s="9" t="inlineStr">
        <is>
          <t xml:space="preserve">93685     </t>
        </is>
      </c>
      <c r="I870" s="9" t="inlineStr">
        <is>
          <t xml:space="preserve">Банишев Александр Федорович </t>
        </is>
      </c>
      <c r="J870" s="9" t="n"/>
      <c r="K870" s="9" t="n"/>
      <c r="L870" s="9" t="n"/>
      <c r="M870" s="12">
        <f>SUMIFS($E$2:$E$1130,$A$2:$A$1130,"осень",$I$2:$I$1130,I870)</f>
        <v/>
      </c>
      <c r="N870" s="13">
        <f>SUMIFS($E$2:$E$1130,$A$2:$A$1130,"весна",$I$2:$I$1130,I870)</f>
        <v/>
      </c>
      <c r="O870" s="14">
        <f>M870+N870</f>
        <v/>
      </c>
      <c r="P870" s="15">
        <f>O870/$P$1</f>
        <v/>
      </c>
    </row>
    <row r="871" hidden="1" ht="15.75" customHeight="1" s="2">
      <c r="A871" s="9" t="inlineStr">
        <is>
          <t>весна</t>
        </is>
      </c>
      <c r="B871" s="9" t="inlineStr">
        <is>
          <t>Теория, технология и оборудование нанесения покрытий</t>
        </is>
      </c>
      <c r="C871" s="9" t="inlineStr">
        <is>
          <t>Зачет с оценкой</t>
        </is>
      </c>
      <c r="D871" s="9" t="inlineStr">
        <is>
          <t>Т11О-103М-20</t>
        </is>
      </c>
      <c r="E871" s="10" t="n">
        <v>2</v>
      </c>
      <c r="F871" s="9" t="inlineStr">
        <is>
          <t>06203</t>
        </is>
      </c>
      <c r="G871" s="11" t="n">
        <v>0</v>
      </c>
      <c r="H871" s="9" t="inlineStr">
        <is>
          <t xml:space="preserve">93685     </t>
        </is>
      </c>
      <c r="I871" s="9" t="inlineStr">
        <is>
          <t xml:space="preserve">Банишев Александр Федорович </t>
        </is>
      </c>
      <c r="J871" s="9" t="n"/>
      <c r="K871" s="9" t="n"/>
      <c r="L871" s="9" t="n"/>
      <c r="M871" s="12">
        <f>SUMIFS($E$2:$E$1130,$A$2:$A$1130,"осень",$I$2:$I$1130,I871)</f>
        <v/>
      </c>
      <c r="N871" s="13">
        <f>SUMIFS($E$2:$E$1130,$A$2:$A$1130,"весна",$I$2:$I$1130,I871)</f>
        <v/>
      </c>
      <c r="O871" s="14">
        <f>M871+N871</f>
        <v/>
      </c>
      <c r="P871" s="15">
        <f>O871/$P$1</f>
        <v/>
      </c>
    </row>
    <row r="872" hidden="1" ht="15.75" customHeight="1" s="2">
      <c r="A872" s="9" t="inlineStr">
        <is>
          <t>весна</t>
        </is>
      </c>
      <c r="B872" s="9" t="inlineStr">
        <is>
          <t>Теория, технология и оборудование нанесения покрытий</t>
        </is>
      </c>
      <c r="C872" s="9" t="inlineStr">
        <is>
          <t>ПЗ</t>
        </is>
      </c>
      <c r="D872" s="9" t="inlineStr">
        <is>
          <t>Т11О-103М-20</t>
        </is>
      </c>
      <c r="E872" s="10" t="n">
        <v>10</v>
      </c>
      <c r="F872" s="9" t="inlineStr">
        <is>
          <t>06203</t>
        </is>
      </c>
      <c r="G872" s="10" t="n">
        <v>10</v>
      </c>
      <c r="H872" s="9" t="inlineStr">
        <is>
          <t xml:space="preserve">93685     </t>
        </is>
      </c>
      <c r="I872" s="9" t="inlineStr">
        <is>
          <t xml:space="preserve">Банишев Александр Федорович </t>
        </is>
      </c>
      <c r="J872" s="9" t="n"/>
      <c r="K872" s="9" t="n"/>
      <c r="L872" s="9" t="n"/>
      <c r="M872" s="12">
        <f>SUMIFS($E$2:$E$1130,$A$2:$A$1130,"осень",$I$2:$I$1130,I872)</f>
        <v/>
      </c>
      <c r="N872" s="13">
        <f>SUMIFS($E$2:$E$1130,$A$2:$A$1130,"весна",$I$2:$I$1130,I872)</f>
        <v/>
      </c>
      <c r="O872" s="14">
        <f>M872+N872</f>
        <v/>
      </c>
      <c r="P872" s="15">
        <f>O872/$P$1</f>
        <v/>
      </c>
    </row>
    <row r="873" hidden="1" ht="15.75" customHeight="1" s="2">
      <c r="A873" s="9" t="inlineStr">
        <is>
          <t>весна</t>
        </is>
      </c>
      <c r="B873" s="9" t="inlineStr">
        <is>
          <t>Теория, технология и оборудование нанесения покрытий</t>
        </is>
      </c>
      <c r="C873" s="9" t="inlineStr">
        <is>
          <t>ЛР</t>
        </is>
      </c>
      <c r="D873" s="9" t="inlineStr">
        <is>
          <t>Т11О-103М-20</t>
        </is>
      </c>
      <c r="E873" s="10" t="n">
        <v>12</v>
      </c>
      <c r="F873" s="9" t="inlineStr">
        <is>
          <t>06203</t>
        </is>
      </c>
      <c r="G873" s="10" t="n">
        <v>12</v>
      </c>
      <c r="H873" s="9" t="inlineStr">
        <is>
          <t xml:space="preserve">93685     </t>
        </is>
      </c>
      <c r="I873" s="9" t="inlineStr">
        <is>
          <t xml:space="preserve">Банишев Александр Федорович </t>
        </is>
      </c>
      <c r="J873" s="9" t="n"/>
      <c r="K873" s="9" t="n"/>
      <c r="L873" s="9" t="n"/>
      <c r="M873" s="12">
        <f>SUMIFS($E$2:$E$1130,$A$2:$A$1130,"осень",$I$2:$I$1130,I873)</f>
        <v/>
      </c>
      <c r="N873" s="13">
        <f>SUMIFS($E$2:$E$1130,$A$2:$A$1130,"весна",$I$2:$I$1130,I873)</f>
        <v/>
      </c>
      <c r="O873" s="14">
        <f>M873+N873</f>
        <v/>
      </c>
      <c r="P873" s="15">
        <f>O873/$P$1</f>
        <v/>
      </c>
    </row>
    <row r="874" hidden="1" ht="15.75" customHeight="1" s="2">
      <c r="A874" s="9" t="inlineStr">
        <is>
          <t>весна</t>
        </is>
      </c>
      <c r="B874" s="9" t="inlineStr">
        <is>
          <t>Теория, технология и оборудование нанесения покрытий</t>
        </is>
      </c>
      <c r="C874" s="9" t="inlineStr">
        <is>
          <t>Консультация</t>
        </is>
      </c>
      <c r="D874" s="9" t="inlineStr">
        <is>
          <t>Т11О-103М-20</t>
        </is>
      </c>
      <c r="E874" s="10" t="n">
        <v>1</v>
      </c>
      <c r="F874" s="9" t="inlineStr">
        <is>
          <t>06203</t>
        </is>
      </c>
      <c r="G874" s="11" t="n">
        <v>0</v>
      </c>
      <c r="H874" s="9" t="inlineStr">
        <is>
          <t xml:space="preserve">93685     </t>
        </is>
      </c>
      <c r="I874" s="9" t="inlineStr">
        <is>
          <t xml:space="preserve">Банишев Александр Федорович </t>
        </is>
      </c>
      <c r="J874" s="9" t="n"/>
      <c r="K874" s="9" t="n"/>
      <c r="L874" s="9" t="n"/>
      <c r="M874" s="12">
        <f>SUMIFS($E$2:$E$1130,$A$2:$A$1130,"осень",$I$2:$I$1130,I874)</f>
        <v/>
      </c>
      <c r="N874" s="13">
        <f>SUMIFS($E$2:$E$1130,$A$2:$A$1130,"весна",$I$2:$I$1130,I874)</f>
        <v/>
      </c>
      <c r="O874" s="14">
        <f>M874+N874</f>
        <v/>
      </c>
      <c r="P874" s="15">
        <f>O874/$P$1</f>
        <v/>
      </c>
    </row>
    <row r="875" hidden="1" ht="15.75" customHeight="1" s="2">
      <c r="A875" s="9" t="inlineStr">
        <is>
          <t>весна</t>
        </is>
      </c>
      <c r="B875" s="9" t="inlineStr">
        <is>
          <t>Спецглавы информатики</t>
        </is>
      </c>
      <c r="C875" s="9" t="inlineStr">
        <is>
          <t>ЛК</t>
        </is>
      </c>
      <c r="D875" s="9" t="inlineStr">
        <is>
          <t>Т11О-101Б-20, Т11О-102Б-20</t>
        </is>
      </c>
      <c r="E875" s="10" t="n">
        <v>36</v>
      </c>
      <c r="F875" s="9" t="inlineStr">
        <is>
          <t>13524</t>
        </is>
      </c>
      <c r="G875" s="10" t="n">
        <v>36</v>
      </c>
      <c r="H875" s="9" t="inlineStr">
        <is>
          <t xml:space="preserve">82026     </t>
        </is>
      </c>
      <c r="I875" s="9" t="inlineStr">
        <is>
          <t xml:space="preserve">Александрова Светлана Сергеевна </t>
        </is>
      </c>
      <c r="J875" s="9" t="inlineStr">
        <is>
          <t>доцент</t>
        </is>
      </c>
      <c r="K875" s="9" t="n"/>
      <c r="L875" s="9" t="n"/>
      <c r="M875" s="12">
        <f>SUMIFS($E$2:$E$1130,$A$2:$A$1130,"осень",$I$2:$I$1130,I875)</f>
        <v/>
      </c>
      <c r="N875" s="13">
        <f>SUMIFS($E$2:$E$1130,$A$2:$A$1130,"весна",$I$2:$I$1130,I875)</f>
        <v/>
      </c>
      <c r="O875" s="14">
        <f>M875+N875</f>
        <v/>
      </c>
      <c r="P875" s="15">
        <f>O875/$P$1</f>
        <v/>
      </c>
    </row>
    <row r="876" hidden="1" ht="15.75" customHeight="1" s="2">
      <c r="A876" s="9" t="inlineStr">
        <is>
          <t>весна</t>
        </is>
      </c>
      <c r="B876" s="9" t="inlineStr">
        <is>
          <t>Спецглавы информатики</t>
        </is>
      </c>
      <c r="C876" s="9" t="inlineStr">
        <is>
          <t>Зачет с оценкой</t>
        </is>
      </c>
      <c r="D876" s="9" t="inlineStr">
        <is>
          <t>Т11О-101Б-20</t>
        </is>
      </c>
      <c r="E876" s="10" t="n">
        <v>7</v>
      </c>
      <c r="F876" s="9" t="inlineStr">
        <is>
          <t>13524</t>
        </is>
      </c>
      <c r="G876" s="11" t="n">
        <v>0</v>
      </c>
      <c r="H876" s="9" t="inlineStr">
        <is>
          <t xml:space="preserve">82026     </t>
        </is>
      </c>
      <c r="I876" s="9" t="inlineStr">
        <is>
          <t xml:space="preserve">Александрова Светлана Сергеевна </t>
        </is>
      </c>
      <c r="J876" s="9" t="inlineStr">
        <is>
          <t>доцент</t>
        </is>
      </c>
      <c r="K876" s="9" t="n"/>
      <c r="L876" s="9" t="n"/>
      <c r="M876" s="12">
        <f>SUMIFS($E$2:$E$1130,$A$2:$A$1130,"осень",$I$2:$I$1130,I876)</f>
        <v/>
      </c>
      <c r="N876" s="13">
        <f>SUMIFS($E$2:$E$1130,$A$2:$A$1130,"весна",$I$2:$I$1130,I876)</f>
        <v/>
      </c>
      <c r="O876" s="14">
        <f>M876+N876</f>
        <v/>
      </c>
      <c r="P876" s="15">
        <f>O876/$P$1</f>
        <v/>
      </c>
    </row>
    <row r="877" hidden="1" ht="15.75" customHeight="1" s="2">
      <c r="A877" s="9" t="inlineStr">
        <is>
          <t>весна</t>
        </is>
      </c>
      <c r="B877" s="9" t="inlineStr">
        <is>
          <t>Спецглавы информатики</t>
        </is>
      </c>
      <c r="C877" s="9" t="inlineStr">
        <is>
          <t>Зачет с оценкой</t>
        </is>
      </c>
      <c r="D877" s="9" t="inlineStr">
        <is>
          <t>Т11О-102Б-20</t>
        </is>
      </c>
      <c r="E877" s="10" t="n">
        <v>7</v>
      </c>
      <c r="F877" s="9" t="inlineStr">
        <is>
          <t>13524</t>
        </is>
      </c>
      <c r="G877" s="11" t="n">
        <v>0</v>
      </c>
      <c r="H877" s="9" t="inlineStr">
        <is>
          <t xml:space="preserve">82026     </t>
        </is>
      </c>
      <c r="I877" s="9" t="inlineStr">
        <is>
          <t xml:space="preserve">Александрова Светлана Сергеевна </t>
        </is>
      </c>
      <c r="J877" s="9" t="inlineStr">
        <is>
          <t>доцент</t>
        </is>
      </c>
      <c r="K877" s="9" t="n"/>
      <c r="L877" s="9" t="n"/>
      <c r="M877" s="12">
        <f>SUMIFS($E$2:$E$1130,$A$2:$A$1130,"осень",$I$2:$I$1130,I877)</f>
        <v/>
      </c>
      <c r="N877" s="13">
        <f>SUMIFS($E$2:$E$1130,$A$2:$A$1130,"весна",$I$2:$I$1130,I877)</f>
        <v/>
      </c>
      <c r="O877" s="14">
        <f>M877+N877</f>
        <v/>
      </c>
      <c r="P877" s="15">
        <f>O877/$P$1</f>
        <v/>
      </c>
    </row>
    <row r="878" hidden="1" ht="15.75" customHeight="1" s="2">
      <c r="A878" s="9" t="inlineStr">
        <is>
          <t>весна</t>
        </is>
      </c>
      <c r="B878" s="9" t="inlineStr">
        <is>
          <t>Спецглавы информатики</t>
        </is>
      </c>
      <c r="C878" s="9" t="inlineStr">
        <is>
          <t>ПЗ</t>
        </is>
      </c>
      <c r="D878" s="9" t="inlineStr">
        <is>
          <t>Т11О-101Б-20</t>
        </is>
      </c>
      <c r="E878" s="10" t="n">
        <v>48</v>
      </c>
      <c r="F878" s="9" t="inlineStr">
        <is>
          <t>13524</t>
        </is>
      </c>
      <c r="G878" s="10" t="n">
        <v>48</v>
      </c>
      <c r="H878" s="9" t="inlineStr">
        <is>
          <t xml:space="preserve">82026     </t>
        </is>
      </c>
      <c r="I878" s="9" t="inlineStr">
        <is>
          <t xml:space="preserve">Александрова Светлана Сергеевна </t>
        </is>
      </c>
      <c r="J878" s="9" t="inlineStr">
        <is>
          <t>доцент</t>
        </is>
      </c>
      <c r="K878" s="9" t="n"/>
      <c r="L878" s="9" t="n"/>
      <c r="M878" s="12">
        <f>SUMIFS($E$2:$E$1130,$A$2:$A$1130,"осень",$I$2:$I$1130,I878)</f>
        <v/>
      </c>
      <c r="N878" s="13">
        <f>SUMIFS($E$2:$E$1130,$A$2:$A$1130,"весна",$I$2:$I$1130,I878)</f>
        <v/>
      </c>
      <c r="O878" s="14">
        <f>M878+N878</f>
        <v/>
      </c>
      <c r="P878" s="15">
        <f>O878/$P$1</f>
        <v/>
      </c>
    </row>
    <row r="879" hidden="1" ht="15.75" customHeight="1" s="2">
      <c r="A879" s="9" t="inlineStr">
        <is>
          <t>весна</t>
        </is>
      </c>
      <c r="B879" s="9" t="inlineStr">
        <is>
          <t>Спецглавы информатики</t>
        </is>
      </c>
      <c r="C879" s="9" t="inlineStr">
        <is>
          <t>ПЗ</t>
        </is>
      </c>
      <c r="D879" s="9" t="inlineStr">
        <is>
          <t>Т11О-102Б-20</t>
        </is>
      </c>
      <c r="E879" s="10" t="n">
        <v>48</v>
      </c>
      <c r="F879" s="9" t="inlineStr">
        <is>
          <t>13524</t>
        </is>
      </c>
      <c r="G879" s="10" t="n">
        <v>48</v>
      </c>
      <c r="H879" s="9" t="inlineStr">
        <is>
          <t xml:space="preserve">82026     </t>
        </is>
      </c>
      <c r="I879" s="9" t="inlineStr">
        <is>
          <t xml:space="preserve">Александрова Светлана Сергеевна </t>
        </is>
      </c>
      <c r="J879" s="9" t="inlineStr">
        <is>
          <t>доцент</t>
        </is>
      </c>
      <c r="K879" s="9" t="n"/>
      <c r="L879" s="9" t="n"/>
      <c r="M879" s="12">
        <f>SUMIFS($E$2:$E$1130,$A$2:$A$1130,"осень",$I$2:$I$1130,I879)</f>
        <v/>
      </c>
      <c r="N879" s="13">
        <f>SUMIFS($E$2:$E$1130,$A$2:$A$1130,"весна",$I$2:$I$1130,I879)</f>
        <v/>
      </c>
      <c r="O879" s="14">
        <f>M879+N879</f>
        <v/>
      </c>
      <c r="P879" s="15">
        <f>O879/$P$1</f>
        <v/>
      </c>
    </row>
    <row r="880" hidden="1" ht="15.75" customHeight="1" s="2">
      <c r="A880" s="9" t="inlineStr">
        <is>
          <t>весна</t>
        </is>
      </c>
      <c r="B880" s="9" t="inlineStr">
        <is>
          <t>Спецглавы информатики</t>
        </is>
      </c>
      <c r="C880" s="9" t="inlineStr">
        <is>
          <t>Консультация</t>
        </is>
      </c>
      <c r="D880" s="9" t="inlineStr">
        <is>
          <t>Т11О-101Б-20</t>
        </is>
      </c>
      <c r="E880" s="10" t="n">
        <v>2</v>
      </c>
      <c r="F880" s="9" t="inlineStr">
        <is>
          <t>13524</t>
        </is>
      </c>
      <c r="G880" s="11" t="n">
        <v>0</v>
      </c>
      <c r="H880" s="9" t="inlineStr">
        <is>
          <t xml:space="preserve">82026     </t>
        </is>
      </c>
      <c r="I880" s="9" t="inlineStr">
        <is>
          <t xml:space="preserve">Александрова Светлана Сергеевна </t>
        </is>
      </c>
      <c r="J880" s="9" t="inlineStr">
        <is>
          <t>доцент</t>
        </is>
      </c>
      <c r="K880" s="9" t="n"/>
      <c r="L880" s="9" t="n"/>
      <c r="M880" s="12">
        <f>SUMIFS($E$2:$E$1130,$A$2:$A$1130,"осень",$I$2:$I$1130,I880)</f>
        <v/>
      </c>
      <c r="N880" s="13">
        <f>SUMIFS($E$2:$E$1130,$A$2:$A$1130,"весна",$I$2:$I$1130,I880)</f>
        <v/>
      </c>
      <c r="O880" s="14">
        <f>M880+N880</f>
        <v/>
      </c>
      <c r="P880" s="15">
        <f>O880/$P$1</f>
        <v/>
      </c>
    </row>
    <row r="881" hidden="1" ht="15.75" customHeight="1" s="2">
      <c r="A881" s="9" t="inlineStr">
        <is>
          <t>весна</t>
        </is>
      </c>
      <c r="B881" s="9" t="inlineStr">
        <is>
          <t>Спецглавы информатики</t>
        </is>
      </c>
      <c r="C881" s="9" t="inlineStr">
        <is>
          <t>Консультация</t>
        </is>
      </c>
      <c r="D881" s="9" t="inlineStr">
        <is>
          <t>Т11О-102Б-20</t>
        </is>
      </c>
      <c r="E881" s="10" t="n">
        <v>2</v>
      </c>
      <c r="F881" s="9" t="inlineStr">
        <is>
          <t>13524</t>
        </is>
      </c>
      <c r="G881" s="11" t="n">
        <v>0</v>
      </c>
      <c r="H881" s="9" t="inlineStr">
        <is>
          <t xml:space="preserve">82026     </t>
        </is>
      </c>
      <c r="I881" s="9" t="inlineStr">
        <is>
          <t xml:space="preserve">Александрова Светлана Сергеевна </t>
        </is>
      </c>
      <c r="J881" s="9" t="inlineStr">
        <is>
          <t>доцент</t>
        </is>
      </c>
      <c r="K881" s="9" t="n"/>
      <c r="L881" s="9" t="n"/>
      <c r="M881" s="12">
        <f>SUMIFS($E$2:$E$1130,$A$2:$A$1130,"осень",$I$2:$I$1130,I881)</f>
        <v/>
      </c>
      <c r="N881" s="13">
        <f>SUMIFS($E$2:$E$1130,$A$2:$A$1130,"весна",$I$2:$I$1130,I881)</f>
        <v/>
      </c>
      <c r="O881" s="14">
        <f>M881+N881</f>
        <v/>
      </c>
      <c r="P881" s="15">
        <f>O881/$P$1</f>
        <v/>
      </c>
    </row>
    <row r="882" hidden="1" ht="15.75" customHeight="1" s="2">
      <c r="A882" s="9" t="inlineStr">
        <is>
          <t>весна</t>
        </is>
      </c>
      <c r="B882" s="9" t="inlineStr">
        <is>
          <t>Технология нанесения газотермических покрытий</t>
        </is>
      </c>
      <c r="C882" s="9" t="inlineStr">
        <is>
          <t>ЛК</t>
        </is>
      </c>
      <c r="D882" s="9" t="inlineStr">
        <is>
          <t>Т1О-402Б-17</t>
        </is>
      </c>
      <c r="E882" s="10" t="n">
        <v>34</v>
      </c>
      <c r="F882" s="9" t="inlineStr">
        <is>
          <t>04517</t>
        </is>
      </c>
      <c r="G882" s="10" t="n">
        <v>34</v>
      </c>
      <c r="H882" s="9" t="inlineStr">
        <is>
          <t xml:space="preserve">82060     </t>
        </is>
      </c>
      <c r="I882" s="9" t="inlineStr">
        <is>
          <t xml:space="preserve">Лозован Александр Александрович </t>
        </is>
      </c>
      <c r="J882" s="9" t="inlineStr">
        <is>
          <t>профессор</t>
        </is>
      </c>
      <c r="K882" s="9" t="n"/>
      <c r="L882" s="9" t="n"/>
      <c r="M882" s="12">
        <f>SUMIFS($E$2:$E$1130,$A$2:$A$1130,"осень",$I$2:$I$1130,I882)</f>
        <v/>
      </c>
      <c r="N882" s="13">
        <f>SUMIFS($E$2:$E$1130,$A$2:$A$1130,"весна",$I$2:$I$1130,I882)</f>
        <v/>
      </c>
      <c r="O882" s="14">
        <f>M882+N882</f>
        <v/>
      </c>
      <c r="P882" s="15">
        <f>O882/$P$1</f>
        <v/>
      </c>
    </row>
    <row r="883" hidden="1" ht="15.75" customHeight="1" s="2">
      <c r="A883" s="9" t="inlineStr">
        <is>
          <t>весна</t>
        </is>
      </c>
      <c r="B883" s="9" t="inlineStr">
        <is>
          <t>Технология нанесения газотермических покрытий</t>
        </is>
      </c>
      <c r="C883" s="9" t="inlineStr">
        <is>
          <t>Зачет с оценкой</t>
        </is>
      </c>
      <c r="D883" s="9" t="inlineStr">
        <is>
          <t>Т1О-402Б-17</t>
        </is>
      </c>
      <c r="E883" s="10" t="n">
        <v>6</v>
      </c>
      <c r="F883" s="9" t="inlineStr">
        <is>
          <t>04517</t>
        </is>
      </c>
      <c r="G883" s="11" t="n">
        <v>0</v>
      </c>
      <c r="H883" s="9" t="inlineStr">
        <is>
          <t xml:space="preserve">82060     </t>
        </is>
      </c>
      <c r="I883" s="9" t="inlineStr">
        <is>
          <t xml:space="preserve">Лозован Александр Александрович </t>
        </is>
      </c>
      <c r="J883" s="9" t="inlineStr">
        <is>
          <t>профессор</t>
        </is>
      </c>
      <c r="K883" s="9" t="n"/>
      <c r="L883" s="9" t="n"/>
      <c r="M883" s="12">
        <f>SUMIFS($E$2:$E$1130,$A$2:$A$1130,"осень",$I$2:$I$1130,I883)</f>
        <v/>
      </c>
      <c r="N883" s="13">
        <f>SUMIFS($E$2:$E$1130,$A$2:$A$1130,"весна",$I$2:$I$1130,I883)</f>
        <v/>
      </c>
      <c r="O883" s="14">
        <f>M883+N883</f>
        <v/>
      </c>
      <c r="P883" s="15">
        <f>O883/$P$1</f>
        <v/>
      </c>
    </row>
    <row r="884" hidden="1" ht="15.75" customHeight="1" s="2">
      <c r="A884" s="9" t="inlineStr">
        <is>
          <t>весна</t>
        </is>
      </c>
      <c r="B884" s="9" t="inlineStr">
        <is>
          <t>Технология нанесения газотермических покрытий</t>
        </is>
      </c>
      <c r="C884" s="9" t="inlineStr">
        <is>
          <t>ПЗ</t>
        </is>
      </c>
      <c r="D884" s="9" t="inlineStr">
        <is>
          <t>Т1О-402Б-17</t>
        </is>
      </c>
      <c r="E884" s="10" t="n">
        <v>22</v>
      </c>
      <c r="F884" s="9" t="inlineStr">
        <is>
          <t>04517</t>
        </is>
      </c>
      <c r="G884" s="10" t="n">
        <v>22</v>
      </c>
      <c r="H884" s="9" t="inlineStr">
        <is>
          <t xml:space="preserve">82060     </t>
        </is>
      </c>
      <c r="I884" s="9" t="inlineStr">
        <is>
          <t xml:space="preserve">Лозован Александр Александрович </t>
        </is>
      </c>
      <c r="J884" s="9" t="inlineStr">
        <is>
          <t>профессор</t>
        </is>
      </c>
      <c r="K884" s="9" t="n"/>
      <c r="L884" s="9" t="n"/>
      <c r="M884" s="12">
        <f>SUMIFS($E$2:$E$1130,$A$2:$A$1130,"осень",$I$2:$I$1130,I884)</f>
        <v/>
      </c>
      <c r="N884" s="13">
        <f>SUMIFS($E$2:$E$1130,$A$2:$A$1130,"весна",$I$2:$I$1130,I884)</f>
        <v/>
      </c>
      <c r="O884" s="14">
        <f>M884+N884</f>
        <v/>
      </c>
      <c r="P884" s="15">
        <f>O884/$P$1</f>
        <v/>
      </c>
    </row>
    <row r="885" hidden="1" ht="15.75" customHeight="1" s="2">
      <c r="A885" s="9" t="inlineStr">
        <is>
          <t>весна</t>
        </is>
      </c>
      <c r="B885" s="9" t="inlineStr">
        <is>
          <t>Технология нанесения газотермических покрытий</t>
        </is>
      </c>
      <c r="C885" s="9" t="inlineStr">
        <is>
          <t>Консультация</t>
        </is>
      </c>
      <c r="D885" s="9" t="inlineStr">
        <is>
          <t>Т1О-402Б-17</t>
        </is>
      </c>
      <c r="E885" s="10" t="n">
        <v>2</v>
      </c>
      <c r="F885" s="9" t="inlineStr">
        <is>
          <t>04517</t>
        </is>
      </c>
      <c r="G885" s="11" t="n">
        <v>0</v>
      </c>
      <c r="H885" s="9" t="inlineStr">
        <is>
          <t xml:space="preserve">82060     </t>
        </is>
      </c>
      <c r="I885" s="9" t="inlineStr">
        <is>
          <t xml:space="preserve">Лозован Александр Александрович </t>
        </is>
      </c>
      <c r="J885" s="9" t="inlineStr">
        <is>
          <t>профессор</t>
        </is>
      </c>
      <c r="K885" s="9" t="n"/>
      <c r="L885" s="9" t="n"/>
      <c r="M885" s="12">
        <f>SUMIFS($E$2:$E$1130,$A$2:$A$1130,"осень",$I$2:$I$1130,I885)</f>
        <v/>
      </c>
      <c r="N885" s="13">
        <f>SUMIFS($E$2:$E$1130,$A$2:$A$1130,"весна",$I$2:$I$1130,I885)</f>
        <v/>
      </c>
      <c r="O885" s="14">
        <f>M885+N885</f>
        <v/>
      </c>
      <c r="P885" s="15">
        <f>O885/$P$1</f>
        <v/>
      </c>
    </row>
    <row r="886" hidden="1" ht="15.75" customHeight="1" s="2">
      <c r="A886" s="9" t="inlineStr">
        <is>
          <t>весна</t>
        </is>
      </c>
      <c r="B886" s="9" t="inlineStr">
        <is>
          <t>Современные методы изготовления технологической оснастки в металлургии</t>
        </is>
      </c>
      <c r="C886" s="9" t="inlineStr">
        <is>
          <t>ЛК</t>
        </is>
      </c>
      <c r="D886" s="9" t="inlineStr">
        <is>
          <t>Т11О-201М-19, Т11О-202М-19, Т11О-203М-19, Т11О-204М-19</t>
        </is>
      </c>
      <c r="E886" s="10" t="n">
        <v>20</v>
      </c>
      <c r="F886" s="9" t="inlineStr">
        <is>
          <t>07987</t>
        </is>
      </c>
      <c r="G886" s="10" t="n">
        <v>20</v>
      </c>
      <c r="H886" s="9" t="inlineStr">
        <is>
          <t xml:space="preserve">82020     </t>
        </is>
      </c>
      <c r="I886" s="9" t="inlineStr">
        <is>
          <t xml:space="preserve">Варфоломеев Максим Сергеевич </t>
        </is>
      </c>
      <c r="J886" s="9" t="inlineStr">
        <is>
          <t>доцент</t>
        </is>
      </c>
      <c r="K886" s="9" t="n"/>
      <c r="L886" s="9" t="n"/>
      <c r="M886" s="12">
        <f>SUMIFS($E$2:$E$1130,$A$2:$A$1130,"осень",$I$2:$I$1130,I886)</f>
        <v/>
      </c>
      <c r="N886" s="13">
        <f>SUMIFS($E$2:$E$1130,$A$2:$A$1130,"весна",$I$2:$I$1130,I886)</f>
        <v/>
      </c>
      <c r="O886" s="14">
        <f>M886+N886</f>
        <v/>
      </c>
      <c r="P886" s="15">
        <f>O886/$P$1</f>
        <v/>
      </c>
    </row>
    <row r="887" hidden="1" ht="15.75" customHeight="1" s="2">
      <c r="A887" s="9" t="inlineStr">
        <is>
          <t>весна</t>
        </is>
      </c>
      <c r="B887" s="9" t="inlineStr">
        <is>
          <t>Современные методы изготовления технологической оснастки в металлургии</t>
        </is>
      </c>
      <c r="C887" s="9" t="inlineStr">
        <is>
          <t>КР</t>
        </is>
      </c>
      <c r="D887" s="9" t="inlineStr">
        <is>
          <t>Т11О-201М-19</t>
        </is>
      </c>
      <c r="E887" s="10" t="n">
        <v>21</v>
      </c>
      <c r="F887" s="9" t="inlineStr">
        <is>
          <t>07987</t>
        </is>
      </c>
      <c r="G887" s="11" t="n">
        <v>0</v>
      </c>
      <c r="H887" s="9" t="inlineStr">
        <is>
          <t xml:space="preserve">82020     </t>
        </is>
      </c>
      <c r="I887" s="9" t="inlineStr">
        <is>
          <t xml:space="preserve">Варфоломеев Максим Сергеевич </t>
        </is>
      </c>
      <c r="J887" s="9" t="inlineStr">
        <is>
          <t>доцент</t>
        </is>
      </c>
      <c r="K887" s="9" t="n"/>
      <c r="L887" s="9" t="n"/>
      <c r="M887" s="12">
        <f>SUMIFS($E$2:$E$1130,$A$2:$A$1130,"осень",$I$2:$I$1130,I887)</f>
        <v/>
      </c>
      <c r="N887" s="13">
        <f>SUMIFS($E$2:$E$1130,$A$2:$A$1130,"весна",$I$2:$I$1130,I887)</f>
        <v/>
      </c>
      <c r="O887" s="14">
        <f>M887+N887</f>
        <v/>
      </c>
      <c r="P887" s="15">
        <f>O887/$P$1</f>
        <v/>
      </c>
    </row>
    <row r="888" hidden="1" ht="15.75" customHeight="1" s="2">
      <c r="A888" s="9" t="inlineStr">
        <is>
          <t>весна</t>
        </is>
      </c>
      <c r="B888" s="9" t="inlineStr">
        <is>
          <t>Современные методы изготовления технологической оснастки в металлургии</t>
        </is>
      </c>
      <c r="C888" s="9" t="inlineStr">
        <is>
          <t>КР</t>
        </is>
      </c>
      <c r="D888" s="9" t="inlineStr">
        <is>
          <t>Т11О-202М-19</t>
        </is>
      </c>
      <c r="E888" s="10" t="n">
        <v>18</v>
      </c>
      <c r="F888" s="9" t="inlineStr">
        <is>
          <t>07987</t>
        </is>
      </c>
      <c r="G888" s="11" t="n">
        <v>0</v>
      </c>
      <c r="H888" s="9" t="inlineStr">
        <is>
          <t xml:space="preserve">82020     </t>
        </is>
      </c>
      <c r="I888" s="9" t="inlineStr">
        <is>
          <t xml:space="preserve">Варфоломеев Максим Сергеевич </t>
        </is>
      </c>
      <c r="J888" s="9" t="inlineStr">
        <is>
          <t>доцент</t>
        </is>
      </c>
      <c r="K888" s="9" t="n"/>
      <c r="L888" s="9" t="n"/>
      <c r="M888" s="12">
        <f>SUMIFS($E$2:$E$1130,$A$2:$A$1130,"осень",$I$2:$I$1130,I888)</f>
        <v/>
      </c>
      <c r="N888" s="13">
        <f>SUMIFS($E$2:$E$1130,$A$2:$A$1130,"весна",$I$2:$I$1130,I888)</f>
        <v/>
      </c>
      <c r="O888" s="14">
        <f>M888+N888</f>
        <v/>
      </c>
      <c r="P888" s="15">
        <f>O888/$P$1</f>
        <v/>
      </c>
    </row>
    <row r="889" hidden="1" ht="15.75" customHeight="1" s="2">
      <c r="A889" s="9" t="inlineStr">
        <is>
          <t>весна</t>
        </is>
      </c>
      <c r="B889" s="9" t="inlineStr">
        <is>
          <t>Современные методы изготовления технологической оснастки в металлургии</t>
        </is>
      </c>
      <c r="C889" s="9" t="inlineStr">
        <is>
          <t>КР</t>
        </is>
      </c>
      <c r="D889" s="9" t="inlineStr">
        <is>
          <t>Т11О-203М-19</t>
        </is>
      </c>
      <c r="E889" s="10" t="n">
        <v>21</v>
      </c>
      <c r="F889" s="9" t="inlineStr">
        <is>
          <t>07987</t>
        </is>
      </c>
      <c r="G889" s="11" t="n">
        <v>0</v>
      </c>
      <c r="H889" s="9" t="inlineStr">
        <is>
          <t xml:space="preserve">82020     </t>
        </is>
      </c>
      <c r="I889" s="9" t="inlineStr">
        <is>
          <t xml:space="preserve">Варфоломеев Максим Сергеевич </t>
        </is>
      </c>
      <c r="J889" s="9" t="inlineStr">
        <is>
          <t>доцент</t>
        </is>
      </c>
      <c r="K889" s="9" t="n"/>
      <c r="L889" s="9" t="n"/>
      <c r="M889" s="12">
        <f>SUMIFS($E$2:$E$1130,$A$2:$A$1130,"осень",$I$2:$I$1130,I889)</f>
        <v/>
      </c>
      <c r="N889" s="13">
        <f>SUMIFS($E$2:$E$1130,$A$2:$A$1130,"весна",$I$2:$I$1130,I889)</f>
        <v/>
      </c>
      <c r="O889" s="14">
        <f>M889+N889</f>
        <v/>
      </c>
      <c r="P889" s="15">
        <f>O889/$P$1</f>
        <v/>
      </c>
    </row>
    <row r="890" hidden="1" ht="15.75" customHeight="1" s="2">
      <c r="A890" s="9" t="inlineStr">
        <is>
          <t>весна</t>
        </is>
      </c>
      <c r="B890" s="9" t="inlineStr">
        <is>
          <t>Современные методы изготовления технологической оснастки в металлургии</t>
        </is>
      </c>
      <c r="C890" s="9" t="inlineStr">
        <is>
          <t>КР</t>
        </is>
      </c>
      <c r="D890" s="9" t="inlineStr">
        <is>
          <t>Т11О-204М-19</t>
        </is>
      </c>
      <c r="E890" s="10" t="n">
        <v>27</v>
      </c>
      <c r="F890" s="9" t="inlineStr">
        <is>
          <t>07987</t>
        </is>
      </c>
      <c r="G890" s="11" t="n">
        <v>0</v>
      </c>
      <c r="H890" s="9" t="inlineStr">
        <is>
          <t xml:space="preserve">82020     </t>
        </is>
      </c>
      <c r="I890" s="9" t="inlineStr">
        <is>
          <t xml:space="preserve">Варфоломеев Максим Сергеевич </t>
        </is>
      </c>
      <c r="J890" s="9" t="inlineStr">
        <is>
          <t>доцент</t>
        </is>
      </c>
      <c r="K890" s="9" t="n"/>
      <c r="L890" s="9" t="n"/>
      <c r="M890" s="12">
        <f>SUMIFS($E$2:$E$1130,$A$2:$A$1130,"осень",$I$2:$I$1130,I890)</f>
        <v/>
      </c>
      <c r="N890" s="13">
        <f>SUMIFS($E$2:$E$1130,$A$2:$A$1130,"весна",$I$2:$I$1130,I890)</f>
        <v/>
      </c>
      <c r="O890" s="14">
        <f>M890+N890</f>
        <v/>
      </c>
      <c r="P890" s="15">
        <f>O890/$P$1</f>
        <v/>
      </c>
    </row>
    <row r="891" hidden="1" ht="15.75" customHeight="1" s="2">
      <c r="A891" s="9" t="inlineStr">
        <is>
          <t>весна</t>
        </is>
      </c>
      <c r="B891" s="9" t="inlineStr">
        <is>
          <t>Современные методы изготовления технологической оснастки в металлургии</t>
        </is>
      </c>
      <c r="C891" s="9" t="inlineStr">
        <is>
          <t>ПЗ</t>
        </is>
      </c>
      <c r="D891" s="9" t="inlineStr">
        <is>
          <t>Т11О-201М-19</t>
        </is>
      </c>
      <c r="E891" s="10" t="n">
        <v>44</v>
      </c>
      <c r="F891" s="9" t="inlineStr">
        <is>
          <t>07987</t>
        </is>
      </c>
      <c r="G891" s="10" t="n">
        <v>44</v>
      </c>
      <c r="H891" s="9" t="inlineStr">
        <is>
          <t xml:space="preserve">82020     </t>
        </is>
      </c>
      <c r="I891" s="9" t="inlineStr">
        <is>
          <t xml:space="preserve">Варфоломеев Максим Сергеевич </t>
        </is>
      </c>
      <c r="J891" s="9" t="inlineStr">
        <is>
          <t>доцент</t>
        </is>
      </c>
      <c r="K891" s="9" t="n"/>
      <c r="L891" s="9" t="n"/>
      <c r="M891" s="12">
        <f>SUMIFS($E$2:$E$1130,$A$2:$A$1130,"осень",$I$2:$I$1130,I891)</f>
        <v/>
      </c>
      <c r="N891" s="13">
        <f>SUMIFS($E$2:$E$1130,$A$2:$A$1130,"весна",$I$2:$I$1130,I891)</f>
        <v/>
      </c>
      <c r="O891" s="14">
        <f>M891+N891</f>
        <v/>
      </c>
      <c r="P891" s="15">
        <f>O891/$P$1</f>
        <v/>
      </c>
    </row>
    <row r="892" hidden="1" ht="15.75" customHeight="1" s="2">
      <c r="A892" s="9" t="inlineStr">
        <is>
          <t>весна</t>
        </is>
      </c>
      <c r="B892" s="9" t="inlineStr">
        <is>
          <t>Современные методы изготовления технологической оснастки в металлургии</t>
        </is>
      </c>
      <c r="C892" s="9" t="inlineStr">
        <is>
          <t>ПЗ</t>
        </is>
      </c>
      <c r="D892" s="9" t="inlineStr">
        <is>
          <t>Т11О-202М-19</t>
        </is>
      </c>
      <c r="E892" s="10" t="n">
        <v>44</v>
      </c>
      <c r="F892" s="9" t="inlineStr">
        <is>
          <t>07987</t>
        </is>
      </c>
      <c r="G892" s="10" t="n">
        <v>44</v>
      </c>
      <c r="H892" s="9" t="inlineStr">
        <is>
          <t xml:space="preserve">82020     </t>
        </is>
      </c>
      <c r="I892" s="9" t="inlineStr">
        <is>
          <t xml:space="preserve">Варфоломеев Максим Сергеевич </t>
        </is>
      </c>
      <c r="J892" s="9" t="inlineStr">
        <is>
          <t>доцент</t>
        </is>
      </c>
      <c r="K892" s="9" t="n"/>
      <c r="L892" s="9" t="n"/>
      <c r="M892" s="12">
        <f>SUMIFS($E$2:$E$1130,$A$2:$A$1130,"осень",$I$2:$I$1130,I892)</f>
        <v/>
      </c>
      <c r="N892" s="13">
        <f>SUMIFS($E$2:$E$1130,$A$2:$A$1130,"весна",$I$2:$I$1130,I892)</f>
        <v/>
      </c>
      <c r="O892" s="14">
        <f>M892+N892</f>
        <v/>
      </c>
      <c r="P892" s="15">
        <f>O892/$P$1</f>
        <v/>
      </c>
    </row>
    <row r="893" hidden="1" ht="15.75" customHeight="1" s="2">
      <c r="A893" s="9" t="inlineStr">
        <is>
          <t>весна</t>
        </is>
      </c>
      <c r="B893" s="9" t="inlineStr">
        <is>
          <t>Современные методы изготовления технологической оснастки в металлургии</t>
        </is>
      </c>
      <c r="C893" s="9" t="inlineStr">
        <is>
          <t>ПЗ</t>
        </is>
      </c>
      <c r="D893" s="9" t="inlineStr">
        <is>
          <t>Т11О-203М-19</t>
        </is>
      </c>
      <c r="E893" s="10" t="n">
        <v>44</v>
      </c>
      <c r="F893" s="9" t="inlineStr">
        <is>
          <t>07987</t>
        </is>
      </c>
      <c r="G893" s="10" t="n">
        <v>44</v>
      </c>
      <c r="H893" s="9" t="inlineStr">
        <is>
          <t xml:space="preserve">82020     </t>
        </is>
      </c>
      <c r="I893" s="9" t="inlineStr">
        <is>
          <t xml:space="preserve">Варфоломеев Максим Сергеевич </t>
        </is>
      </c>
      <c r="J893" s="9" t="inlineStr">
        <is>
          <t>доцент</t>
        </is>
      </c>
      <c r="K893" s="9" t="n"/>
      <c r="L893" s="9" t="n"/>
      <c r="M893" s="12">
        <f>SUMIFS($E$2:$E$1130,$A$2:$A$1130,"осень",$I$2:$I$1130,I893)</f>
        <v/>
      </c>
      <c r="N893" s="13">
        <f>SUMIFS($E$2:$E$1130,$A$2:$A$1130,"весна",$I$2:$I$1130,I893)</f>
        <v/>
      </c>
      <c r="O893" s="14">
        <f>M893+N893</f>
        <v/>
      </c>
      <c r="P893" s="15">
        <f>O893/$P$1</f>
        <v/>
      </c>
    </row>
    <row r="894" hidden="1" ht="15.75" customHeight="1" s="2">
      <c r="A894" s="9" t="inlineStr">
        <is>
          <t>весна</t>
        </is>
      </c>
      <c r="B894" s="9" t="inlineStr">
        <is>
          <t>Современные методы изготовления технологической оснастки в металлургии</t>
        </is>
      </c>
      <c r="C894" s="9" t="inlineStr">
        <is>
          <t>ПЗ</t>
        </is>
      </c>
      <c r="D894" s="9" t="inlineStr">
        <is>
          <t>Т11О-204М-19</t>
        </is>
      </c>
      <c r="E894" s="10" t="n">
        <v>44</v>
      </c>
      <c r="F894" s="9" t="inlineStr">
        <is>
          <t>07987</t>
        </is>
      </c>
      <c r="G894" s="10" t="n">
        <v>44</v>
      </c>
      <c r="H894" s="9" t="inlineStr">
        <is>
          <t xml:space="preserve">82020     </t>
        </is>
      </c>
      <c r="I894" s="9" t="inlineStr">
        <is>
          <t xml:space="preserve">Варфоломеев Максим Сергеевич </t>
        </is>
      </c>
      <c r="J894" s="9" t="inlineStr">
        <is>
          <t>доцент</t>
        </is>
      </c>
      <c r="K894" s="9" t="n"/>
      <c r="L894" s="9" t="n"/>
      <c r="M894" s="12">
        <f>SUMIFS($E$2:$E$1130,$A$2:$A$1130,"осень",$I$2:$I$1130,I894)</f>
        <v/>
      </c>
      <c r="N894" s="13">
        <f>SUMIFS($E$2:$E$1130,$A$2:$A$1130,"весна",$I$2:$I$1130,I894)</f>
        <v/>
      </c>
      <c r="O894" s="14">
        <f>M894+N894</f>
        <v/>
      </c>
      <c r="P894" s="15">
        <f>O894/$P$1</f>
        <v/>
      </c>
    </row>
    <row r="895" hidden="1" ht="15.75" customHeight="1" s="2">
      <c r="A895" s="9" t="inlineStr">
        <is>
          <t>весна</t>
        </is>
      </c>
      <c r="B895" s="9" t="inlineStr">
        <is>
          <t>Современные методы изготовления технологической оснастки в металлургии</t>
        </is>
      </c>
      <c r="C895" s="9" t="inlineStr">
        <is>
          <t>ЛР</t>
        </is>
      </c>
      <c r="D895" s="9" t="inlineStr">
        <is>
          <t>Т11О-201М-19</t>
        </is>
      </c>
      <c r="E895" s="10" t="n">
        <v>8</v>
      </c>
      <c r="F895" s="9" t="inlineStr">
        <is>
          <t>07987</t>
        </is>
      </c>
      <c r="G895" s="10" t="n">
        <v>8</v>
      </c>
      <c r="H895" s="9" t="inlineStr">
        <is>
          <t xml:space="preserve">82020     </t>
        </is>
      </c>
      <c r="I895" s="9" t="inlineStr">
        <is>
          <t xml:space="preserve">Варфоломеев Максим Сергеевич </t>
        </is>
      </c>
      <c r="J895" s="9" t="inlineStr">
        <is>
          <t>доцент</t>
        </is>
      </c>
      <c r="K895" s="9" t="n"/>
      <c r="L895" s="9" t="n"/>
      <c r="M895" s="12">
        <f>SUMIFS($E$2:$E$1130,$A$2:$A$1130,"осень",$I$2:$I$1130,I895)</f>
        <v/>
      </c>
      <c r="N895" s="13">
        <f>SUMIFS($E$2:$E$1130,$A$2:$A$1130,"весна",$I$2:$I$1130,I895)</f>
        <v/>
      </c>
      <c r="O895" s="14">
        <f>M895+N895</f>
        <v/>
      </c>
      <c r="P895" s="15">
        <f>O895/$P$1</f>
        <v/>
      </c>
    </row>
    <row r="896" hidden="1" ht="15.75" customHeight="1" s="2">
      <c r="A896" s="9" t="inlineStr">
        <is>
          <t>весна</t>
        </is>
      </c>
      <c r="B896" s="9" t="inlineStr">
        <is>
          <t>Современные методы изготовления технологической оснастки в металлургии</t>
        </is>
      </c>
      <c r="C896" s="9" t="inlineStr">
        <is>
          <t>ЛР</t>
        </is>
      </c>
      <c r="D896" s="9" t="inlineStr">
        <is>
          <t>Т11О-202М-19</t>
        </is>
      </c>
      <c r="E896" s="10" t="n">
        <v>8</v>
      </c>
      <c r="F896" s="9" t="inlineStr">
        <is>
          <t>07987</t>
        </is>
      </c>
      <c r="G896" s="10" t="n">
        <v>8</v>
      </c>
      <c r="H896" s="9" t="inlineStr">
        <is>
          <t xml:space="preserve">82020     </t>
        </is>
      </c>
      <c r="I896" s="9" t="inlineStr">
        <is>
          <t xml:space="preserve">Варфоломеев Максим Сергеевич </t>
        </is>
      </c>
      <c r="J896" s="9" t="inlineStr">
        <is>
          <t>доцент</t>
        </is>
      </c>
      <c r="K896" s="9" t="n"/>
      <c r="L896" s="9" t="n"/>
      <c r="M896" s="12">
        <f>SUMIFS($E$2:$E$1130,$A$2:$A$1130,"осень",$I$2:$I$1130,I896)</f>
        <v/>
      </c>
      <c r="N896" s="13">
        <f>SUMIFS($E$2:$E$1130,$A$2:$A$1130,"весна",$I$2:$I$1130,I896)</f>
        <v/>
      </c>
      <c r="O896" s="14">
        <f>M896+N896</f>
        <v/>
      </c>
      <c r="P896" s="15">
        <f>O896/$P$1</f>
        <v/>
      </c>
    </row>
    <row r="897" hidden="1" ht="15.75" customHeight="1" s="2">
      <c r="A897" s="9" t="inlineStr">
        <is>
          <t>весна</t>
        </is>
      </c>
      <c r="B897" s="9" t="inlineStr">
        <is>
          <t>Современные методы изготовления технологической оснастки в металлургии</t>
        </is>
      </c>
      <c r="C897" s="9" t="inlineStr">
        <is>
          <t>ЛР</t>
        </is>
      </c>
      <c r="D897" s="9" t="inlineStr">
        <is>
          <t>Т11О-203М-19</t>
        </is>
      </c>
      <c r="E897" s="10" t="n">
        <v>8</v>
      </c>
      <c r="F897" s="9" t="inlineStr">
        <is>
          <t>07987</t>
        </is>
      </c>
      <c r="G897" s="10" t="n">
        <v>8</v>
      </c>
      <c r="H897" s="9" t="inlineStr">
        <is>
          <t xml:space="preserve">82020     </t>
        </is>
      </c>
      <c r="I897" s="9" t="inlineStr">
        <is>
          <t xml:space="preserve">Варфоломеев Максим Сергеевич </t>
        </is>
      </c>
      <c r="J897" s="9" t="inlineStr">
        <is>
          <t>доцент</t>
        </is>
      </c>
      <c r="K897" s="9" t="n"/>
      <c r="L897" s="9" t="n"/>
      <c r="M897" s="12">
        <f>SUMIFS($E$2:$E$1130,$A$2:$A$1130,"осень",$I$2:$I$1130,I897)</f>
        <v/>
      </c>
      <c r="N897" s="13">
        <f>SUMIFS($E$2:$E$1130,$A$2:$A$1130,"весна",$I$2:$I$1130,I897)</f>
        <v/>
      </c>
      <c r="O897" s="14">
        <f>M897+N897</f>
        <v/>
      </c>
      <c r="P897" s="15">
        <f>O897/$P$1</f>
        <v/>
      </c>
    </row>
    <row r="898" hidden="1" ht="15.75" customHeight="1" s="2">
      <c r="A898" s="9" t="inlineStr">
        <is>
          <t>весна</t>
        </is>
      </c>
      <c r="B898" s="9" t="inlineStr">
        <is>
          <t>Современные методы изготовления технологической оснастки в металлургии</t>
        </is>
      </c>
      <c r="C898" s="9" t="inlineStr">
        <is>
          <t>ЛР</t>
        </is>
      </c>
      <c r="D898" s="9" t="inlineStr">
        <is>
          <t>Т11О-204М-19</t>
        </is>
      </c>
      <c r="E898" s="10" t="n">
        <v>8</v>
      </c>
      <c r="F898" s="9" t="inlineStr">
        <is>
          <t>07987</t>
        </is>
      </c>
      <c r="G898" s="10" t="n">
        <v>8</v>
      </c>
      <c r="H898" s="9" t="inlineStr">
        <is>
          <t xml:space="preserve">82020     </t>
        </is>
      </c>
      <c r="I898" s="9" t="inlineStr">
        <is>
          <t xml:space="preserve">Варфоломеев Максим Сергеевич </t>
        </is>
      </c>
      <c r="J898" s="9" t="inlineStr">
        <is>
          <t>доцент</t>
        </is>
      </c>
      <c r="K898" s="9" t="n"/>
      <c r="L898" s="9" t="n"/>
      <c r="M898" s="12">
        <f>SUMIFS($E$2:$E$1130,$A$2:$A$1130,"осень",$I$2:$I$1130,I898)</f>
        <v/>
      </c>
      <c r="N898" s="13">
        <f>SUMIFS($E$2:$E$1130,$A$2:$A$1130,"весна",$I$2:$I$1130,I898)</f>
        <v/>
      </c>
      <c r="O898" s="14">
        <f>M898+N898</f>
        <v/>
      </c>
      <c r="P898" s="15">
        <f>O898/$P$1</f>
        <v/>
      </c>
    </row>
    <row r="899" hidden="1" ht="15.75" customHeight="1" s="2">
      <c r="A899" s="9" t="inlineStr">
        <is>
          <t>весна</t>
        </is>
      </c>
      <c r="B899" s="9" t="inlineStr">
        <is>
          <t>Современные методы изготовления технологической оснастки в металлургии</t>
        </is>
      </c>
      <c r="C899" s="9" t="inlineStr">
        <is>
          <t>Экзамен</t>
        </is>
      </c>
      <c r="D899" s="9" t="inlineStr">
        <is>
          <t>Т11О-201М-19</t>
        </is>
      </c>
      <c r="E899" s="10" t="n">
        <v>4</v>
      </c>
      <c r="F899" s="9" t="inlineStr">
        <is>
          <t>07987</t>
        </is>
      </c>
      <c r="G899" s="11" t="n">
        <v>0</v>
      </c>
      <c r="H899" s="9" t="inlineStr">
        <is>
          <t xml:space="preserve">82020     </t>
        </is>
      </c>
      <c r="I899" s="9" t="inlineStr">
        <is>
          <t xml:space="preserve">Варфоломеев Максим Сергеевич </t>
        </is>
      </c>
      <c r="J899" s="9" t="inlineStr">
        <is>
          <t>доцент</t>
        </is>
      </c>
      <c r="K899" s="9" t="n"/>
      <c r="L899" s="9" t="n"/>
      <c r="M899" s="12">
        <f>SUMIFS($E$2:$E$1130,$A$2:$A$1130,"осень",$I$2:$I$1130,I899)</f>
        <v/>
      </c>
      <c r="N899" s="13">
        <f>SUMIFS($E$2:$E$1130,$A$2:$A$1130,"весна",$I$2:$I$1130,I899)</f>
        <v/>
      </c>
      <c r="O899" s="14">
        <f>M899+N899</f>
        <v/>
      </c>
      <c r="P899" s="15">
        <f>O899/$P$1</f>
        <v/>
      </c>
    </row>
    <row r="900" hidden="1" ht="15.75" customHeight="1" s="2">
      <c r="A900" s="9" t="inlineStr">
        <is>
          <t>весна</t>
        </is>
      </c>
      <c r="B900" s="9" t="inlineStr">
        <is>
          <t>Современные методы изготовления технологической оснастки в металлургии</t>
        </is>
      </c>
      <c r="C900" s="9" t="inlineStr">
        <is>
          <t>Экзамен</t>
        </is>
      </c>
      <c r="D900" s="9" t="inlineStr">
        <is>
          <t>Т11О-202М-19</t>
        </is>
      </c>
      <c r="E900" s="10" t="n">
        <v>3</v>
      </c>
      <c r="F900" s="9" t="inlineStr">
        <is>
          <t>07987</t>
        </is>
      </c>
      <c r="G900" s="11" t="n">
        <v>0</v>
      </c>
      <c r="H900" s="9" t="inlineStr">
        <is>
          <t xml:space="preserve">82020     </t>
        </is>
      </c>
      <c r="I900" s="9" t="inlineStr">
        <is>
          <t xml:space="preserve">Варфоломеев Максим Сергеевич </t>
        </is>
      </c>
      <c r="J900" s="9" t="inlineStr">
        <is>
          <t>доцент</t>
        </is>
      </c>
      <c r="K900" s="9" t="n"/>
      <c r="L900" s="9" t="n"/>
      <c r="M900" s="12">
        <f>SUMIFS($E$2:$E$1130,$A$2:$A$1130,"осень",$I$2:$I$1130,I900)</f>
        <v/>
      </c>
      <c r="N900" s="13">
        <f>SUMIFS($E$2:$E$1130,$A$2:$A$1130,"весна",$I$2:$I$1130,I900)</f>
        <v/>
      </c>
      <c r="O900" s="14">
        <f>M900+N900</f>
        <v/>
      </c>
      <c r="P900" s="15">
        <f>O900/$P$1</f>
        <v/>
      </c>
    </row>
    <row r="901" hidden="1" ht="15.75" customHeight="1" s="2">
      <c r="A901" s="9" t="inlineStr">
        <is>
          <t>весна</t>
        </is>
      </c>
      <c r="B901" s="9" t="inlineStr">
        <is>
          <t>Современные методы изготовления технологической оснастки в металлургии</t>
        </is>
      </c>
      <c r="C901" s="9" t="inlineStr">
        <is>
          <t>Экзамен</t>
        </is>
      </c>
      <c r="D901" s="9" t="inlineStr">
        <is>
          <t>Т11О-203М-19</t>
        </is>
      </c>
      <c r="E901" s="10" t="n">
        <v>4</v>
      </c>
      <c r="F901" s="9" t="inlineStr">
        <is>
          <t>07987</t>
        </is>
      </c>
      <c r="G901" s="11" t="n">
        <v>0</v>
      </c>
      <c r="H901" s="9" t="inlineStr">
        <is>
          <t xml:space="preserve">82020     </t>
        </is>
      </c>
      <c r="I901" s="9" t="inlineStr">
        <is>
          <t xml:space="preserve">Варфоломеев Максим Сергеевич </t>
        </is>
      </c>
      <c r="J901" s="9" t="inlineStr">
        <is>
          <t>доцент</t>
        </is>
      </c>
      <c r="K901" s="9" t="n"/>
      <c r="L901" s="9" t="n"/>
      <c r="M901" s="12">
        <f>SUMIFS($E$2:$E$1130,$A$2:$A$1130,"осень",$I$2:$I$1130,I901)</f>
        <v/>
      </c>
      <c r="N901" s="13">
        <f>SUMIFS($E$2:$E$1130,$A$2:$A$1130,"весна",$I$2:$I$1130,I901)</f>
        <v/>
      </c>
      <c r="O901" s="14">
        <f>M901+N901</f>
        <v/>
      </c>
      <c r="P901" s="15">
        <f>O901/$P$1</f>
        <v/>
      </c>
    </row>
    <row r="902" hidden="1" ht="15.75" customHeight="1" s="2">
      <c r="A902" s="9" t="inlineStr">
        <is>
          <t>весна</t>
        </is>
      </c>
      <c r="B902" s="9" t="inlineStr">
        <is>
          <t>Современные методы изготовления технологической оснастки в металлургии</t>
        </is>
      </c>
      <c r="C902" s="9" t="inlineStr">
        <is>
          <t>Экзамен</t>
        </is>
      </c>
      <c r="D902" s="9" t="inlineStr">
        <is>
          <t>Т11О-204М-19</t>
        </is>
      </c>
      <c r="E902" s="10" t="n">
        <v>5</v>
      </c>
      <c r="F902" s="9" t="inlineStr">
        <is>
          <t>07987</t>
        </is>
      </c>
      <c r="G902" s="11" t="n">
        <v>0</v>
      </c>
      <c r="H902" s="9" t="inlineStr">
        <is>
          <t xml:space="preserve">82020     </t>
        </is>
      </c>
      <c r="I902" s="9" t="inlineStr">
        <is>
          <t xml:space="preserve">Варфоломеев Максим Сергеевич </t>
        </is>
      </c>
      <c r="J902" s="9" t="inlineStr">
        <is>
          <t>доцент</t>
        </is>
      </c>
      <c r="K902" s="9" t="n"/>
      <c r="L902" s="9" t="n"/>
      <c r="M902" s="12">
        <f>SUMIFS($E$2:$E$1130,$A$2:$A$1130,"осень",$I$2:$I$1130,I902)</f>
        <v/>
      </c>
      <c r="N902" s="13">
        <f>SUMIFS($E$2:$E$1130,$A$2:$A$1130,"весна",$I$2:$I$1130,I902)</f>
        <v/>
      </c>
      <c r="O902" s="14">
        <f>M902+N902</f>
        <v/>
      </c>
      <c r="P902" s="15">
        <f>O902/$P$1</f>
        <v/>
      </c>
    </row>
    <row r="903" hidden="1" ht="15.75" customHeight="1" s="2">
      <c r="A903" s="9" t="inlineStr">
        <is>
          <t>весна</t>
        </is>
      </c>
      <c r="B903" s="9" t="inlineStr">
        <is>
          <t>Современные методы изготовления технологической оснастки в металлургии</t>
        </is>
      </c>
      <c r="C903" s="9" t="inlineStr">
        <is>
          <t>Консультация</t>
        </is>
      </c>
      <c r="D903" s="9" t="inlineStr">
        <is>
          <t>Т11О-201М-19</t>
        </is>
      </c>
      <c r="E903" s="10" t="n">
        <v>3</v>
      </c>
      <c r="F903" s="9" t="inlineStr">
        <is>
          <t>07987</t>
        </is>
      </c>
      <c r="G903" s="11" t="n">
        <v>0</v>
      </c>
      <c r="H903" s="9" t="inlineStr">
        <is>
          <t xml:space="preserve">82020     </t>
        </is>
      </c>
      <c r="I903" s="9" t="inlineStr">
        <is>
          <t xml:space="preserve">Варфоломеев Максим Сергеевич </t>
        </is>
      </c>
      <c r="J903" s="9" t="inlineStr">
        <is>
          <t>доцент</t>
        </is>
      </c>
      <c r="K903" s="9" t="n"/>
      <c r="L903" s="9" t="n"/>
      <c r="M903" s="12">
        <f>SUMIFS($E$2:$E$1130,$A$2:$A$1130,"осень",$I$2:$I$1130,I903)</f>
        <v/>
      </c>
      <c r="N903" s="13">
        <f>SUMIFS($E$2:$E$1130,$A$2:$A$1130,"весна",$I$2:$I$1130,I903)</f>
        <v/>
      </c>
      <c r="O903" s="14">
        <f>M903+N903</f>
        <v/>
      </c>
      <c r="P903" s="15">
        <f>O903/$P$1</f>
        <v/>
      </c>
    </row>
    <row r="904" hidden="1" ht="15.75" customHeight="1" s="2">
      <c r="A904" s="9" t="inlineStr">
        <is>
          <t>весна</t>
        </is>
      </c>
      <c r="B904" s="9" t="inlineStr">
        <is>
          <t>Современные методы изготовления технологической оснастки в металлургии</t>
        </is>
      </c>
      <c r="C904" s="9" t="inlineStr">
        <is>
          <t>Консультация</t>
        </is>
      </c>
      <c r="D904" s="9" t="inlineStr">
        <is>
          <t>Т11О-202М-19</t>
        </is>
      </c>
      <c r="E904" s="10" t="n">
        <v>3</v>
      </c>
      <c r="F904" s="9" t="inlineStr">
        <is>
          <t>07987</t>
        </is>
      </c>
      <c r="G904" s="11" t="n">
        <v>0</v>
      </c>
      <c r="H904" s="9" t="inlineStr">
        <is>
          <t xml:space="preserve">82020     </t>
        </is>
      </c>
      <c r="I904" s="9" t="inlineStr">
        <is>
          <t xml:space="preserve">Варфоломеев Максим Сергеевич </t>
        </is>
      </c>
      <c r="J904" s="9" t="inlineStr">
        <is>
          <t>доцент</t>
        </is>
      </c>
      <c r="K904" s="9" t="n"/>
      <c r="L904" s="9" t="n"/>
      <c r="M904" s="12">
        <f>SUMIFS($E$2:$E$1130,$A$2:$A$1130,"осень",$I$2:$I$1130,I904)</f>
        <v/>
      </c>
      <c r="N904" s="13">
        <f>SUMIFS($E$2:$E$1130,$A$2:$A$1130,"весна",$I$2:$I$1130,I904)</f>
        <v/>
      </c>
      <c r="O904" s="14">
        <f>M904+N904</f>
        <v/>
      </c>
      <c r="P904" s="15">
        <f>O904/$P$1</f>
        <v/>
      </c>
    </row>
    <row r="905" hidden="1" ht="15.75" customHeight="1" s="2">
      <c r="A905" s="9" t="inlineStr">
        <is>
          <t>весна</t>
        </is>
      </c>
      <c r="B905" s="9" t="inlineStr">
        <is>
          <t>Современные методы изготовления технологической оснастки в металлургии</t>
        </is>
      </c>
      <c r="C905" s="9" t="inlineStr">
        <is>
          <t>Консультация</t>
        </is>
      </c>
      <c r="D905" s="9" t="inlineStr">
        <is>
          <t>Т11О-203М-19</t>
        </is>
      </c>
      <c r="E905" s="10" t="n">
        <v>3</v>
      </c>
      <c r="F905" s="9" t="inlineStr">
        <is>
          <t>07987</t>
        </is>
      </c>
      <c r="G905" s="11" t="n">
        <v>0</v>
      </c>
      <c r="H905" s="9" t="inlineStr">
        <is>
          <t xml:space="preserve">82020     </t>
        </is>
      </c>
      <c r="I905" s="9" t="inlineStr">
        <is>
          <t xml:space="preserve">Варфоломеев Максим Сергеевич </t>
        </is>
      </c>
      <c r="J905" s="9" t="inlineStr">
        <is>
          <t>доцент</t>
        </is>
      </c>
      <c r="K905" s="9" t="n"/>
      <c r="L905" s="9" t="n"/>
      <c r="M905" s="12">
        <f>SUMIFS($E$2:$E$1130,$A$2:$A$1130,"осень",$I$2:$I$1130,I905)</f>
        <v/>
      </c>
      <c r="N905" s="13">
        <f>SUMIFS($E$2:$E$1130,$A$2:$A$1130,"весна",$I$2:$I$1130,I905)</f>
        <v/>
      </c>
      <c r="O905" s="14">
        <f>M905+N905</f>
        <v/>
      </c>
      <c r="P905" s="15">
        <f>O905/$P$1</f>
        <v/>
      </c>
    </row>
    <row r="906" hidden="1" ht="15.75" customHeight="1" s="2">
      <c r="A906" s="9" t="inlineStr">
        <is>
          <t>весна</t>
        </is>
      </c>
      <c r="B906" s="9" t="inlineStr">
        <is>
          <t>Современные методы изготовления технологической оснастки в металлургии</t>
        </is>
      </c>
      <c r="C906" s="9" t="inlineStr">
        <is>
          <t>Консультация</t>
        </is>
      </c>
      <c r="D906" s="9" t="inlineStr">
        <is>
          <t>Т11О-204М-19</t>
        </is>
      </c>
      <c r="E906" s="10" t="n">
        <v>3</v>
      </c>
      <c r="F906" s="9" t="inlineStr">
        <is>
          <t>07987</t>
        </is>
      </c>
      <c r="G906" s="11" t="n">
        <v>0</v>
      </c>
      <c r="H906" s="9" t="inlineStr">
        <is>
          <t xml:space="preserve">82020     </t>
        </is>
      </c>
      <c r="I906" s="9" t="inlineStr">
        <is>
          <t xml:space="preserve">Варфоломеев Максим Сергеевич </t>
        </is>
      </c>
      <c r="J906" s="9" t="inlineStr">
        <is>
          <t>доцент</t>
        </is>
      </c>
      <c r="K906" s="9" t="n"/>
      <c r="L906" s="9" t="n"/>
      <c r="M906" s="12">
        <f>SUMIFS($E$2:$E$1130,$A$2:$A$1130,"осень",$I$2:$I$1130,I906)</f>
        <v/>
      </c>
      <c r="N906" s="13">
        <f>SUMIFS($E$2:$E$1130,$A$2:$A$1130,"весна",$I$2:$I$1130,I906)</f>
        <v/>
      </c>
      <c r="O906" s="14">
        <f>M906+N906</f>
        <v/>
      </c>
      <c r="P906" s="15">
        <f>O906/$P$1</f>
        <v/>
      </c>
    </row>
    <row r="907" hidden="1" ht="15.75" customHeight="1" s="2">
      <c r="A907" s="9" t="inlineStr">
        <is>
          <t>весна</t>
        </is>
      </c>
      <c r="B907" s="9" t="inlineStr">
        <is>
          <t>Вакуумные методы нанесения защитных и функциональных покрытий</t>
        </is>
      </c>
      <c r="C907" s="9" t="inlineStr">
        <is>
          <t>ЛК</t>
        </is>
      </c>
      <c r="D907" s="9" t="inlineStr">
        <is>
          <t>Т11О-103М-20</t>
        </is>
      </c>
      <c r="E907" s="10" t="n">
        <v>18</v>
      </c>
      <c r="F907" s="9" t="inlineStr">
        <is>
          <t>06203</t>
        </is>
      </c>
      <c r="G907" s="10" t="n">
        <v>18</v>
      </c>
      <c r="H907" s="9" t="inlineStr">
        <is>
          <t xml:space="preserve">82060     </t>
        </is>
      </c>
      <c r="I907" s="9" t="inlineStr">
        <is>
          <t xml:space="preserve">Лозован Александр Александрович </t>
        </is>
      </c>
      <c r="J907" s="9" t="inlineStr">
        <is>
          <t>профессор</t>
        </is>
      </c>
      <c r="K907" s="9" t="n"/>
      <c r="L907" s="9" t="n"/>
      <c r="M907" s="12">
        <f>SUMIFS($E$2:$E$1130,$A$2:$A$1130,"осень",$I$2:$I$1130,I907)</f>
        <v/>
      </c>
      <c r="N907" s="13">
        <f>SUMIFS($E$2:$E$1130,$A$2:$A$1130,"весна",$I$2:$I$1130,I907)</f>
        <v/>
      </c>
      <c r="O907" s="14">
        <f>M907+N907</f>
        <v/>
      </c>
      <c r="P907" s="15">
        <f>O907/$P$1</f>
        <v/>
      </c>
    </row>
    <row r="908" hidden="1" ht="15.75" customHeight="1" s="2">
      <c r="A908" s="9" t="inlineStr">
        <is>
          <t>весна</t>
        </is>
      </c>
      <c r="B908" s="9" t="inlineStr">
        <is>
          <t>Вакуумные методы нанесения защитных и функциональных покрытий</t>
        </is>
      </c>
      <c r="C908" s="9" t="inlineStr">
        <is>
          <t>Зачет с оценкой</t>
        </is>
      </c>
      <c r="D908" s="9" t="inlineStr">
        <is>
          <t>Т11О-103М-20</t>
        </is>
      </c>
      <c r="E908" s="10" t="n">
        <v>2</v>
      </c>
      <c r="F908" s="9" t="inlineStr">
        <is>
          <t>06203</t>
        </is>
      </c>
      <c r="G908" s="11" t="n">
        <v>0</v>
      </c>
      <c r="H908" s="9" t="inlineStr">
        <is>
          <t xml:space="preserve">82060     </t>
        </is>
      </c>
      <c r="I908" s="9" t="inlineStr">
        <is>
          <t xml:space="preserve">Лозован Александр Александрович </t>
        </is>
      </c>
      <c r="J908" s="9" t="inlineStr">
        <is>
          <t>профессор</t>
        </is>
      </c>
      <c r="K908" s="9" t="n"/>
      <c r="L908" s="9" t="n"/>
      <c r="M908" s="12">
        <f>SUMIFS($E$2:$E$1130,$A$2:$A$1130,"осень",$I$2:$I$1130,I908)</f>
        <v/>
      </c>
      <c r="N908" s="13">
        <f>SUMIFS($E$2:$E$1130,$A$2:$A$1130,"весна",$I$2:$I$1130,I908)</f>
        <v/>
      </c>
      <c r="O908" s="14">
        <f>M908+N908</f>
        <v/>
      </c>
      <c r="P908" s="15">
        <f>O908/$P$1</f>
        <v/>
      </c>
    </row>
    <row r="909" hidden="1" ht="15.75" customHeight="1" s="2">
      <c r="A909" s="9" t="inlineStr">
        <is>
          <t>весна</t>
        </is>
      </c>
      <c r="B909" s="9" t="inlineStr">
        <is>
          <t>Вакуумные методы нанесения защитных и функциональных покрытий</t>
        </is>
      </c>
      <c r="C909" s="9" t="inlineStr">
        <is>
          <t>ПЗ</t>
        </is>
      </c>
      <c r="D909" s="9" t="inlineStr">
        <is>
          <t>Т11О-103М-20</t>
        </is>
      </c>
      <c r="E909" s="10" t="n">
        <v>36</v>
      </c>
      <c r="F909" s="9" t="inlineStr">
        <is>
          <t>06203</t>
        </is>
      </c>
      <c r="G909" s="10" t="n">
        <v>36</v>
      </c>
      <c r="H909" s="9" t="inlineStr">
        <is>
          <t xml:space="preserve">82060     </t>
        </is>
      </c>
      <c r="I909" s="9" t="inlineStr">
        <is>
          <t xml:space="preserve">Лозован Александр Александрович </t>
        </is>
      </c>
      <c r="J909" s="9" t="inlineStr">
        <is>
          <t>профессор</t>
        </is>
      </c>
      <c r="K909" s="9" t="n"/>
      <c r="L909" s="9" t="n"/>
      <c r="M909" s="12">
        <f>SUMIFS($E$2:$E$1130,$A$2:$A$1130,"осень",$I$2:$I$1130,I909)</f>
        <v/>
      </c>
      <c r="N909" s="13">
        <f>SUMIFS($E$2:$E$1130,$A$2:$A$1130,"весна",$I$2:$I$1130,I909)</f>
        <v/>
      </c>
      <c r="O909" s="14">
        <f>M909+N909</f>
        <v/>
      </c>
      <c r="P909" s="15">
        <f>O909/$P$1</f>
        <v/>
      </c>
    </row>
    <row r="910" hidden="1" ht="15.75" customHeight="1" s="2">
      <c r="A910" s="9" t="inlineStr">
        <is>
          <t>весна</t>
        </is>
      </c>
      <c r="B910" s="9" t="inlineStr">
        <is>
          <t>Вакуумные методы нанесения защитных и функциональных покрытий</t>
        </is>
      </c>
      <c r="C910" s="9" t="inlineStr">
        <is>
          <t>ЛР</t>
        </is>
      </c>
      <c r="D910" s="9" t="inlineStr">
        <is>
          <t>Т11О-103М-20</t>
        </is>
      </c>
      <c r="E910" s="10" t="n">
        <v>12</v>
      </c>
      <c r="F910" s="9" t="inlineStr">
        <is>
          <t>06203</t>
        </is>
      </c>
      <c r="G910" s="10" t="n">
        <v>12</v>
      </c>
      <c r="H910" s="9" t="inlineStr">
        <is>
          <t xml:space="preserve">82060     </t>
        </is>
      </c>
      <c r="I910" s="9" t="inlineStr">
        <is>
          <t xml:space="preserve">Лозован Александр Александрович </t>
        </is>
      </c>
      <c r="J910" s="9" t="inlineStr">
        <is>
          <t>профессор</t>
        </is>
      </c>
      <c r="K910" s="9" t="n"/>
      <c r="L910" s="9" t="n"/>
      <c r="M910" s="12">
        <f>SUMIFS($E$2:$E$1130,$A$2:$A$1130,"осень",$I$2:$I$1130,I910)</f>
        <v/>
      </c>
      <c r="N910" s="13">
        <f>SUMIFS($E$2:$E$1130,$A$2:$A$1130,"весна",$I$2:$I$1130,I910)</f>
        <v/>
      </c>
      <c r="O910" s="14">
        <f>M910+N910</f>
        <v/>
      </c>
      <c r="P910" s="15">
        <f>O910/$P$1</f>
        <v/>
      </c>
    </row>
    <row r="911" hidden="1" ht="15.75" customHeight="1" s="2">
      <c r="A911" s="9" t="inlineStr">
        <is>
          <t>весна</t>
        </is>
      </c>
      <c r="B911" s="9" t="inlineStr">
        <is>
          <t>Вакуумные методы нанесения защитных и функциональных покрытий</t>
        </is>
      </c>
      <c r="C911" s="9" t="inlineStr">
        <is>
          <t>Консультация</t>
        </is>
      </c>
      <c r="D911" s="9" t="inlineStr">
        <is>
          <t>Т11О-103М-20</t>
        </is>
      </c>
      <c r="E911" s="10" t="n">
        <v>1</v>
      </c>
      <c r="F911" s="9" t="inlineStr">
        <is>
          <t>06203</t>
        </is>
      </c>
      <c r="G911" s="11" t="n">
        <v>0</v>
      </c>
      <c r="H911" s="9" t="inlineStr">
        <is>
          <t xml:space="preserve">82060     </t>
        </is>
      </c>
      <c r="I911" s="9" t="inlineStr">
        <is>
          <t xml:space="preserve">Лозован Александр Александрович </t>
        </is>
      </c>
      <c r="J911" s="9" t="inlineStr">
        <is>
          <t>профессор</t>
        </is>
      </c>
      <c r="K911" s="9" t="n"/>
      <c r="L911" s="9" t="n"/>
      <c r="M911" s="12">
        <f>SUMIFS($E$2:$E$1130,$A$2:$A$1130,"осень",$I$2:$I$1130,I911)</f>
        <v/>
      </c>
      <c r="N911" s="13">
        <f>SUMIFS($E$2:$E$1130,$A$2:$A$1130,"весна",$I$2:$I$1130,I911)</f>
        <v/>
      </c>
      <c r="O911" s="14">
        <f>M911+N911</f>
        <v/>
      </c>
      <c r="P911" s="15">
        <f>O911/$P$1</f>
        <v/>
      </c>
    </row>
    <row r="912" hidden="1" ht="15.75" customHeight="1" s="2">
      <c r="A912" s="9" t="inlineStr">
        <is>
          <t>весна</t>
        </is>
      </c>
      <c r="B912" s="9" t="inlineStr">
        <is>
          <t>Современные технологии аддитивного производства</t>
        </is>
      </c>
      <c r="C912" s="9" t="inlineStr">
        <is>
          <t>ЛК</t>
        </is>
      </c>
      <c r="D912" s="9" t="inlineStr">
        <is>
          <t>М9О-104М-20</t>
        </is>
      </c>
      <c r="E912" s="10" t="n">
        <v>24</v>
      </c>
      <c r="F912" s="9" t="inlineStr">
        <is>
          <t>12598</t>
        </is>
      </c>
      <c r="G912" s="10" t="n">
        <v>24</v>
      </c>
      <c r="H912" s="9" t="inlineStr">
        <is>
          <t xml:space="preserve">81720     </t>
        </is>
      </c>
      <c r="I912" s="9" t="inlineStr">
        <is>
          <t xml:space="preserve">Палтиевич Андрей Романович </t>
        </is>
      </c>
      <c r="J912" s="9" t="n"/>
      <c r="K912" s="9" t="n"/>
      <c r="L912" s="9" t="n"/>
      <c r="M912" s="12">
        <f>SUMIFS($E$2:$E$1130,$A$2:$A$1130,"осень",$I$2:$I$1130,I912)</f>
        <v/>
      </c>
      <c r="N912" s="13">
        <f>SUMIFS($E$2:$E$1130,$A$2:$A$1130,"весна",$I$2:$I$1130,I912)</f>
        <v/>
      </c>
      <c r="O912" s="14">
        <f>M912+N912</f>
        <v/>
      </c>
      <c r="P912" s="15">
        <f>O912/$P$1</f>
        <v/>
      </c>
    </row>
    <row r="913" hidden="1" ht="15.75" customHeight="1" s="2">
      <c r="A913" s="9" t="inlineStr">
        <is>
          <t>весна</t>
        </is>
      </c>
      <c r="B913" s="9" t="inlineStr">
        <is>
          <t>Современные технологии аддитивного производства</t>
        </is>
      </c>
      <c r="C913" s="9" t="inlineStr">
        <is>
          <t>ПЗ</t>
        </is>
      </c>
      <c r="D913" s="9" t="inlineStr">
        <is>
          <t>М9О-104М-20</t>
        </is>
      </c>
      <c r="E913" s="10" t="n">
        <v>36</v>
      </c>
      <c r="F913" s="9" t="inlineStr">
        <is>
          <t>12598</t>
        </is>
      </c>
      <c r="G913" s="10" t="n">
        <v>36</v>
      </c>
      <c r="H913" s="9" t="inlineStr">
        <is>
          <t xml:space="preserve">81720     </t>
        </is>
      </c>
      <c r="I913" s="9" t="inlineStr">
        <is>
          <t xml:space="preserve">Палтиевич Андрей Романович </t>
        </is>
      </c>
      <c r="J913" s="9" t="n"/>
      <c r="K913" s="9" t="n"/>
      <c r="L913" s="9" t="n"/>
      <c r="M913" s="12">
        <f>SUMIFS($E$2:$E$1130,$A$2:$A$1130,"осень",$I$2:$I$1130,I913)</f>
        <v/>
      </c>
      <c r="N913" s="13">
        <f>SUMIFS($E$2:$E$1130,$A$2:$A$1130,"весна",$I$2:$I$1130,I913)</f>
        <v/>
      </c>
      <c r="O913" s="14">
        <f>M913+N913</f>
        <v/>
      </c>
      <c r="P913" s="15">
        <f>O913/$P$1</f>
        <v/>
      </c>
    </row>
    <row r="914" hidden="1" ht="15.75" customHeight="1" s="2">
      <c r="A914" s="9" t="inlineStr">
        <is>
          <t>весна</t>
        </is>
      </c>
      <c r="B914" s="9" t="inlineStr">
        <is>
          <t>Современные технологии аддитивного производства</t>
        </is>
      </c>
      <c r="C914" s="9" t="inlineStr">
        <is>
          <t>ЛР</t>
        </is>
      </c>
      <c r="D914" s="9" t="inlineStr">
        <is>
          <t>М9О-104М-20</t>
        </is>
      </c>
      <c r="E914" s="10" t="n">
        <v>8</v>
      </c>
      <c r="F914" s="9" t="inlineStr">
        <is>
          <t>12598</t>
        </is>
      </c>
      <c r="G914" s="10" t="n">
        <v>8</v>
      </c>
      <c r="H914" s="9" t="inlineStr">
        <is>
          <t xml:space="preserve">81720     </t>
        </is>
      </c>
      <c r="I914" s="9" t="inlineStr">
        <is>
          <t xml:space="preserve">Палтиевич Андрей Романович </t>
        </is>
      </c>
      <c r="J914" s="9" t="n"/>
      <c r="K914" s="9" t="n"/>
      <c r="L914" s="9" t="n"/>
      <c r="M914" s="12">
        <f>SUMIFS($E$2:$E$1130,$A$2:$A$1130,"осень",$I$2:$I$1130,I914)</f>
        <v/>
      </c>
      <c r="N914" s="13">
        <f>SUMIFS($E$2:$E$1130,$A$2:$A$1130,"весна",$I$2:$I$1130,I914)</f>
        <v/>
      </c>
      <c r="O914" s="14">
        <f>M914+N914</f>
        <v/>
      </c>
      <c r="P914" s="15">
        <f>O914/$P$1</f>
        <v/>
      </c>
    </row>
    <row r="915" hidden="1" ht="15.75" customHeight="1" s="2">
      <c r="A915" s="9" t="inlineStr">
        <is>
          <t>весна</t>
        </is>
      </c>
      <c r="B915" s="9" t="inlineStr">
        <is>
          <t>Современные технологии аддитивного производства</t>
        </is>
      </c>
      <c r="C915" s="9" t="inlineStr">
        <is>
          <t>Экзамен</t>
        </is>
      </c>
      <c r="D915" s="9" t="inlineStr">
        <is>
          <t>М9О-104М-20</t>
        </is>
      </c>
      <c r="E915" s="10" t="n">
        <v>3</v>
      </c>
      <c r="F915" s="9" t="inlineStr">
        <is>
          <t>12598</t>
        </is>
      </c>
      <c r="G915" s="11" t="n">
        <v>0</v>
      </c>
      <c r="H915" s="9" t="inlineStr">
        <is>
          <t xml:space="preserve">81720     </t>
        </is>
      </c>
      <c r="I915" s="9" t="inlineStr">
        <is>
          <t xml:space="preserve">Палтиевич Андрей Романович </t>
        </is>
      </c>
      <c r="J915" s="9" t="n"/>
      <c r="K915" s="9" t="n"/>
      <c r="L915" s="9" t="n"/>
      <c r="M915" s="12">
        <f>SUMIFS($E$2:$E$1130,$A$2:$A$1130,"осень",$I$2:$I$1130,I915)</f>
        <v/>
      </c>
      <c r="N915" s="13">
        <f>SUMIFS($E$2:$E$1130,$A$2:$A$1130,"весна",$I$2:$I$1130,I915)</f>
        <v/>
      </c>
      <c r="O915" s="14">
        <f>M915+N915</f>
        <v/>
      </c>
      <c r="P915" s="15">
        <f>O915/$P$1</f>
        <v/>
      </c>
    </row>
    <row r="916" hidden="1" ht="15.75" customHeight="1" s="2">
      <c r="A916" s="9" t="inlineStr">
        <is>
          <t>весна</t>
        </is>
      </c>
      <c r="B916" s="9" t="inlineStr">
        <is>
          <t>Современные технологии аддитивного производства</t>
        </is>
      </c>
      <c r="C916" s="9" t="inlineStr">
        <is>
          <t>Консультация</t>
        </is>
      </c>
      <c r="D916" s="9" t="inlineStr">
        <is>
          <t>М9О-104М-20</t>
        </is>
      </c>
      <c r="E916" s="10" t="n">
        <v>3</v>
      </c>
      <c r="F916" s="9" t="inlineStr">
        <is>
          <t>12598</t>
        </is>
      </c>
      <c r="G916" s="11" t="n">
        <v>0</v>
      </c>
      <c r="H916" s="9" t="inlineStr">
        <is>
          <t xml:space="preserve">81720     </t>
        </is>
      </c>
      <c r="I916" s="9" t="inlineStr">
        <is>
          <t xml:space="preserve">Палтиевич Андрей Романович </t>
        </is>
      </c>
      <c r="J916" s="9" t="n"/>
      <c r="K916" s="9" t="n"/>
      <c r="L916" s="9" t="n"/>
      <c r="M916" s="12">
        <f>SUMIFS($E$2:$E$1130,$A$2:$A$1130,"осень",$I$2:$I$1130,I916)</f>
        <v/>
      </c>
      <c r="N916" s="13">
        <f>SUMIFS($E$2:$E$1130,$A$2:$A$1130,"весна",$I$2:$I$1130,I916)</f>
        <v/>
      </c>
      <c r="O916" s="14">
        <f>M916+N916</f>
        <v/>
      </c>
      <c r="P916" s="15">
        <f>O916/$P$1</f>
        <v/>
      </c>
    </row>
    <row r="917" hidden="1" ht="15.75" customHeight="1" s="2">
      <c r="A917" s="9" t="inlineStr">
        <is>
          <t>весна</t>
        </is>
      </c>
      <c r="B917" s="9" t="inlineStr">
        <is>
          <t>Основы САПР в металлургии</t>
        </is>
      </c>
      <c r="C917" s="9" t="inlineStr">
        <is>
          <t>ЛК</t>
        </is>
      </c>
      <c r="D917" s="9" t="inlineStr">
        <is>
          <t>Т1В-412Б-17</t>
        </is>
      </c>
      <c r="E917" s="10" t="n">
        <v>26</v>
      </c>
      <c r="F917" s="9" t="inlineStr">
        <is>
          <t>08769</t>
        </is>
      </c>
      <c r="G917" s="10" t="n">
        <v>26</v>
      </c>
      <c r="H917" s="9" t="inlineStr">
        <is>
          <t xml:space="preserve">81720     </t>
        </is>
      </c>
      <c r="I917" s="9" t="inlineStr">
        <is>
          <t xml:space="preserve">Палтиевич Андрей Романович </t>
        </is>
      </c>
      <c r="J917" s="9" t="n"/>
      <c r="K917" s="9" t="n"/>
      <c r="L917" s="9" t="inlineStr">
        <is>
          <t>Кроме вторника</t>
        </is>
      </c>
      <c r="M917" s="12">
        <f>SUMIFS($E$2:$E$1130,$A$2:$A$1130,"осень",$I$2:$I$1130,I917)</f>
        <v/>
      </c>
      <c r="N917" s="13">
        <f>SUMIFS($E$2:$E$1130,$A$2:$A$1130,"весна",$I$2:$I$1130,I917)</f>
        <v/>
      </c>
      <c r="O917" s="14">
        <f>M917+N917</f>
        <v/>
      </c>
      <c r="P917" s="15">
        <f>O917/$P$1</f>
        <v/>
      </c>
    </row>
    <row r="918" hidden="1" ht="15.75" customHeight="1" s="2">
      <c r="A918" s="22" t="inlineStr">
        <is>
          <t>весна</t>
        </is>
      </c>
      <c r="B918" s="9" t="inlineStr">
        <is>
          <t>Основы САПР в металлургии</t>
        </is>
      </c>
      <c r="C918" s="9" t="inlineStr">
        <is>
          <t>ЛК</t>
        </is>
      </c>
      <c r="D918" s="9" t="inlineStr">
        <is>
          <t>Т11О-201Б-19, Т11О-202Б-19</t>
        </is>
      </c>
      <c r="E918" s="10" t="n">
        <v>32</v>
      </c>
      <c r="F918" s="9" t="inlineStr">
        <is>
          <t>08947</t>
        </is>
      </c>
      <c r="G918" s="10" t="n">
        <v>32</v>
      </c>
      <c r="H918" s="9" t="inlineStr">
        <is>
          <t xml:space="preserve">82018     </t>
        </is>
      </c>
      <c r="I918" s="9" t="inlineStr">
        <is>
          <t>Бережной Дмитрий Васильевич</t>
        </is>
      </c>
      <c r="J918" s="9" t="inlineStr">
        <is>
          <t>доцент</t>
        </is>
      </c>
      <c r="K918" s="9" t="n"/>
      <c r="L918" s="9" t="n"/>
      <c r="M918" s="12">
        <f>SUMIFS($E$2:$E$1130,$A$2:$A$1130,"осень",$I$2:$I$1130,I918)</f>
        <v/>
      </c>
      <c r="N918" s="13">
        <f>SUMIFS($E$2:$E$1130,$A$2:$A$1130,"весна",$I$2:$I$1130,I918)</f>
        <v/>
      </c>
      <c r="O918" s="14">
        <f>M918+N918</f>
        <v/>
      </c>
      <c r="P918" s="15">
        <f>O918/$P$1</f>
        <v/>
      </c>
    </row>
    <row r="919" hidden="1" ht="15.75" customHeight="1" s="2">
      <c r="A919" s="22" t="inlineStr">
        <is>
          <t>весна</t>
        </is>
      </c>
      <c r="B919" s="9" t="inlineStr">
        <is>
          <t>Основы САПР в металлургии</t>
        </is>
      </c>
      <c r="C919" s="9" t="inlineStr">
        <is>
          <t>КР</t>
        </is>
      </c>
      <c r="D919" s="9" t="inlineStr">
        <is>
          <t>Т1В-412Б-17</t>
        </is>
      </c>
      <c r="E919" s="10" t="n">
        <v>20</v>
      </c>
      <c r="F919" s="9" t="inlineStr">
        <is>
          <t>08769</t>
        </is>
      </c>
      <c r="G919" s="11" t="n">
        <v>0</v>
      </c>
      <c r="H919" s="9" t="inlineStr">
        <is>
          <t xml:space="preserve">95799     </t>
        </is>
      </c>
      <c r="I919" s="21" t="inlineStr">
        <is>
          <t>Монастырский Алексей Валерьевич</t>
        </is>
      </c>
      <c r="J919" s="21" t="inlineStr">
        <is>
          <t>КОМПЕНСАЦИЯ</t>
        </is>
      </c>
      <c r="K919" s="9" t="n"/>
      <c r="L919" s="9" t="inlineStr">
        <is>
          <t>Кроме вторника</t>
        </is>
      </c>
      <c r="M919" s="12">
        <f>SUMIFS($E$2:$E$1130,$A$2:$A$1130,"осень",$I$2:$I$1130,I919)</f>
        <v/>
      </c>
      <c r="N919" s="13">
        <f>SUMIFS($E$2:$E$1130,$A$2:$A$1130,"весна",$I$2:$I$1130,I919)</f>
        <v/>
      </c>
      <c r="O919" s="14">
        <f>M919+N919</f>
        <v/>
      </c>
      <c r="P919" s="15">
        <f>O919/$P$1</f>
        <v/>
      </c>
    </row>
    <row r="920" hidden="1" ht="15.75" customHeight="1" s="2">
      <c r="A920" s="9" t="inlineStr">
        <is>
          <t>весна</t>
        </is>
      </c>
      <c r="B920" s="9" t="inlineStr">
        <is>
          <t>Основы САПР в металлургии</t>
        </is>
      </c>
      <c r="C920" s="9" t="inlineStr">
        <is>
          <t>КР</t>
        </is>
      </c>
      <c r="D920" s="9" t="inlineStr">
        <is>
          <t>Т1В-412Б-17</t>
        </is>
      </c>
      <c r="E920" s="10" t="n">
        <v>13</v>
      </c>
      <c r="F920" s="9" t="inlineStr">
        <is>
          <t>08769</t>
        </is>
      </c>
      <c r="G920" s="11" t="n">
        <v>0</v>
      </c>
      <c r="H920" s="9" t="inlineStr">
        <is>
          <t xml:space="preserve">81720     </t>
        </is>
      </c>
      <c r="I920" s="9" t="inlineStr">
        <is>
          <t xml:space="preserve">Палтиевич Андрей Романович </t>
        </is>
      </c>
      <c r="J920" s="9" t="n"/>
      <c r="K920" s="9" t="n"/>
      <c r="L920" s="9" t="inlineStr">
        <is>
          <t>Кроме вторника</t>
        </is>
      </c>
      <c r="M920" s="12">
        <f>SUMIFS($E$2:$E$1130,$A$2:$A$1130,"осень",$I$2:$I$1130,I920)</f>
        <v/>
      </c>
      <c r="N920" s="13">
        <f>SUMIFS($E$2:$E$1130,$A$2:$A$1130,"весна",$I$2:$I$1130,I920)</f>
        <v/>
      </c>
      <c r="O920" s="14">
        <f>M920+N920</f>
        <v/>
      </c>
      <c r="P920" s="15">
        <f>O920/$P$1</f>
        <v/>
      </c>
    </row>
    <row r="921" hidden="1" ht="15.75" customHeight="1" s="2">
      <c r="A921" s="9" t="inlineStr">
        <is>
          <t>весна</t>
        </is>
      </c>
      <c r="B921" s="9" t="inlineStr">
        <is>
          <t>Основы САПР в металлургии</t>
        </is>
      </c>
      <c r="C921" s="9" t="inlineStr">
        <is>
          <t>Зачет с оценкой</t>
        </is>
      </c>
      <c r="D921" s="9" t="inlineStr">
        <is>
          <t>Т1В-412Б-17</t>
        </is>
      </c>
      <c r="E921" s="10" t="n">
        <v>4</v>
      </c>
      <c r="F921" s="9" t="inlineStr">
        <is>
          <t>08769</t>
        </is>
      </c>
      <c r="G921" s="11" t="n">
        <v>0</v>
      </c>
      <c r="H921" s="9" t="inlineStr">
        <is>
          <t xml:space="preserve">81720     </t>
        </is>
      </c>
      <c r="I921" s="9" t="inlineStr">
        <is>
          <t xml:space="preserve">Палтиевич Андрей Романович </t>
        </is>
      </c>
      <c r="J921" s="9" t="n"/>
      <c r="K921" s="9" t="n"/>
      <c r="L921" s="9" t="inlineStr">
        <is>
          <t>Кроме вторника</t>
        </is>
      </c>
      <c r="M921" s="12">
        <f>SUMIFS($E$2:$E$1130,$A$2:$A$1130,"осень",$I$2:$I$1130,I921)</f>
        <v/>
      </c>
      <c r="N921" s="13">
        <f>SUMIFS($E$2:$E$1130,$A$2:$A$1130,"весна",$I$2:$I$1130,I921)</f>
        <v/>
      </c>
      <c r="O921" s="14">
        <f>M921+N921</f>
        <v/>
      </c>
      <c r="P921" s="15">
        <f>O921/$P$1</f>
        <v/>
      </c>
    </row>
    <row r="922" hidden="1" ht="15.75" customHeight="1" s="2">
      <c r="A922" s="22" t="inlineStr">
        <is>
          <t>весна</t>
        </is>
      </c>
      <c r="B922" s="9" t="inlineStr">
        <is>
          <t>Основы САПР в металлургии</t>
        </is>
      </c>
      <c r="C922" s="9" t="inlineStr">
        <is>
          <t>ПЗ</t>
        </is>
      </c>
      <c r="D922" s="9" t="inlineStr">
        <is>
          <t>Т11О-201Б-19</t>
        </is>
      </c>
      <c r="E922" s="10" t="n">
        <v>36</v>
      </c>
      <c r="F922" s="9" t="inlineStr">
        <is>
          <t>08947</t>
        </is>
      </c>
      <c r="G922" s="10" t="n">
        <v>36</v>
      </c>
      <c r="H922" s="9" t="inlineStr">
        <is>
          <t xml:space="preserve">82018     </t>
        </is>
      </c>
      <c r="I922" s="9" t="inlineStr">
        <is>
          <t>Бережной Дмитрий Васильевич</t>
        </is>
      </c>
      <c r="J922" s="9" t="inlineStr">
        <is>
          <t>доцент</t>
        </is>
      </c>
      <c r="K922" s="9" t="n"/>
      <c r="L922" s="9" t="n"/>
      <c r="M922" s="12">
        <f>SUMIFS($E$2:$E$1130,$A$2:$A$1130,"осень",$I$2:$I$1130,I922)</f>
        <v/>
      </c>
      <c r="N922" s="13">
        <f>SUMIFS($E$2:$E$1130,$A$2:$A$1130,"весна",$I$2:$I$1130,I922)</f>
        <v/>
      </c>
      <c r="O922" s="14">
        <f>M922+N922</f>
        <v/>
      </c>
      <c r="P922" s="15">
        <f>O922/$P$1</f>
        <v/>
      </c>
    </row>
    <row r="923" hidden="1" ht="15.75" customHeight="1" s="2">
      <c r="A923" s="22" t="inlineStr">
        <is>
          <t>весна</t>
        </is>
      </c>
      <c r="B923" s="9" t="inlineStr">
        <is>
          <t>Основы САПР в металлургии</t>
        </is>
      </c>
      <c r="C923" s="9" t="inlineStr">
        <is>
          <t>ПЗ</t>
        </is>
      </c>
      <c r="D923" s="9" t="inlineStr">
        <is>
          <t>Т11О-202Б-19</t>
        </is>
      </c>
      <c r="E923" s="10" t="n">
        <v>36</v>
      </c>
      <c r="F923" s="9" t="inlineStr">
        <is>
          <t>08947</t>
        </is>
      </c>
      <c r="G923" s="10" t="n">
        <v>36</v>
      </c>
      <c r="H923" s="9" t="inlineStr">
        <is>
          <t xml:space="preserve">82018     </t>
        </is>
      </c>
      <c r="I923" s="9" t="inlineStr">
        <is>
          <t>Бережной Дмитрий Васильевич</t>
        </is>
      </c>
      <c r="J923" s="9" t="inlineStr">
        <is>
          <t>доцент</t>
        </is>
      </c>
      <c r="K923" s="9" t="n"/>
      <c r="L923" s="9" t="n"/>
      <c r="M923" s="12">
        <f>SUMIFS($E$2:$E$1130,$A$2:$A$1130,"осень",$I$2:$I$1130,I923)</f>
        <v/>
      </c>
      <c r="N923" s="13">
        <f>SUMIFS($E$2:$E$1130,$A$2:$A$1130,"весна",$I$2:$I$1130,I923)</f>
        <v/>
      </c>
      <c r="O923" s="14">
        <f>M923+N923</f>
        <v/>
      </c>
      <c r="P923" s="15">
        <f>O923/$P$1</f>
        <v/>
      </c>
    </row>
    <row r="924" hidden="1" ht="15.75" customHeight="1" s="2">
      <c r="A924" s="9" t="inlineStr">
        <is>
          <t>весна</t>
        </is>
      </c>
      <c r="B924" s="9" t="inlineStr">
        <is>
          <t>Основы САПР в металлургии</t>
        </is>
      </c>
      <c r="C924" s="9" t="inlineStr">
        <is>
          <t>ЛР</t>
        </is>
      </c>
      <c r="D924" s="9" t="inlineStr">
        <is>
          <t>Т1В-412Б-17</t>
        </is>
      </c>
      <c r="E924" s="10" t="n">
        <v>32</v>
      </c>
      <c r="F924" s="9" t="inlineStr">
        <is>
          <t>08769</t>
        </is>
      </c>
      <c r="G924" s="10" t="n">
        <v>32</v>
      </c>
      <c r="H924" s="9" t="inlineStr">
        <is>
          <t xml:space="preserve">81720     </t>
        </is>
      </c>
      <c r="I924" s="9" t="inlineStr">
        <is>
          <t xml:space="preserve">Палтиевич Андрей Романович </t>
        </is>
      </c>
      <c r="J924" s="9" t="n"/>
      <c r="K924" s="9" t="n"/>
      <c r="L924" s="9" t="inlineStr">
        <is>
          <t>Кроме вторника</t>
        </is>
      </c>
      <c r="M924" s="12">
        <f>SUMIFS($E$2:$E$1130,$A$2:$A$1130,"осень",$I$2:$I$1130,I924)</f>
        <v/>
      </c>
      <c r="N924" s="13">
        <f>SUMIFS($E$2:$E$1130,$A$2:$A$1130,"весна",$I$2:$I$1130,I924)</f>
        <v/>
      </c>
      <c r="O924" s="14">
        <f>M924+N924</f>
        <v/>
      </c>
      <c r="P924" s="15">
        <f>O924/$P$1</f>
        <v/>
      </c>
    </row>
    <row r="925" hidden="1" ht="15.75" customHeight="1" s="2">
      <c r="A925" s="22" t="inlineStr">
        <is>
          <t>весна</t>
        </is>
      </c>
      <c r="B925" s="9" t="inlineStr">
        <is>
          <t>Основы САПР в металлургии</t>
        </is>
      </c>
      <c r="C925" s="9" t="inlineStr">
        <is>
          <t>Экзамен</t>
        </is>
      </c>
      <c r="D925" s="9" t="inlineStr">
        <is>
          <t>Т11О-201Б-19</t>
        </is>
      </c>
      <c r="E925" s="10" t="n">
        <v>9</v>
      </c>
      <c r="F925" s="9" t="inlineStr">
        <is>
          <t>08947</t>
        </is>
      </c>
      <c r="G925" s="11" t="n">
        <v>0</v>
      </c>
      <c r="H925" s="9" t="inlineStr">
        <is>
          <t xml:space="preserve">82018     </t>
        </is>
      </c>
      <c r="I925" s="9" t="inlineStr">
        <is>
          <t>Бережной Дмитрий Васильевич</t>
        </is>
      </c>
      <c r="J925" s="9" t="inlineStr">
        <is>
          <t>доцент</t>
        </is>
      </c>
      <c r="K925" s="9" t="n"/>
      <c r="L925" s="9" t="n"/>
      <c r="M925" s="12">
        <f>SUMIFS($E$2:$E$1130,$A$2:$A$1130,"осень",$I$2:$I$1130,I925)</f>
        <v/>
      </c>
      <c r="N925" s="13">
        <f>SUMIFS($E$2:$E$1130,$A$2:$A$1130,"весна",$I$2:$I$1130,I925)</f>
        <v/>
      </c>
      <c r="O925" s="14">
        <f>M925+N925</f>
        <v/>
      </c>
      <c r="P925" s="15">
        <f>O925/$P$1</f>
        <v/>
      </c>
    </row>
    <row r="926" hidden="1" ht="15.75" customHeight="1" s="2">
      <c r="A926" s="22" t="inlineStr">
        <is>
          <t>весна</t>
        </is>
      </c>
      <c r="B926" s="9" t="inlineStr">
        <is>
          <t>Основы САПР в металлургии</t>
        </is>
      </c>
      <c r="C926" s="9" t="inlineStr">
        <is>
          <t>Экзамен</t>
        </is>
      </c>
      <c r="D926" s="9" t="inlineStr">
        <is>
          <t>Т11О-202Б-19</t>
        </is>
      </c>
      <c r="E926" s="10" t="n">
        <v>12</v>
      </c>
      <c r="F926" s="9" t="inlineStr">
        <is>
          <t>08947</t>
        </is>
      </c>
      <c r="G926" s="11" t="n">
        <v>0</v>
      </c>
      <c r="H926" s="9" t="inlineStr">
        <is>
          <t xml:space="preserve">82018     </t>
        </is>
      </c>
      <c r="I926" s="9" t="inlineStr">
        <is>
          <t>Бережной Дмитрий Васильевич</t>
        </is>
      </c>
      <c r="J926" s="9" t="inlineStr">
        <is>
          <t>доцент</t>
        </is>
      </c>
      <c r="K926" s="9" t="n"/>
      <c r="L926" s="9" t="n"/>
      <c r="M926" s="12">
        <f>SUMIFS($E$2:$E$1130,$A$2:$A$1130,"осень",$I$2:$I$1130,I926)</f>
        <v/>
      </c>
      <c r="N926" s="13">
        <f>SUMIFS($E$2:$E$1130,$A$2:$A$1130,"весна",$I$2:$I$1130,I926)</f>
        <v/>
      </c>
      <c r="O926" s="14">
        <f>M926+N926</f>
        <v/>
      </c>
      <c r="P926" s="15">
        <f>O926/$P$1</f>
        <v/>
      </c>
    </row>
    <row r="927" hidden="1" ht="15.75" customHeight="1" s="2">
      <c r="A927" s="22" t="inlineStr">
        <is>
          <t>весна</t>
        </is>
      </c>
      <c r="B927" s="9" t="inlineStr">
        <is>
          <t>Основы САПР в металлургии</t>
        </is>
      </c>
      <c r="C927" s="9" t="inlineStr">
        <is>
          <t>Консультация</t>
        </is>
      </c>
      <c r="D927" s="9" t="inlineStr">
        <is>
          <t>Т1В-412Б-17</t>
        </is>
      </c>
      <c r="E927" s="10" t="n">
        <v>3</v>
      </c>
      <c r="F927" s="9" t="inlineStr">
        <is>
          <t>08769</t>
        </is>
      </c>
      <c r="G927" s="11" t="n">
        <v>0</v>
      </c>
      <c r="H927" s="9" t="inlineStr">
        <is>
          <t xml:space="preserve">95799     </t>
        </is>
      </c>
      <c r="I927" s="21" t="inlineStr">
        <is>
          <t>Монастырский Алексей Валерьевич</t>
        </is>
      </c>
      <c r="J927" s="21" t="inlineStr">
        <is>
          <t>КОМПЕНСАЦИЯ</t>
        </is>
      </c>
      <c r="K927" s="9" t="n"/>
      <c r="L927" s="9" t="inlineStr">
        <is>
          <t>Кроме вторника</t>
        </is>
      </c>
      <c r="M927" s="12">
        <f>SUMIFS($E$2:$E$1130,$A$2:$A$1130,"осень",$I$2:$I$1130,I927)</f>
        <v/>
      </c>
      <c r="N927" s="13">
        <f>SUMIFS($E$2:$E$1130,$A$2:$A$1130,"весна",$I$2:$I$1130,I927)</f>
        <v/>
      </c>
      <c r="O927" s="14">
        <f>M927+N927</f>
        <v/>
      </c>
      <c r="P927" s="15">
        <f>O927/$P$1</f>
        <v/>
      </c>
    </row>
    <row r="928" hidden="1" ht="15.75" customHeight="1" s="2">
      <c r="A928" s="22" t="inlineStr">
        <is>
          <t>весна</t>
        </is>
      </c>
      <c r="B928" s="9" t="inlineStr">
        <is>
          <t>Основы САПР в металлургии</t>
        </is>
      </c>
      <c r="C928" s="9" t="inlineStr">
        <is>
          <t>Консультация</t>
        </is>
      </c>
      <c r="D928" s="9" t="inlineStr">
        <is>
          <t>Т11О-201Б-19</t>
        </is>
      </c>
      <c r="E928" s="10" t="n">
        <v>4</v>
      </c>
      <c r="F928" s="9" t="inlineStr">
        <is>
          <t>08947</t>
        </is>
      </c>
      <c r="G928" s="11" t="n">
        <v>0</v>
      </c>
      <c r="H928" s="9" t="inlineStr">
        <is>
          <t xml:space="preserve">82018     </t>
        </is>
      </c>
      <c r="I928" s="9" t="inlineStr">
        <is>
          <t>Бережной Дмитрий Васильевич</t>
        </is>
      </c>
      <c r="J928" s="9" t="inlineStr">
        <is>
          <t>доцент</t>
        </is>
      </c>
      <c r="K928" s="9" t="n"/>
      <c r="L928" s="9" t="n"/>
      <c r="M928" s="12">
        <f>SUMIFS($E$2:$E$1130,$A$2:$A$1130,"осень",$I$2:$I$1130,I928)</f>
        <v/>
      </c>
      <c r="N928" s="13">
        <f>SUMIFS($E$2:$E$1130,$A$2:$A$1130,"весна",$I$2:$I$1130,I928)</f>
        <v/>
      </c>
      <c r="O928" s="14">
        <f>M928+N928</f>
        <v/>
      </c>
      <c r="P928" s="15">
        <f>O928/$P$1</f>
        <v/>
      </c>
    </row>
    <row r="929" hidden="1" ht="15.75" customHeight="1" s="2">
      <c r="A929" s="22" t="inlineStr">
        <is>
          <t>весна</t>
        </is>
      </c>
      <c r="B929" s="9" t="inlineStr">
        <is>
          <t>Основы САПР в металлургии</t>
        </is>
      </c>
      <c r="C929" s="9" t="inlineStr">
        <is>
          <t>Консультация</t>
        </is>
      </c>
      <c r="D929" s="9" t="inlineStr">
        <is>
          <t>Т11О-202Б-19</t>
        </is>
      </c>
      <c r="E929" s="10" t="n">
        <v>4</v>
      </c>
      <c r="F929" s="9" t="inlineStr">
        <is>
          <t>08947</t>
        </is>
      </c>
      <c r="G929" s="11" t="n">
        <v>0</v>
      </c>
      <c r="H929" s="9" t="inlineStr">
        <is>
          <t xml:space="preserve">82018     </t>
        </is>
      </c>
      <c r="I929" s="9" t="inlineStr">
        <is>
          <t>Бережной Дмитрий Васильевич</t>
        </is>
      </c>
      <c r="J929" s="9" t="inlineStr">
        <is>
          <t>доцент</t>
        </is>
      </c>
      <c r="K929" s="9" t="n"/>
      <c r="L929" s="9" t="n"/>
      <c r="M929" s="12">
        <f>SUMIFS($E$2:$E$1130,$A$2:$A$1130,"осень",$I$2:$I$1130,I929)</f>
        <v/>
      </c>
      <c r="N929" s="13">
        <f>SUMIFS($E$2:$E$1130,$A$2:$A$1130,"весна",$I$2:$I$1130,I929)</f>
        <v/>
      </c>
      <c r="O929" s="14">
        <f>M929+N929</f>
        <v/>
      </c>
      <c r="P929" s="15">
        <f>O929/$P$1</f>
        <v/>
      </c>
    </row>
    <row r="930" hidden="1" ht="15.75" customHeight="1" s="2">
      <c r="A930" s="9" t="inlineStr">
        <is>
          <t>весна</t>
        </is>
      </c>
      <c r="B930" s="9" t="inlineStr">
        <is>
          <t>Теория процессов создания современных материалов и покрытий</t>
        </is>
      </c>
      <c r="C930" s="9" t="inlineStr">
        <is>
          <t>ЛК</t>
        </is>
      </c>
      <c r="D930" s="9" t="inlineStr">
        <is>
          <t>Т11О-202А-19</t>
        </is>
      </c>
      <c r="E930" s="10" t="n">
        <v>24</v>
      </c>
      <c r="F930" s="9" t="inlineStr">
        <is>
          <t>10740</t>
        </is>
      </c>
      <c r="G930" s="10" t="n">
        <v>24</v>
      </c>
      <c r="H930" s="9" t="inlineStr">
        <is>
          <t xml:space="preserve">82060     </t>
        </is>
      </c>
      <c r="I930" s="9" t="inlineStr">
        <is>
          <t xml:space="preserve">Лозован Александр Александрович </t>
        </is>
      </c>
      <c r="J930" s="9" t="inlineStr">
        <is>
          <t>профессор</t>
        </is>
      </c>
      <c r="K930" s="9" t="n"/>
      <c r="L930" s="9" t="inlineStr">
        <is>
          <t>Степанов Максим Александрович</t>
        </is>
      </c>
      <c r="M930" s="12">
        <f>SUMIFS($E$2:$E$1130,$A$2:$A$1130,"осень",$I$2:$I$1130,I930)</f>
        <v/>
      </c>
      <c r="N930" s="13">
        <f>SUMIFS($E$2:$E$1130,$A$2:$A$1130,"весна",$I$2:$I$1130,I930)</f>
        <v/>
      </c>
      <c r="O930" s="14">
        <f>M930+N930</f>
        <v/>
      </c>
      <c r="P930" s="15">
        <f>O930/$P$1</f>
        <v/>
      </c>
    </row>
    <row r="931" hidden="1" ht="15.75" customHeight="1" s="2">
      <c r="A931" s="9" t="inlineStr">
        <is>
          <t>весна</t>
        </is>
      </c>
      <c r="B931" s="9" t="inlineStr">
        <is>
          <t>Теория процессов создания современных материалов и покрытий</t>
        </is>
      </c>
      <c r="C931" s="9" t="inlineStr">
        <is>
          <t>ПЗ</t>
        </is>
      </c>
      <c r="D931" s="9" t="inlineStr">
        <is>
          <t>Т11О-202А-19</t>
        </is>
      </c>
      <c r="E931" s="10" t="n">
        <v>8</v>
      </c>
      <c r="F931" s="9" t="inlineStr">
        <is>
          <t>10740</t>
        </is>
      </c>
      <c r="G931" s="10" t="n">
        <v>8</v>
      </c>
      <c r="H931" s="9" t="inlineStr">
        <is>
          <t xml:space="preserve">82060     </t>
        </is>
      </c>
      <c r="I931" s="9" t="inlineStr">
        <is>
          <t xml:space="preserve">Лозован Александр Александрович </t>
        </is>
      </c>
      <c r="J931" s="9" t="inlineStr">
        <is>
          <t>профессор</t>
        </is>
      </c>
      <c r="K931" s="9" t="n"/>
      <c r="L931" s="9" t="inlineStr">
        <is>
          <t>Степанов Максим Александрович</t>
        </is>
      </c>
      <c r="M931" s="12">
        <f>SUMIFS($E$2:$E$1130,$A$2:$A$1130,"осень",$I$2:$I$1130,I931)</f>
        <v/>
      </c>
      <c r="N931" s="13">
        <f>SUMIFS($E$2:$E$1130,$A$2:$A$1130,"весна",$I$2:$I$1130,I931)</f>
        <v/>
      </c>
      <c r="O931" s="14">
        <f>M931+N931</f>
        <v/>
      </c>
      <c r="P931" s="15">
        <f>O931/$P$1</f>
        <v/>
      </c>
    </row>
    <row r="932" hidden="1" ht="15.75" customHeight="1" s="2">
      <c r="A932" s="9" t="inlineStr">
        <is>
          <t>весна</t>
        </is>
      </c>
      <c r="B932" s="9" t="inlineStr">
        <is>
          <t>Теория процессов создания современных материалов и покрытий</t>
        </is>
      </c>
      <c r="C932" s="9" t="inlineStr">
        <is>
          <t>Консультация</t>
        </is>
      </c>
      <c r="D932" s="9" t="inlineStr">
        <is>
          <t>Т11О-202А-19</t>
        </is>
      </c>
      <c r="E932" s="10" t="n">
        <v>1</v>
      </c>
      <c r="F932" s="9" t="inlineStr">
        <is>
          <t>10740</t>
        </is>
      </c>
      <c r="G932" s="11" t="n">
        <v>0</v>
      </c>
      <c r="H932" s="9" t="inlineStr">
        <is>
          <t xml:space="preserve">82060     </t>
        </is>
      </c>
      <c r="I932" s="9" t="inlineStr">
        <is>
          <t xml:space="preserve">Лозован Александр Александрович </t>
        </is>
      </c>
      <c r="J932" s="9" t="inlineStr">
        <is>
          <t>профессор</t>
        </is>
      </c>
      <c r="K932" s="9" t="n"/>
      <c r="L932" s="9" t="inlineStr">
        <is>
          <t>Степанов Максим Александрович</t>
        </is>
      </c>
      <c r="M932" s="12">
        <f>SUMIFS($E$2:$E$1130,$A$2:$A$1130,"осень",$I$2:$I$1130,I932)</f>
        <v/>
      </c>
      <c r="N932" s="13">
        <f>SUMIFS($E$2:$E$1130,$A$2:$A$1130,"весна",$I$2:$I$1130,I932)</f>
        <v/>
      </c>
      <c r="O932" s="14">
        <f>M932+N932</f>
        <v/>
      </c>
      <c r="P932" s="15">
        <f>O932/$P$1</f>
        <v/>
      </c>
    </row>
    <row r="933" hidden="1" ht="15.75" customHeight="1" s="2">
      <c r="A933" s="9" t="inlineStr">
        <is>
          <t>весна</t>
        </is>
      </c>
      <c r="B933" s="9" t="inlineStr">
        <is>
          <t>Технологии создания перспективных композиционных материалов и конструкций из них</t>
        </is>
      </c>
      <c r="C933" s="9" t="inlineStr">
        <is>
          <t>ЛК</t>
        </is>
      </c>
      <c r="D933" s="9" t="inlineStr">
        <is>
          <t>Т11О-207А-19</t>
        </is>
      </c>
      <c r="E933" s="10" t="n">
        <v>24</v>
      </c>
      <c r="F933" s="9" t="inlineStr">
        <is>
          <t>11292</t>
        </is>
      </c>
      <c r="G933" s="10" t="n">
        <v>24</v>
      </c>
      <c r="H933" s="9" t="inlineStr">
        <is>
          <t xml:space="preserve">82066     </t>
        </is>
      </c>
      <c r="I933" s="9" t="inlineStr">
        <is>
          <t xml:space="preserve">Серов Михаил Михайлович </t>
        </is>
      </c>
      <c r="J933" s="9" t="inlineStr">
        <is>
          <t>профессор</t>
        </is>
      </c>
      <c r="K933" s="9" t="n"/>
      <c r="L933" s="9" t="n"/>
      <c r="M933" s="12">
        <f>SUMIFS($E$2:$E$1130,$A$2:$A$1130,"осень",$I$2:$I$1130,I933)</f>
        <v/>
      </c>
      <c r="N933" s="13">
        <f>SUMIFS($E$2:$E$1130,$A$2:$A$1130,"весна",$I$2:$I$1130,I933)</f>
        <v/>
      </c>
      <c r="O933" s="14">
        <f>M933+N933</f>
        <v/>
      </c>
      <c r="P933" s="15">
        <f>O933/$P$1</f>
        <v/>
      </c>
    </row>
    <row r="934" hidden="1" ht="15.75" customHeight="1" s="2">
      <c r="A934" s="9" t="inlineStr">
        <is>
          <t>весна</t>
        </is>
      </c>
      <c r="B934" s="9" t="inlineStr">
        <is>
          <t>Технологии создания перспективных композиционных материалов и конструкций из них</t>
        </is>
      </c>
      <c r="C934" s="9" t="inlineStr">
        <is>
          <t>Зачет с оценкой</t>
        </is>
      </c>
      <c r="D934" s="9" t="inlineStr">
        <is>
          <t>Т11О-207А-19</t>
        </is>
      </c>
      <c r="E934" s="10" t="n">
        <v>1</v>
      </c>
      <c r="F934" s="9" t="inlineStr">
        <is>
          <t>11292</t>
        </is>
      </c>
      <c r="G934" s="11" t="n">
        <v>0</v>
      </c>
      <c r="H934" s="9" t="inlineStr">
        <is>
          <t xml:space="preserve">82066     </t>
        </is>
      </c>
      <c r="I934" s="9" t="inlineStr">
        <is>
          <t xml:space="preserve">Серов Михаил Михайлович </t>
        </is>
      </c>
      <c r="J934" s="9" t="inlineStr">
        <is>
          <t>профессор</t>
        </is>
      </c>
      <c r="K934" s="9" t="n"/>
      <c r="L934" s="9" t="n"/>
      <c r="M934" s="12">
        <f>SUMIFS($E$2:$E$1130,$A$2:$A$1130,"осень",$I$2:$I$1130,I934)</f>
        <v/>
      </c>
      <c r="N934" s="13">
        <f>SUMIFS($E$2:$E$1130,$A$2:$A$1130,"весна",$I$2:$I$1130,I934)</f>
        <v/>
      </c>
      <c r="O934" s="14">
        <f>M934+N934</f>
        <v/>
      </c>
      <c r="P934" s="15">
        <f>O934/$P$1</f>
        <v/>
      </c>
    </row>
    <row r="935" hidden="1" ht="15.75" customHeight="1" s="2">
      <c r="A935" s="9" t="inlineStr">
        <is>
          <t>весна</t>
        </is>
      </c>
      <c r="B935" s="9" t="inlineStr">
        <is>
          <t>Технологии создания перспективных композиционных материалов и конструкций из них</t>
        </is>
      </c>
      <c r="C935" s="9" t="inlineStr">
        <is>
          <t>ПЗ</t>
        </is>
      </c>
      <c r="D935" s="9" t="inlineStr">
        <is>
          <t>Т11О-207А-19</t>
        </is>
      </c>
      <c r="E935" s="10" t="n">
        <v>8</v>
      </c>
      <c r="F935" s="9" t="inlineStr">
        <is>
          <t>11292</t>
        </is>
      </c>
      <c r="G935" s="10" t="n">
        <v>8</v>
      </c>
      <c r="H935" s="9" t="inlineStr">
        <is>
          <t xml:space="preserve">82066     </t>
        </is>
      </c>
      <c r="I935" s="9" t="inlineStr">
        <is>
          <t xml:space="preserve">Серов Михаил Михайлович </t>
        </is>
      </c>
      <c r="J935" s="9" t="inlineStr">
        <is>
          <t>профессор</t>
        </is>
      </c>
      <c r="K935" s="9" t="n"/>
      <c r="L935" s="9" t="n"/>
      <c r="M935" s="12">
        <f>SUMIFS($E$2:$E$1130,$A$2:$A$1130,"осень",$I$2:$I$1130,I935)</f>
        <v/>
      </c>
      <c r="N935" s="13">
        <f>SUMIFS($E$2:$E$1130,$A$2:$A$1130,"весна",$I$2:$I$1130,I935)</f>
        <v/>
      </c>
      <c r="O935" s="14">
        <f>M935+N935</f>
        <v/>
      </c>
      <c r="P935" s="15">
        <f>O935/$P$1</f>
        <v/>
      </c>
    </row>
    <row r="936" hidden="1" ht="15.75" customHeight="1" s="2">
      <c r="A936" s="9" t="inlineStr">
        <is>
          <t>весна</t>
        </is>
      </c>
      <c r="B936" s="9" t="inlineStr">
        <is>
          <t>Технологии создания перспективных композиционных материалов и конструкций из них</t>
        </is>
      </c>
      <c r="C936" s="9" t="inlineStr">
        <is>
          <t>Консультация</t>
        </is>
      </c>
      <c r="D936" s="9" t="inlineStr">
        <is>
          <t>Т11О-207А-19</t>
        </is>
      </c>
      <c r="E936" s="10" t="n">
        <v>1</v>
      </c>
      <c r="F936" s="9" t="inlineStr">
        <is>
          <t>11292</t>
        </is>
      </c>
      <c r="G936" s="11" t="n">
        <v>0</v>
      </c>
      <c r="H936" s="9" t="inlineStr">
        <is>
          <t xml:space="preserve">82066     </t>
        </is>
      </c>
      <c r="I936" s="9" t="inlineStr">
        <is>
          <t xml:space="preserve">Серов Михаил Михайлович </t>
        </is>
      </c>
      <c r="J936" s="9" t="inlineStr">
        <is>
          <t>профессор</t>
        </is>
      </c>
      <c r="K936" s="9" t="n"/>
      <c r="L936" s="9" t="n"/>
      <c r="M936" s="12">
        <f>SUMIFS($E$2:$E$1130,$A$2:$A$1130,"осень",$I$2:$I$1130,I936)</f>
        <v/>
      </c>
      <c r="N936" s="13">
        <f>SUMIFS($E$2:$E$1130,$A$2:$A$1130,"весна",$I$2:$I$1130,I936)</f>
        <v/>
      </c>
      <c r="O936" s="14">
        <f>M936+N936</f>
        <v/>
      </c>
      <c r="P936" s="15">
        <f>O936/$P$1</f>
        <v/>
      </c>
    </row>
    <row r="937" hidden="1" ht="15.75" customHeight="1" s="2">
      <c r="A937" s="9" t="inlineStr">
        <is>
          <t>весна</t>
        </is>
      </c>
      <c r="B937" s="9" t="inlineStr">
        <is>
          <t>Оптимизация технологических процессов в металлургии</t>
        </is>
      </c>
      <c r="C937" s="9" t="inlineStr">
        <is>
          <t>ЛК</t>
        </is>
      </c>
      <c r="D937" s="9" t="inlineStr">
        <is>
          <t>М9О-104М-20</t>
        </is>
      </c>
      <c r="E937" s="10" t="n">
        <v>18</v>
      </c>
      <c r="F937" s="9" t="inlineStr">
        <is>
          <t>12598</t>
        </is>
      </c>
      <c r="G937" s="10" t="n">
        <v>18</v>
      </c>
      <c r="H937" s="9" t="inlineStr">
        <is>
          <t xml:space="preserve">81724     </t>
        </is>
      </c>
      <c r="I937" s="9" t="inlineStr">
        <is>
          <t xml:space="preserve">Галкин Евгений Владимирович </t>
        </is>
      </c>
      <c r="J937" s="9" t="inlineStr">
        <is>
          <t>доцент</t>
        </is>
      </c>
      <c r="K937" s="9" t="n"/>
      <c r="L937" s="9" t="n"/>
      <c r="M937" s="12">
        <f>SUMIFS($E$2:$E$1130,$A$2:$A$1130,"осень",$I$2:$I$1130,I937)</f>
        <v/>
      </c>
      <c r="N937" s="13">
        <f>SUMIFS($E$2:$E$1130,$A$2:$A$1130,"весна",$I$2:$I$1130,I937)</f>
        <v/>
      </c>
      <c r="O937" s="14">
        <f>M937+N937</f>
        <v/>
      </c>
      <c r="P937" s="15">
        <f>O937/$P$1</f>
        <v/>
      </c>
    </row>
    <row r="938" hidden="1" ht="15.75" customHeight="1" s="2">
      <c r="A938" s="9" t="inlineStr">
        <is>
          <t>весна</t>
        </is>
      </c>
      <c r="B938" s="9" t="inlineStr">
        <is>
          <t>Оптимизация технологических процессов в металлургии</t>
        </is>
      </c>
      <c r="C938" s="9" t="inlineStr">
        <is>
          <t>ПЗ</t>
        </is>
      </c>
      <c r="D938" s="9" t="inlineStr">
        <is>
          <t>М9О-104М-20</t>
        </is>
      </c>
      <c r="E938" s="10" t="n">
        <v>50</v>
      </c>
      <c r="F938" s="9" t="inlineStr">
        <is>
          <t>12598</t>
        </is>
      </c>
      <c r="G938" s="10" t="n">
        <v>50</v>
      </c>
      <c r="H938" s="9" t="inlineStr">
        <is>
          <t xml:space="preserve">81724     </t>
        </is>
      </c>
      <c r="I938" s="9" t="inlineStr">
        <is>
          <t xml:space="preserve">Галкин Евгений Владимирович </t>
        </is>
      </c>
      <c r="J938" s="9" t="inlineStr">
        <is>
          <t>доцент</t>
        </is>
      </c>
      <c r="K938" s="9" t="n"/>
      <c r="L938" s="9" t="n"/>
      <c r="M938" s="12">
        <f>SUMIFS($E$2:$E$1130,$A$2:$A$1130,"осень",$I$2:$I$1130,I938)</f>
        <v/>
      </c>
      <c r="N938" s="13">
        <f>SUMIFS($E$2:$E$1130,$A$2:$A$1130,"весна",$I$2:$I$1130,I938)</f>
        <v/>
      </c>
      <c r="O938" s="14">
        <f>M938+N938</f>
        <v/>
      </c>
      <c r="P938" s="15">
        <f>O938/$P$1</f>
        <v/>
      </c>
    </row>
    <row r="939" hidden="1" ht="15.75" customHeight="1" s="2">
      <c r="A939" s="9" t="inlineStr">
        <is>
          <t>весна</t>
        </is>
      </c>
      <c r="B939" s="9" t="inlineStr">
        <is>
          <t>Оптимизация технологических процессов в металлургии</t>
        </is>
      </c>
      <c r="C939" s="9" t="inlineStr">
        <is>
          <t>Экзамен</t>
        </is>
      </c>
      <c r="D939" s="9" t="inlineStr">
        <is>
          <t>М9О-104М-20</t>
        </is>
      </c>
      <c r="E939" s="10" t="n">
        <v>3</v>
      </c>
      <c r="F939" s="9" t="inlineStr">
        <is>
          <t>12598</t>
        </is>
      </c>
      <c r="G939" s="11" t="n">
        <v>0</v>
      </c>
      <c r="H939" s="9" t="inlineStr">
        <is>
          <t xml:space="preserve">81724     </t>
        </is>
      </c>
      <c r="I939" s="9" t="inlineStr">
        <is>
          <t xml:space="preserve">Галкин Евгений Владимирович </t>
        </is>
      </c>
      <c r="J939" s="9" t="inlineStr">
        <is>
          <t>доцент</t>
        </is>
      </c>
      <c r="K939" s="9" t="n"/>
      <c r="L939" s="9" t="n"/>
      <c r="M939" s="12">
        <f>SUMIFS($E$2:$E$1130,$A$2:$A$1130,"осень",$I$2:$I$1130,I939)</f>
        <v/>
      </c>
      <c r="N939" s="13">
        <f>SUMIFS($E$2:$E$1130,$A$2:$A$1130,"весна",$I$2:$I$1130,I939)</f>
        <v/>
      </c>
      <c r="O939" s="14">
        <f>M939+N939</f>
        <v/>
      </c>
      <c r="P939" s="15">
        <f>O939/$P$1</f>
        <v/>
      </c>
    </row>
    <row r="940" hidden="1" ht="15.75" customHeight="1" s="2">
      <c r="A940" s="9" t="inlineStr">
        <is>
          <t>весна</t>
        </is>
      </c>
      <c r="B940" s="9" t="inlineStr">
        <is>
          <t>Оптимизация технологических процессов в металлургии</t>
        </is>
      </c>
      <c r="C940" s="9" t="inlineStr">
        <is>
          <t>Консультация</t>
        </is>
      </c>
      <c r="D940" s="9" t="inlineStr">
        <is>
          <t>М9О-104М-20</t>
        </is>
      </c>
      <c r="E940" s="10" t="n">
        <v>3</v>
      </c>
      <c r="F940" s="9" t="inlineStr">
        <is>
          <t>12598</t>
        </is>
      </c>
      <c r="G940" s="11" t="n">
        <v>0</v>
      </c>
      <c r="H940" s="9" t="inlineStr">
        <is>
          <t xml:space="preserve">81724     </t>
        </is>
      </c>
      <c r="I940" s="9" t="inlineStr">
        <is>
          <t xml:space="preserve">Галкин Евгений Владимирович </t>
        </is>
      </c>
      <c r="J940" s="9" t="inlineStr">
        <is>
          <t>доцент</t>
        </is>
      </c>
      <c r="K940" s="9" t="n"/>
      <c r="L940" s="9" t="n"/>
      <c r="M940" s="12">
        <f>SUMIFS($E$2:$E$1130,$A$2:$A$1130,"осень",$I$2:$I$1130,I940)</f>
        <v/>
      </c>
      <c r="N940" s="13">
        <f>SUMIFS($E$2:$E$1130,$A$2:$A$1130,"весна",$I$2:$I$1130,I940)</f>
        <v/>
      </c>
      <c r="O940" s="14">
        <f>M940+N940</f>
        <v/>
      </c>
      <c r="P940" s="15">
        <f>O940/$P$1</f>
        <v/>
      </c>
    </row>
    <row r="941" hidden="1" ht="15.75" customHeight="1" s="2">
      <c r="A941" s="9" t="inlineStr">
        <is>
          <t>весна</t>
        </is>
      </c>
      <c r="B941" s="9" t="inlineStr">
        <is>
          <t>Системы автоматизированного проектирования технологических процессов</t>
        </is>
      </c>
      <c r="C941" s="9" t="inlineStr">
        <is>
          <t>ЛК</t>
        </is>
      </c>
      <c r="D941" s="9" t="inlineStr">
        <is>
          <t>М9О-104М-20</t>
        </is>
      </c>
      <c r="E941" s="10" t="n">
        <v>12</v>
      </c>
      <c r="F941" s="9" t="inlineStr">
        <is>
          <t>12598</t>
        </is>
      </c>
      <c r="G941" s="10" t="n">
        <v>12</v>
      </c>
      <c r="H941" s="9" t="inlineStr">
        <is>
          <t xml:space="preserve">81724     </t>
        </is>
      </c>
      <c r="I941" s="9" t="inlineStr">
        <is>
          <t xml:space="preserve">Галкин Евгений Владимирович </t>
        </is>
      </c>
      <c r="J941" s="9" t="inlineStr">
        <is>
          <t>доцент</t>
        </is>
      </c>
      <c r="K941" s="9" t="n"/>
      <c r="L941" s="9" t="n"/>
      <c r="M941" s="12">
        <f>SUMIFS($E$2:$E$1130,$A$2:$A$1130,"осень",$I$2:$I$1130,I941)</f>
        <v/>
      </c>
      <c r="N941" s="13">
        <f>SUMIFS($E$2:$E$1130,$A$2:$A$1130,"весна",$I$2:$I$1130,I941)</f>
        <v/>
      </c>
      <c r="O941" s="14">
        <f>M941+N941</f>
        <v/>
      </c>
      <c r="P941" s="15">
        <f>O941/$P$1</f>
        <v/>
      </c>
    </row>
    <row r="942" hidden="1" ht="15.75" customHeight="1" s="2">
      <c r="A942" s="9" t="inlineStr">
        <is>
          <t>весна</t>
        </is>
      </c>
      <c r="B942" s="9" t="inlineStr">
        <is>
          <t>Системы автоматизированного проектирования технологических процессов</t>
        </is>
      </c>
      <c r="C942" s="9" t="inlineStr">
        <is>
          <t>Зачет с оценкой</t>
        </is>
      </c>
      <c r="D942" s="9" t="inlineStr">
        <is>
          <t>М9О-104М-20</t>
        </is>
      </c>
      <c r="E942" s="10" t="n">
        <v>2</v>
      </c>
      <c r="F942" s="9" t="inlineStr">
        <is>
          <t>12598</t>
        </is>
      </c>
      <c r="G942" s="11" t="n">
        <v>0</v>
      </c>
      <c r="H942" s="9" t="inlineStr">
        <is>
          <t xml:space="preserve">81724     </t>
        </is>
      </c>
      <c r="I942" s="9" t="inlineStr">
        <is>
          <t xml:space="preserve">Галкин Евгений Владимирович </t>
        </is>
      </c>
      <c r="J942" s="9" t="inlineStr">
        <is>
          <t>доцент</t>
        </is>
      </c>
      <c r="K942" s="9" t="n"/>
      <c r="L942" s="9" t="n"/>
      <c r="M942" s="12">
        <f>SUMIFS($E$2:$E$1130,$A$2:$A$1130,"осень",$I$2:$I$1130,I942)</f>
        <v/>
      </c>
      <c r="N942" s="13">
        <f>SUMIFS($E$2:$E$1130,$A$2:$A$1130,"весна",$I$2:$I$1130,I942)</f>
        <v/>
      </c>
      <c r="O942" s="14">
        <f>M942+N942</f>
        <v/>
      </c>
      <c r="P942" s="15">
        <f>O942/$P$1</f>
        <v/>
      </c>
    </row>
    <row r="943" hidden="1" ht="15.75" customHeight="1" s="2">
      <c r="A943" s="9" t="inlineStr">
        <is>
          <t>весна</t>
        </is>
      </c>
      <c r="B943" s="9" t="inlineStr">
        <is>
          <t>Системы автоматизированного проектирования технологических процессов</t>
        </is>
      </c>
      <c r="C943" s="9" t="inlineStr">
        <is>
          <t>ПЗ</t>
        </is>
      </c>
      <c r="D943" s="9" t="inlineStr">
        <is>
          <t>М9О-104М-20</t>
        </is>
      </c>
      <c r="E943" s="10" t="n">
        <v>22</v>
      </c>
      <c r="F943" s="9" t="inlineStr">
        <is>
          <t>12598</t>
        </is>
      </c>
      <c r="G943" s="10" t="n">
        <v>22</v>
      </c>
      <c r="H943" s="9" t="inlineStr">
        <is>
          <t xml:space="preserve">81724     </t>
        </is>
      </c>
      <c r="I943" s="9" t="inlineStr">
        <is>
          <t xml:space="preserve">Галкин Евгений Владимирович </t>
        </is>
      </c>
      <c r="J943" s="9" t="inlineStr">
        <is>
          <t>доцент</t>
        </is>
      </c>
      <c r="K943" s="9" t="n"/>
      <c r="L943" s="9" t="n"/>
      <c r="M943" s="12">
        <f>SUMIFS($E$2:$E$1130,$A$2:$A$1130,"осень",$I$2:$I$1130,I943)</f>
        <v/>
      </c>
      <c r="N943" s="13">
        <f>SUMIFS($E$2:$E$1130,$A$2:$A$1130,"весна",$I$2:$I$1130,I943)</f>
        <v/>
      </c>
      <c r="O943" s="14">
        <f>M943+N943</f>
        <v/>
      </c>
      <c r="P943" s="15">
        <f>O943/$P$1</f>
        <v/>
      </c>
    </row>
    <row r="944" hidden="1" ht="15.75" customHeight="1" s="2">
      <c r="A944" s="9" t="inlineStr">
        <is>
          <t>весна</t>
        </is>
      </c>
      <c r="B944" s="9" t="inlineStr">
        <is>
          <t>Системы автоматизированного проектирования технологических процессов</t>
        </is>
      </c>
      <c r="C944" s="9" t="inlineStr">
        <is>
          <t>Консультация</t>
        </is>
      </c>
      <c r="D944" s="9" t="inlineStr">
        <is>
          <t>М9О-104М-20</t>
        </is>
      </c>
      <c r="E944" s="10" t="n">
        <v>1</v>
      </c>
      <c r="F944" s="9" t="inlineStr">
        <is>
          <t>12598</t>
        </is>
      </c>
      <c r="G944" s="11" t="n">
        <v>0</v>
      </c>
      <c r="H944" s="9" t="inlineStr">
        <is>
          <t xml:space="preserve">81724     </t>
        </is>
      </c>
      <c r="I944" s="9" t="inlineStr">
        <is>
          <t xml:space="preserve">Галкин Евгений Владимирович </t>
        </is>
      </c>
      <c r="J944" s="9" t="inlineStr">
        <is>
          <t>доцент</t>
        </is>
      </c>
      <c r="K944" s="9" t="n"/>
      <c r="L944" s="9" t="n"/>
      <c r="M944" s="12">
        <f>SUMIFS($E$2:$E$1130,$A$2:$A$1130,"осень",$I$2:$I$1130,I944)</f>
        <v/>
      </c>
      <c r="N944" s="13">
        <f>SUMIFS($E$2:$E$1130,$A$2:$A$1130,"весна",$I$2:$I$1130,I944)</f>
        <v/>
      </c>
      <c r="O944" s="14">
        <f>M944+N944</f>
        <v/>
      </c>
      <c r="P944" s="15">
        <f>O944/$P$1</f>
        <v/>
      </c>
    </row>
    <row r="945" hidden="1" ht="15.75" customHeight="1" s="2">
      <c r="A945" s="9" t="inlineStr">
        <is>
          <t>весна</t>
        </is>
      </c>
      <c r="B945" s="9" t="inlineStr">
        <is>
          <t>Теория автоматического управления</t>
        </is>
      </c>
      <c r="C945" s="9" t="inlineStr">
        <is>
          <t>ЛК</t>
        </is>
      </c>
      <c r="D945" s="9" t="inlineStr">
        <is>
          <t>Т11О-304Б-18</t>
        </is>
      </c>
      <c r="E945" s="10" t="n">
        <v>48</v>
      </c>
      <c r="F945" s="9" t="inlineStr">
        <is>
          <t>08770</t>
        </is>
      </c>
      <c r="G945" s="10" t="n">
        <v>48</v>
      </c>
      <c r="H945" s="9" t="inlineStr">
        <is>
          <t xml:space="preserve">81721     </t>
        </is>
      </c>
      <c r="I945" s="9" t="inlineStr">
        <is>
          <t xml:space="preserve">Преображенский Евгений Владимирович </t>
        </is>
      </c>
      <c r="J945" s="9" t="inlineStr">
        <is>
          <t>доцент</t>
        </is>
      </c>
      <c r="K945" s="9" t="n"/>
      <c r="L945" s="9" t="n"/>
      <c r="M945" s="12">
        <f>SUMIFS($E$2:$E$1130,$A$2:$A$1130,"осень",$I$2:$I$1130,I945)</f>
        <v/>
      </c>
      <c r="N945" s="13">
        <f>SUMIFS($E$2:$E$1130,$A$2:$A$1130,"весна",$I$2:$I$1130,I945)</f>
        <v/>
      </c>
      <c r="O945" s="14">
        <f>M945+N945</f>
        <v/>
      </c>
      <c r="P945" s="15">
        <f>O945/$P$1</f>
        <v/>
      </c>
    </row>
    <row r="946" hidden="1" ht="15.75" customHeight="1" s="2">
      <c r="A946" s="9" t="inlineStr">
        <is>
          <t>весна</t>
        </is>
      </c>
      <c r="B946" s="9" t="inlineStr">
        <is>
          <t>Теория автоматического управления</t>
        </is>
      </c>
      <c r="C946" s="9" t="inlineStr">
        <is>
          <t>КР</t>
        </is>
      </c>
      <c r="D946" s="9" t="inlineStr">
        <is>
          <t>Т11О-304Б-18</t>
        </is>
      </c>
      <c r="E946" s="10" t="n">
        <v>54</v>
      </c>
      <c r="F946" s="9" t="inlineStr">
        <is>
          <t>08770</t>
        </is>
      </c>
      <c r="G946" s="11" t="n">
        <v>0</v>
      </c>
      <c r="H946" s="9" t="inlineStr">
        <is>
          <t xml:space="preserve">81721     </t>
        </is>
      </c>
      <c r="I946" s="9" t="inlineStr">
        <is>
          <t xml:space="preserve">Преображенский Евгений Владимирович </t>
        </is>
      </c>
      <c r="J946" s="9" t="inlineStr">
        <is>
          <t>доцент</t>
        </is>
      </c>
      <c r="K946" s="9" t="n"/>
      <c r="L946" s="9" t="n"/>
      <c r="M946" s="12">
        <f>SUMIFS($E$2:$E$1130,$A$2:$A$1130,"осень",$I$2:$I$1130,I946)</f>
        <v/>
      </c>
      <c r="N946" s="13">
        <f>SUMIFS($E$2:$E$1130,$A$2:$A$1130,"весна",$I$2:$I$1130,I946)</f>
        <v/>
      </c>
      <c r="O946" s="14">
        <f>M946+N946</f>
        <v/>
      </c>
      <c r="P946" s="15">
        <f>O946/$P$1</f>
        <v/>
      </c>
    </row>
    <row r="947" hidden="1" ht="15.75" customHeight="1" s="2">
      <c r="A947" s="9" t="inlineStr">
        <is>
          <t>весна</t>
        </is>
      </c>
      <c r="B947" s="9" t="inlineStr">
        <is>
          <t>Теория автоматического управления</t>
        </is>
      </c>
      <c r="C947" s="9" t="inlineStr">
        <is>
          <t>ПЗ</t>
        </is>
      </c>
      <c r="D947" s="9" t="inlineStr">
        <is>
          <t>Т11О-304Б-18</t>
        </is>
      </c>
      <c r="E947" s="10" t="n">
        <v>72</v>
      </c>
      <c r="F947" s="9" t="inlineStr">
        <is>
          <t>08770</t>
        </is>
      </c>
      <c r="G947" s="10" t="n">
        <v>72</v>
      </c>
      <c r="H947" s="9" t="inlineStr">
        <is>
          <t xml:space="preserve">81721     </t>
        </is>
      </c>
      <c r="I947" s="9" t="inlineStr">
        <is>
          <t xml:space="preserve">Преображенский Евгений Владимирович </t>
        </is>
      </c>
      <c r="J947" s="9" t="inlineStr">
        <is>
          <t>доцент</t>
        </is>
      </c>
      <c r="K947" s="9" t="n"/>
      <c r="L947" s="9" t="n"/>
      <c r="M947" s="12">
        <f>SUMIFS($E$2:$E$1130,$A$2:$A$1130,"осень",$I$2:$I$1130,I947)</f>
        <v/>
      </c>
      <c r="N947" s="13">
        <f>SUMIFS($E$2:$E$1130,$A$2:$A$1130,"весна",$I$2:$I$1130,I947)</f>
        <v/>
      </c>
      <c r="O947" s="14">
        <f>M947+N947</f>
        <v/>
      </c>
      <c r="P947" s="15">
        <f>O947/$P$1</f>
        <v/>
      </c>
    </row>
    <row r="948" hidden="1" ht="15.75" customHeight="1" s="2">
      <c r="A948" s="9" t="inlineStr">
        <is>
          <t>весна</t>
        </is>
      </c>
      <c r="B948" s="9" t="inlineStr">
        <is>
          <t>Теория автоматического управления</t>
        </is>
      </c>
      <c r="C948" s="9" t="inlineStr">
        <is>
          <t>Экзамен</t>
        </is>
      </c>
      <c r="D948" s="9" t="inlineStr">
        <is>
          <t>Т11О-304Б-18</t>
        </is>
      </c>
      <c r="E948" s="10" t="n">
        <v>9</v>
      </c>
      <c r="F948" s="9" t="inlineStr">
        <is>
          <t>08770</t>
        </is>
      </c>
      <c r="G948" s="11" t="n">
        <v>0</v>
      </c>
      <c r="H948" s="9" t="inlineStr">
        <is>
          <t xml:space="preserve">81721     </t>
        </is>
      </c>
      <c r="I948" s="9" t="inlineStr">
        <is>
          <t xml:space="preserve">Преображенский Евгений Владимирович </t>
        </is>
      </c>
      <c r="J948" s="9" t="inlineStr">
        <is>
          <t>доцент</t>
        </is>
      </c>
      <c r="K948" s="9" t="n"/>
      <c r="L948" s="9" t="n"/>
      <c r="M948" s="12">
        <f>SUMIFS($E$2:$E$1130,$A$2:$A$1130,"осень",$I$2:$I$1130,I948)</f>
        <v/>
      </c>
      <c r="N948" s="13">
        <f>SUMIFS($E$2:$E$1130,$A$2:$A$1130,"весна",$I$2:$I$1130,I948)</f>
        <v/>
      </c>
      <c r="O948" s="14">
        <f>M948+N948</f>
        <v/>
      </c>
      <c r="P948" s="15">
        <f>O948/$P$1</f>
        <v/>
      </c>
    </row>
    <row r="949" hidden="1" ht="15.75" customHeight="1" s="2">
      <c r="A949" s="9" t="inlineStr">
        <is>
          <t>весна</t>
        </is>
      </c>
      <c r="B949" s="9" t="inlineStr">
        <is>
          <t>Теория автоматического управления</t>
        </is>
      </c>
      <c r="C949" s="9" t="inlineStr">
        <is>
          <t>Консультация</t>
        </is>
      </c>
      <c r="D949" s="9" t="inlineStr">
        <is>
          <t>Т11О-304Б-18</t>
        </is>
      </c>
      <c r="E949" s="10" t="n">
        <v>4</v>
      </c>
      <c r="F949" s="9" t="inlineStr">
        <is>
          <t>08770</t>
        </is>
      </c>
      <c r="G949" s="11" t="n">
        <v>0</v>
      </c>
      <c r="H949" s="9" t="inlineStr">
        <is>
          <t xml:space="preserve">81721     </t>
        </is>
      </c>
      <c r="I949" s="9" t="inlineStr">
        <is>
          <t xml:space="preserve">Преображенский Евгений Владимирович </t>
        </is>
      </c>
      <c r="J949" s="9" t="inlineStr">
        <is>
          <t>доцент</t>
        </is>
      </c>
      <c r="K949" s="9" t="n"/>
      <c r="L949" s="9" t="n"/>
      <c r="M949" s="12">
        <f>SUMIFS($E$2:$E$1130,$A$2:$A$1130,"осень",$I$2:$I$1130,I949)</f>
        <v/>
      </c>
      <c r="N949" s="13">
        <f>SUMIFS($E$2:$E$1130,$A$2:$A$1130,"весна",$I$2:$I$1130,I949)</f>
        <v/>
      </c>
      <c r="O949" s="14">
        <f>M949+N949</f>
        <v/>
      </c>
      <c r="P949" s="15">
        <f>O949/$P$1</f>
        <v/>
      </c>
    </row>
    <row r="950" hidden="1" ht="15.75" customHeight="1" s="2">
      <c r="A950" s="9" t="inlineStr">
        <is>
          <t>весна</t>
        </is>
      </c>
      <c r="B950" s="9" t="inlineStr">
        <is>
          <t>Управление инновациями</t>
        </is>
      </c>
      <c r="C950" s="9" t="inlineStr">
        <is>
          <t>ЛК</t>
        </is>
      </c>
      <c r="D950" s="9" t="inlineStr">
        <is>
          <t>Т11О-101М-20</t>
        </is>
      </c>
      <c r="E950" s="10" t="n">
        <v>8</v>
      </c>
      <c r="F950" s="9" t="inlineStr">
        <is>
          <t>04489</t>
        </is>
      </c>
      <c r="G950" s="10" t="n">
        <v>8</v>
      </c>
      <c r="H950" s="9" t="inlineStr">
        <is>
          <t xml:space="preserve">81730     </t>
        </is>
      </c>
      <c r="I950" s="9" t="inlineStr">
        <is>
          <t>Федоров Анатолий Александрович</t>
        </is>
      </c>
      <c r="J950" s="9" t="inlineStr">
        <is>
          <t>профессор</t>
        </is>
      </c>
      <c r="K950" s="9" t="n"/>
      <c r="L950" s="9" t="n"/>
      <c r="M950" s="12">
        <f>SUMIFS($E$2:$E$1130,$A$2:$A$1130,"осень",$I$2:$I$1130,I950)</f>
        <v/>
      </c>
      <c r="N950" s="13">
        <f>SUMIFS($E$2:$E$1130,$A$2:$A$1130,"весна",$I$2:$I$1130,I950)</f>
        <v/>
      </c>
      <c r="O950" s="14">
        <f>M950+N950</f>
        <v/>
      </c>
      <c r="P950" s="15">
        <f>O950/$P$1</f>
        <v/>
      </c>
    </row>
    <row r="951" hidden="1" ht="15.75" customHeight="1" s="2">
      <c r="A951" s="9" t="inlineStr">
        <is>
          <t>весна</t>
        </is>
      </c>
      <c r="B951" s="9" t="inlineStr">
        <is>
          <t>Управление инновациями</t>
        </is>
      </c>
      <c r="C951" s="9" t="inlineStr">
        <is>
          <t>ПЗ</t>
        </is>
      </c>
      <c r="D951" s="9" t="inlineStr">
        <is>
          <t>Т11О-101М-20</t>
        </is>
      </c>
      <c r="E951" s="10" t="n">
        <v>16</v>
      </c>
      <c r="F951" s="9" t="inlineStr">
        <is>
          <t>04489</t>
        </is>
      </c>
      <c r="G951" s="10" t="n">
        <v>16</v>
      </c>
      <c r="H951" s="9" t="inlineStr">
        <is>
          <t xml:space="preserve">81730     </t>
        </is>
      </c>
      <c r="I951" s="9" t="inlineStr">
        <is>
          <t>Федоров Анатолий Александрович</t>
        </is>
      </c>
      <c r="J951" s="9" t="inlineStr">
        <is>
          <t>профессор</t>
        </is>
      </c>
      <c r="K951" s="9" t="n"/>
      <c r="L951" s="9" t="n"/>
      <c r="M951" s="12">
        <f>SUMIFS($E$2:$E$1130,$A$2:$A$1130,"осень",$I$2:$I$1130,I951)</f>
        <v/>
      </c>
      <c r="N951" s="13">
        <f>SUMIFS($E$2:$E$1130,$A$2:$A$1130,"весна",$I$2:$I$1130,I951)</f>
        <v/>
      </c>
      <c r="O951" s="14">
        <f>M951+N951</f>
        <v/>
      </c>
      <c r="P951" s="15">
        <f>O951/$P$1</f>
        <v/>
      </c>
    </row>
    <row r="952" hidden="1" ht="15.75" customHeight="1" s="2">
      <c r="A952" s="9" t="inlineStr">
        <is>
          <t>весна</t>
        </is>
      </c>
      <c r="B952" s="9" t="inlineStr">
        <is>
          <t>Управление инновациями</t>
        </is>
      </c>
      <c r="C952" s="9" t="inlineStr">
        <is>
          <t>Зачет</t>
        </is>
      </c>
      <c r="D952" s="9" t="inlineStr">
        <is>
          <t>Т11О-101М-20</t>
        </is>
      </c>
      <c r="E952" s="10" t="n">
        <v>2</v>
      </c>
      <c r="F952" s="9" t="inlineStr">
        <is>
          <t>04489</t>
        </is>
      </c>
      <c r="G952" s="11" t="n">
        <v>0</v>
      </c>
      <c r="H952" s="9" t="inlineStr">
        <is>
          <t xml:space="preserve">81730     </t>
        </is>
      </c>
      <c r="I952" s="9" t="inlineStr">
        <is>
          <t>Федоров Анатолий Александрович</t>
        </is>
      </c>
      <c r="J952" s="9" t="inlineStr">
        <is>
          <t>профессор</t>
        </is>
      </c>
      <c r="K952" s="9" t="n"/>
      <c r="L952" s="9" t="n"/>
      <c r="M952" s="12">
        <f>SUMIFS($E$2:$E$1130,$A$2:$A$1130,"осень",$I$2:$I$1130,I952)</f>
        <v/>
      </c>
      <c r="N952" s="13">
        <f>SUMIFS($E$2:$E$1130,$A$2:$A$1130,"весна",$I$2:$I$1130,I952)</f>
        <v/>
      </c>
      <c r="O952" s="14">
        <f>M952+N952</f>
        <v/>
      </c>
      <c r="P952" s="15">
        <f>O952/$P$1</f>
        <v/>
      </c>
    </row>
    <row r="953" hidden="1" ht="15.75" customHeight="1" s="2">
      <c r="A953" s="9" t="inlineStr">
        <is>
          <t>весна</t>
        </is>
      </c>
      <c r="B953" s="9" t="inlineStr">
        <is>
          <t>Информационные системы и технологии</t>
        </is>
      </c>
      <c r="C953" s="9" t="inlineStr">
        <is>
          <t>ЛК</t>
        </is>
      </c>
      <c r="D953" s="9" t="inlineStr">
        <is>
          <t>Т11О-103Б-20</t>
        </is>
      </c>
      <c r="E953" s="10" t="n">
        <v>24</v>
      </c>
      <c r="F953" s="9" t="inlineStr">
        <is>
          <t>13288</t>
        </is>
      </c>
      <c r="G953" s="10" t="n">
        <v>24</v>
      </c>
      <c r="H953" s="9" t="inlineStr">
        <is>
          <t xml:space="preserve">81722     </t>
        </is>
      </c>
      <c r="I953" s="9" t="inlineStr">
        <is>
          <t xml:space="preserve">Шленский Алексей Геннадьевич </t>
        </is>
      </c>
      <c r="J953" s="9" t="inlineStr">
        <is>
          <t>доцент</t>
        </is>
      </c>
      <c r="K953" s="9" t="n"/>
      <c r="L953" s="9" t="n"/>
      <c r="M953" s="12">
        <f>SUMIFS($E$2:$E$1130,$A$2:$A$1130,"осень",$I$2:$I$1130,I953)</f>
        <v/>
      </c>
      <c r="N953" s="13">
        <f>SUMIFS($E$2:$E$1130,$A$2:$A$1130,"весна",$I$2:$I$1130,I953)</f>
        <v/>
      </c>
      <c r="O953" s="14">
        <f>M953+N953</f>
        <v/>
      </c>
      <c r="P953" s="15">
        <f>O953/$P$1</f>
        <v/>
      </c>
    </row>
    <row r="954" hidden="1" ht="15.75" customHeight="1" s="2">
      <c r="A954" s="9" t="inlineStr">
        <is>
          <t>весна</t>
        </is>
      </c>
      <c r="B954" s="9" t="inlineStr">
        <is>
          <t>Информационные системы и технологии</t>
        </is>
      </c>
      <c r="C954" s="9" t="inlineStr">
        <is>
          <t>ПЗ</t>
        </is>
      </c>
      <c r="D954" s="9" t="inlineStr">
        <is>
          <t>Т11О-103Б-20</t>
        </is>
      </c>
      <c r="E954" s="10" t="n">
        <v>40</v>
      </c>
      <c r="F954" s="9" t="inlineStr">
        <is>
          <t>13288</t>
        </is>
      </c>
      <c r="G954" s="10" t="n">
        <v>40</v>
      </c>
      <c r="H954" s="9" t="inlineStr">
        <is>
          <t xml:space="preserve">81722     </t>
        </is>
      </c>
      <c r="I954" s="9" t="inlineStr">
        <is>
          <t xml:space="preserve">Шленский Алексей Геннадьевич </t>
        </is>
      </c>
      <c r="J954" s="9" t="inlineStr">
        <is>
          <t>доцент</t>
        </is>
      </c>
      <c r="K954" s="9" t="n"/>
      <c r="L954" s="9" t="n"/>
      <c r="M954" s="12">
        <f>SUMIFS($E$2:$E$1130,$A$2:$A$1130,"осень",$I$2:$I$1130,I954)</f>
        <v/>
      </c>
      <c r="N954" s="13">
        <f>SUMIFS($E$2:$E$1130,$A$2:$A$1130,"весна",$I$2:$I$1130,I954)</f>
        <v/>
      </c>
      <c r="O954" s="14">
        <f>M954+N954</f>
        <v/>
      </c>
      <c r="P954" s="15">
        <f>O954/$P$1</f>
        <v/>
      </c>
    </row>
    <row r="955" hidden="1" ht="15.75" customHeight="1" s="2">
      <c r="A955" s="9" t="inlineStr">
        <is>
          <t>весна</t>
        </is>
      </c>
      <c r="B955" s="9" t="inlineStr">
        <is>
          <t>Информационные системы и технологии</t>
        </is>
      </c>
      <c r="C955" s="9" t="inlineStr">
        <is>
          <t>Экзамен</t>
        </is>
      </c>
      <c r="D955" s="9" t="inlineStr">
        <is>
          <t>Т11О-103Б-20</t>
        </is>
      </c>
      <c r="E955" s="10" t="n">
        <v>7</v>
      </c>
      <c r="F955" s="9" t="inlineStr">
        <is>
          <t>13288</t>
        </is>
      </c>
      <c r="G955" s="11" t="n">
        <v>0</v>
      </c>
      <c r="H955" s="9" t="inlineStr">
        <is>
          <t xml:space="preserve">81722     </t>
        </is>
      </c>
      <c r="I955" s="9" t="inlineStr">
        <is>
          <t xml:space="preserve">Шленский Алексей Геннадьевич </t>
        </is>
      </c>
      <c r="J955" s="9" t="inlineStr">
        <is>
          <t>доцент</t>
        </is>
      </c>
      <c r="K955" s="9" t="n"/>
      <c r="L955" s="9" t="n"/>
      <c r="M955" s="12">
        <f>SUMIFS($E$2:$E$1130,$A$2:$A$1130,"осень",$I$2:$I$1130,I955)</f>
        <v/>
      </c>
      <c r="N955" s="13">
        <f>SUMIFS($E$2:$E$1130,$A$2:$A$1130,"весна",$I$2:$I$1130,I955)</f>
        <v/>
      </c>
      <c r="O955" s="14">
        <f>M955+N955</f>
        <v/>
      </c>
      <c r="P955" s="15">
        <f>O955/$P$1</f>
        <v/>
      </c>
    </row>
    <row r="956" hidden="1" ht="15.75" customHeight="1" s="2">
      <c r="A956" s="9" t="inlineStr">
        <is>
          <t>весна</t>
        </is>
      </c>
      <c r="B956" s="9" t="inlineStr">
        <is>
          <t>Информационные системы и технологии</t>
        </is>
      </c>
      <c r="C956" s="9" t="inlineStr">
        <is>
          <t>Консультация</t>
        </is>
      </c>
      <c r="D956" s="9" t="inlineStr">
        <is>
          <t>Т11О-103Б-20</t>
        </is>
      </c>
      <c r="E956" s="10" t="n">
        <v>3</v>
      </c>
      <c r="F956" s="9" t="inlineStr">
        <is>
          <t>13288</t>
        </is>
      </c>
      <c r="G956" s="11" t="n">
        <v>0</v>
      </c>
      <c r="H956" s="9" t="inlineStr">
        <is>
          <t xml:space="preserve">81722     </t>
        </is>
      </c>
      <c r="I956" s="9" t="inlineStr">
        <is>
          <t xml:space="preserve">Шленский Алексей Геннадьевич </t>
        </is>
      </c>
      <c r="J956" s="9" t="inlineStr">
        <is>
          <t>доцент</t>
        </is>
      </c>
      <c r="K956" s="9" t="n"/>
      <c r="L956" s="9" t="n"/>
      <c r="M956" s="12">
        <f>SUMIFS($E$2:$E$1130,$A$2:$A$1130,"осень",$I$2:$I$1130,I956)</f>
        <v/>
      </c>
      <c r="N956" s="13">
        <f>SUMIFS($E$2:$E$1130,$A$2:$A$1130,"весна",$I$2:$I$1130,I956)</f>
        <v/>
      </c>
      <c r="O956" s="14">
        <f>M956+N956</f>
        <v/>
      </c>
      <c r="P956" s="15">
        <f>O956/$P$1</f>
        <v/>
      </c>
    </row>
    <row r="957" hidden="1" ht="15.75" customHeight="1" s="2">
      <c r="A957" s="9" t="inlineStr">
        <is>
          <t>весна</t>
        </is>
      </c>
      <c r="B957" s="9" t="inlineStr">
        <is>
          <t>Методология научных исследований</t>
        </is>
      </c>
      <c r="C957" s="9" t="inlineStr">
        <is>
          <t>ЛК</t>
        </is>
      </c>
      <c r="D957" s="9" t="inlineStr">
        <is>
          <t>Т11О-101М-20, Т11О-102М-20, Т11О-103М-20, Т11О-104М-20</t>
        </is>
      </c>
      <c r="E957" s="10" t="n">
        <v>12</v>
      </c>
      <c r="F957" s="9" t="inlineStr">
        <is>
          <t>07987</t>
        </is>
      </c>
      <c r="G957" s="10" t="n">
        <v>12</v>
      </c>
      <c r="H957" s="9" t="inlineStr">
        <is>
          <t xml:space="preserve">82019     </t>
        </is>
      </c>
      <c r="I957" s="9" t="inlineStr">
        <is>
          <t xml:space="preserve">Бобрышев Борис Леонидович </t>
        </is>
      </c>
      <c r="J957" s="9" t="n"/>
      <c r="K957" s="9" t="n"/>
      <c r="L957" s="9" t="n"/>
      <c r="M957" s="12">
        <f>SUMIFS($E$2:$E$1130,$A$2:$A$1130,"осень",$I$2:$I$1130,I957)</f>
        <v/>
      </c>
      <c r="N957" s="13">
        <f>SUMIFS($E$2:$E$1130,$A$2:$A$1130,"весна",$I$2:$I$1130,I957)</f>
        <v/>
      </c>
      <c r="O957" s="14">
        <f>M957+N957</f>
        <v/>
      </c>
      <c r="P957" s="15">
        <f>O957/$P$1</f>
        <v/>
      </c>
    </row>
    <row r="958" hidden="1" ht="15.75" customHeight="1" s="2">
      <c r="A958" s="9" t="inlineStr">
        <is>
          <t>весна</t>
        </is>
      </c>
      <c r="B958" s="9" t="inlineStr">
        <is>
          <t>Методология научных исследований</t>
        </is>
      </c>
      <c r="C958" s="9" t="inlineStr">
        <is>
          <t>ЛК</t>
        </is>
      </c>
      <c r="D958" s="9" t="inlineStr">
        <is>
          <t>М9О-104М-20</t>
        </is>
      </c>
      <c r="E958" s="10" t="n">
        <v>12</v>
      </c>
      <c r="F958" s="9" t="inlineStr">
        <is>
          <t>12598</t>
        </is>
      </c>
      <c r="G958" s="10" t="n">
        <v>12</v>
      </c>
      <c r="H958" s="9" t="inlineStr">
        <is>
          <t xml:space="preserve">82019     </t>
        </is>
      </c>
      <c r="I958" s="9" t="inlineStr">
        <is>
          <t xml:space="preserve">Бобрышев Борис Леонидович </t>
        </is>
      </c>
      <c r="J958" s="9" t="n"/>
      <c r="K958" s="9" t="n"/>
      <c r="L958" s="9" t="n"/>
      <c r="M958" s="12">
        <f>SUMIFS($E$2:$E$1130,$A$2:$A$1130,"осень",$I$2:$I$1130,I958)</f>
        <v/>
      </c>
      <c r="N958" s="13">
        <f>SUMIFS($E$2:$E$1130,$A$2:$A$1130,"весна",$I$2:$I$1130,I958)</f>
        <v/>
      </c>
      <c r="O958" s="14">
        <f>M958+N958</f>
        <v/>
      </c>
      <c r="P958" s="15">
        <f>O958/$P$1</f>
        <v/>
      </c>
    </row>
    <row r="959" hidden="1" ht="15.75" customHeight="1" s="2">
      <c r="A959" s="9" t="inlineStr">
        <is>
          <t>весна</t>
        </is>
      </c>
      <c r="B959" s="9" t="inlineStr">
        <is>
          <t>Методология научных исследований</t>
        </is>
      </c>
      <c r="C959" s="9" t="inlineStr">
        <is>
          <t>ПЗ</t>
        </is>
      </c>
      <c r="D959" s="9" t="inlineStr">
        <is>
          <t>Т11О-101М-20</t>
        </is>
      </c>
      <c r="E959" s="10" t="n">
        <v>24</v>
      </c>
      <c r="F959" s="9" t="inlineStr">
        <is>
          <t>07987</t>
        </is>
      </c>
      <c r="G959" s="10" t="n">
        <v>24</v>
      </c>
      <c r="H959" s="9" t="inlineStr">
        <is>
          <t xml:space="preserve">81728     </t>
        </is>
      </c>
      <c r="I959" s="9" t="inlineStr">
        <is>
          <t xml:space="preserve">Галкин Виктор Иванович </t>
        </is>
      </c>
      <c r="J959" s="9" t="inlineStr">
        <is>
          <t>профессор</t>
        </is>
      </c>
      <c r="K959" s="9" t="n"/>
      <c r="L959" s="9" t="n"/>
      <c r="M959" s="12">
        <f>SUMIFS($E$2:$E$1130,$A$2:$A$1130,"осень",$I$2:$I$1130,I959)</f>
        <v/>
      </c>
      <c r="N959" s="13">
        <f>SUMIFS($E$2:$E$1130,$A$2:$A$1130,"весна",$I$2:$I$1130,I959)</f>
        <v/>
      </c>
      <c r="O959" s="14">
        <f>M959+N959</f>
        <v/>
      </c>
      <c r="P959" s="15">
        <f>O959/$P$1</f>
        <v/>
      </c>
    </row>
    <row r="960" hidden="1" ht="15.75" customHeight="1" s="2">
      <c r="A960" s="9" t="inlineStr">
        <is>
          <t>весна</t>
        </is>
      </c>
      <c r="B960" s="9" t="inlineStr">
        <is>
          <t>Методология научных исследований</t>
        </is>
      </c>
      <c r="C960" s="9" t="inlineStr">
        <is>
          <t>ПЗ</t>
        </is>
      </c>
      <c r="D960" s="9" t="inlineStr">
        <is>
          <t>Т11О-102М-20</t>
        </is>
      </c>
      <c r="E960" s="10" t="n">
        <v>24</v>
      </c>
      <c r="F960" s="9" t="inlineStr">
        <is>
          <t>07987</t>
        </is>
      </c>
      <c r="G960" s="10" t="n">
        <v>24</v>
      </c>
      <c r="H960" s="9" t="inlineStr">
        <is>
          <t xml:space="preserve">82019     </t>
        </is>
      </c>
      <c r="I960" s="9" t="inlineStr">
        <is>
          <t xml:space="preserve">Бобрышев Борис Леонидович </t>
        </is>
      </c>
      <c r="J960" s="9" t="n"/>
      <c r="K960" s="9" t="n"/>
      <c r="L960" s="9" t="n"/>
      <c r="M960" s="12">
        <f>SUMIFS($E$2:$E$1130,$A$2:$A$1130,"осень",$I$2:$I$1130,I960)</f>
        <v/>
      </c>
      <c r="N960" s="13">
        <f>SUMIFS($E$2:$E$1130,$A$2:$A$1130,"весна",$I$2:$I$1130,I960)</f>
        <v/>
      </c>
      <c r="O960" s="14">
        <f>M960+N960</f>
        <v/>
      </c>
      <c r="P960" s="15">
        <f>O960/$P$1</f>
        <v/>
      </c>
    </row>
    <row r="961" hidden="1" ht="15.75" customHeight="1" s="2">
      <c r="A961" s="9" t="inlineStr">
        <is>
          <t>весна</t>
        </is>
      </c>
      <c r="B961" s="9" t="inlineStr">
        <is>
          <t>Методология научных исследований</t>
        </is>
      </c>
      <c r="C961" s="9" t="inlineStr">
        <is>
          <t>ПЗ</t>
        </is>
      </c>
      <c r="D961" s="9" t="inlineStr">
        <is>
          <t>Т11О-103М-20</t>
        </is>
      </c>
      <c r="E961" s="10" t="n">
        <v>24</v>
      </c>
      <c r="F961" s="9" t="inlineStr">
        <is>
          <t>07987</t>
        </is>
      </c>
      <c r="G961" s="10" t="n">
        <v>24</v>
      </c>
      <c r="H961" s="9" t="inlineStr">
        <is>
          <t xml:space="preserve">81729     </t>
        </is>
      </c>
      <c r="I961" s="9" t="inlineStr">
        <is>
          <t xml:space="preserve">Соколов Алексей Викторович </t>
        </is>
      </c>
      <c r="J961" s="9" t="inlineStr">
        <is>
          <t>доцент</t>
        </is>
      </c>
      <c r="K961" s="9" t="n"/>
      <c r="L961" s="9" t="n"/>
      <c r="M961" s="12">
        <f>SUMIFS($E$2:$E$1130,$A$2:$A$1130,"осень",$I$2:$I$1130,I961)</f>
        <v/>
      </c>
      <c r="N961" s="13">
        <f>SUMIFS($E$2:$E$1130,$A$2:$A$1130,"весна",$I$2:$I$1130,I961)</f>
        <v/>
      </c>
      <c r="O961" s="14">
        <f>M961+N961</f>
        <v/>
      </c>
      <c r="P961" s="15">
        <f>O961/$P$1</f>
        <v/>
      </c>
    </row>
    <row r="962" hidden="1" ht="15.75" customHeight="1" s="2">
      <c r="A962" s="9" t="inlineStr">
        <is>
          <t>весна</t>
        </is>
      </c>
      <c r="B962" s="9" t="inlineStr">
        <is>
          <t>Методология научных исследований</t>
        </is>
      </c>
      <c r="C962" s="9" t="inlineStr">
        <is>
          <t>ПЗ</t>
        </is>
      </c>
      <c r="D962" s="9" t="inlineStr">
        <is>
          <t>Т11О-104М-20</t>
        </is>
      </c>
      <c r="E962" s="10" t="n">
        <v>24</v>
      </c>
      <c r="F962" s="9" t="inlineStr">
        <is>
          <t>07987</t>
        </is>
      </c>
      <c r="G962" s="10" t="n">
        <v>24</v>
      </c>
      <c r="H962" s="9" t="inlineStr">
        <is>
          <t xml:space="preserve">89090     </t>
        </is>
      </c>
      <c r="I962" s="9" t="inlineStr">
        <is>
          <t>Степанов Владимир Валерьевич</t>
        </is>
      </c>
      <c r="J962" s="9" t="n"/>
      <c r="K962" s="9" t="n"/>
      <c r="L962" s="9" t="n"/>
      <c r="M962" s="12">
        <f>SUMIFS($E$2:$E$1130,$A$2:$A$1130,"осень",$I$2:$I$1130,I962)</f>
        <v/>
      </c>
      <c r="N962" s="13">
        <f>SUMIFS($E$2:$E$1130,$A$2:$A$1130,"весна",$I$2:$I$1130,I962)</f>
        <v/>
      </c>
      <c r="O962" s="14">
        <f>M962+N962</f>
        <v/>
      </c>
      <c r="P962" s="15">
        <f>O962/$P$1</f>
        <v/>
      </c>
    </row>
    <row r="963" hidden="1" ht="15.75" customHeight="1" s="2">
      <c r="A963" s="9" t="inlineStr">
        <is>
          <t>весна</t>
        </is>
      </c>
      <c r="B963" s="9" t="inlineStr">
        <is>
          <t>Методология научных исследований</t>
        </is>
      </c>
      <c r="C963" s="9" t="inlineStr">
        <is>
          <t>ПЗ</t>
        </is>
      </c>
      <c r="D963" s="9" t="inlineStr">
        <is>
          <t>М9О-104М-20</t>
        </is>
      </c>
      <c r="E963" s="10" t="n">
        <v>24</v>
      </c>
      <c r="F963" s="9" t="inlineStr">
        <is>
          <t>12598</t>
        </is>
      </c>
      <c r="G963" s="10" t="n">
        <v>24</v>
      </c>
      <c r="H963" s="9" t="inlineStr">
        <is>
          <t xml:space="preserve">81729     </t>
        </is>
      </c>
      <c r="I963" s="9" t="inlineStr">
        <is>
          <t xml:space="preserve">Соколов Алексей Викторович </t>
        </is>
      </c>
      <c r="J963" s="9" t="inlineStr">
        <is>
          <t>доцент</t>
        </is>
      </c>
      <c r="K963" s="9" t="n"/>
      <c r="L963" s="9" t="n"/>
      <c r="M963" s="12">
        <f>SUMIFS($E$2:$E$1130,$A$2:$A$1130,"осень",$I$2:$I$1130,I963)</f>
        <v/>
      </c>
      <c r="N963" s="13">
        <f>SUMIFS($E$2:$E$1130,$A$2:$A$1130,"весна",$I$2:$I$1130,I963)</f>
        <v/>
      </c>
      <c r="O963" s="14">
        <f>M963+N963</f>
        <v/>
      </c>
      <c r="P963" s="15">
        <f>O963/$P$1</f>
        <v/>
      </c>
    </row>
    <row r="964" hidden="1" ht="15.75" customHeight="1" s="2">
      <c r="A964" s="9" t="inlineStr">
        <is>
          <t>весна</t>
        </is>
      </c>
      <c r="B964" s="9" t="inlineStr">
        <is>
          <t>Методология научных исследований</t>
        </is>
      </c>
      <c r="C964" s="9" t="inlineStr">
        <is>
          <t>Экзамен</t>
        </is>
      </c>
      <c r="D964" s="9" t="inlineStr">
        <is>
          <t>Т11О-101М-20</t>
        </is>
      </c>
      <c r="E964" s="10" t="n">
        <v>3</v>
      </c>
      <c r="F964" s="9" t="inlineStr">
        <is>
          <t>07987</t>
        </is>
      </c>
      <c r="G964" s="11" t="n">
        <v>0</v>
      </c>
      <c r="H964" s="9" t="inlineStr">
        <is>
          <t xml:space="preserve">82019     </t>
        </is>
      </c>
      <c r="I964" s="9" t="inlineStr">
        <is>
          <t xml:space="preserve">Бобрышев Борис Леонидович </t>
        </is>
      </c>
      <c r="J964" s="9" t="n"/>
      <c r="K964" s="9" t="n"/>
      <c r="L964" s="9" t="n"/>
      <c r="M964" s="12">
        <f>SUMIFS($E$2:$E$1130,$A$2:$A$1130,"осень",$I$2:$I$1130,I964)</f>
        <v/>
      </c>
      <c r="N964" s="13">
        <f>SUMIFS($E$2:$E$1130,$A$2:$A$1130,"весна",$I$2:$I$1130,I964)</f>
        <v/>
      </c>
      <c r="O964" s="14">
        <f>M964+N964</f>
        <v/>
      </c>
      <c r="P964" s="15">
        <f>O964/$P$1</f>
        <v/>
      </c>
    </row>
    <row r="965" hidden="1" ht="15.75" customHeight="1" s="2">
      <c r="A965" s="9" t="inlineStr">
        <is>
          <t>весна</t>
        </is>
      </c>
      <c r="B965" s="9" t="inlineStr">
        <is>
          <t>Методология научных исследований</t>
        </is>
      </c>
      <c r="C965" s="9" t="inlineStr">
        <is>
          <t>Экзамен</t>
        </is>
      </c>
      <c r="D965" s="9" t="inlineStr">
        <is>
          <t>Т11О-102М-20</t>
        </is>
      </c>
      <c r="E965" s="10" t="n">
        <v>3</v>
      </c>
      <c r="F965" s="9" t="inlineStr">
        <is>
          <t>07987</t>
        </is>
      </c>
      <c r="G965" s="11" t="n">
        <v>0</v>
      </c>
      <c r="H965" s="9" t="inlineStr">
        <is>
          <t xml:space="preserve">82019     </t>
        </is>
      </c>
      <c r="I965" s="9" t="inlineStr">
        <is>
          <t xml:space="preserve">Бобрышев Борис Леонидович </t>
        </is>
      </c>
      <c r="J965" s="9" t="n"/>
      <c r="K965" s="9" t="n"/>
      <c r="L965" s="9" t="n"/>
      <c r="M965" s="12">
        <f>SUMIFS($E$2:$E$1130,$A$2:$A$1130,"осень",$I$2:$I$1130,I965)</f>
        <v/>
      </c>
      <c r="N965" s="13">
        <f>SUMIFS($E$2:$E$1130,$A$2:$A$1130,"весна",$I$2:$I$1130,I965)</f>
        <v/>
      </c>
      <c r="O965" s="14">
        <f>M965+N965</f>
        <v/>
      </c>
      <c r="P965" s="15">
        <f>O965/$P$1</f>
        <v/>
      </c>
    </row>
    <row r="966" hidden="1" ht="15.75" customHeight="1" s="2">
      <c r="A966" s="9" t="inlineStr">
        <is>
          <t>весна</t>
        </is>
      </c>
      <c r="B966" s="9" t="inlineStr">
        <is>
          <t>Методология научных исследований</t>
        </is>
      </c>
      <c r="C966" s="9" t="inlineStr">
        <is>
          <t>Экзамен</t>
        </is>
      </c>
      <c r="D966" s="9" t="inlineStr">
        <is>
          <t>Т11О-103М-20</t>
        </is>
      </c>
      <c r="E966" s="10" t="n">
        <v>3</v>
      </c>
      <c r="F966" s="9" t="inlineStr">
        <is>
          <t>07987</t>
        </is>
      </c>
      <c r="G966" s="11" t="n">
        <v>0</v>
      </c>
      <c r="H966" s="9" t="inlineStr">
        <is>
          <t xml:space="preserve">82019     </t>
        </is>
      </c>
      <c r="I966" s="9" t="inlineStr">
        <is>
          <t xml:space="preserve">Бобрышев Борис Леонидович </t>
        </is>
      </c>
      <c r="J966" s="9" t="n"/>
      <c r="K966" s="9" t="n"/>
      <c r="L966" s="9" t="n"/>
      <c r="M966" s="12">
        <f>SUMIFS($E$2:$E$1130,$A$2:$A$1130,"осень",$I$2:$I$1130,I966)</f>
        <v/>
      </c>
      <c r="N966" s="13">
        <f>SUMIFS($E$2:$E$1130,$A$2:$A$1130,"весна",$I$2:$I$1130,I966)</f>
        <v/>
      </c>
      <c r="O966" s="14">
        <f>M966+N966</f>
        <v/>
      </c>
      <c r="P966" s="15">
        <f>O966/$P$1</f>
        <v/>
      </c>
    </row>
    <row r="967" hidden="1" ht="15.75" customHeight="1" s="2">
      <c r="A967" s="9" t="inlineStr">
        <is>
          <t>весна</t>
        </is>
      </c>
      <c r="B967" s="9" t="inlineStr">
        <is>
          <t>Методология научных исследований</t>
        </is>
      </c>
      <c r="C967" s="9" t="inlineStr">
        <is>
          <t>Экзамен</t>
        </is>
      </c>
      <c r="D967" s="9" t="inlineStr">
        <is>
          <t>Т11О-104М-20</t>
        </is>
      </c>
      <c r="E967" s="10" t="n">
        <v>3</v>
      </c>
      <c r="F967" s="9" t="inlineStr">
        <is>
          <t>07987</t>
        </is>
      </c>
      <c r="G967" s="11" t="n">
        <v>0</v>
      </c>
      <c r="H967" s="9" t="inlineStr">
        <is>
          <t xml:space="preserve">82019     </t>
        </is>
      </c>
      <c r="I967" s="9" t="inlineStr">
        <is>
          <t xml:space="preserve">Бобрышев Борис Леонидович </t>
        </is>
      </c>
      <c r="J967" s="9" t="n"/>
      <c r="K967" s="9" t="n"/>
      <c r="L967" s="9" t="n"/>
      <c r="M967" s="12">
        <f>SUMIFS($E$2:$E$1130,$A$2:$A$1130,"осень",$I$2:$I$1130,I967)</f>
        <v/>
      </c>
      <c r="N967" s="13">
        <f>SUMIFS($E$2:$E$1130,$A$2:$A$1130,"весна",$I$2:$I$1130,I967)</f>
        <v/>
      </c>
      <c r="O967" s="14">
        <f>M967+N967</f>
        <v/>
      </c>
      <c r="P967" s="15">
        <f>O967/$P$1</f>
        <v/>
      </c>
    </row>
    <row r="968" hidden="1" ht="15.75" customHeight="1" s="2">
      <c r="A968" s="9" t="inlineStr">
        <is>
          <t>весна</t>
        </is>
      </c>
      <c r="B968" s="9" t="inlineStr">
        <is>
          <t>Методология научных исследований</t>
        </is>
      </c>
      <c r="C968" s="9" t="inlineStr">
        <is>
          <t>Экзамен</t>
        </is>
      </c>
      <c r="D968" s="9" t="inlineStr">
        <is>
          <t>М9О-104М-20</t>
        </is>
      </c>
      <c r="E968" s="10" t="n">
        <v>3</v>
      </c>
      <c r="F968" s="9" t="inlineStr">
        <is>
          <t>12598</t>
        </is>
      </c>
      <c r="G968" s="11" t="n">
        <v>0</v>
      </c>
      <c r="H968" s="9" t="inlineStr">
        <is>
          <t xml:space="preserve">82019     </t>
        </is>
      </c>
      <c r="I968" s="9" t="inlineStr">
        <is>
          <t xml:space="preserve">Бобрышев Борис Леонидович </t>
        </is>
      </c>
      <c r="J968" s="9" t="n"/>
      <c r="K968" s="9" t="n"/>
      <c r="L968" s="9" t="n"/>
      <c r="M968" s="12">
        <f>SUMIFS($E$2:$E$1130,$A$2:$A$1130,"осень",$I$2:$I$1130,I968)</f>
        <v/>
      </c>
      <c r="N968" s="13">
        <f>SUMIFS($E$2:$E$1130,$A$2:$A$1130,"весна",$I$2:$I$1130,I968)</f>
        <v/>
      </c>
      <c r="O968" s="14">
        <f>M968+N968</f>
        <v/>
      </c>
      <c r="P968" s="15">
        <f>O968/$P$1</f>
        <v/>
      </c>
    </row>
    <row r="969" hidden="1" ht="13.5" customHeight="1" s="2">
      <c r="A969" s="9" t="inlineStr">
        <is>
          <t>весна</t>
        </is>
      </c>
      <c r="B969" s="9" t="inlineStr">
        <is>
          <t>Методология научных исследований</t>
        </is>
      </c>
      <c r="C969" s="9" t="inlineStr">
        <is>
          <t>Консультация</t>
        </is>
      </c>
      <c r="D969" s="9" t="inlineStr">
        <is>
          <t>Т11О-101М-20</t>
        </is>
      </c>
      <c r="E969" s="10" t="n">
        <v>3</v>
      </c>
      <c r="F969" s="9" t="inlineStr">
        <is>
          <t>07987</t>
        </is>
      </c>
      <c r="G969" s="11" t="n">
        <v>0</v>
      </c>
      <c r="H969" s="9" t="inlineStr">
        <is>
          <t xml:space="preserve">81728     </t>
        </is>
      </c>
      <c r="I969" s="9" t="inlineStr">
        <is>
          <t xml:space="preserve">Галкин Виктор Иванович </t>
        </is>
      </c>
      <c r="J969" s="9" t="inlineStr">
        <is>
          <t>профессор</t>
        </is>
      </c>
      <c r="K969" s="9" t="n"/>
      <c r="L969" s="9" t="n"/>
      <c r="M969" s="12">
        <f>SUMIFS($E$2:$E$1130,$A$2:$A$1130,"осень",$I$2:$I$1130,I969)</f>
        <v/>
      </c>
      <c r="N969" s="13">
        <f>SUMIFS($E$2:$E$1130,$A$2:$A$1130,"весна",$I$2:$I$1130,I969)</f>
        <v/>
      </c>
      <c r="O969" s="14">
        <f>M969+N969</f>
        <v/>
      </c>
      <c r="P969" s="15">
        <f>O969/$P$1</f>
        <v/>
      </c>
    </row>
    <row r="970" hidden="1" ht="15.75" customHeight="1" s="2">
      <c r="A970" s="9" t="inlineStr">
        <is>
          <t>весна</t>
        </is>
      </c>
      <c r="B970" s="9" t="inlineStr">
        <is>
          <t>Методология научных исследований</t>
        </is>
      </c>
      <c r="C970" s="9" t="inlineStr">
        <is>
          <t>Консультация</t>
        </is>
      </c>
      <c r="D970" s="9" t="inlineStr">
        <is>
          <t>Т11О-102М-20</t>
        </is>
      </c>
      <c r="E970" s="10" t="n">
        <v>3</v>
      </c>
      <c r="F970" s="9" t="inlineStr">
        <is>
          <t>07987</t>
        </is>
      </c>
      <c r="G970" s="11" t="n">
        <v>0</v>
      </c>
      <c r="H970" s="9" t="inlineStr">
        <is>
          <t xml:space="preserve">82019     </t>
        </is>
      </c>
      <c r="I970" s="9" t="inlineStr">
        <is>
          <t xml:space="preserve">Бобрышев Борис Леонидович </t>
        </is>
      </c>
      <c r="J970" s="9" t="n"/>
      <c r="K970" s="9" t="n"/>
      <c r="L970" s="9" t="n"/>
      <c r="M970" s="12">
        <f>SUMIFS($E$2:$E$1130,$A$2:$A$1130,"осень",$I$2:$I$1130,I970)</f>
        <v/>
      </c>
      <c r="N970" s="13">
        <f>SUMIFS($E$2:$E$1130,$A$2:$A$1130,"весна",$I$2:$I$1130,I970)</f>
        <v/>
      </c>
      <c r="O970" s="14">
        <f>M970+N970</f>
        <v/>
      </c>
      <c r="P970" s="15">
        <f>O970/$P$1</f>
        <v/>
      </c>
    </row>
    <row r="971" hidden="1" ht="15.75" customHeight="1" s="2">
      <c r="A971" s="9" t="inlineStr">
        <is>
          <t>весна</t>
        </is>
      </c>
      <c r="B971" s="9" t="inlineStr">
        <is>
          <t>Методология научных исследований</t>
        </is>
      </c>
      <c r="C971" s="9" t="inlineStr">
        <is>
          <t>Консультация</t>
        </is>
      </c>
      <c r="D971" s="9" t="inlineStr">
        <is>
          <t>Т11О-103М-20</t>
        </is>
      </c>
      <c r="E971" s="10" t="n">
        <v>3</v>
      </c>
      <c r="F971" s="9" t="inlineStr">
        <is>
          <t>07987</t>
        </is>
      </c>
      <c r="G971" s="11" t="n">
        <v>0</v>
      </c>
      <c r="H971" s="9" t="inlineStr">
        <is>
          <t xml:space="preserve">81729     </t>
        </is>
      </c>
      <c r="I971" s="9" t="inlineStr">
        <is>
          <t xml:space="preserve">Соколов Алексей Викторович </t>
        </is>
      </c>
      <c r="J971" s="9" t="inlineStr">
        <is>
          <t>доцент</t>
        </is>
      </c>
      <c r="K971" s="9" t="n"/>
      <c r="L971" s="9" t="n"/>
      <c r="M971" s="12">
        <f>SUMIFS($E$2:$E$1130,$A$2:$A$1130,"осень",$I$2:$I$1130,I971)</f>
        <v/>
      </c>
      <c r="N971" s="13">
        <f>SUMIFS($E$2:$E$1130,$A$2:$A$1130,"весна",$I$2:$I$1130,I971)</f>
        <v/>
      </c>
      <c r="O971" s="14">
        <f>M971+N971</f>
        <v/>
      </c>
      <c r="P971" s="15">
        <f>O971/$P$1</f>
        <v/>
      </c>
    </row>
    <row r="972" hidden="1" ht="15.75" customHeight="1" s="2">
      <c r="A972" s="9" t="inlineStr">
        <is>
          <t>весна</t>
        </is>
      </c>
      <c r="B972" s="9" t="inlineStr">
        <is>
          <t>Методология научных исследований</t>
        </is>
      </c>
      <c r="C972" s="9" t="inlineStr">
        <is>
          <t>Консультация</t>
        </is>
      </c>
      <c r="D972" s="9" t="inlineStr">
        <is>
          <t>Т11О-104М-20</t>
        </is>
      </c>
      <c r="E972" s="10" t="n">
        <v>3</v>
      </c>
      <c r="F972" s="9" t="inlineStr">
        <is>
          <t>07987</t>
        </is>
      </c>
      <c r="G972" s="11" t="n">
        <v>0</v>
      </c>
      <c r="H972" s="9" t="inlineStr">
        <is>
          <t xml:space="preserve">89090     </t>
        </is>
      </c>
      <c r="I972" s="9" t="inlineStr">
        <is>
          <t>Степанов Владимир Валерьевич</t>
        </is>
      </c>
      <c r="J972" s="9" t="n"/>
      <c r="K972" s="9" t="n"/>
      <c r="L972" s="9" t="n"/>
      <c r="M972" s="12">
        <f>SUMIFS($E$2:$E$1130,$A$2:$A$1130,"осень",$I$2:$I$1130,I972)</f>
        <v/>
      </c>
      <c r="N972" s="13">
        <f>SUMIFS($E$2:$E$1130,$A$2:$A$1130,"весна",$I$2:$I$1130,I972)</f>
        <v/>
      </c>
      <c r="O972" s="14">
        <f>M972+N972</f>
        <v/>
      </c>
      <c r="P972" s="15">
        <f>O972/$P$1</f>
        <v/>
      </c>
    </row>
    <row r="973" hidden="1" ht="15.75" customHeight="1" s="2">
      <c r="A973" s="9" t="inlineStr">
        <is>
          <t>весна</t>
        </is>
      </c>
      <c r="B973" s="9" t="inlineStr">
        <is>
          <t>Методология научных исследований</t>
        </is>
      </c>
      <c r="C973" s="9" t="inlineStr">
        <is>
          <t>Консультация</t>
        </is>
      </c>
      <c r="D973" s="9" t="inlineStr">
        <is>
          <t>М9О-104М-20</t>
        </is>
      </c>
      <c r="E973" s="10" t="n">
        <v>3</v>
      </c>
      <c r="F973" s="9" t="inlineStr">
        <is>
          <t>12598</t>
        </is>
      </c>
      <c r="G973" s="11" t="n">
        <v>0</v>
      </c>
      <c r="H973" s="9" t="inlineStr">
        <is>
          <t xml:space="preserve">81729     </t>
        </is>
      </c>
      <c r="I973" s="9" t="inlineStr">
        <is>
          <t xml:space="preserve">Соколов Алексей Викторович </t>
        </is>
      </c>
      <c r="J973" s="9" t="inlineStr">
        <is>
          <t>доцент</t>
        </is>
      </c>
      <c r="K973" s="9" t="n"/>
      <c r="L973" s="9" t="n"/>
      <c r="M973" s="12">
        <f>SUMIFS($E$2:$E$1130,$A$2:$A$1130,"осень",$I$2:$I$1130,I973)</f>
        <v/>
      </c>
      <c r="N973" s="13">
        <f>SUMIFS($E$2:$E$1130,$A$2:$A$1130,"весна",$I$2:$I$1130,I973)</f>
        <v/>
      </c>
      <c r="O973" s="14">
        <f>M973+N973</f>
        <v/>
      </c>
      <c r="P973" s="15">
        <f>O973/$P$1</f>
        <v/>
      </c>
    </row>
    <row r="974" hidden="1" ht="15.75" customHeight="1" s="2">
      <c r="A974" s="9" t="inlineStr">
        <is>
          <t>весна</t>
        </is>
      </c>
      <c r="B974" s="9" t="inlineStr">
        <is>
          <t>Производственная практика</t>
        </is>
      </c>
      <c r="C974" s="9" t="inlineStr">
        <is>
          <t>Практика</t>
        </is>
      </c>
      <c r="D974" s="9" t="inlineStr">
        <is>
          <t>Т11О-301Б-18</t>
        </is>
      </c>
      <c r="E974" s="10" t="n">
        <v>60</v>
      </c>
      <c r="F974" s="9" t="n"/>
      <c r="G974" s="11" t="n">
        <v>0</v>
      </c>
      <c r="H974" s="9" t="inlineStr">
        <is>
          <t xml:space="preserve">81732     </t>
        </is>
      </c>
      <c r="I974" s="9" t="inlineStr">
        <is>
          <t xml:space="preserve">Петров Анатолий Павлович </t>
        </is>
      </c>
      <c r="J974" s="9" t="inlineStr">
        <is>
          <t>профессор</t>
        </is>
      </c>
      <c r="K974" s="9" t="n"/>
      <c r="L974" s="9" t="n"/>
      <c r="M974" s="12">
        <f>SUMIFS($E$2:$E$1130,$A$2:$A$1130,"осень",$I$2:$I$1130,I974)</f>
        <v/>
      </c>
      <c r="N974" s="13">
        <f>SUMIFS($E$2:$E$1130,$A$2:$A$1130,"весна",$I$2:$I$1130,I974)</f>
        <v/>
      </c>
      <c r="O974" s="14">
        <f>M974+N974</f>
        <v/>
      </c>
      <c r="P974" s="15">
        <f>O974/$P$1</f>
        <v/>
      </c>
    </row>
    <row r="975" hidden="1" ht="15.75" customHeight="1" s="2">
      <c r="A975" s="9" t="inlineStr">
        <is>
          <t>весна</t>
        </is>
      </c>
      <c r="B975" s="9" t="inlineStr">
        <is>
          <t>Производственная практика</t>
        </is>
      </c>
      <c r="C975" s="9" t="inlineStr">
        <is>
          <t>Практика</t>
        </is>
      </c>
      <c r="D975" s="9" t="inlineStr">
        <is>
          <t>Т11О-304Б-18</t>
        </is>
      </c>
      <c r="E975" s="10" t="n">
        <v>60</v>
      </c>
      <c r="F975" s="9" t="n"/>
      <c r="G975" s="11" t="n">
        <v>0</v>
      </c>
      <c r="H975" s="9" t="inlineStr">
        <is>
          <t xml:space="preserve">81724     </t>
        </is>
      </c>
      <c r="I975" s="9" t="inlineStr">
        <is>
          <t xml:space="preserve">Галкин Евгений Владимирович </t>
        </is>
      </c>
      <c r="J975" s="9" t="inlineStr">
        <is>
          <t>доцент</t>
        </is>
      </c>
      <c r="K975" s="9" t="n"/>
      <c r="L975" s="9" t="n"/>
      <c r="M975" s="12">
        <f>SUMIFS($E$2:$E$1130,$A$2:$A$1130,"осень",$I$2:$I$1130,I975)</f>
        <v/>
      </c>
      <c r="N975" s="13">
        <f>SUMIFS($E$2:$E$1130,$A$2:$A$1130,"весна",$I$2:$I$1130,I975)</f>
        <v/>
      </c>
      <c r="O975" s="14">
        <f>M975+N975</f>
        <v/>
      </c>
      <c r="P975" s="15">
        <f>O975/$P$1</f>
        <v/>
      </c>
    </row>
    <row r="976" hidden="1" ht="15.75" customHeight="1" s="2">
      <c r="A976" s="9" t="inlineStr">
        <is>
          <t>весна</t>
        </is>
      </c>
      <c r="B976" s="9" t="inlineStr">
        <is>
          <t>Производственная практика</t>
        </is>
      </c>
      <c r="C976" s="9" t="inlineStr">
        <is>
          <t>Практика</t>
        </is>
      </c>
      <c r="D976" s="9" t="inlineStr">
        <is>
          <t>Т11О-302Б-18</t>
        </is>
      </c>
      <c r="E976" s="10" t="n">
        <v>60</v>
      </c>
      <c r="F976" s="9" t="n"/>
      <c r="G976" s="11" t="n">
        <v>0</v>
      </c>
      <c r="H976" s="9" t="inlineStr">
        <is>
          <t xml:space="preserve">82020     </t>
        </is>
      </c>
      <c r="I976" s="9" t="inlineStr">
        <is>
          <t xml:space="preserve">Варфоломеев Максим Сергеевич </t>
        </is>
      </c>
      <c r="J976" s="9" t="inlineStr">
        <is>
          <t>доцент</t>
        </is>
      </c>
      <c r="K976" s="9" t="n"/>
      <c r="L976" s="9" t="n"/>
      <c r="M976" s="12">
        <f>SUMIFS($E$2:$E$1130,$A$2:$A$1130,"осень",$I$2:$I$1130,I976)</f>
        <v/>
      </c>
      <c r="N976" s="13">
        <f>SUMIFS($E$2:$E$1130,$A$2:$A$1130,"весна",$I$2:$I$1130,I976)</f>
        <v/>
      </c>
      <c r="O976" s="14">
        <f>M976+N976</f>
        <v/>
      </c>
      <c r="P976" s="15">
        <f>O976/$P$1</f>
        <v/>
      </c>
    </row>
    <row r="977" hidden="1" ht="15.75" customHeight="1" s="2">
      <c r="A977" s="9" t="inlineStr">
        <is>
          <t>весна</t>
        </is>
      </c>
      <c r="B977" s="9" t="inlineStr">
        <is>
          <t>Производственная практика</t>
        </is>
      </c>
      <c r="C977" s="9" t="inlineStr">
        <is>
          <t>Практика</t>
        </is>
      </c>
      <c r="D977" s="9" t="inlineStr">
        <is>
          <t>Т1В-412Б-17</t>
        </is>
      </c>
      <c r="E977" s="10" t="n">
        <v>60</v>
      </c>
      <c r="F977" s="9" t="n"/>
      <c r="G977" s="11" t="n">
        <v>0</v>
      </c>
      <c r="H977" s="9" t="inlineStr">
        <is>
          <t xml:space="preserve">81732     </t>
        </is>
      </c>
      <c r="I977" s="9" t="inlineStr">
        <is>
          <t xml:space="preserve">Петров Анатолий Павлович </t>
        </is>
      </c>
      <c r="J977" s="9" t="inlineStr">
        <is>
          <t>профессор</t>
        </is>
      </c>
      <c r="K977" s="9" t="n"/>
      <c r="L977" s="9" t="n"/>
      <c r="M977" s="12">
        <f>SUMIFS($E$2:$E$1130,$A$2:$A$1130,"осень",$I$2:$I$1130,I977)</f>
        <v/>
      </c>
      <c r="N977" s="13">
        <f>SUMIFS($E$2:$E$1130,$A$2:$A$1130,"весна",$I$2:$I$1130,I977)</f>
        <v/>
      </c>
      <c r="O977" s="14">
        <f>M977+N977</f>
        <v/>
      </c>
      <c r="P977" s="15">
        <f>O977/$P$1</f>
        <v/>
      </c>
    </row>
    <row r="978" hidden="1" ht="15.75" customHeight="1" s="2">
      <c r="A978" s="9" t="inlineStr">
        <is>
          <t>весна</t>
        </is>
      </c>
      <c r="B978" s="9" t="inlineStr">
        <is>
          <t>Учебная практика</t>
        </is>
      </c>
      <c r="C978" s="9" t="inlineStr">
        <is>
          <t>Практика</t>
        </is>
      </c>
      <c r="D978" s="9" t="inlineStr">
        <is>
          <t>Т11О-201Б-19</t>
        </is>
      </c>
      <c r="E978" s="10" t="n">
        <v>30</v>
      </c>
      <c r="F978" s="9" t="n"/>
      <c r="G978" s="11" t="n">
        <v>0</v>
      </c>
      <c r="H978" s="9" t="inlineStr">
        <is>
          <t xml:space="preserve">93584     </t>
        </is>
      </c>
      <c r="I978" s="9" t="inlineStr">
        <is>
          <t xml:space="preserve">Комаров Роман Сергеевич </t>
        </is>
      </c>
      <c r="J978" s="9" t="n"/>
      <c r="K978" s="9" t="n"/>
      <c r="L978" s="9" t="n"/>
      <c r="M978" s="12">
        <f>SUMIFS($E$2:$E$1130,$A$2:$A$1130,"осень",$I$2:$I$1130,I978)</f>
        <v/>
      </c>
      <c r="N978" s="13">
        <f>SUMIFS($E$2:$E$1130,$A$2:$A$1130,"весна",$I$2:$I$1130,I978)</f>
        <v/>
      </c>
      <c r="O978" s="14">
        <f>M978+N978</f>
        <v/>
      </c>
      <c r="P978" s="15">
        <f>O978/$P$1</f>
        <v/>
      </c>
    </row>
    <row r="979" hidden="1" ht="15.75" customHeight="1" s="2">
      <c r="A979" s="9" t="inlineStr">
        <is>
          <t>весна</t>
        </is>
      </c>
      <c r="B979" s="9" t="inlineStr">
        <is>
          <t>Учебная практика</t>
        </is>
      </c>
      <c r="C979" s="9" t="inlineStr">
        <is>
          <t>Практика</t>
        </is>
      </c>
      <c r="D979" s="9" t="inlineStr">
        <is>
          <t>Т11О-202Б-19</t>
        </is>
      </c>
      <c r="E979" s="10" t="n">
        <v>30</v>
      </c>
      <c r="F979" s="9" t="n"/>
      <c r="G979" s="11" t="n">
        <v>0</v>
      </c>
      <c r="H979" s="9" t="inlineStr">
        <is>
          <t xml:space="preserve">82020     </t>
        </is>
      </c>
      <c r="I979" s="9" t="inlineStr">
        <is>
          <t xml:space="preserve">Варфоломеев Максим Сергеевич </t>
        </is>
      </c>
      <c r="J979" s="9" t="inlineStr">
        <is>
          <t>доцент</t>
        </is>
      </c>
      <c r="K979" s="9" t="n"/>
      <c r="L979" s="9" t="n"/>
      <c r="M979" s="12">
        <f>SUMIFS($E$2:$E$1130,$A$2:$A$1130,"осень",$I$2:$I$1130,I979)</f>
        <v/>
      </c>
      <c r="N979" s="13">
        <f>SUMIFS($E$2:$E$1130,$A$2:$A$1130,"весна",$I$2:$I$1130,I979)</f>
        <v/>
      </c>
      <c r="O979" s="14">
        <f>M979+N979</f>
        <v/>
      </c>
      <c r="P979" s="15">
        <f>O979/$P$1</f>
        <v/>
      </c>
    </row>
    <row r="980" hidden="1" ht="15.75" customHeight="1" s="2">
      <c r="A980" s="9" t="inlineStr">
        <is>
          <t>весна</t>
        </is>
      </c>
      <c r="B980" s="9" t="inlineStr">
        <is>
          <t>Педагогическая практика</t>
        </is>
      </c>
      <c r="C980" s="9" t="inlineStr">
        <is>
          <t>Практика</t>
        </is>
      </c>
      <c r="D980" s="9" t="inlineStr">
        <is>
          <t>Т11О-107А-20</t>
        </is>
      </c>
      <c r="E980" s="10" t="n">
        <v>30</v>
      </c>
      <c r="F980" s="9" t="n"/>
      <c r="G980" s="11" t="n">
        <v>0</v>
      </c>
      <c r="H980" s="21" t="inlineStr">
        <is>
          <t xml:space="preserve">82061     </t>
        </is>
      </c>
      <c r="I980" s="21" t="inlineStr">
        <is>
          <t xml:space="preserve">Моисеев Виктор Сергеевич </t>
        </is>
      </c>
      <c r="J980" s="9" t="inlineStr">
        <is>
          <t>профессор</t>
        </is>
      </c>
      <c r="K980" s="9" t="n"/>
      <c r="L980" s="21" t="inlineStr">
        <is>
          <t>Жуковский+Митрофанов</t>
        </is>
      </c>
      <c r="M980" s="12">
        <f>SUMIFS($E$2:$E$1130,$A$2:$A$1130,"осень",$I$2:$I$1130,I980)</f>
        <v/>
      </c>
      <c r="N980" s="13">
        <f>SUMIFS($E$2:$E$1130,$A$2:$A$1130,"весна",$I$2:$I$1130,I980)</f>
        <v/>
      </c>
      <c r="O980" s="14">
        <f>M980+N980</f>
        <v/>
      </c>
      <c r="P980" s="15">
        <f>O980/$P$1</f>
        <v/>
      </c>
    </row>
    <row r="981" hidden="1" ht="15.75" customHeight="1" s="2">
      <c r="A981" s="9" t="inlineStr">
        <is>
          <t>весна</t>
        </is>
      </c>
      <c r="B981" s="9" t="inlineStr">
        <is>
          <t>Педагогическая практика</t>
        </is>
      </c>
      <c r="C981" s="9" t="inlineStr">
        <is>
          <t>Практика</t>
        </is>
      </c>
      <c r="D981" s="9" t="inlineStr">
        <is>
          <t>Т1О-310А-18</t>
        </is>
      </c>
      <c r="E981" s="10" t="n">
        <v>30</v>
      </c>
      <c r="F981" s="9" t="n"/>
      <c r="G981" s="11" t="n">
        <v>0</v>
      </c>
      <c r="H981" s="21" t="inlineStr">
        <is>
          <t xml:space="preserve">82061     </t>
        </is>
      </c>
      <c r="I981" s="21" t="inlineStr">
        <is>
          <t xml:space="preserve">Моисеев Виктор Сергеевич </t>
        </is>
      </c>
      <c r="J981" s="9" t="inlineStr">
        <is>
          <t>профессор</t>
        </is>
      </c>
      <c r="K981" s="9" t="n"/>
      <c r="L981" s="21" t="inlineStr">
        <is>
          <t>Захарова (Борунова) Татьяна Ивановна</t>
        </is>
      </c>
      <c r="M981" s="12">
        <f>SUMIFS($E$2:$E$1130,$A$2:$A$1130,"осень",$I$2:$I$1130,I981)</f>
        <v/>
      </c>
      <c r="N981" s="13">
        <f>SUMIFS($E$2:$E$1130,$A$2:$A$1130,"весна",$I$2:$I$1130,I981)</f>
        <v/>
      </c>
      <c r="O981" s="14">
        <f>M981+N981</f>
        <v/>
      </c>
      <c r="P981" s="15">
        <f>O981/$P$1</f>
        <v/>
      </c>
    </row>
    <row r="982" hidden="1" ht="15.75" customHeight="1" s="2">
      <c r="A982" s="9" t="inlineStr">
        <is>
          <t>весна</t>
        </is>
      </c>
      <c r="B982" s="9" t="inlineStr">
        <is>
          <t>Педагогическая практика</t>
        </is>
      </c>
      <c r="C982" s="9" t="inlineStr">
        <is>
          <t>Практика</t>
        </is>
      </c>
      <c r="D982" s="9" t="inlineStr">
        <is>
          <t>Т11О-302А-18</t>
        </is>
      </c>
      <c r="E982" s="10" t="n">
        <v>30</v>
      </c>
      <c r="F982" s="9" t="n"/>
      <c r="G982" s="11" t="n">
        <v>0</v>
      </c>
      <c r="H982" s="21" t="inlineStr">
        <is>
          <t xml:space="preserve">82061     </t>
        </is>
      </c>
      <c r="I982" s="21" t="inlineStr">
        <is>
          <t xml:space="preserve">Моисеев Виктор Сергеевич </t>
        </is>
      </c>
      <c r="J982" s="9" t="n"/>
      <c r="K982" s="9" t="n"/>
      <c r="L982" s="9" t="inlineStr">
        <is>
          <t>Мисников Валерий Евгеньевич</t>
        </is>
      </c>
      <c r="M982" s="12">
        <f>SUMIFS($E$2:$E$1130,$A$2:$A$1130,"осень",$I$2:$I$1130,I982)</f>
        <v/>
      </c>
      <c r="N982" s="13">
        <f>SUMIFS($E$2:$E$1130,$A$2:$A$1130,"весна",$I$2:$I$1130,I982)</f>
        <v/>
      </c>
      <c r="O982" s="14">
        <f>M982+N982</f>
        <v/>
      </c>
      <c r="P982" s="15">
        <f>O982/$P$1</f>
        <v/>
      </c>
    </row>
    <row r="983" hidden="1" ht="15.75" customHeight="1" s="2">
      <c r="A983" s="9" t="inlineStr">
        <is>
          <t>весна</t>
        </is>
      </c>
      <c r="B983" s="9" t="inlineStr">
        <is>
          <t>Педагогическая практика</t>
        </is>
      </c>
      <c r="C983" s="9" t="inlineStr">
        <is>
          <t>Практика</t>
        </is>
      </c>
      <c r="D983" s="9" t="inlineStr">
        <is>
          <t>Т11О-307А-18</t>
        </is>
      </c>
      <c r="E983" s="10" t="n">
        <v>30</v>
      </c>
      <c r="F983" s="9" t="n"/>
      <c r="G983" s="11" t="n">
        <v>0</v>
      </c>
      <c r="H983" s="21" t="inlineStr">
        <is>
          <t xml:space="preserve">82061     </t>
        </is>
      </c>
      <c r="I983" s="21" t="inlineStr">
        <is>
          <t xml:space="preserve">Моисеев Виктор Сергеевич </t>
        </is>
      </c>
      <c r="J983" s="9" t="inlineStr">
        <is>
          <t>профессор</t>
        </is>
      </c>
      <c r="K983" s="9" t="n"/>
      <c r="L983" s="9" t="inlineStr">
        <is>
          <t>Быкадоров Кубатина Иванов</t>
        </is>
      </c>
      <c r="M983" s="12">
        <f>SUMIFS($E$2:$E$1130,$A$2:$A$1130,"осень",$I$2:$I$1130,I983)</f>
        <v/>
      </c>
      <c r="N983" s="13">
        <f>SUMIFS($E$2:$E$1130,$A$2:$A$1130,"весна",$I$2:$I$1130,I983)</f>
        <v/>
      </c>
      <c r="O983" s="14">
        <f>M983+N983</f>
        <v/>
      </c>
      <c r="P983" s="15">
        <f>O983/$P$1</f>
        <v/>
      </c>
    </row>
    <row r="984" hidden="1" ht="15.75" customHeight="1" s="2">
      <c r="A984" s="9" t="inlineStr">
        <is>
          <t>весна</t>
        </is>
      </c>
      <c r="B984" s="9" t="inlineStr">
        <is>
          <t>Педагогическая практика</t>
        </is>
      </c>
      <c r="C984" s="9" t="inlineStr">
        <is>
          <t>Практика</t>
        </is>
      </c>
      <c r="D984" s="9" t="inlineStr">
        <is>
          <t>Т11О-202А-19</t>
        </is>
      </c>
      <c r="E984" s="10" t="n">
        <v>30</v>
      </c>
      <c r="F984" s="9" t="n"/>
      <c r="G984" s="11" t="n">
        <v>0</v>
      </c>
      <c r="H984" s="21" t="inlineStr">
        <is>
          <t xml:space="preserve">82061     </t>
        </is>
      </c>
      <c r="I984" s="21" t="inlineStr">
        <is>
          <t xml:space="preserve">Моисеев Виктор Сергеевич </t>
        </is>
      </c>
      <c r="J984" s="9" t="n"/>
      <c r="K984" s="9" t="n"/>
      <c r="L984" s="9" t="inlineStr">
        <is>
          <t>Степанов Максим Александрович</t>
        </is>
      </c>
      <c r="M984" s="12">
        <f>SUMIFS($E$2:$E$1130,$A$2:$A$1130,"осень",$I$2:$I$1130,I984)</f>
        <v/>
      </c>
      <c r="N984" s="13">
        <f>SUMIFS($E$2:$E$1130,$A$2:$A$1130,"весна",$I$2:$I$1130,I984)</f>
        <v/>
      </c>
      <c r="O984" s="14">
        <f>M984+N984</f>
        <v/>
      </c>
      <c r="P984" s="15">
        <f>O984/$P$1</f>
        <v/>
      </c>
    </row>
    <row r="985" hidden="1" ht="15.75" customHeight="1" s="2">
      <c r="A985" s="9" t="inlineStr">
        <is>
          <t>весна</t>
        </is>
      </c>
      <c r="B985" s="9" t="inlineStr">
        <is>
          <t>Педагогическая практика</t>
        </is>
      </c>
      <c r="C985" s="9" t="inlineStr">
        <is>
          <t>Практика</t>
        </is>
      </c>
      <c r="D985" s="9" t="inlineStr">
        <is>
          <t>Т11О-207А-19</t>
        </is>
      </c>
      <c r="E985" s="10" t="n">
        <v>30</v>
      </c>
      <c r="F985" s="9" t="n"/>
      <c r="G985" s="11" t="n">
        <v>0</v>
      </c>
      <c r="H985" s="21" t="inlineStr">
        <is>
          <t xml:space="preserve">82061     </t>
        </is>
      </c>
      <c r="I985" s="21" t="inlineStr">
        <is>
          <t xml:space="preserve">Моисеев Виктор Сергеевич </t>
        </is>
      </c>
      <c r="J985" s="9" t="inlineStr">
        <is>
          <t>профессор</t>
        </is>
      </c>
      <c r="K985" s="9" t="n"/>
      <c r="L985" s="9" t="inlineStr">
        <is>
          <t>Ярошенко Патрушев Козлов</t>
        </is>
      </c>
      <c r="M985" s="12">
        <f>SUMIFS($E$2:$E$1130,$A$2:$A$1130,"осень",$I$2:$I$1130,I985)</f>
        <v/>
      </c>
      <c r="N985" s="13">
        <f>SUMIFS($E$2:$E$1130,$A$2:$A$1130,"весна",$I$2:$I$1130,I985)</f>
        <v/>
      </c>
      <c r="O985" s="14">
        <f>M985+N985</f>
        <v/>
      </c>
      <c r="P985" s="15">
        <f>O985/$P$1</f>
        <v/>
      </c>
    </row>
    <row r="986" hidden="1" ht="15.75" customHeight="1" s="2">
      <c r="A986" s="9" t="inlineStr">
        <is>
          <t>весна</t>
        </is>
      </c>
      <c r="B986" s="9" t="inlineStr">
        <is>
          <t>Педагогическая практика</t>
        </is>
      </c>
      <c r="C986" s="9" t="inlineStr">
        <is>
          <t>Преддипломная практика</t>
        </is>
      </c>
      <c r="D986" s="9" t="inlineStr">
        <is>
          <t>Т1О-402А-17</t>
        </is>
      </c>
      <c r="E986" s="10" t="n">
        <v>4</v>
      </c>
      <c r="F986" s="9" t="n"/>
      <c r="G986" s="11" t="n">
        <v>0</v>
      </c>
      <c r="H986" s="9" t="inlineStr">
        <is>
          <t xml:space="preserve">92509     </t>
        </is>
      </c>
      <c r="I986" s="9" t="inlineStr">
        <is>
          <t xml:space="preserve">Пашков Игорь Николаевич </t>
        </is>
      </c>
      <c r="J986" s="9" t="n"/>
      <c r="K986" s="9" t="n"/>
      <c r="L986" s="9" t="inlineStr">
        <is>
          <t>Морозов Шаргаев</t>
        </is>
      </c>
      <c r="M986" s="12">
        <f>SUMIFS($E$2:$E$1130,$A$2:$A$1130,"осень",$I$2:$I$1130,I986)</f>
        <v/>
      </c>
      <c r="N986" s="13">
        <f>SUMIFS($E$2:$E$1130,$A$2:$A$1130,"весна",$I$2:$I$1130,I986)</f>
        <v/>
      </c>
      <c r="O986" s="14">
        <f>M986+N986</f>
        <v/>
      </c>
      <c r="P986" s="15">
        <f>O986/$P$1</f>
        <v/>
      </c>
    </row>
    <row r="987" hidden="1" ht="15.75" customHeight="1" s="2">
      <c r="A987" s="9" t="inlineStr">
        <is>
          <t>весна</t>
        </is>
      </c>
      <c r="B987" s="9" t="inlineStr">
        <is>
          <t>Педагогическая практика</t>
        </is>
      </c>
      <c r="C987" s="9" t="inlineStr">
        <is>
          <t>Преддипломная практика</t>
        </is>
      </c>
      <c r="D987" s="9" t="inlineStr">
        <is>
          <t>Т1О-407А-17</t>
        </is>
      </c>
      <c r="E987" s="10" t="n">
        <v>2</v>
      </c>
      <c r="F987" s="9" t="n"/>
      <c r="G987" s="11" t="n">
        <v>0</v>
      </c>
      <c r="H987" s="9" t="inlineStr">
        <is>
          <t xml:space="preserve">82060     </t>
        </is>
      </c>
      <c r="I987" s="9" t="inlineStr">
        <is>
          <t xml:space="preserve">Лозован Александр Александрович </t>
        </is>
      </c>
      <c r="J987" s="9" t="inlineStr">
        <is>
          <t>профессор</t>
        </is>
      </c>
      <c r="K987" s="9" t="n"/>
      <c r="L987" s="9" t="inlineStr">
        <is>
          <t>Павлов</t>
        </is>
      </c>
      <c r="M987" s="12">
        <f>SUMIFS($E$2:$E$1130,$A$2:$A$1130,"осень",$I$2:$I$1130,I987)</f>
        <v/>
      </c>
      <c r="N987" s="13">
        <f>SUMIFS($E$2:$E$1130,$A$2:$A$1130,"весна",$I$2:$I$1130,I987)</f>
        <v/>
      </c>
      <c r="O987" s="14">
        <f>M987+N987</f>
        <v/>
      </c>
      <c r="P987" s="15">
        <f>O987/$P$1</f>
        <v/>
      </c>
    </row>
    <row r="988" hidden="1" ht="15.75" customHeight="1" s="2">
      <c r="A988" s="9" t="inlineStr">
        <is>
          <t>весна</t>
        </is>
      </c>
      <c r="B988" s="21" t="inlineStr">
        <is>
          <t>Преддипломная практика</t>
        </is>
      </c>
      <c r="C988" s="21" t="inlineStr">
        <is>
          <t>Преддипломная практика</t>
        </is>
      </c>
      <c r="D988" s="21" t="inlineStr">
        <is>
          <t>Т1О-401Б-17</t>
        </is>
      </c>
      <c r="E988" s="10" t="n">
        <v>16</v>
      </c>
      <c r="F988" s="9" t="n"/>
      <c r="G988" s="11" t="n">
        <v>0</v>
      </c>
      <c r="H988" s="9" t="n"/>
      <c r="I988" s="31" t="inlineStr">
        <is>
          <t xml:space="preserve">Федоров Сергей Александрович </t>
        </is>
      </c>
      <c r="J988" s="31" t="inlineStr">
        <is>
          <t>доцент</t>
        </is>
      </c>
      <c r="K988" s="9" t="n"/>
      <c r="L988" s="9" t="n"/>
      <c r="M988" s="12">
        <f>SUMIFS($E$2:$E$1130,$A$2:$A$1130,"осень",$I$2:$I$1130,I988)</f>
        <v/>
      </c>
      <c r="N988" s="13">
        <f>SUMIFS($E$2:$E$1130,$A$2:$A$1130,"весна",$I$2:$I$1130,I988)</f>
        <v/>
      </c>
      <c r="O988" s="14">
        <f>M988+N988</f>
        <v/>
      </c>
      <c r="P988" s="15">
        <f>O988/$P$1</f>
        <v/>
      </c>
    </row>
    <row r="989" hidden="1" ht="15.75" customHeight="1" s="2">
      <c r="A989" s="9" t="inlineStr">
        <is>
          <t>весна</t>
        </is>
      </c>
      <c r="B989" s="21" t="inlineStr">
        <is>
          <t>Преддипломная практика</t>
        </is>
      </c>
      <c r="C989" s="21" t="inlineStr">
        <is>
          <t>Преддипломная практика</t>
        </is>
      </c>
      <c r="D989" s="21" t="inlineStr">
        <is>
          <t>Т1О-401Б-17</t>
        </is>
      </c>
      <c r="E989" s="10" t="n">
        <v>16</v>
      </c>
      <c r="F989" s="9" t="n"/>
      <c r="G989" s="11" t="n">
        <v>0</v>
      </c>
      <c r="H989" s="9" t="n"/>
      <c r="I989" s="31" t="inlineStr">
        <is>
          <t xml:space="preserve">Соколов Алексей Викторович </t>
        </is>
      </c>
      <c r="J989" s="31" t="inlineStr">
        <is>
          <t>доцент</t>
        </is>
      </c>
      <c r="K989" s="9" t="n"/>
      <c r="L989" s="9" t="n"/>
      <c r="M989" s="12">
        <f>SUMIFS($E$2:$E$1130,$A$2:$A$1130,"осень",$I$2:$I$1130,I989)</f>
        <v/>
      </c>
      <c r="N989" s="13">
        <f>SUMIFS($E$2:$E$1130,$A$2:$A$1130,"весна",$I$2:$I$1130,I989)</f>
        <v/>
      </c>
      <c r="O989" s="14">
        <f>M989+N989</f>
        <v/>
      </c>
      <c r="P989" s="15">
        <f>O989/$P$1</f>
        <v/>
      </c>
    </row>
    <row r="990" hidden="1" ht="15.75" customHeight="1" s="2">
      <c r="A990" s="9" t="inlineStr">
        <is>
          <t>весна</t>
        </is>
      </c>
      <c r="B990" s="21" t="inlineStr">
        <is>
          <t>Преддипломная практика</t>
        </is>
      </c>
      <c r="C990" s="21" t="inlineStr">
        <is>
          <t>Преддипломная практика</t>
        </is>
      </c>
      <c r="D990" s="21" t="inlineStr">
        <is>
          <t>Т1О-404Б-17</t>
        </is>
      </c>
      <c r="E990" s="23" t="n">
        <v>23</v>
      </c>
      <c r="F990" s="9" t="n"/>
      <c r="G990" s="11" t="n">
        <v>0</v>
      </c>
      <c r="H990" s="9" t="n"/>
      <c r="I990" s="32" t="inlineStr">
        <is>
          <t xml:space="preserve">Галкин Виктор Иванович </t>
        </is>
      </c>
      <c r="J990" s="32" t="inlineStr">
        <is>
          <t>профессор</t>
        </is>
      </c>
      <c r="K990" s="9" t="n"/>
      <c r="L990" s="9" t="n"/>
      <c r="M990" s="12">
        <f>SUMIFS($E$2:$E$1130,$A$2:$A$1130,"осень",$I$2:$I$1130,I990)</f>
        <v/>
      </c>
      <c r="N990" s="13">
        <f>SUMIFS($E$2:$E$1130,$A$2:$A$1130,"весна",$I$2:$I$1130,I990)</f>
        <v/>
      </c>
      <c r="O990" s="14">
        <f>M990+N990</f>
        <v/>
      </c>
      <c r="P990" s="15">
        <f>O990/$P$1</f>
        <v/>
      </c>
    </row>
    <row r="991" hidden="1" ht="15.75" customHeight="1" s="2">
      <c r="A991" s="9" t="inlineStr">
        <is>
          <t>весна</t>
        </is>
      </c>
      <c r="B991" s="21" t="inlineStr">
        <is>
          <t>Преддипломная практика</t>
        </is>
      </c>
      <c r="C991" s="21" t="inlineStr">
        <is>
          <t>Преддипломная практика</t>
        </is>
      </c>
      <c r="D991" s="21" t="inlineStr">
        <is>
          <t>Т1О-404Б-17</t>
        </is>
      </c>
      <c r="E991" s="23" t="n">
        <v>23</v>
      </c>
      <c r="F991" s="9" t="n"/>
      <c r="G991" s="11" t="n">
        <v>0</v>
      </c>
      <c r="H991" s="9" t="n"/>
      <c r="I991" s="32" t="inlineStr">
        <is>
          <t xml:space="preserve">Галкин Евгений Владимирович </t>
        </is>
      </c>
      <c r="J991" s="32" t="inlineStr">
        <is>
          <t>доцент</t>
        </is>
      </c>
      <c r="K991" s="9" t="n"/>
      <c r="L991" s="9" t="n"/>
      <c r="M991" s="12">
        <f>SUMIFS($E$2:$E$1130,$A$2:$A$1130,"осень",$I$2:$I$1130,I991)</f>
        <v/>
      </c>
      <c r="N991" s="13">
        <f>SUMIFS($E$2:$E$1130,$A$2:$A$1130,"весна",$I$2:$I$1130,I991)</f>
        <v/>
      </c>
      <c r="O991" s="14">
        <f>M991+N991</f>
        <v/>
      </c>
      <c r="P991" s="15">
        <f>O991/$P$1</f>
        <v/>
      </c>
    </row>
    <row r="992" hidden="1" ht="15.75" customHeight="1" s="2">
      <c r="A992" s="9" t="inlineStr">
        <is>
          <t>весна</t>
        </is>
      </c>
      <c r="B992" s="21" t="inlineStr">
        <is>
          <t>Преддипломная практика</t>
        </is>
      </c>
      <c r="C992" s="21" t="inlineStr">
        <is>
          <t>Преддипломная практика</t>
        </is>
      </c>
      <c r="D992" s="21" t="inlineStr">
        <is>
          <t>Т1О-402Б-17</t>
        </is>
      </c>
      <c r="E992" s="23" t="n">
        <v>2</v>
      </c>
      <c r="F992" s="9" t="n"/>
      <c r="G992" s="11" t="n">
        <v>0</v>
      </c>
      <c r="H992" s="9" t="n"/>
      <c r="I992" s="33" t="inlineStr">
        <is>
          <t xml:space="preserve">Варфоломеев Максим Сергеевич </t>
        </is>
      </c>
      <c r="J992" s="9" t="n"/>
      <c r="K992" s="9" t="n"/>
      <c r="L992" s="9" t="n"/>
      <c r="M992" s="12">
        <f>SUMIFS($E$2:$E$1130,$A$2:$A$1130,"осень",$I$2:$I$1130,I992)</f>
        <v/>
      </c>
      <c r="N992" s="13">
        <f>SUMIFS($E$2:$E$1130,$A$2:$A$1130,"весна",$I$2:$I$1130,I992)</f>
        <v/>
      </c>
      <c r="O992" s="14">
        <f>M992+N992</f>
        <v/>
      </c>
      <c r="P992" s="15">
        <f>O992/$P$1</f>
        <v/>
      </c>
    </row>
    <row r="993" hidden="1" ht="15.75" customHeight="1" s="2">
      <c r="A993" s="9" t="inlineStr">
        <is>
          <t>весна</t>
        </is>
      </c>
      <c r="B993" s="21" t="inlineStr">
        <is>
          <t>Преддипломная практика</t>
        </is>
      </c>
      <c r="C993" s="21" t="inlineStr">
        <is>
          <t>Преддипломная практика</t>
        </is>
      </c>
      <c r="D993" s="21" t="inlineStr">
        <is>
          <t>Т1О-402Б-17</t>
        </is>
      </c>
      <c r="E993" s="23" t="n">
        <v>2</v>
      </c>
      <c r="F993" s="9" t="n"/>
      <c r="G993" s="11" t="n">
        <v>0</v>
      </c>
      <c r="H993" s="9" t="n"/>
      <c r="I993" s="33" t="inlineStr">
        <is>
          <t>Бережной Дмитрий Васильевич</t>
        </is>
      </c>
      <c r="J993" s="9" t="n"/>
      <c r="K993" s="9" t="n"/>
      <c r="L993" s="9" t="n"/>
      <c r="M993" s="12">
        <f>SUMIFS($E$2:$E$1130,$A$2:$A$1130,"осень",$I$2:$I$1130,I993)</f>
        <v/>
      </c>
      <c r="N993" s="13">
        <f>SUMIFS($E$2:$E$1130,$A$2:$A$1130,"весна",$I$2:$I$1130,I993)</f>
        <v/>
      </c>
      <c r="O993" s="14">
        <f>M993+N993</f>
        <v/>
      </c>
      <c r="P993" s="15">
        <f>O993/$P$1</f>
        <v/>
      </c>
    </row>
    <row r="994" hidden="1" ht="15.75" customHeight="1" s="2">
      <c r="A994" s="9" t="inlineStr">
        <is>
          <t>весна</t>
        </is>
      </c>
      <c r="B994" s="21" t="inlineStr">
        <is>
          <t>Преддипломная практика</t>
        </is>
      </c>
      <c r="C994" s="21" t="inlineStr">
        <is>
          <t>Преддипломная практика</t>
        </is>
      </c>
      <c r="D994" s="21" t="inlineStr">
        <is>
          <t>Т1О-402Б-17</t>
        </is>
      </c>
      <c r="E994" s="23" t="n">
        <v>2</v>
      </c>
      <c r="F994" s="9" t="n"/>
      <c r="G994" s="11" t="n">
        <v>0</v>
      </c>
      <c r="H994" s="9" t="n"/>
      <c r="I994" s="9" t="inlineStr">
        <is>
          <t xml:space="preserve">Смыков Андрей Федорович </t>
        </is>
      </c>
      <c r="J994" s="9" t="n"/>
      <c r="K994" s="9" t="n"/>
      <c r="L994" s="9" t="n"/>
      <c r="M994" s="12">
        <f>SUMIFS($E$2:$E$1130,$A$2:$A$1130,"осень",$I$2:$I$1130,I994)</f>
        <v/>
      </c>
      <c r="N994" s="13">
        <f>SUMIFS($E$2:$E$1130,$A$2:$A$1130,"весна",$I$2:$I$1130,I994)</f>
        <v/>
      </c>
      <c r="O994" s="14">
        <f>M994+N994</f>
        <v/>
      </c>
      <c r="P994" s="15">
        <f>O994/$P$1</f>
        <v/>
      </c>
    </row>
    <row r="995" hidden="1" ht="15.75" customHeight="1" s="2">
      <c r="A995" s="9" t="inlineStr">
        <is>
          <t>весна</t>
        </is>
      </c>
      <c r="B995" s="21" t="inlineStr">
        <is>
          <t>Преддипломная практика</t>
        </is>
      </c>
      <c r="C995" s="21" t="inlineStr">
        <is>
          <t>Преддипломная практика</t>
        </is>
      </c>
      <c r="D995" s="21" t="inlineStr">
        <is>
          <t>Т1О-402Б-17</t>
        </is>
      </c>
      <c r="E995" s="23" t="n">
        <v>11</v>
      </c>
      <c r="F995" s="9" t="n"/>
      <c r="G995" s="11" t="n">
        <v>0</v>
      </c>
      <c r="H995" s="9" t="n"/>
      <c r="I995" s="9" t="inlineStr">
        <is>
          <t xml:space="preserve">Моисеев Виктор Сергеевич </t>
        </is>
      </c>
      <c r="J995" s="9" t="n"/>
      <c r="K995" s="9" t="n"/>
      <c r="L995" s="9" t="n"/>
      <c r="M995" s="12">
        <f>SUMIFS($E$2:$E$1130,$A$2:$A$1130,"осень",$I$2:$I$1130,I995)</f>
        <v/>
      </c>
      <c r="N995" s="13">
        <f>SUMIFS($E$2:$E$1130,$A$2:$A$1130,"весна",$I$2:$I$1130,I995)</f>
        <v/>
      </c>
      <c r="O995" s="14">
        <f>M995+N995</f>
        <v/>
      </c>
      <c r="P995" s="15">
        <f>O995/$P$1</f>
        <v/>
      </c>
    </row>
    <row r="996" hidden="1" ht="15.75" customHeight="1" s="2">
      <c r="A996" s="9" t="inlineStr">
        <is>
          <t>весна</t>
        </is>
      </c>
      <c r="B996" s="21" t="inlineStr">
        <is>
          <t>Преддипломная практика</t>
        </is>
      </c>
      <c r="C996" s="21" t="inlineStr">
        <is>
          <t>Преддипломная практика</t>
        </is>
      </c>
      <c r="D996" s="21" t="inlineStr">
        <is>
          <t>Т1О-402Б-17</t>
        </is>
      </c>
      <c r="E996" s="23" t="n">
        <v>10</v>
      </c>
      <c r="F996" s="9" t="n"/>
      <c r="G996" s="11" t="n">
        <v>0</v>
      </c>
      <c r="H996" s="9" t="n"/>
      <c r="I996" s="9" t="inlineStr">
        <is>
          <t xml:space="preserve">Барабанова Ольга Алексеевна </t>
        </is>
      </c>
      <c r="J996" s="9" t="n"/>
      <c r="K996" s="9" t="n"/>
      <c r="L996" s="9" t="n"/>
      <c r="M996" s="12">
        <f>SUMIFS($E$2:$E$1130,$A$2:$A$1130,"осень",$I$2:$I$1130,I996)</f>
        <v/>
      </c>
      <c r="N996" s="13">
        <f>SUMIFS($E$2:$E$1130,$A$2:$A$1130,"весна",$I$2:$I$1130,I996)</f>
        <v/>
      </c>
      <c r="O996" s="14">
        <f>M996+N996</f>
        <v/>
      </c>
      <c r="P996" s="15">
        <f>O996/$P$1</f>
        <v/>
      </c>
    </row>
    <row r="997" hidden="1" ht="15.75" customHeight="1" s="2">
      <c r="A997" s="9" t="inlineStr">
        <is>
          <t>весна</t>
        </is>
      </c>
      <c r="B997" s="21" t="inlineStr">
        <is>
          <t>Преддипломная практика</t>
        </is>
      </c>
      <c r="C997" s="21" t="inlineStr">
        <is>
          <t>Преддипломная практика</t>
        </is>
      </c>
      <c r="D997" s="21" t="inlineStr">
        <is>
          <t>Т1О-402Б-17</t>
        </is>
      </c>
      <c r="E997" s="23" t="n">
        <v>7</v>
      </c>
      <c r="F997" s="9" t="n"/>
      <c r="G997" s="11" t="n">
        <v>0</v>
      </c>
      <c r="H997" s="9" t="n"/>
      <c r="I997" s="9" t="inlineStr">
        <is>
          <t xml:space="preserve">Серов Михаил Михайлович </t>
        </is>
      </c>
      <c r="J997" s="9" t="n"/>
      <c r="K997" s="9" t="n"/>
      <c r="L997" s="9" t="n"/>
      <c r="M997" s="12">
        <f>SUMIFS($E$2:$E$1130,$A$2:$A$1130,"осень",$I$2:$I$1130,I997)</f>
        <v/>
      </c>
      <c r="N997" s="13">
        <f>SUMIFS($E$2:$E$1130,$A$2:$A$1130,"весна",$I$2:$I$1130,I997)</f>
        <v/>
      </c>
      <c r="O997" s="14">
        <f>M997+N997</f>
        <v/>
      </c>
      <c r="P997" s="15">
        <f>O997/$P$1</f>
        <v/>
      </c>
    </row>
    <row r="998" hidden="1" ht="15.75" customHeight="1" s="2">
      <c r="A998" s="9" t="inlineStr">
        <is>
          <t>весна</t>
        </is>
      </c>
      <c r="B998" s="21" t="inlineStr">
        <is>
          <t>Преддипломная практика</t>
        </is>
      </c>
      <c r="C998" s="21" t="inlineStr">
        <is>
          <t>Преддипломная практика</t>
        </is>
      </c>
      <c r="D998" s="21" t="inlineStr">
        <is>
          <t>Т1В-516Б-16</t>
        </is>
      </c>
      <c r="E998" s="23" t="n">
        <v>36</v>
      </c>
      <c r="F998" s="9" t="n"/>
      <c r="G998" s="11" t="n">
        <v>0</v>
      </c>
      <c r="H998" s="9" t="n"/>
      <c r="I998" s="9" t="inlineStr">
        <is>
          <t xml:space="preserve">Соколов Алексей Викторович </t>
        </is>
      </c>
      <c r="J998" s="9" t="n"/>
      <c r="K998" s="9" t="inlineStr">
        <is>
          <t>председ</t>
        </is>
      </c>
      <c r="L998" s="9" t="n"/>
      <c r="M998" s="12">
        <f>SUMIFS($E$2:$E$1130,$A$2:$A$1130,"осень",$I$2:$I$1130,I998)</f>
        <v/>
      </c>
      <c r="N998" s="13">
        <f>SUMIFS($E$2:$E$1130,$A$2:$A$1130,"весна",$I$2:$I$1130,I998)</f>
        <v/>
      </c>
      <c r="O998" s="14">
        <f>M998+N998</f>
        <v/>
      </c>
      <c r="P998" s="15">
        <f>O998/$P$1</f>
        <v/>
      </c>
    </row>
    <row r="999" hidden="1" ht="15.75" customHeight="1" s="2">
      <c r="A999" s="9" t="inlineStr">
        <is>
          <t>весна</t>
        </is>
      </c>
      <c r="B999" s="21" t="inlineStr">
        <is>
          <t>Преддипломная практика</t>
        </is>
      </c>
      <c r="C999" s="21" t="inlineStr">
        <is>
          <t>Преддипломная практика</t>
        </is>
      </c>
      <c r="D999" s="21" t="inlineStr">
        <is>
          <t>Т11О-201М-19</t>
        </is>
      </c>
      <c r="E999" s="10" t="n">
        <v>5</v>
      </c>
      <c r="F999" s="9" t="n"/>
      <c r="G999" s="11" t="n">
        <v>0</v>
      </c>
      <c r="H999" s="9" t="n"/>
      <c r="I999" s="24" t="inlineStr">
        <is>
          <t xml:space="preserve">Беспалов Александр Владимирович </t>
        </is>
      </c>
      <c r="J999" s="24" t="inlineStr">
        <is>
          <t>доцент</t>
        </is>
      </c>
      <c r="K999" s="9" t="n"/>
      <c r="L999" s="9" t="n"/>
      <c r="M999" s="12">
        <f>SUMIFS($E$2:$E$1130,$A$2:$A$1130,"осень",$I$2:$I$1130,I999)</f>
        <v/>
      </c>
      <c r="N999" s="13">
        <f>SUMIFS($E$2:$E$1130,$A$2:$A$1130,"весна",$I$2:$I$1130,I999)</f>
        <v/>
      </c>
      <c r="O999" s="14">
        <f>M999+N999</f>
        <v/>
      </c>
      <c r="P999" s="15">
        <f>O999/$P$1</f>
        <v/>
      </c>
    </row>
    <row r="1000" hidden="1" ht="15.75" customHeight="1" s="2">
      <c r="A1000" s="9" t="inlineStr">
        <is>
          <t>весна</t>
        </is>
      </c>
      <c r="B1000" s="21" t="inlineStr">
        <is>
          <t>Преддипломная практика</t>
        </is>
      </c>
      <c r="C1000" s="21" t="inlineStr">
        <is>
          <t>Преддипломная практика</t>
        </is>
      </c>
      <c r="D1000" s="21" t="inlineStr">
        <is>
          <t>Т11О-201М-19</t>
        </is>
      </c>
      <c r="E1000" s="10" t="n">
        <v>5</v>
      </c>
      <c r="F1000" s="9" t="n"/>
      <c r="G1000" s="11" t="n">
        <v>0</v>
      </c>
      <c r="H1000" s="9" t="n"/>
      <c r="I1000" s="9" t="inlineStr">
        <is>
          <t xml:space="preserve">Галкин Виктор Иванович </t>
        </is>
      </c>
      <c r="J1000" s="34" t="inlineStr">
        <is>
          <t>профессор</t>
        </is>
      </c>
      <c r="K1000" s="9" t="n"/>
      <c r="L1000" s="9" t="n"/>
      <c r="M1000" s="12">
        <f>SUMIFS($E$2:$E$1130,$A$2:$A$1130,"осень",$I$2:$I$1130,I1000)</f>
        <v/>
      </c>
      <c r="N1000" s="13">
        <f>SUMIFS($E$2:$E$1130,$A$2:$A$1130,"весна",$I$2:$I$1130,I1000)</f>
        <v/>
      </c>
      <c r="O1000" s="14">
        <f>M1000+N1000</f>
        <v/>
      </c>
      <c r="P1000" s="15">
        <f>O1000/$P$1</f>
        <v/>
      </c>
    </row>
    <row r="1001" hidden="1" ht="15.75" customHeight="1" s="2">
      <c r="A1001" s="9" t="inlineStr">
        <is>
          <t>весна</t>
        </is>
      </c>
      <c r="B1001" s="21" t="inlineStr">
        <is>
          <t>Преддипломная практика</t>
        </is>
      </c>
      <c r="C1001" s="21" t="inlineStr">
        <is>
          <t>Преддипломная практика</t>
        </is>
      </c>
      <c r="D1001" s="21" t="inlineStr">
        <is>
          <t>Т11О-201М-19</t>
        </is>
      </c>
      <c r="E1001" s="10" t="n">
        <v>5</v>
      </c>
      <c r="F1001" s="9" t="n"/>
      <c r="G1001" s="11" t="n">
        <v>0</v>
      </c>
      <c r="H1001" s="9" t="n"/>
      <c r="I1001" s="35" t="inlineStr">
        <is>
          <t xml:space="preserve">Шленский Алексей Геннадьевич </t>
        </is>
      </c>
      <c r="J1001" s="9" t="inlineStr">
        <is>
          <t>доцент</t>
        </is>
      </c>
      <c r="K1001" s="9" t="n"/>
      <c r="L1001" s="9" t="n"/>
      <c r="M1001" s="12">
        <f>SUMIFS($E$2:$E$1130,$A$2:$A$1130,"осень",$I$2:$I$1130,I1001)</f>
        <v/>
      </c>
      <c r="N1001" s="13">
        <f>SUMIFS($E$2:$E$1130,$A$2:$A$1130,"весна",$I$2:$I$1130,I1001)</f>
        <v/>
      </c>
      <c r="O1001" s="14">
        <f>M1001+N1001</f>
        <v/>
      </c>
      <c r="P1001" s="15">
        <f>O1001/$P$1</f>
        <v/>
      </c>
    </row>
    <row r="1002" hidden="1" ht="15.75" customHeight="1" s="2">
      <c r="A1002" s="9" t="inlineStr">
        <is>
          <t>весна</t>
        </is>
      </c>
      <c r="B1002" s="21" t="inlineStr">
        <is>
          <t>Преддипломная практика</t>
        </is>
      </c>
      <c r="C1002" s="21" t="inlineStr">
        <is>
          <t>Преддипломная практика</t>
        </is>
      </c>
      <c r="D1002" s="21" t="inlineStr">
        <is>
          <t>Т11О-201М-19</t>
        </is>
      </c>
      <c r="E1002" s="10" t="n">
        <v>5</v>
      </c>
      <c r="F1002" s="9" t="n"/>
      <c r="G1002" s="11" t="n">
        <v>0</v>
      </c>
      <c r="H1002" s="9" t="n"/>
      <c r="I1002" s="36" t="inlineStr">
        <is>
          <t xml:space="preserve">Соколов Алексей Викторович </t>
        </is>
      </c>
      <c r="J1002" s="9" t="inlineStr">
        <is>
          <t>доцент</t>
        </is>
      </c>
      <c r="K1002" s="9" t="n"/>
      <c r="L1002" s="9" t="n"/>
      <c r="M1002" s="12">
        <f>SUMIFS($E$2:$E$1130,$A$2:$A$1130,"осень",$I$2:$I$1130,I1002)</f>
        <v/>
      </c>
      <c r="N1002" s="13">
        <f>SUMIFS($E$2:$E$1130,$A$2:$A$1130,"весна",$I$2:$I$1130,I1002)</f>
        <v/>
      </c>
      <c r="O1002" s="14">
        <f>M1002+N1002</f>
        <v/>
      </c>
      <c r="P1002" s="15">
        <f>O1002/$P$1</f>
        <v/>
      </c>
    </row>
    <row r="1003" hidden="1" ht="15.75" customHeight="1" s="2">
      <c r="A1003" s="9" t="inlineStr">
        <is>
          <t>весна</t>
        </is>
      </c>
      <c r="B1003" s="21" t="inlineStr">
        <is>
          <t>Преддипломная практика</t>
        </is>
      </c>
      <c r="C1003" s="21" t="inlineStr">
        <is>
          <t>Преддипломная практика</t>
        </is>
      </c>
      <c r="D1003" s="21" t="inlineStr">
        <is>
          <t>Т11О-201М-19</t>
        </is>
      </c>
      <c r="E1003" s="10" t="n">
        <v>5</v>
      </c>
      <c r="F1003" s="9" t="n"/>
      <c r="G1003" s="11" t="n">
        <v>0</v>
      </c>
      <c r="H1003" s="9" t="n"/>
      <c r="I1003" s="9" t="inlineStr">
        <is>
          <t xml:space="preserve">Галкин Виктор Иванович </t>
        </is>
      </c>
      <c r="J1003" s="34" t="inlineStr">
        <is>
          <t>профессор</t>
        </is>
      </c>
      <c r="K1003" s="9" t="n"/>
      <c r="L1003" s="9" t="n"/>
      <c r="M1003" s="12">
        <f>SUMIFS($E$2:$E$1130,$A$2:$A$1130,"осень",$I$2:$I$1130,I1003)</f>
        <v/>
      </c>
      <c r="N1003" s="13">
        <f>SUMIFS($E$2:$E$1130,$A$2:$A$1130,"весна",$I$2:$I$1130,I1003)</f>
        <v/>
      </c>
      <c r="O1003" s="14">
        <f>M1003+N1003</f>
        <v/>
      </c>
      <c r="P1003" s="15">
        <f>O1003/$P$1</f>
        <v/>
      </c>
    </row>
    <row r="1004" hidden="1" ht="15.75" customHeight="1" s="2">
      <c r="A1004" s="9" t="inlineStr">
        <is>
          <t>весна</t>
        </is>
      </c>
      <c r="B1004" s="21" t="inlineStr">
        <is>
          <t>Преддипломная практика</t>
        </is>
      </c>
      <c r="C1004" s="21" t="inlineStr">
        <is>
          <t>Преддипломная практика</t>
        </is>
      </c>
      <c r="D1004" s="21" t="inlineStr">
        <is>
          <t>Т11О-202М-19</t>
        </is>
      </c>
      <c r="E1004" s="23" t="n">
        <v>3</v>
      </c>
      <c r="F1004" s="9" t="n"/>
      <c r="G1004" s="11" t="n"/>
      <c r="H1004" s="9" t="n"/>
      <c r="I1004" s="9" t="inlineStr">
        <is>
          <t xml:space="preserve">Петров Игорь Алексеевич </t>
        </is>
      </c>
      <c r="J1004" s="9" t="inlineStr">
        <is>
          <t>доцент</t>
        </is>
      </c>
      <c r="K1004" s="9" t="n"/>
      <c r="L1004" s="9" t="n"/>
      <c r="M1004" s="12">
        <f>SUMIFS($E$2:$E$1130,$A$2:$A$1130,"осень",$I$2:$I$1130,I1004)</f>
        <v/>
      </c>
      <c r="N1004" s="13">
        <f>SUMIFS($E$2:$E$1130,$A$2:$A$1130,"весна",$I$2:$I$1130,I1004)</f>
        <v/>
      </c>
      <c r="O1004" s="14">
        <f>M1004+N1004</f>
        <v/>
      </c>
      <c r="P1004" s="15">
        <f>O1004/$P$1</f>
        <v/>
      </c>
    </row>
    <row r="1005" hidden="1" ht="15.75" customHeight="1" s="2">
      <c r="A1005" s="9" t="inlineStr">
        <is>
          <t>весна</t>
        </is>
      </c>
      <c r="B1005" s="21" t="inlineStr">
        <is>
          <t>Преддипломная практика</t>
        </is>
      </c>
      <c r="C1005" s="21" t="inlineStr">
        <is>
          <t>Преддипломная практика</t>
        </is>
      </c>
      <c r="D1005" s="21" t="inlineStr">
        <is>
          <t>Т11О-202М-19</t>
        </is>
      </c>
      <c r="E1005" s="23" t="n">
        <v>3</v>
      </c>
      <c r="F1005" s="9" t="n"/>
      <c r="G1005" s="11" t="n"/>
      <c r="H1005" s="9" t="n"/>
      <c r="I1005" s="9" t="inlineStr">
        <is>
          <t xml:space="preserve">Варфоломеев Максим Сергеевич </t>
        </is>
      </c>
      <c r="J1005" s="37" t="n"/>
      <c r="K1005" s="9" t="n"/>
      <c r="L1005" s="9" t="n"/>
      <c r="M1005" s="12">
        <f>SUMIFS($E$2:$E$1130,$A$2:$A$1130,"осень",$I$2:$I$1130,I1005)</f>
        <v/>
      </c>
      <c r="N1005" s="13">
        <f>SUMIFS($E$2:$E$1130,$A$2:$A$1130,"весна",$I$2:$I$1130,I1005)</f>
        <v/>
      </c>
      <c r="O1005" s="14">
        <f>M1005+N1005</f>
        <v/>
      </c>
      <c r="P1005" s="15">
        <f>O1005/$P$1</f>
        <v/>
      </c>
    </row>
    <row r="1006" hidden="1" ht="15.75" customHeight="1" s="2">
      <c r="A1006" s="9" t="inlineStr">
        <is>
          <t>весна</t>
        </is>
      </c>
      <c r="B1006" s="21" t="inlineStr">
        <is>
          <t>Преддипломная практика</t>
        </is>
      </c>
      <c r="C1006" s="21" t="inlineStr">
        <is>
          <t>Преддипломная практика</t>
        </is>
      </c>
      <c r="D1006" s="21" t="inlineStr">
        <is>
          <t>Т11О-202М-19</t>
        </is>
      </c>
      <c r="E1006" s="23" t="n">
        <v>3</v>
      </c>
      <c r="F1006" s="9" t="n"/>
      <c r="G1006" s="11" t="n"/>
      <c r="H1006" s="9" t="n"/>
      <c r="I1006" s="9" t="inlineStr">
        <is>
          <t xml:space="preserve">Смыков Андрей Федорович </t>
        </is>
      </c>
      <c r="J1006" s="37" t="n"/>
      <c r="K1006" s="9" t="n"/>
      <c r="L1006" s="9" t="n"/>
      <c r="M1006" s="12">
        <f>SUMIFS($E$2:$E$1130,$A$2:$A$1130,"осень",$I$2:$I$1130,I1006)</f>
        <v/>
      </c>
      <c r="N1006" s="13">
        <f>SUMIFS($E$2:$E$1130,$A$2:$A$1130,"весна",$I$2:$I$1130,I1006)</f>
        <v/>
      </c>
      <c r="O1006" s="14">
        <f>M1006+N1006</f>
        <v/>
      </c>
      <c r="P1006" s="15">
        <f>O1006/$P$1</f>
        <v/>
      </c>
    </row>
    <row r="1007" hidden="1" ht="15.75" customHeight="1" s="2">
      <c r="A1007" s="9" t="inlineStr">
        <is>
          <t>весна</t>
        </is>
      </c>
      <c r="B1007" s="21" t="inlineStr">
        <is>
          <t>Преддипломная практика</t>
        </is>
      </c>
      <c r="C1007" s="21" t="inlineStr">
        <is>
          <t>Преддипломная практика</t>
        </is>
      </c>
      <c r="D1007" s="21" t="inlineStr">
        <is>
          <t>Т11О-202М-19</t>
        </is>
      </c>
      <c r="E1007" s="23" t="n">
        <v>12</v>
      </c>
      <c r="F1007" s="9" t="n"/>
      <c r="G1007" s="11" t="n"/>
      <c r="H1007" s="9" t="n"/>
      <c r="I1007" s="38" t="inlineStr">
        <is>
          <t xml:space="preserve">Моисеев Виктор Сергеевич </t>
        </is>
      </c>
      <c r="J1007" s="37" t="n"/>
      <c r="K1007" s="9" t="n"/>
      <c r="L1007" s="9" t="n"/>
      <c r="M1007" s="12">
        <f>SUMIFS($E$2:$E$1130,$A$2:$A$1130,"осень",$I$2:$I$1130,I1007)</f>
        <v/>
      </c>
      <c r="N1007" s="13">
        <f>SUMIFS($E$2:$E$1130,$A$2:$A$1130,"весна",$I$2:$I$1130,I1007)</f>
        <v/>
      </c>
      <c r="O1007" s="14">
        <f>M1007+N1007</f>
        <v/>
      </c>
      <c r="P1007" s="15">
        <f>O1007/$P$1</f>
        <v/>
      </c>
    </row>
    <row r="1008" hidden="1" ht="15.75" customHeight="1" s="2">
      <c r="A1008" s="9" t="inlineStr">
        <is>
          <t>весна</t>
        </is>
      </c>
      <c r="B1008" s="21" t="inlineStr">
        <is>
          <t>Преддипломная практика</t>
        </is>
      </c>
      <c r="C1008" s="21" t="inlineStr">
        <is>
          <t>Преддипломная практика</t>
        </is>
      </c>
      <c r="D1008" s="21" t="inlineStr">
        <is>
          <t>Т11О-203М-19</t>
        </is>
      </c>
      <c r="E1008" s="10" t="n">
        <v>5</v>
      </c>
      <c r="F1008" s="9" t="n"/>
      <c r="G1008" s="11" t="n">
        <v>0</v>
      </c>
      <c r="H1008" s="9" t="n"/>
      <c r="I1008" s="39" t="inlineStr">
        <is>
          <t xml:space="preserve">Конкевич Валентин Юрьевич </t>
        </is>
      </c>
      <c r="J1008" s="9" t="n"/>
      <c r="K1008" s="9" t="n"/>
      <c r="L1008" s="9" t="n"/>
      <c r="M1008" s="12">
        <f>SUMIFS($E$2:$E$1130,$A$2:$A$1130,"осень",$I$2:$I$1130,I1008)</f>
        <v/>
      </c>
      <c r="N1008" s="13">
        <f>SUMIFS($E$2:$E$1130,$A$2:$A$1130,"весна",$I$2:$I$1130,I1008)</f>
        <v/>
      </c>
      <c r="O1008" s="14">
        <f>M1008+N1008</f>
        <v/>
      </c>
      <c r="P1008" s="15">
        <f>O1008/$P$1</f>
        <v/>
      </c>
    </row>
    <row r="1009" hidden="1" ht="15.75" customHeight="1" s="2">
      <c r="A1009" s="9" t="inlineStr">
        <is>
          <t>весна</t>
        </is>
      </c>
      <c r="B1009" s="21" t="inlineStr">
        <is>
          <t>Преддипломная практика</t>
        </is>
      </c>
      <c r="C1009" s="21" t="inlineStr">
        <is>
          <t>Преддипломная практика</t>
        </is>
      </c>
      <c r="D1009" s="21" t="inlineStr">
        <is>
          <t>Т11О-203М-19</t>
        </is>
      </c>
      <c r="E1009" s="10" t="n">
        <v>10</v>
      </c>
      <c r="F1009" s="9" t="n"/>
      <c r="G1009" s="11" t="n">
        <v>0</v>
      </c>
      <c r="H1009" s="9" t="n"/>
      <c r="I1009" s="39" t="inlineStr">
        <is>
          <t xml:space="preserve">Лозован Александр Александрович </t>
        </is>
      </c>
      <c r="J1009" s="9" t="n"/>
      <c r="K1009" s="9" t="n"/>
      <c r="L1009" s="9" t="n"/>
      <c r="M1009" s="12">
        <f>SUMIFS($E$2:$E$1130,$A$2:$A$1130,"осень",$I$2:$I$1130,I1009)</f>
        <v/>
      </c>
      <c r="N1009" s="13">
        <f>SUMIFS($E$2:$E$1130,$A$2:$A$1130,"весна",$I$2:$I$1130,I1009)</f>
        <v/>
      </c>
      <c r="O1009" s="14">
        <f>M1009+N1009</f>
        <v/>
      </c>
      <c r="P1009" s="15">
        <f>O1009/$P$1</f>
        <v/>
      </c>
    </row>
    <row r="1010" hidden="1" ht="15.75" customHeight="1" s="2">
      <c r="A1010" s="9" t="inlineStr">
        <is>
          <t>весна</t>
        </is>
      </c>
      <c r="B1010" s="21" t="inlineStr">
        <is>
          <t>Преддипломная практика</t>
        </is>
      </c>
      <c r="C1010" s="21" t="inlineStr">
        <is>
          <t>Преддипломная практика</t>
        </is>
      </c>
      <c r="D1010" s="21" t="inlineStr">
        <is>
          <t>Т11О-203М-19</t>
        </is>
      </c>
      <c r="E1010" s="10" t="n">
        <v>5</v>
      </c>
      <c r="F1010" s="9" t="n"/>
      <c r="G1010" s="11" t="n">
        <v>0</v>
      </c>
      <c r="H1010" s="9" t="n"/>
      <c r="I1010" s="39" t="inlineStr">
        <is>
          <t xml:space="preserve">Серов Михаил Михайлович </t>
        </is>
      </c>
      <c r="J1010" s="9" t="n"/>
      <c r="K1010" s="9" t="n"/>
      <c r="L1010" s="9" t="n"/>
      <c r="M1010" s="12">
        <f>SUMIFS($E$2:$E$1130,$A$2:$A$1130,"осень",$I$2:$I$1130,I1010)</f>
        <v/>
      </c>
      <c r="N1010" s="13">
        <f>SUMIFS($E$2:$E$1130,$A$2:$A$1130,"весна",$I$2:$I$1130,I1010)</f>
        <v/>
      </c>
      <c r="O1010" s="14">
        <f>M1010+N1010</f>
        <v/>
      </c>
      <c r="P1010" s="15">
        <f>O1010/$P$1</f>
        <v/>
      </c>
    </row>
    <row r="1011" hidden="1" ht="15.75" customHeight="1" s="2">
      <c r="A1011" s="9" t="inlineStr">
        <is>
          <t>весна</t>
        </is>
      </c>
      <c r="B1011" s="21" t="inlineStr">
        <is>
          <t>Преддипломная практика</t>
        </is>
      </c>
      <c r="C1011" s="21" t="inlineStr">
        <is>
          <t>Преддипломная практика</t>
        </is>
      </c>
      <c r="D1011" s="21" t="inlineStr">
        <is>
          <t>Т11О-203М-19</t>
        </is>
      </c>
      <c r="E1011" s="10" t="n">
        <v>5</v>
      </c>
      <c r="F1011" s="9" t="n"/>
      <c r="G1011" s="11" t="n">
        <v>0</v>
      </c>
      <c r="H1011" s="9" t="n"/>
      <c r="I1011" s="39" t="inlineStr">
        <is>
          <t xml:space="preserve">Пашков Игорь Николаевич </t>
        </is>
      </c>
      <c r="J1011" s="9" t="n"/>
      <c r="K1011" s="9" t="n"/>
      <c r="L1011" s="9" t="n"/>
      <c r="M1011" s="12">
        <f>SUMIFS($E$2:$E$1130,$A$2:$A$1130,"осень",$I$2:$I$1130,I1011)</f>
        <v/>
      </c>
      <c r="N1011" s="13">
        <f>SUMIFS($E$2:$E$1130,$A$2:$A$1130,"весна",$I$2:$I$1130,I1011)</f>
        <v/>
      </c>
      <c r="O1011" s="14">
        <f>M1011+N1011</f>
        <v/>
      </c>
      <c r="P1011" s="15">
        <f>O1011/$P$1</f>
        <v/>
      </c>
    </row>
    <row r="1012" hidden="1" ht="15.75" customHeight="1" s="2">
      <c r="A1012" s="9" t="inlineStr">
        <is>
          <t>весна</t>
        </is>
      </c>
      <c r="B1012" s="21" t="inlineStr">
        <is>
          <t>Преддипломная практика</t>
        </is>
      </c>
      <c r="C1012" s="21" t="inlineStr">
        <is>
          <t>Преддипломная практика</t>
        </is>
      </c>
      <c r="D1012" s="21" t="inlineStr">
        <is>
          <t>Т11О-204М-19</t>
        </is>
      </c>
      <c r="E1012" s="23" t="n">
        <v>8</v>
      </c>
      <c r="F1012" s="9" t="n"/>
      <c r="G1012" s="11" t="n">
        <v>0</v>
      </c>
      <c r="H1012" s="9" t="n"/>
      <c r="I1012" s="40" t="inlineStr">
        <is>
          <t xml:space="preserve">Никитина Елена Владимировна </t>
        </is>
      </c>
      <c r="J1012" s="34" t="inlineStr">
        <is>
          <t>профессор</t>
        </is>
      </c>
      <c r="K1012" s="9" t="n"/>
      <c r="L1012" s="9" t="n"/>
      <c r="M1012" s="12">
        <f>SUMIFS($E$2:$E$1130,$A$2:$A$1130,"осень",$I$2:$I$1130,I1012)</f>
        <v/>
      </c>
      <c r="N1012" s="13">
        <f>SUMIFS($E$2:$E$1130,$A$2:$A$1130,"весна",$I$2:$I$1130,I1012)</f>
        <v/>
      </c>
      <c r="O1012" s="14">
        <f>M1012+N1012</f>
        <v/>
      </c>
      <c r="P1012" s="15">
        <f>O1012/$P$1</f>
        <v/>
      </c>
    </row>
    <row r="1013" hidden="1" ht="15.75" customHeight="1" s="2">
      <c r="A1013" s="9" t="inlineStr">
        <is>
          <t>весна</t>
        </is>
      </c>
      <c r="B1013" s="21" t="inlineStr">
        <is>
          <t>Преддипломная практика</t>
        </is>
      </c>
      <c r="C1013" s="21" t="inlineStr">
        <is>
          <t>Преддипломная практика</t>
        </is>
      </c>
      <c r="D1013" s="21" t="inlineStr">
        <is>
          <t>Т11О-204М-19</t>
        </is>
      </c>
      <c r="E1013" s="23" t="n">
        <v>8</v>
      </c>
      <c r="F1013" s="9" t="n"/>
      <c r="G1013" s="11" t="n">
        <v>0</v>
      </c>
      <c r="H1013" s="9" t="n"/>
      <c r="I1013" s="40" t="inlineStr">
        <is>
          <t xml:space="preserve">Федоров Сергей Александрович </t>
        </is>
      </c>
      <c r="J1013" s="34" t="inlineStr">
        <is>
          <t>профессор</t>
        </is>
      </c>
      <c r="K1013" s="9" t="n"/>
      <c r="L1013" s="9" t="n"/>
      <c r="M1013" s="12">
        <f>SUMIFS($E$2:$E$1130,$A$2:$A$1130,"осень",$I$2:$I$1130,I1013)</f>
        <v/>
      </c>
      <c r="N1013" s="13">
        <f>SUMIFS($E$2:$E$1130,$A$2:$A$1130,"весна",$I$2:$I$1130,I1013)</f>
        <v/>
      </c>
      <c r="O1013" s="14">
        <f>M1013+N1013</f>
        <v/>
      </c>
      <c r="P1013" s="15">
        <f>O1013/$P$1</f>
        <v/>
      </c>
    </row>
    <row r="1014" hidden="1" ht="15.75" customHeight="1" s="2">
      <c r="A1014" s="9" t="inlineStr">
        <is>
          <t>весна</t>
        </is>
      </c>
      <c r="B1014" s="21" t="inlineStr">
        <is>
          <t>Преддипломная практика</t>
        </is>
      </c>
      <c r="C1014" s="21" t="inlineStr">
        <is>
          <t>Преддипломная практика</t>
        </is>
      </c>
      <c r="D1014" s="21" t="inlineStr">
        <is>
          <t>Т11О-204М-19</t>
        </is>
      </c>
      <c r="E1014" s="23" t="n">
        <v>8</v>
      </c>
      <c r="F1014" s="9" t="n"/>
      <c r="G1014" s="11" t="n">
        <v>0</v>
      </c>
      <c r="H1014" s="9" t="n"/>
      <c r="I1014" s="40" t="inlineStr">
        <is>
          <t xml:space="preserve">Конкевич Валентин Юрьевич </t>
        </is>
      </c>
      <c r="J1014" s="34" t="inlineStr">
        <is>
          <t>профессор</t>
        </is>
      </c>
      <c r="K1014" s="9" t="n"/>
      <c r="L1014" s="9" t="n"/>
      <c r="M1014" s="12">
        <f>SUMIFS($E$2:$E$1130,$A$2:$A$1130,"осень",$I$2:$I$1130,I1014)</f>
        <v/>
      </c>
      <c r="N1014" s="13">
        <f>SUMIFS($E$2:$E$1130,$A$2:$A$1130,"весна",$I$2:$I$1130,I1014)</f>
        <v/>
      </c>
      <c r="O1014" s="14">
        <f>M1014+N1014</f>
        <v/>
      </c>
      <c r="P1014" s="15">
        <f>O1014/$P$1</f>
        <v/>
      </c>
    </row>
    <row r="1015" hidden="1" ht="15.75" customHeight="1" s="2">
      <c r="A1015" s="9" t="inlineStr">
        <is>
          <t>весна</t>
        </is>
      </c>
      <c r="B1015" s="21" t="inlineStr">
        <is>
          <t>Преддипломная практика</t>
        </is>
      </c>
      <c r="C1015" s="21" t="inlineStr">
        <is>
          <t>Преддипломная практика</t>
        </is>
      </c>
      <c r="D1015" s="21" t="inlineStr">
        <is>
          <t>Т11О-204М-19</t>
        </is>
      </c>
      <c r="E1015" s="23" t="n">
        <v>8</v>
      </c>
      <c r="F1015" s="9" t="n"/>
      <c r="G1015" s="11" t="n">
        <v>0</v>
      </c>
      <c r="H1015" s="9" t="n"/>
      <c r="I1015" s="40" t="inlineStr">
        <is>
          <t xml:space="preserve">Пашков Игорь Николаевич </t>
        </is>
      </c>
      <c r="J1015" s="34" t="inlineStr">
        <is>
          <t>профессор</t>
        </is>
      </c>
      <c r="K1015" s="9" t="n"/>
      <c r="L1015" s="9" t="n"/>
      <c r="M1015" s="12">
        <f>SUMIFS($E$2:$E$1130,$A$2:$A$1130,"осень",$I$2:$I$1130,I1015)</f>
        <v/>
      </c>
      <c r="N1015" s="13">
        <f>SUMIFS($E$2:$E$1130,$A$2:$A$1130,"весна",$I$2:$I$1130,I1015)</f>
        <v/>
      </c>
      <c r="O1015" s="14">
        <f>M1015+N1015</f>
        <v/>
      </c>
      <c r="P1015" s="15">
        <f>O1015/$P$1</f>
        <v/>
      </c>
    </row>
    <row r="1016" hidden="1" ht="15.75" customHeight="1" s="2">
      <c r="A1016" s="9" t="inlineStr">
        <is>
          <t>весна</t>
        </is>
      </c>
      <c r="B1016" s="21" t="inlineStr">
        <is>
          <t>Учебно-ознакомительная практика</t>
        </is>
      </c>
      <c r="C1016" s="21" t="inlineStr">
        <is>
          <t>Практика</t>
        </is>
      </c>
      <c r="D1016" s="21" t="inlineStr">
        <is>
          <t>Т11О-101Б-20</t>
        </is>
      </c>
      <c r="E1016" s="10" t="n">
        <v>30</v>
      </c>
      <c r="F1016" s="9" t="n"/>
      <c r="G1016" s="11" t="n">
        <v>0</v>
      </c>
      <c r="H1016" s="21" t="inlineStr">
        <is>
          <t xml:space="preserve">95790     </t>
        </is>
      </c>
      <c r="I1016" s="21" t="inlineStr">
        <is>
          <t>Шляпцева Анастасия Дмитриевна</t>
        </is>
      </c>
      <c r="J1016" s="21" t="n"/>
      <c r="K1016" s="9" t="n"/>
      <c r="L1016" s="9" t="n"/>
      <c r="M1016" s="12">
        <f>SUMIFS($E$2:$E$1130,$A$2:$A$1130,"осень",$I$2:$I$1130,I1016)</f>
        <v/>
      </c>
      <c r="N1016" s="13">
        <f>SUMIFS($E$2:$E$1130,$A$2:$A$1130,"весна",$I$2:$I$1130,I1016)</f>
        <v/>
      </c>
      <c r="O1016" s="14">
        <f>M1016+N1016</f>
        <v/>
      </c>
      <c r="P1016" s="15">
        <f>O1016/$P$1</f>
        <v/>
      </c>
    </row>
    <row r="1017" hidden="1" ht="15.75" customHeight="1" s="2">
      <c r="A1017" s="9" t="inlineStr">
        <is>
          <t>весна</t>
        </is>
      </c>
      <c r="B1017" s="21" t="inlineStr">
        <is>
          <t>Учебно-ознакомительная практика</t>
        </is>
      </c>
      <c r="C1017" s="21" t="inlineStr">
        <is>
          <t>Практика</t>
        </is>
      </c>
      <c r="D1017" s="21" t="inlineStr">
        <is>
          <t>Т11О-102Б-20</t>
        </is>
      </c>
      <c r="E1017" s="10" t="n">
        <v>30</v>
      </c>
      <c r="F1017" s="9" t="n"/>
      <c r="G1017" s="11" t="n">
        <v>0</v>
      </c>
      <c r="H1017" s="21" t="inlineStr">
        <is>
          <t xml:space="preserve">95790     </t>
        </is>
      </c>
      <c r="I1017" s="21" t="inlineStr">
        <is>
          <t>Шляпцева Анастасия Дмитриевна</t>
        </is>
      </c>
      <c r="J1017" s="21" t="n"/>
      <c r="K1017" s="9" t="n"/>
      <c r="L1017" s="9" t="n"/>
      <c r="M1017" s="12">
        <f>SUMIFS($E$2:$E$1130,$A$2:$A$1130,"осень",$I$2:$I$1130,I1017)</f>
        <v/>
      </c>
      <c r="N1017" s="13">
        <f>SUMIFS($E$2:$E$1130,$A$2:$A$1130,"весна",$I$2:$I$1130,I1017)</f>
        <v/>
      </c>
      <c r="O1017" s="14">
        <f>M1017+N1017</f>
        <v/>
      </c>
      <c r="P1017" s="15">
        <f>O1017/$P$1</f>
        <v/>
      </c>
    </row>
    <row r="1018" hidden="1" ht="15.75" customHeight="1" s="2">
      <c r="A1018" s="9" t="inlineStr">
        <is>
          <t>весна</t>
        </is>
      </c>
      <c r="B1018" s="9" t="inlineStr">
        <is>
          <t>Учебно-ознакомительная практика</t>
        </is>
      </c>
      <c r="C1018" s="9" t="inlineStr">
        <is>
          <t>Практика</t>
        </is>
      </c>
      <c r="D1018" s="9" t="inlineStr">
        <is>
          <t>Т11О-103Б-20</t>
        </is>
      </c>
      <c r="E1018" s="10" t="n">
        <v>30</v>
      </c>
      <c r="F1018" s="9" t="n"/>
      <c r="G1018" s="11" t="n">
        <v>0</v>
      </c>
      <c r="H1018" s="9" t="inlineStr">
        <is>
          <t xml:space="preserve">81724     </t>
        </is>
      </c>
      <c r="I1018" s="9" t="inlineStr">
        <is>
          <t xml:space="preserve">Галкин Евгений Владимирович </t>
        </is>
      </c>
      <c r="J1018" s="9" t="inlineStr">
        <is>
          <t>доцент</t>
        </is>
      </c>
      <c r="K1018" s="9" t="n"/>
      <c r="L1018" s="9" t="n"/>
      <c r="M1018" s="12">
        <f>SUMIFS($E$2:$E$1130,$A$2:$A$1130,"осень",$I$2:$I$1130,I1018)</f>
        <v/>
      </c>
      <c r="N1018" s="13">
        <f>SUMIFS($E$2:$E$1130,$A$2:$A$1130,"весна",$I$2:$I$1130,I1018)</f>
        <v/>
      </c>
      <c r="O1018" s="14">
        <f>M1018+N1018</f>
        <v/>
      </c>
      <c r="P1018" s="15">
        <f>O1018/$P$1</f>
        <v/>
      </c>
    </row>
    <row r="1019" hidden="1" ht="15.75" customHeight="1" s="2">
      <c r="A1019" s="9" t="inlineStr">
        <is>
          <t>весна</t>
        </is>
      </c>
      <c r="B1019" s="9" t="inlineStr">
        <is>
          <t>Государственный экзамен</t>
        </is>
      </c>
      <c r="C1019" s="9" t="inlineStr">
        <is>
          <t>Преддипломная практика</t>
        </is>
      </c>
      <c r="D1019" s="9" t="inlineStr">
        <is>
          <t>Т1О-402А-17</t>
        </is>
      </c>
      <c r="E1019" s="10" t="n">
        <v>4</v>
      </c>
      <c r="F1019" s="9" t="n"/>
      <c r="G1019" s="11" t="n">
        <v>0</v>
      </c>
      <c r="H1019" s="9" t="inlineStr">
        <is>
          <t xml:space="preserve">92509     </t>
        </is>
      </c>
      <c r="I1019" s="9" t="inlineStr">
        <is>
          <t xml:space="preserve">Пашков Игорь Николаевич </t>
        </is>
      </c>
      <c r="J1019" s="9" t="n"/>
      <c r="K1019" s="9" t="n"/>
      <c r="L1019" s="9" t="inlineStr">
        <is>
          <t>Морозов Шаргаев</t>
        </is>
      </c>
      <c r="M1019" s="12">
        <f>SUMIFS($E$2:$E$1130,$A$2:$A$1130,"осень",$I$2:$I$1130,I1019)</f>
        <v/>
      </c>
      <c r="N1019" s="13">
        <f>SUMIFS($E$2:$E$1130,$A$2:$A$1130,"весна",$I$2:$I$1130,I1019)</f>
        <v/>
      </c>
      <c r="O1019" s="14">
        <f>M1019+N1019</f>
        <v/>
      </c>
      <c r="P1019" s="15">
        <f>O1019/$P$1</f>
        <v/>
      </c>
    </row>
    <row r="1020" hidden="1" ht="15.75" customHeight="1" s="2">
      <c r="A1020" s="9" t="inlineStr">
        <is>
          <t>весна</t>
        </is>
      </c>
      <c r="B1020" s="9" t="inlineStr">
        <is>
          <t>Государственный экзамен</t>
        </is>
      </c>
      <c r="C1020" s="9" t="inlineStr">
        <is>
          <t>Преддипломная практика</t>
        </is>
      </c>
      <c r="D1020" s="9" t="inlineStr">
        <is>
          <t>Т1О-407А-17</t>
        </is>
      </c>
      <c r="E1020" s="10" t="n">
        <v>2</v>
      </c>
      <c r="F1020" s="9" t="n"/>
      <c r="G1020" s="11" t="n">
        <v>0</v>
      </c>
      <c r="H1020" s="9" t="inlineStr">
        <is>
          <t xml:space="preserve">82060     </t>
        </is>
      </c>
      <c r="I1020" s="9" t="inlineStr">
        <is>
          <t xml:space="preserve">Лозован Александр Александрович </t>
        </is>
      </c>
      <c r="J1020" s="9" t="inlineStr">
        <is>
          <t>профессор</t>
        </is>
      </c>
      <c r="K1020" s="9" t="n"/>
      <c r="L1020" s="9" t="inlineStr">
        <is>
          <t>Павлов</t>
        </is>
      </c>
      <c r="M1020" s="12">
        <f>SUMIFS($E$2:$E$1130,$A$2:$A$1130,"осень",$I$2:$I$1130,I1020)</f>
        <v/>
      </c>
      <c r="N1020" s="13">
        <f>SUMIFS($E$2:$E$1130,$A$2:$A$1130,"весна",$I$2:$I$1130,I1020)</f>
        <v/>
      </c>
      <c r="O1020" s="14">
        <f>M1020+N1020</f>
        <v/>
      </c>
      <c r="P1020" s="15">
        <f>O1020/$P$1</f>
        <v/>
      </c>
    </row>
    <row r="1021" hidden="1" ht="15.75" customHeight="1" s="2">
      <c r="A1021" s="9" t="inlineStr">
        <is>
          <t>весна</t>
        </is>
      </c>
      <c r="B1021" s="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021" s="9" t="inlineStr">
        <is>
          <t>Преддипломная практика</t>
        </is>
      </c>
      <c r="D1021" s="9" t="inlineStr">
        <is>
          <t>Т1О-402А-17</t>
        </is>
      </c>
      <c r="E1021" s="10" t="n">
        <v>8</v>
      </c>
      <c r="F1021" s="9" t="n"/>
      <c r="G1021" s="11" t="n">
        <v>0</v>
      </c>
      <c r="H1021" s="9" t="inlineStr">
        <is>
          <t xml:space="preserve">92509     </t>
        </is>
      </c>
      <c r="I1021" s="9" t="inlineStr">
        <is>
          <t xml:space="preserve">Пашков Игорь Николаевич </t>
        </is>
      </c>
      <c r="J1021" s="9" t="n"/>
      <c r="K1021" s="9" t="n"/>
      <c r="L1021" s="9" t="inlineStr">
        <is>
          <t>Морозов Шаргаев</t>
        </is>
      </c>
      <c r="M1021" s="12">
        <f>SUMIFS($E$2:$E$1130,$A$2:$A$1130,"осень",$I$2:$I$1130,I1021)</f>
        <v/>
      </c>
      <c r="N1021" s="13">
        <f>SUMIFS($E$2:$E$1130,$A$2:$A$1130,"весна",$I$2:$I$1130,I1021)</f>
        <v/>
      </c>
      <c r="O1021" s="14">
        <f>M1021+N1021</f>
        <v/>
      </c>
      <c r="P1021" s="15">
        <f>O1021/$P$1</f>
        <v/>
      </c>
    </row>
    <row r="1022" hidden="1" ht="15.75" customHeight="1" s="2">
      <c r="A1022" s="9" t="inlineStr">
        <is>
          <t>весна</t>
        </is>
      </c>
      <c r="B1022" s="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022" s="9" t="inlineStr">
        <is>
          <t>Преддипломная практика</t>
        </is>
      </c>
      <c r="D1022" s="9" t="inlineStr">
        <is>
          <t>Т1О-407А-17</t>
        </is>
      </c>
      <c r="E1022" s="10" t="n">
        <v>4</v>
      </c>
      <c r="F1022" s="9" t="n"/>
      <c r="G1022" s="11" t="n">
        <v>0</v>
      </c>
      <c r="H1022" s="9" t="inlineStr">
        <is>
          <t xml:space="preserve">82060     </t>
        </is>
      </c>
      <c r="I1022" s="9" t="inlineStr">
        <is>
          <t xml:space="preserve">Лозован Александр Александрович </t>
        </is>
      </c>
      <c r="J1022" s="9" t="inlineStr">
        <is>
          <t>профессор</t>
        </is>
      </c>
      <c r="K1022" s="9" t="n"/>
      <c r="L1022" s="9" t="inlineStr">
        <is>
          <t>Павлов</t>
        </is>
      </c>
      <c r="M1022" s="12">
        <f>SUMIFS($E$2:$E$1130,$A$2:$A$1130,"осень",$I$2:$I$1130,I1022)</f>
        <v/>
      </c>
      <c r="N1022" s="13">
        <f>SUMIFS($E$2:$E$1130,$A$2:$A$1130,"весна",$I$2:$I$1130,I1022)</f>
        <v/>
      </c>
      <c r="O1022" s="14">
        <f>M1022+N1022</f>
        <v/>
      </c>
      <c r="P1022" s="15">
        <f>O1022/$P$1</f>
        <v/>
      </c>
    </row>
    <row r="1023" hidden="1" ht="15.75" customHeight="1" s="2">
      <c r="A1023" s="9" t="inlineStr">
        <is>
          <t>весна</t>
        </is>
      </c>
      <c r="B1023" s="9" t="inlineStr">
        <is>
          <t>Научно-исследовательская практика</t>
        </is>
      </c>
      <c r="C1023" s="9" t="inlineStr">
        <is>
          <t>Преддипломная практика</t>
        </is>
      </c>
      <c r="D1023" s="9" t="inlineStr">
        <is>
          <t>Т1О-402А-17</t>
        </is>
      </c>
      <c r="E1023" s="10" t="n">
        <v>4</v>
      </c>
      <c r="F1023" s="9" t="n"/>
      <c r="G1023" s="11" t="n">
        <v>0</v>
      </c>
      <c r="H1023" s="9" t="inlineStr">
        <is>
          <t xml:space="preserve">92509     </t>
        </is>
      </c>
      <c r="I1023" s="9" t="inlineStr">
        <is>
          <t xml:space="preserve">Пашков Игорь Николаевич </t>
        </is>
      </c>
      <c r="J1023" s="9" t="n"/>
      <c r="K1023" s="9" t="n"/>
      <c r="L1023" s="9" t="inlineStr">
        <is>
          <t>Морозов Шаргаев</t>
        </is>
      </c>
      <c r="M1023" s="12">
        <f>SUMIFS($E$2:$E$1130,$A$2:$A$1130,"осень",$I$2:$I$1130,I1023)</f>
        <v/>
      </c>
      <c r="N1023" s="13">
        <f>SUMIFS($E$2:$E$1130,$A$2:$A$1130,"весна",$I$2:$I$1130,I1023)</f>
        <v/>
      </c>
      <c r="O1023" s="14">
        <f>M1023+N1023</f>
        <v/>
      </c>
      <c r="P1023" s="15">
        <f>O1023/$P$1</f>
        <v/>
      </c>
    </row>
    <row r="1024" hidden="1" ht="15.75" customHeight="1" s="2">
      <c r="A1024" s="9" t="inlineStr">
        <is>
          <t>весна</t>
        </is>
      </c>
      <c r="B1024" s="9" t="inlineStr">
        <is>
          <t>Научно-исследовательская практика</t>
        </is>
      </c>
      <c r="C1024" s="9" t="inlineStr">
        <is>
          <t>Преддипломная практика</t>
        </is>
      </c>
      <c r="D1024" s="9" t="inlineStr">
        <is>
          <t>Т1О-407А-17</t>
        </is>
      </c>
      <c r="E1024" s="10" t="n">
        <v>2</v>
      </c>
      <c r="F1024" s="9" t="n"/>
      <c r="G1024" s="11" t="n">
        <v>0</v>
      </c>
      <c r="H1024" s="9" t="inlineStr">
        <is>
          <t xml:space="preserve">82060     </t>
        </is>
      </c>
      <c r="I1024" s="9" t="inlineStr">
        <is>
          <t xml:space="preserve">Лозован Александр Александрович </t>
        </is>
      </c>
      <c r="J1024" s="9" t="inlineStr">
        <is>
          <t>профессор</t>
        </is>
      </c>
      <c r="K1024" s="9" t="n"/>
      <c r="L1024" s="9" t="inlineStr">
        <is>
          <t>Павлов</t>
        </is>
      </c>
      <c r="M1024" s="12">
        <f>SUMIFS($E$2:$E$1130,$A$2:$A$1130,"осень",$I$2:$I$1130,I1024)</f>
        <v/>
      </c>
      <c r="N1024" s="13">
        <f>SUMIFS($E$2:$E$1130,$A$2:$A$1130,"весна",$I$2:$I$1130,I1024)</f>
        <v/>
      </c>
      <c r="O1024" s="14">
        <f>M1024+N1024</f>
        <v/>
      </c>
      <c r="P1024" s="15">
        <f>O1024/$P$1</f>
        <v/>
      </c>
    </row>
    <row r="1025" hidden="1" ht="15.75" customHeight="1" s="2">
      <c r="A1025" s="22" t="inlineStr">
        <is>
          <t>весна</t>
        </is>
      </c>
      <c r="B1025" s="21" t="inlineStr">
        <is>
          <t>Руководство магистрами</t>
        </is>
      </c>
      <c r="C1025" s="21" t="inlineStr">
        <is>
          <t>Руководство магистрами</t>
        </is>
      </c>
      <c r="D1025" s="21" t="inlineStr">
        <is>
          <t>Т11О-101М-20</t>
        </is>
      </c>
      <c r="E1025" s="23" t="n">
        <v>30</v>
      </c>
      <c r="F1025" s="24" t="n"/>
      <c r="G1025" s="25" t="n"/>
      <c r="H1025" s="24" t="inlineStr">
        <is>
          <t xml:space="preserve">81731     </t>
        </is>
      </c>
      <c r="I1025" s="24" t="inlineStr">
        <is>
          <t xml:space="preserve">Беспалов Александр Владимирович </t>
        </is>
      </c>
      <c r="J1025" s="24" t="inlineStr">
        <is>
          <t>доцент</t>
        </is>
      </c>
      <c r="K1025" s="24" t="n"/>
      <c r="L1025" s="24" t="inlineStr">
        <is>
          <t>2 чел</t>
        </is>
      </c>
      <c r="M1025" s="12">
        <f>SUMIFS($E$2:$E$1130,$A$2:$A$1130,"осень",$I$2:$I$1130,I1025)</f>
        <v/>
      </c>
      <c r="N1025" s="13">
        <f>SUMIFS($E$2:$E$1130,$A$2:$A$1130,"весна",$I$2:$I$1130,I1025)</f>
        <v/>
      </c>
      <c r="O1025" s="14">
        <f>M1025+N1025</f>
        <v/>
      </c>
      <c r="P1025" s="15">
        <f>O1025/$P$1</f>
        <v/>
      </c>
    </row>
    <row r="1026" hidden="1" ht="15.75" customHeight="1" s="2">
      <c r="A1026" s="22" t="inlineStr">
        <is>
          <t>весна</t>
        </is>
      </c>
      <c r="B1026" s="21" t="inlineStr">
        <is>
          <t>Руководство магистрами</t>
        </is>
      </c>
      <c r="C1026" s="21" t="inlineStr">
        <is>
          <t>Руководство магистрами</t>
        </is>
      </c>
      <c r="D1026" s="21" t="inlineStr">
        <is>
          <t>Т11О-101М-20</t>
        </is>
      </c>
      <c r="E1026" s="23" t="n">
        <v>30</v>
      </c>
      <c r="F1026" s="24" t="n"/>
      <c r="G1026" s="25" t="n"/>
      <c r="H1026" s="24" t="inlineStr">
        <is>
          <t xml:space="preserve">81728     </t>
        </is>
      </c>
      <c r="I1026" s="24" t="inlineStr">
        <is>
          <t xml:space="preserve">Галкин Виктор Иванович </t>
        </is>
      </c>
      <c r="J1026" s="24" t="inlineStr">
        <is>
          <t>профессор</t>
        </is>
      </c>
      <c r="K1026" s="24" t="n"/>
      <c r="L1026" s="24" t="inlineStr">
        <is>
          <t>2 чел</t>
        </is>
      </c>
      <c r="M1026" s="12">
        <f>SUMIFS($E$2:$E$1130,$A$2:$A$1130,"осень",$I$2:$I$1130,I1026)</f>
        <v/>
      </c>
      <c r="N1026" s="13">
        <f>SUMIFS($E$2:$E$1130,$A$2:$A$1130,"весна",$I$2:$I$1130,I1026)</f>
        <v/>
      </c>
      <c r="O1026" s="14">
        <f>M1026+N1026</f>
        <v/>
      </c>
      <c r="P1026" s="15">
        <f>O1026/$P$1</f>
        <v/>
      </c>
    </row>
    <row r="1027" hidden="1" ht="15.75" customHeight="1" s="2">
      <c r="A1027" s="22" t="inlineStr">
        <is>
          <t>весна</t>
        </is>
      </c>
      <c r="B1027" s="21" t="inlineStr">
        <is>
          <t>Руководство магистрами</t>
        </is>
      </c>
      <c r="C1027" s="21" t="inlineStr">
        <is>
          <t>Руководство магистрами</t>
        </is>
      </c>
      <c r="D1027" s="21" t="inlineStr">
        <is>
          <t>Т11О-101М-20</t>
        </is>
      </c>
      <c r="E1027" s="23" t="n">
        <v>15</v>
      </c>
      <c r="F1027" s="24" t="n"/>
      <c r="G1027" s="25" t="n"/>
      <c r="H1027" s="24" t="inlineStr">
        <is>
          <t xml:space="preserve">81732     </t>
        </is>
      </c>
      <c r="I1027" s="24" t="inlineStr">
        <is>
          <t xml:space="preserve">Петров Анатолий Павлович </t>
        </is>
      </c>
      <c r="J1027" s="24" t="inlineStr">
        <is>
          <t>профессор</t>
        </is>
      </c>
      <c r="K1027" s="24" t="n"/>
      <c r="L1027" s="24" t="inlineStr">
        <is>
          <t>1 чел</t>
        </is>
      </c>
      <c r="M1027" s="12">
        <f>SUMIFS($E$2:$E$1130,$A$2:$A$1130,"осень",$I$2:$I$1130,I1027)</f>
        <v/>
      </c>
      <c r="N1027" s="13">
        <f>SUMIFS($E$2:$E$1130,$A$2:$A$1130,"весна",$I$2:$I$1130,I1027)</f>
        <v/>
      </c>
      <c r="O1027" s="14">
        <f>M1027+N1027</f>
        <v/>
      </c>
      <c r="P1027" s="15">
        <f>O1027/$P$1</f>
        <v/>
      </c>
    </row>
    <row r="1028" hidden="1" ht="15.75" customHeight="1" s="2">
      <c r="A1028" s="22" t="inlineStr">
        <is>
          <t>весна</t>
        </is>
      </c>
      <c r="B1028" s="21" t="inlineStr">
        <is>
          <t>Руководство магистрами</t>
        </is>
      </c>
      <c r="C1028" s="21" t="inlineStr">
        <is>
          <t>Руководство магистрами</t>
        </is>
      </c>
      <c r="D1028" s="21" t="inlineStr">
        <is>
          <t>Т11О-101М-20</t>
        </is>
      </c>
      <c r="E1028" s="23" t="n">
        <v>15</v>
      </c>
      <c r="F1028" s="24" t="n"/>
      <c r="G1028" s="25" t="n">
        <v>0</v>
      </c>
      <c r="H1028" s="24" t="inlineStr">
        <is>
          <t xml:space="preserve">81730     </t>
        </is>
      </c>
      <c r="I1028" s="24" t="inlineStr">
        <is>
          <t>Федоров Анатолий Александрович</t>
        </is>
      </c>
      <c r="J1028" s="24" t="inlineStr">
        <is>
          <t>профессор</t>
        </is>
      </c>
      <c r="K1028" s="24" t="n"/>
      <c r="L1028" s="24" t="inlineStr">
        <is>
          <t>1 чел</t>
        </is>
      </c>
      <c r="M1028" s="12">
        <f>SUMIFS($E$2:$E$1130,$A$2:$A$1130,"осень",$I$2:$I$1130,I1028)</f>
        <v/>
      </c>
      <c r="N1028" s="13">
        <f>SUMIFS($E$2:$E$1130,$A$2:$A$1130,"весна",$I$2:$I$1130,I1028)</f>
        <v/>
      </c>
      <c r="O1028" s="14">
        <f>M1028+N1028</f>
        <v/>
      </c>
      <c r="P1028" s="15">
        <f>O1028/$P$1</f>
        <v/>
      </c>
    </row>
    <row r="1029" hidden="1" ht="15.75" customHeight="1" s="2">
      <c r="A1029" s="22" t="inlineStr">
        <is>
          <t>весна</t>
        </is>
      </c>
      <c r="B1029" s="21" t="inlineStr">
        <is>
          <t>Руководство магистрами</t>
        </is>
      </c>
      <c r="C1029" s="21" t="inlineStr">
        <is>
          <t>Руководство магистрами</t>
        </is>
      </c>
      <c r="D1029" s="21" t="inlineStr">
        <is>
          <t>Т11О-102М-20</t>
        </is>
      </c>
      <c r="E1029" s="23" t="n">
        <v>15</v>
      </c>
      <c r="F1029" s="9" t="n"/>
      <c r="G1029" s="11" t="n">
        <v>0</v>
      </c>
      <c r="H1029" s="9" t="inlineStr">
        <is>
          <t xml:space="preserve">82020     </t>
        </is>
      </c>
      <c r="I1029" s="9" t="inlineStr">
        <is>
          <t xml:space="preserve">Варфоломеев Максим Сергеевич </t>
        </is>
      </c>
      <c r="J1029" s="9" t="inlineStr">
        <is>
          <t>доцент</t>
        </is>
      </c>
      <c r="K1029" s="9" t="n"/>
      <c r="L1029" s="9" t="inlineStr">
        <is>
          <t>1 чел</t>
        </is>
      </c>
      <c r="M1029" s="12">
        <f>SUMIFS($E$2:$E$1130,$A$2:$A$1130,"осень",$I$2:$I$1130,I1029)</f>
        <v/>
      </c>
      <c r="N1029" s="13">
        <f>SUMIFS($E$2:$E$1130,$A$2:$A$1130,"весна",$I$2:$I$1130,I1029)</f>
        <v/>
      </c>
      <c r="O1029" s="14">
        <f>M1029+N1029</f>
        <v/>
      </c>
      <c r="P1029" s="15">
        <f>O1029/$P$1</f>
        <v/>
      </c>
    </row>
    <row r="1030" hidden="1" ht="15.75" customHeight="1" s="2">
      <c r="A1030" s="22" t="inlineStr">
        <is>
          <t>весна</t>
        </is>
      </c>
      <c r="B1030" s="21" t="inlineStr">
        <is>
          <t>Руководство магистрами</t>
        </is>
      </c>
      <c r="C1030" s="21" t="inlineStr">
        <is>
          <t>Руководство магистрами</t>
        </is>
      </c>
      <c r="D1030" s="21" t="inlineStr">
        <is>
          <t>Т11О-102М-20</t>
        </is>
      </c>
      <c r="E1030" s="23" t="n">
        <v>15</v>
      </c>
      <c r="F1030" s="9" t="n"/>
      <c r="G1030" s="11" t="n">
        <v>0</v>
      </c>
      <c r="H1030" s="9" t="inlineStr">
        <is>
          <t xml:space="preserve">82086     </t>
        </is>
      </c>
      <c r="I1030" s="9" t="inlineStr">
        <is>
          <t xml:space="preserve">Смыков Андрей Федорович </t>
        </is>
      </c>
      <c r="J1030" s="9" t="inlineStr">
        <is>
          <t>профессор</t>
        </is>
      </c>
      <c r="K1030" s="9" t="n"/>
      <c r="L1030" s="9" t="inlineStr">
        <is>
          <t>1 чел</t>
        </is>
      </c>
      <c r="M1030" s="12">
        <f>SUMIFS($E$2:$E$1130,$A$2:$A$1130,"осень",$I$2:$I$1130,I1030)</f>
        <v/>
      </c>
      <c r="N1030" s="13">
        <f>SUMIFS($E$2:$E$1130,$A$2:$A$1130,"весна",$I$2:$I$1130,I1030)</f>
        <v/>
      </c>
      <c r="O1030" s="14">
        <f>M1030+N1030</f>
        <v/>
      </c>
      <c r="P1030" s="15">
        <f>O1030/$P$1</f>
        <v/>
      </c>
    </row>
    <row r="1031" hidden="1" ht="15.75" customHeight="1" s="2">
      <c r="A1031" s="22" t="inlineStr">
        <is>
          <t>весна</t>
        </is>
      </c>
      <c r="B1031" s="21" t="inlineStr">
        <is>
          <t>Руководство магистрами</t>
        </is>
      </c>
      <c r="C1031" s="21" t="inlineStr">
        <is>
          <t>Руководство магистрами</t>
        </is>
      </c>
      <c r="D1031" s="21" t="inlineStr">
        <is>
          <t>Т11О-102М-20</t>
        </is>
      </c>
      <c r="E1031" s="23" t="n">
        <v>15</v>
      </c>
      <c r="F1031" s="9" t="n"/>
      <c r="G1031" s="11" t="n">
        <v>0</v>
      </c>
      <c r="H1031" s="9" t="inlineStr">
        <is>
          <t xml:space="preserve">89067     </t>
        </is>
      </c>
      <c r="I1031" s="9" t="inlineStr">
        <is>
          <t xml:space="preserve">Ряховский Александр Павлович </t>
        </is>
      </c>
      <c r="J1031" s="9" t="inlineStr">
        <is>
          <t>доцент</t>
        </is>
      </c>
      <c r="K1031" s="9" t="n"/>
      <c r="L1031" s="9" t="inlineStr">
        <is>
          <t>1 чел</t>
        </is>
      </c>
      <c r="M1031" s="12">
        <f>SUMIFS($E$2:$E$1130,$A$2:$A$1130,"осень",$I$2:$I$1130,I1031)</f>
        <v/>
      </c>
      <c r="N1031" s="13">
        <f>SUMIFS($E$2:$E$1130,$A$2:$A$1130,"весна",$I$2:$I$1130,I1031)</f>
        <v/>
      </c>
      <c r="O1031" s="14">
        <f>M1031+N1031</f>
        <v/>
      </c>
      <c r="P1031" s="15">
        <f>O1031/$P$1</f>
        <v/>
      </c>
    </row>
    <row r="1032" hidden="1" ht="15.75" customHeight="1" s="2">
      <c r="A1032" s="22" t="inlineStr">
        <is>
          <t>весна</t>
        </is>
      </c>
      <c r="B1032" s="21" t="inlineStr">
        <is>
          <t>Руководство магистрами</t>
        </is>
      </c>
      <c r="C1032" s="21" t="inlineStr">
        <is>
          <t>Руководство магистрами</t>
        </is>
      </c>
      <c r="D1032" s="21" t="inlineStr">
        <is>
          <t>Т11О-102М-20</t>
        </is>
      </c>
      <c r="E1032" s="23" t="n">
        <v>15</v>
      </c>
      <c r="F1032" s="9" t="n"/>
      <c r="G1032" s="11" t="n">
        <v>0</v>
      </c>
      <c r="H1032" s="9" t="inlineStr">
        <is>
          <t xml:space="preserve">82061     </t>
        </is>
      </c>
      <c r="I1032" s="9" t="inlineStr">
        <is>
          <t xml:space="preserve">Моисеев Виктор Сергеевич </t>
        </is>
      </c>
      <c r="J1032" s="9" t="n"/>
      <c r="K1032" s="9" t="n"/>
      <c r="L1032" s="9" t="inlineStr">
        <is>
          <t>1 чел</t>
        </is>
      </c>
      <c r="M1032" s="12">
        <f>SUMIFS($E$2:$E$1130,$A$2:$A$1130,"осень",$I$2:$I$1130,I1032)</f>
        <v/>
      </c>
      <c r="N1032" s="13">
        <f>SUMIFS($E$2:$E$1130,$A$2:$A$1130,"весна",$I$2:$I$1130,I1032)</f>
        <v/>
      </c>
      <c r="O1032" s="14">
        <f>M1032+N1032</f>
        <v/>
      </c>
      <c r="P1032" s="15">
        <f>O1032/$P$1</f>
        <v/>
      </c>
    </row>
    <row r="1033" hidden="1" ht="15.75" customHeight="1" s="2">
      <c r="A1033" s="22" t="inlineStr">
        <is>
          <t>весна</t>
        </is>
      </c>
      <c r="B1033" s="21" t="inlineStr">
        <is>
          <t>Руководство магистрами</t>
        </is>
      </c>
      <c r="C1033" s="21" t="inlineStr">
        <is>
          <t>Руководство магистрами</t>
        </is>
      </c>
      <c r="D1033" s="21" t="inlineStr">
        <is>
          <t>Т11О-102М-20</t>
        </is>
      </c>
      <c r="E1033" s="23" t="n">
        <v>15</v>
      </c>
      <c r="F1033" s="9" t="n"/>
      <c r="G1033" s="11" t="n">
        <v>0</v>
      </c>
      <c r="H1033" s="9" t="inlineStr">
        <is>
          <t xml:space="preserve">82018     </t>
        </is>
      </c>
      <c r="I1033" s="9" t="inlineStr">
        <is>
          <t>Бережной Дмитрий Васильевич</t>
        </is>
      </c>
      <c r="J1033" s="9" t="inlineStr">
        <is>
          <t>доцент</t>
        </is>
      </c>
      <c r="K1033" s="9" t="n"/>
      <c r="L1033" s="9" t="inlineStr">
        <is>
          <t>1 чел</t>
        </is>
      </c>
      <c r="M1033" s="12">
        <f>SUMIFS($E$2:$E$1130,$A$2:$A$1130,"осень",$I$2:$I$1130,I1033)</f>
        <v/>
      </c>
      <c r="N1033" s="13">
        <f>SUMIFS($E$2:$E$1130,$A$2:$A$1130,"весна",$I$2:$I$1130,I1033)</f>
        <v/>
      </c>
      <c r="O1033" s="14">
        <f>M1033+N1033</f>
        <v/>
      </c>
      <c r="P1033" s="15">
        <f>O1033/$P$1</f>
        <v/>
      </c>
    </row>
    <row r="1034" hidden="1" ht="15.75" customHeight="1" s="2">
      <c r="A1034" s="22" t="inlineStr">
        <is>
          <t>весна</t>
        </is>
      </c>
      <c r="B1034" s="21" t="inlineStr">
        <is>
          <t>Руководство магистрами</t>
        </is>
      </c>
      <c r="C1034" s="21" t="inlineStr">
        <is>
          <t>Руководство магистрами</t>
        </is>
      </c>
      <c r="D1034" s="21" t="inlineStr">
        <is>
          <t>Т11О-103М-20</t>
        </is>
      </c>
      <c r="E1034" s="23" t="n">
        <v>30</v>
      </c>
      <c r="F1034" s="9" t="n"/>
      <c r="G1034" s="11" t="n">
        <v>0</v>
      </c>
      <c r="H1034" s="9" t="inlineStr">
        <is>
          <t xml:space="preserve">82090     </t>
        </is>
      </c>
      <c r="I1034" s="9" t="inlineStr">
        <is>
          <t xml:space="preserve">Барабанова Ольга Алексеевна </t>
        </is>
      </c>
      <c r="J1034" s="9" t="n"/>
      <c r="K1034" s="9" t="inlineStr">
        <is>
          <t>2 чел</t>
        </is>
      </c>
      <c r="L1034" s="9" t="n"/>
      <c r="M1034" s="12">
        <f>SUMIFS($E$2:$E$1130,$A$2:$A$1130,"осень",$I$2:$I$1130,I1034)</f>
        <v/>
      </c>
      <c r="N1034" s="13">
        <f>SUMIFS($E$2:$E$1130,$A$2:$A$1130,"весна",$I$2:$I$1130,I1034)</f>
        <v/>
      </c>
      <c r="O1034" s="14">
        <f>M1034+N1034</f>
        <v/>
      </c>
      <c r="P1034" s="15">
        <f>O1034/$P$1</f>
        <v/>
      </c>
    </row>
    <row r="1035" hidden="1" ht="15.75" customHeight="1" s="2">
      <c r="A1035" s="22" t="inlineStr">
        <is>
          <t>весна</t>
        </is>
      </c>
      <c r="B1035" s="21" t="inlineStr">
        <is>
          <t>Руководство магистрами</t>
        </is>
      </c>
      <c r="C1035" s="21" t="inlineStr">
        <is>
          <t>Руководство магистрами</t>
        </is>
      </c>
      <c r="D1035" s="21" t="inlineStr">
        <is>
          <t>Т11О-103М-20</t>
        </is>
      </c>
      <c r="E1035" s="23" t="n">
        <v>30</v>
      </c>
      <c r="F1035" s="9" t="n"/>
      <c r="G1035" s="11" t="n">
        <v>0</v>
      </c>
      <c r="H1035" s="9" t="inlineStr">
        <is>
          <t xml:space="preserve">82066     </t>
        </is>
      </c>
      <c r="I1035" s="9" t="inlineStr">
        <is>
          <t xml:space="preserve">Серов Михаил Михайлович </t>
        </is>
      </c>
      <c r="J1035" s="9" t="inlineStr">
        <is>
          <t>профессор</t>
        </is>
      </c>
      <c r="K1035" s="9" t="inlineStr">
        <is>
          <t>2 чел</t>
        </is>
      </c>
      <c r="L1035" s="9" t="n"/>
      <c r="M1035" s="12">
        <f>SUMIFS($E$2:$E$1130,$A$2:$A$1130,"осень",$I$2:$I$1130,I1035)</f>
        <v/>
      </c>
      <c r="N1035" s="13">
        <f>SUMIFS($E$2:$E$1130,$A$2:$A$1130,"весна",$I$2:$I$1130,I1035)</f>
        <v/>
      </c>
      <c r="O1035" s="14">
        <f>M1035+N1035</f>
        <v/>
      </c>
      <c r="P1035" s="15">
        <f>O1035/$P$1</f>
        <v/>
      </c>
    </row>
    <row r="1036" hidden="1" ht="15.75" customHeight="1" s="2">
      <c r="A1036" s="22" t="inlineStr">
        <is>
          <t>весна</t>
        </is>
      </c>
      <c r="B1036" s="21" t="inlineStr">
        <is>
          <t>Руководство магистрами</t>
        </is>
      </c>
      <c r="C1036" s="21" t="inlineStr">
        <is>
          <t>Руководство магистрами</t>
        </is>
      </c>
      <c r="D1036" s="21" t="inlineStr">
        <is>
          <t>Т11О-103М-20</t>
        </is>
      </c>
      <c r="E1036" s="23" t="n">
        <v>15</v>
      </c>
      <c r="F1036" s="9" t="n"/>
      <c r="G1036" s="11" t="n">
        <v>0</v>
      </c>
      <c r="H1036" s="9" t="inlineStr">
        <is>
          <t xml:space="preserve">93685     </t>
        </is>
      </c>
      <c r="I1036" s="9" t="inlineStr">
        <is>
          <t xml:space="preserve">Банишев Александр Федорович </t>
        </is>
      </c>
      <c r="J1036" s="9" t="n"/>
      <c r="K1036" s="9" t="inlineStr">
        <is>
          <t>1 чел</t>
        </is>
      </c>
      <c r="L1036" s="9" t="n"/>
      <c r="M1036" s="12">
        <f>SUMIFS($E$2:$E$1130,$A$2:$A$1130,"осень",$I$2:$I$1130,I1036)</f>
        <v/>
      </c>
      <c r="N1036" s="13">
        <f>SUMIFS($E$2:$E$1130,$A$2:$A$1130,"весна",$I$2:$I$1130,I1036)</f>
        <v/>
      </c>
      <c r="O1036" s="14">
        <f>M1036+N1036</f>
        <v/>
      </c>
      <c r="P1036" s="15">
        <f>O1036/$P$1</f>
        <v/>
      </c>
    </row>
    <row r="1037" hidden="1" ht="15.75" customHeight="1" s="2">
      <c r="A1037" s="22" t="inlineStr">
        <is>
          <t>весна</t>
        </is>
      </c>
      <c r="B1037" s="21" t="inlineStr">
        <is>
          <t>Руководство магистрами</t>
        </is>
      </c>
      <c r="C1037" s="21" t="inlineStr">
        <is>
          <t>Руководство магистрами</t>
        </is>
      </c>
      <c r="D1037" s="21" t="inlineStr">
        <is>
          <t>Т11О-104М-20</t>
        </is>
      </c>
      <c r="E1037" s="10" t="n">
        <v>30</v>
      </c>
      <c r="F1037" s="9" t="n"/>
      <c r="G1037" s="11" t="n">
        <v>0</v>
      </c>
      <c r="H1037" s="9" t="inlineStr">
        <is>
          <t xml:space="preserve">82056     </t>
        </is>
      </c>
      <c r="I1037" s="9" t="inlineStr">
        <is>
          <t xml:space="preserve">Никитина Елена Владимировна </t>
        </is>
      </c>
      <c r="J1037" s="9" t="n"/>
      <c r="K1037" s="9" t="inlineStr">
        <is>
          <t>2 чел</t>
        </is>
      </c>
      <c r="L1037" s="9" t="n"/>
      <c r="M1037" s="12">
        <f>SUMIFS($E$2:$E$1130,$A$2:$A$1130,"осень",$I$2:$I$1130,I1037)</f>
        <v/>
      </c>
      <c r="N1037" s="13">
        <f>SUMIFS($E$2:$E$1130,$A$2:$A$1130,"весна",$I$2:$I$1130,I1037)</f>
        <v/>
      </c>
      <c r="O1037" s="14">
        <f>M1037+N1037</f>
        <v/>
      </c>
      <c r="P1037" s="15">
        <f>O1037/$P$1</f>
        <v/>
      </c>
    </row>
    <row r="1038" hidden="1" ht="15.75" customHeight="1" s="2">
      <c r="A1038" s="22" t="inlineStr">
        <is>
          <t>весна</t>
        </is>
      </c>
      <c r="B1038" s="21" t="inlineStr">
        <is>
          <t>Руководство магистрами</t>
        </is>
      </c>
      <c r="C1038" s="21" t="inlineStr">
        <is>
          <t>Руководство магистрами</t>
        </is>
      </c>
      <c r="D1038" s="21" t="inlineStr">
        <is>
          <t>Т11О-104М-20</t>
        </is>
      </c>
      <c r="E1038" s="10" t="n">
        <v>30</v>
      </c>
      <c r="F1038" s="9" t="n"/>
      <c r="G1038" s="11" t="n">
        <v>0</v>
      </c>
      <c r="H1038" s="9" t="inlineStr">
        <is>
          <t xml:space="preserve">87438     </t>
        </is>
      </c>
      <c r="I1038" s="9" t="inlineStr">
        <is>
          <t xml:space="preserve">Конкевич Валентин Юрьевич </t>
        </is>
      </c>
      <c r="J1038" s="9" t="n"/>
      <c r="K1038" s="9" t="inlineStr">
        <is>
          <t>2 чел</t>
        </is>
      </c>
      <c r="L1038" s="9" t="n"/>
      <c r="M1038" s="12">
        <f>SUMIFS($E$2:$E$1130,$A$2:$A$1130,"осень",$I$2:$I$1130,I1038)</f>
        <v/>
      </c>
      <c r="N1038" s="13">
        <f>SUMIFS($E$2:$E$1130,$A$2:$A$1130,"весна",$I$2:$I$1130,I1038)</f>
        <v/>
      </c>
      <c r="O1038" s="14">
        <f>M1038+N1038</f>
        <v/>
      </c>
      <c r="P1038" s="15">
        <f>O1038/$P$1</f>
        <v/>
      </c>
    </row>
    <row r="1039" hidden="1" ht="15.75" customHeight="1" s="2">
      <c r="A1039" s="22" t="inlineStr">
        <is>
          <t>весна</t>
        </is>
      </c>
      <c r="B1039" s="21" t="inlineStr">
        <is>
          <t>Руководство магистрами</t>
        </is>
      </c>
      <c r="C1039" s="21" t="inlineStr">
        <is>
          <t>Руководство магистрами</t>
        </is>
      </c>
      <c r="D1039" s="21" t="inlineStr">
        <is>
          <t>Т11О-104М-20</t>
        </is>
      </c>
      <c r="E1039" s="10" t="n">
        <v>15</v>
      </c>
      <c r="F1039" s="9" t="n"/>
      <c r="G1039" s="11" t="n">
        <v>0</v>
      </c>
      <c r="H1039" s="9" t="inlineStr">
        <is>
          <t xml:space="preserve">92509     </t>
        </is>
      </c>
      <c r="I1039" s="9" t="inlineStr">
        <is>
          <t xml:space="preserve">Пашков Игорь Николаевич </t>
        </is>
      </c>
      <c r="J1039" s="9" t="n"/>
      <c r="K1039" s="9" t="inlineStr">
        <is>
          <t>1 чел</t>
        </is>
      </c>
      <c r="L1039" s="9" t="n"/>
      <c r="M1039" s="12">
        <f>SUMIFS($E$2:$E$1130,$A$2:$A$1130,"осень",$I$2:$I$1130,I1039)</f>
        <v/>
      </c>
      <c r="N1039" s="13">
        <f>SUMIFS($E$2:$E$1130,$A$2:$A$1130,"весна",$I$2:$I$1130,I1039)</f>
        <v/>
      </c>
      <c r="O1039" s="14">
        <f>M1039+N1039</f>
        <v/>
      </c>
      <c r="P1039" s="15">
        <f>O1039/$P$1</f>
        <v/>
      </c>
    </row>
    <row r="1040" hidden="1" ht="15.75" customHeight="1" s="2">
      <c r="A1040" s="22" t="inlineStr">
        <is>
          <t>весна</t>
        </is>
      </c>
      <c r="B1040" s="21" t="inlineStr">
        <is>
          <t>Руководство магистрами</t>
        </is>
      </c>
      <c r="C1040" s="21" t="inlineStr">
        <is>
          <t>Руководство магистрами</t>
        </is>
      </c>
      <c r="D1040" s="21" t="inlineStr">
        <is>
          <t>Т11О-104М-20</t>
        </is>
      </c>
      <c r="E1040" s="10" t="n">
        <v>15</v>
      </c>
      <c r="F1040" s="9" t="n"/>
      <c r="G1040" s="11" t="n">
        <v>0</v>
      </c>
      <c r="H1040" s="9" t="inlineStr">
        <is>
          <t xml:space="preserve">82023     </t>
        </is>
      </c>
      <c r="I1040" s="9" t="inlineStr">
        <is>
          <t xml:space="preserve">Федоров Сергей Александрович </t>
        </is>
      </c>
      <c r="J1040" s="9" t="n"/>
      <c r="K1040" s="9" t="inlineStr">
        <is>
          <t>1 чел</t>
        </is>
      </c>
      <c r="L1040" s="9" t="n"/>
      <c r="M1040" s="12">
        <f>SUMIFS($E$2:$E$1130,$A$2:$A$1130,"осень",$I$2:$I$1130,I1040)</f>
        <v/>
      </c>
      <c r="N1040" s="13">
        <f>SUMIFS($E$2:$E$1130,$A$2:$A$1130,"весна",$I$2:$I$1130,I1040)</f>
        <v/>
      </c>
      <c r="O1040" s="14">
        <f>M1040+N1040</f>
        <v/>
      </c>
      <c r="P1040" s="15">
        <f>O1040/$P$1</f>
        <v/>
      </c>
    </row>
    <row r="1041" hidden="1" ht="15.75" customHeight="1" s="2">
      <c r="A1041" s="9" t="inlineStr">
        <is>
          <t>весна</t>
        </is>
      </c>
      <c r="B1041" s="9" t="inlineStr">
        <is>
          <t>Руководство аспирантами</t>
        </is>
      </c>
      <c r="C1041" s="9" t="inlineStr">
        <is>
          <t>Руководство аспирантами</t>
        </is>
      </c>
      <c r="D1041" s="9" t="inlineStr">
        <is>
          <t>Т11О-107А-20</t>
        </is>
      </c>
      <c r="E1041" s="10" t="n">
        <v>50</v>
      </c>
      <c r="F1041" s="9" t="n"/>
      <c r="G1041" s="11" t="n">
        <v>0</v>
      </c>
      <c r="H1041" s="9" t="inlineStr">
        <is>
          <t xml:space="preserve">82060     </t>
        </is>
      </c>
      <c r="I1041" s="9" t="inlineStr">
        <is>
          <t xml:space="preserve">Лозован Александр Александрович </t>
        </is>
      </c>
      <c r="J1041" s="9" t="inlineStr">
        <is>
          <t>профессор</t>
        </is>
      </c>
      <c r="K1041" s="9" t="n"/>
      <c r="L1041" s="21" t="inlineStr">
        <is>
          <t>Жуковский+Митрофанов</t>
        </is>
      </c>
      <c r="M1041" s="12">
        <f>SUMIFS($E$2:$E$1130,$A$2:$A$1130,"осень",$I$2:$I$1130,I1041)</f>
        <v/>
      </c>
      <c r="N1041" s="13">
        <f>SUMIFS($E$2:$E$1130,$A$2:$A$1130,"весна",$I$2:$I$1130,I1041)</f>
        <v/>
      </c>
      <c r="O1041" s="14">
        <f>M1041+N1041</f>
        <v/>
      </c>
      <c r="P1041" s="15">
        <f>O1041/$P$1</f>
        <v/>
      </c>
    </row>
    <row r="1042" hidden="1" ht="15.75" customHeight="1" s="2">
      <c r="A1042" s="9" t="inlineStr">
        <is>
          <t>весна</t>
        </is>
      </c>
      <c r="B1042" s="9" t="inlineStr">
        <is>
          <t>Руководство аспирантами</t>
        </is>
      </c>
      <c r="C1042" s="9" t="inlineStr">
        <is>
          <t>Руководство аспирантами</t>
        </is>
      </c>
      <c r="D1042" s="9" t="inlineStr">
        <is>
          <t>Т1О-310А-18</t>
        </is>
      </c>
      <c r="E1042" s="10" t="n">
        <v>25</v>
      </c>
      <c r="F1042" s="9" t="n"/>
      <c r="G1042" s="11" t="n">
        <v>0</v>
      </c>
      <c r="H1042" s="21" t="inlineStr">
        <is>
          <t xml:space="preserve">81732     </t>
        </is>
      </c>
      <c r="I1042" s="21" t="inlineStr">
        <is>
          <t xml:space="preserve">Петров Анатолий Павлович </t>
        </is>
      </c>
      <c r="J1042" s="21" t="inlineStr">
        <is>
          <t>профессор</t>
        </is>
      </c>
      <c r="K1042" s="21" t="n"/>
      <c r="L1042" s="21" t="inlineStr">
        <is>
          <t>Захарова (Борунова) Татьяна Ивановна</t>
        </is>
      </c>
      <c r="M1042" s="12">
        <f>SUMIFS($E$2:$E$1130,$A$2:$A$1130,"осень",$I$2:$I$1130,I1042)</f>
        <v/>
      </c>
      <c r="N1042" s="13">
        <f>SUMIFS($E$2:$E$1130,$A$2:$A$1130,"весна",$I$2:$I$1130,I1042)</f>
        <v/>
      </c>
      <c r="O1042" s="14">
        <f>M1042+N1042</f>
        <v/>
      </c>
      <c r="P1042" s="15">
        <f>O1042/$P$1</f>
        <v/>
      </c>
    </row>
    <row r="1043" hidden="1" ht="15.75" customHeight="1" s="2">
      <c r="A1043" s="9" t="inlineStr">
        <is>
          <t>весна</t>
        </is>
      </c>
      <c r="B1043" s="9" t="inlineStr">
        <is>
          <t>Руководство аспирантами</t>
        </is>
      </c>
      <c r="C1043" s="9" t="inlineStr">
        <is>
          <t>Руководство аспирантами</t>
        </is>
      </c>
      <c r="D1043" s="9" t="inlineStr">
        <is>
          <t>Т11О-302А-18</t>
        </is>
      </c>
      <c r="E1043" s="10" t="n">
        <v>25</v>
      </c>
      <c r="F1043" s="9" t="n"/>
      <c r="G1043" s="11" t="n">
        <v>0</v>
      </c>
      <c r="H1043" s="9" t="inlineStr">
        <is>
          <t xml:space="preserve">92509     </t>
        </is>
      </c>
      <c r="I1043" s="9" t="inlineStr">
        <is>
          <t xml:space="preserve">Пашков Игорь Николаевич </t>
        </is>
      </c>
      <c r="J1043" s="9" t="n"/>
      <c r="K1043" s="9" t="n"/>
      <c r="L1043" s="9" t="inlineStr">
        <is>
          <t>Мисников Валерий Евгеньевич</t>
        </is>
      </c>
      <c r="M1043" s="12">
        <f>SUMIFS($E$2:$E$1130,$A$2:$A$1130,"осень",$I$2:$I$1130,I1043)</f>
        <v/>
      </c>
      <c r="N1043" s="13">
        <f>SUMIFS($E$2:$E$1130,$A$2:$A$1130,"весна",$I$2:$I$1130,I1043)</f>
        <v/>
      </c>
      <c r="O1043" s="14">
        <f>M1043+N1043</f>
        <v/>
      </c>
      <c r="P1043" s="15">
        <f>O1043/$P$1</f>
        <v/>
      </c>
    </row>
    <row r="1044" hidden="1" ht="15.75" customHeight="1" s="2">
      <c r="A1044" s="9" t="inlineStr">
        <is>
          <t>весна</t>
        </is>
      </c>
      <c r="B1044" s="9" t="inlineStr">
        <is>
          <t>Руководство аспирантами</t>
        </is>
      </c>
      <c r="C1044" s="9" t="inlineStr">
        <is>
          <t>Руководство аспирантами</t>
        </is>
      </c>
      <c r="D1044" s="9" t="inlineStr">
        <is>
          <t>Т11О-307А-18</t>
        </is>
      </c>
      <c r="E1044" s="10" t="n">
        <v>75</v>
      </c>
      <c r="F1044" s="9" t="n"/>
      <c r="G1044" s="11" t="n">
        <v>0</v>
      </c>
      <c r="H1044" s="9" t="inlineStr">
        <is>
          <t xml:space="preserve">82060     </t>
        </is>
      </c>
      <c r="I1044" s="9" t="inlineStr">
        <is>
          <t xml:space="preserve">Лозован Александр Александрович </t>
        </is>
      </c>
      <c r="J1044" s="9" t="inlineStr">
        <is>
          <t>профессор</t>
        </is>
      </c>
      <c r="K1044" s="9" t="n"/>
      <c r="L1044" s="9" t="inlineStr">
        <is>
          <t>Быкадоров Кубатина Иванов</t>
        </is>
      </c>
      <c r="M1044" s="12">
        <f>SUMIFS($E$2:$E$1130,$A$2:$A$1130,"осень",$I$2:$I$1130,I1044)</f>
        <v/>
      </c>
      <c r="N1044" s="13">
        <f>SUMIFS($E$2:$E$1130,$A$2:$A$1130,"весна",$I$2:$I$1130,I1044)</f>
        <v/>
      </c>
      <c r="O1044" s="14">
        <f>M1044+N1044</f>
        <v/>
      </c>
      <c r="P1044" s="15">
        <f>O1044/$P$1</f>
        <v/>
      </c>
    </row>
    <row r="1045" hidden="1" ht="15.75" customHeight="1" s="2">
      <c r="A1045" s="9" t="inlineStr">
        <is>
          <t>весна</t>
        </is>
      </c>
      <c r="B1045" s="9" t="inlineStr">
        <is>
          <t>Руководство аспирантами</t>
        </is>
      </c>
      <c r="C1045" s="9" t="inlineStr">
        <is>
          <t>Руководство аспирантами</t>
        </is>
      </c>
      <c r="D1045" s="9" t="inlineStr">
        <is>
          <t>Т11О-202А-19</t>
        </is>
      </c>
      <c r="E1045" s="10" t="n">
        <v>25</v>
      </c>
      <c r="F1045" s="9" t="n"/>
      <c r="G1045" s="11" t="n">
        <v>0</v>
      </c>
      <c r="H1045" s="9" t="inlineStr">
        <is>
          <t xml:space="preserve">92509     </t>
        </is>
      </c>
      <c r="I1045" s="9" t="inlineStr">
        <is>
          <t xml:space="preserve">Пашков Игорь Николаевич </t>
        </is>
      </c>
      <c r="J1045" s="9" t="n"/>
      <c r="K1045" s="9" t="n"/>
      <c r="L1045" s="9" t="inlineStr">
        <is>
          <t>Степанов Максим Александрович</t>
        </is>
      </c>
      <c r="M1045" s="12">
        <f>SUMIFS($E$2:$E$1130,$A$2:$A$1130,"осень",$I$2:$I$1130,I1045)</f>
        <v/>
      </c>
      <c r="N1045" s="13">
        <f>SUMIFS($E$2:$E$1130,$A$2:$A$1130,"весна",$I$2:$I$1130,I1045)</f>
        <v/>
      </c>
      <c r="O1045" s="14">
        <f>M1045+N1045</f>
        <v/>
      </c>
      <c r="P1045" s="15">
        <f>O1045/$P$1</f>
        <v/>
      </c>
    </row>
    <row r="1046" hidden="1" ht="15.75" customHeight="1" s="2">
      <c r="A1046" s="9" t="inlineStr">
        <is>
          <t>весна</t>
        </is>
      </c>
      <c r="B1046" s="9" t="inlineStr">
        <is>
          <t>Руководство аспирантами</t>
        </is>
      </c>
      <c r="C1046" s="9" t="inlineStr">
        <is>
          <t>Руководство аспирантами</t>
        </is>
      </c>
      <c r="D1046" s="9" t="inlineStr">
        <is>
          <t>Т11О-207А-19</t>
        </is>
      </c>
      <c r="E1046" s="10" t="n">
        <v>25</v>
      </c>
      <c r="F1046" s="9" t="n"/>
      <c r="G1046" s="11" t="n">
        <v>0</v>
      </c>
      <c r="H1046" s="9" t="inlineStr">
        <is>
          <t xml:space="preserve">82060     </t>
        </is>
      </c>
      <c r="I1046" s="9" t="inlineStr">
        <is>
          <t xml:space="preserve">Лозован Александр Александрович </t>
        </is>
      </c>
      <c r="J1046" s="9" t="inlineStr">
        <is>
          <t>профессор</t>
        </is>
      </c>
      <c r="K1046" s="9" t="n"/>
      <c r="L1046" s="9" t="inlineStr">
        <is>
          <t>Козлов</t>
        </is>
      </c>
      <c r="M1046" s="12">
        <f>SUMIFS($E$2:$E$1130,$A$2:$A$1130,"осень",$I$2:$I$1130,I1046)</f>
        <v/>
      </c>
      <c r="N1046" s="13">
        <f>SUMIFS($E$2:$E$1130,$A$2:$A$1130,"весна",$I$2:$I$1130,I1046)</f>
        <v/>
      </c>
      <c r="O1046" s="14">
        <f>M1046+N1046</f>
        <v/>
      </c>
      <c r="P1046" s="15">
        <f>O1046/$P$1</f>
        <v/>
      </c>
    </row>
    <row r="1047" hidden="1" ht="15.75" customHeight="1" s="2">
      <c r="A1047" s="9" t="inlineStr">
        <is>
          <t>весна</t>
        </is>
      </c>
      <c r="B1047" s="9" t="inlineStr">
        <is>
          <t>Руководство аспирантами</t>
        </is>
      </c>
      <c r="C1047" s="9" t="inlineStr">
        <is>
          <t>Руководство аспирантами</t>
        </is>
      </c>
      <c r="D1047" s="9" t="inlineStr">
        <is>
          <t>Т11О-207А-19</t>
        </is>
      </c>
      <c r="E1047" s="10" t="n">
        <v>50</v>
      </c>
      <c r="F1047" s="9" t="n"/>
      <c r="G1047" s="11" t="n">
        <v>0</v>
      </c>
      <c r="H1047" s="9" t="inlineStr">
        <is>
          <t xml:space="preserve">82066     </t>
        </is>
      </c>
      <c r="I1047" s="9" t="inlineStr">
        <is>
          <t xml:space="preserve">Серов Михаил Михайлович </t>
        </is>
      </c>
      <c r="J1047" s="9" t="inlineStr">
        <is>
          <t>профессор</t>
        </is>
      </c>
      <c r="K1047" s="9" t="n"/>
      <c r="L1047" s="9" t="inlineStr">
        <is>
          <t>Ярошенко Патрушев</t>
        </is>
      </c>
      <c r="M1047" s="12">
        <f>SUMIFS($E$2:$E$1130,$A$2:$A$1130,"осень",$I$2:$I$1130,I1047)</f>
        <v/>
      </c>
      <c r="N1047" s="13">
        <f>SUMIFS($E$2:$E$1130,$A$2:$A$1130,"весна",$I$2:$I$1130,I1047)</f>
        <v/>
      </c>
      <c r="O1047" s="14">
        <f>M1047+N1047</f>
        <v/>
      </c>
      <c r="P1047" s="15">
        <f>O1047/$P$1</f>
        <v/>
      </c>
    </row>
    <row r="1048" hidden="1" ht="15.75" customHeight="1" s="2">
      <c r="A1048" s="41" t="inlineStr">
        <is>
          <t>весна</t>
        </is>
      </c>
      <c r="B1048" s="9" t="inlineStr">
        <is>
          <t>Диплом</t>
        </is>
      </c>
      <c r="C1048" s="9" t="inlineStr">
        <is>
          <t>Диплом</t>
        </is>
      </c>
      <c r="D1048" s="42" t="inlineStr">
        <is>
          <t>Т1О-401Б-17</t>
        </is>
      </c>
      <c r="E1048" s="43" t="n"/>
      <c r="F1048" s="10" t="n">
        <v>425</v>
      </c>
      <c r="G1048" s="11" t="n">
        <v>0</v>
      </c>
      <c r="H1048" s="9" t="n"/>
      <c r="I1048" s="44" t="inlineStr">
        <is>
          <t>э-Дипломы- Д+С</t>
        </is>
      </c>
      <c r="J1048" s="44" t="inlineStr">
        <is>
          <t>17 чел</t>
        </is>
      </c>
      <c r="K1048" s="41" t="n"/>
      <c r="L1048" s="9" t="n"/>
      <c r="M1048" s="12">
        <f>SUMIFS($E$2:$E$1130,$A$2:$A$1130,"осень",$I$2:$I$1130,I1048)</f>
        <v/>
      </c>
      <c r="N1048" s="13">
        <f>SUMIFS($E$2:$E$1130,$A$2:$A$1130,"весна",$I$2:$I$1130,I1048)</f>
        <v/>
      </c>
      <c r="O1048" s="14">
        <f>M1048+N1048</f>
        <v/>
      </c>
      <c r="P1048" s="15">
        <f>O1048/$P$1</f>
        <v/>
      </c>
    </row>
    <row r="1049" hidden="1" ht="15.75" customHeight="1" s="2">
      <c r="A1049" s="41" t="inlineStr">
        <is>
          <t>весна</t>
        </is>
      </c>
      <c r="B1049" s="9" t="inlineStr">
        <is>
          <t>Диплом</t>
        </is>
      </c>
      <c r="C1049" s="9" t="inlineStr">
        <is>
          <t>Диплом</t>
        </is>
      </c>
      <c r="D1049" s="42" t="inlineStr">
        <is>
          <t>Т1О-401Б-17</t>
        </is>
      </c>
      <c r="E1049" s="314" t="n">
        <v>40</v>
      </c>
      <c r="F1049" s="36" t="n"/>
      <c r="G1049" s="36" t="n"/>
      <c r="H1049" s="36" t="n"/>
      <c r="I1049" s="24" t="inlineStr">
        <is>
          <t xml:space="preserve">Беспалов Александр Владимирович </t>
        </is>
      </c>
      <c r="J1049" s="24" t="inlineStr">
        <is>
          <t>доцент</t>
        </is>
      </c>
      <c r="K1049" s="31" t="inlineStr">
        <is>
          <t>2 чел</t>
        </is>
      </c>
      <c r="L1049" s="36" t="n"/>
      <c r="M1049" s="12">
        <f>SUMIFS($E$2:$E$1130,$A$2:$A$1130,"осень",$I$2:$I$1130,I1049)</f>
        <v/>
      </c>
      <c r="N1049" s="13">
        <f>SUMIFS($E$2:$E$1130,$A$2:$A$1130,"весна",$I$2:$I$1130,I1049)</f>
        <v/>
      </c>
      <c r="O1049" s="14">
        <f>M1049+N1049</f>
        <v/>
      </c>
      <c r="P1049" s="15">
        <f>O1049/$P$1</f>
        <v/>
      </c>
    </row>
    <row r="1050" hidden="1" ht="15.75" customHeight="1" s="2">
      <c r="A1050" s="41" t="inlineStr">
        <is>
          <t>весна</t>
        </is>
      </c>
      <c r="B1050" s="9" t="inlineStr">
        <is>
          <t>Диплом</t>
        </is>
      </c>
      <c r="C1050" s="9" t="inlineStr">
        <is>
          <t>Диплом</t>
        </is>
      </c>
      <c r="D1050" s="42" t="inlineStr">
        <is>
          <t>Т1О-401Б-17</t>
        </is>
      </c>
      <c r="E1050" s="314" t="n">
        <v>60</v>
      </c>
      <c r="F1050" s="36" t="n"/>
      <c r="G1050" s="36" t="n"/>
      <c r="H1050" s="36" t="n"/>
      <c r="I1050" s="31" t="inlineStr">
        <is>
          <t xml:space="preserve">Петров Анатолий Павлович </t>
        </is>
      </c>
      <c r="J1050" s="31" t="inlineStr">
        <is>
          <t>профессор</t>
        </is>
      </c>
      <c r="K1050" s="31" t="inlineStr">
        <is>
          <t>3 чел</t>
        </is>
      </c>
      <c r="L1050" s="36" t="inlineStr">
        <is>
          <t>кроме понедельника, желательно все занятия в один день</t>
        </is>
      </c>
      <c r="M1050" s="12">
        <f>SUMIFS($E$2:$E$1130,$A$2:$A$1130,"осень",$I$2:$I$1130,I1050)</f>
        <v/>
      </c>
      <c r="N1050" s="13">
        <f>SUMIFS($E$2:$E$1130,$A$2:$A$1130,"весна",$I$2:$I$1130,I1050)</f>
        <v/>
      </c>
      <c r="O1050" s="14">
        <f>M1050+N1050</f>
        <v/>
      </c>
      <c r="P1050" s="15">
        <f>O1050/$P$1</f>
        <v/>
      </c>
    </row>
    <row r="1051" hidden="1" ht="15.75" customHeight="1" s="2">
      <c r="A1051" s="41" t="inlineStr">
        <is>
          <t>весна</t>
        </is>
      </c>
      <c r="B1051" s="9" t="inlineStr">
        <is>
          <t>Диплом</t>
        </is>
      </c>
      <c r="C1051" s="9" t="inlineStr">
        <is>
          <t>Диплом</t>
        </is>
      </c>
      <c r="D1051" s="42" t="inlineStr">
        <is>
          <t>Т1О-401Б-17</t>
        </is>
      </c>
      <c r="E1051" s="314" t="n">
        <v>20</v>
      </c>
      <c r="F1051" s="36" t="n"/>
      <c r="G1051" s="36" t="n"/>
      <c r="H1051" s="36" t="n"/>
      <c r="I1051" s="9" t="inlineStr">
        <is>
          <t xml:space="preserve">Еремеев Николай Владимирович </t>
        </is>
      </c>
      <c r="J1051" s="31" t="inlineStr">
        <is>
          <t>доцент</t>
        </is>
      </c>
      <c r="K1051" s="31" t="inlineStr">
        <is>
          <t>1 чел</t>
        </is>
      </c>
      <c r="L1051" s="36" t="n"/>
      <c r="M1051" s="12">
        <f>SUMIFS($E$2:$E$1130,$A$2:$A$1130,"осень",$I$2:$I$1130,I1051)</f>
        <v/>
      </c>
      <c r="N1051" s="13">
        <f>SUMIFS($E$2:$E$1130,$A$2:$A$1130,"весна",$I$2:$I$1130,I1051)</f>
        <v/>
      </c>
      <c r="O1051" s="14">
        <f>M1051+N1051</f>
        <v/>
      </c>
      <c r="P1051" s="15">
        <f>O1051/$P$1</f>
        <v/>
      </c>
    </row>
    <row r="1052" hidden="1" ht="15.75" customHeight="1" s="2">
      <c r="A1052" s="41" t="inlineStr">
        <is>
          <t>весна</t>
        </is>
      </c>
      <c r="B1052" s="9" t="inlineStr">
        <is>
          <t>Диплом</t>
        </is>
      </c>
      <c r="C1052" s="9" t="inlineStr">
        <is>
          <t>Диплом</t>
        </is>
      </c>
      <c r="D1052" s="42" t="inlineStr">
        <is>
          <t>Т1О-401Б-17</t>
        </is>
      </c>
      <c r="E1052" s="314">
        <f>40+5</f>
        <v/>
      </c>
      <c r="F1052" s="36" t="n"/>
      <c r="G1052" s="36" t="n"/>
      <c r="H1052" s="36" t="n"/>
      <c r="I1052" s="31" t="inlineStr">
        <is>
          <t xml:space="preserve">Палтиевич Андрей Романович </t>
        </is>
      </c>
      <c r="J1052" s="31" t="inlineStr">
        <is>
          <t>доцент</t>
        </is>
      </c>
      <c r="K1052" s="31" t="inlineStr">
        <is>
          <t>2 чел +ком</t>
        </is>
      </c>
      <c r="L1052" s="36" t="n"/>
      <c r="M1052" s="12">
        <f>SUMIFS($E$2:$E$1130,$A$2:$A$1130,"осень",$I$2:$I$1130,I1052)</f>
        <v/>
      </c>
      <c r="N1052" s="13">
        <f>SUMIFS($E$2:$E$1130,$A$2:$A$1130,"весна",$I$2:$I$1130,I1052)</f>
        <v/>
      </c>
      <c r="O1052" s="14">
        <f>M1052+N1052</f>
        <v/>
      </c>
      <c r="P1052" s="15">
        <f>O1052/$P$1</f>
        <v/>
      </c>
    </row>
    <row r="1053" hidden="1" ht="15.75" customHeight="1" s="2">
      <c r="A1053" s="41" t="inlineStr">
        <is>
          <t>весна</t>
        </is>
      </c>
      <c r="B1053" s="9" t="inlineStr">
        <is>
          <t>Диплом</t>
        </is>
      </c>
      <c r="C1053" s="9" t="inlineStr">
        <is>
          <t>Диплом</t>
        </is>
      </c>
      <c r="D1053" s="42" t="inlineStr">
        <is>
          <t>Т1О-401Б-17</t>
        </is>
      </c>
      <c r="E1053" s="314" t="n">
        <v>20</v>
      </c>
      <c r="F1053" s="36" t="n"/>
      <c r="G1053" s="36" t="n"/>
      <c r="H1053" s="36" t="n"/>
      <c r="I1053" s="31" t="inlineStr">
        <is>
          <t xml:space="preserve">Преображенский Евгений Владимирович </t>
        </is>
      </c>
      <c r="J1053" s="31" t="inlineStr">
        <is>
          <t>доцент</t>
        </is>
      </c>
      <c r="K1053" s="31" t="inlineStr">
        <is>
          <t>1 чел</t>
        </is>
      </c>
      <c r="L1053" s="36" t="n"/>
      <c r="M1053" s="12">
        <f>SUMIFS($E$2:$E$1130,$A$2:$A$1130,"осень",$I$2:$I$1130,I1053)</f>
        <v/>
      </c>
      <c r="N1053" s="13">
        <f>SUMIFS($E$2:$E$1130,$A$2:$A$1130,"весна",$I$2:$I$1130,I1053)</f>
        <v/>
      </c>
      <c r="O1053" s="14">
        <f>M1053+N1053</f>
        <v/>
      </c>
      <c r="P1053" s="15">
        <f>O1053/$P$1</f>
        <v/>
      </c>
    </row>
    <row r="1054" hidden="1" ht="15.75" customHeight="1" s="2">
      <c r="A1054" s="41" t="inlineStr">
        <is>
          <t>весна</t>
        </is>
      </c>
      <c r="B1054" s="9" t="inlineStr">
        <is>
          <t>Диплом</t>
        </is>
      </c>
      <c r="C1054" s="9" t="inlineStr">
        <is>
          <t>Диплом</t>
        </is>
      </c>
      <c r="D1054" s="42" t="inlineStr">
        <is>
          <t>Т1О-401Б-17</t>
        </is>
      </c>
      <c r="E1054" s="314">
        <f>20+5+10</f>
        <v/>
      </c>
      <c r="F1054" s="36" t="n"/>
      <c r="G1054" s="36" t="n"/>
      <c r="H1054" s="36" t="n"/>
      <c r="I1054" s="31" t="inlineStr">
        <is>
          <t xml:space="preserve">Соколов Алексей Викторович </t>
        </is>
      </c>
      <c r="J1054" s="31" t="inlineStr">
        <is>
          <t>доцент</t>
        </is>
      </c>
      <c r="K1054" s="31" t="inlineStr">
        <is>
          <t>1 чел+ком+норм</t>
        </is>
      </c>
      <c r="L1054" s="36" t="inlineStr">
        <is>
          <t>кроме пятницы</t>
        </is>
      </c>
      <c r="M1054" s="12">
        <f>SUMIFS($E$2:$E$1130,$A$2:$A$1130,"осень",$I$2:$I$1130,I1054)</f>
        <v/>
      </c>
      <c r="N1054" s="13">
        <f>SUMIFS($E$2:$E$1130,$A$2:$A$1130,"весна",$I$2:$I$1130,I1054)</f>
        <v/>
      </c>
      <c r="O1054" s="14">
        <f>M1054+N1054</f>
        <v/>
      </c>
      <c r="P1054" s="15">
        <f>O1054/$P$1</f>
        <v/>
      </c>
    </row>
    <row r="1055" hidden="1" ht="15.75" customHeight="1" s="2">
      <c r="A1055" s="41" t="inlineStr">
        <is>
          <t>весна</t>
        </is>
      </c>
      <c r="B1055" s="9" t="inlineStr">
        <is>
          <t>Диплом</t>
        </is>
      </c>
      <c r="C1055" s="9" t="inlineStr">
        <is>
          <t>Диплом</t>
        </is>
      </c>
      <c r="D1055" s="42" t="inlineStr">
        <is>
          <t>Т1О-401Б-17</t>
        </is>
      </c>
      <c r="E1055" s="314" t="n">
        <v>5</v>
      </c>
      <c r="F1055" s="36" t="n"/>
      <c r="G1055" s="36" t="n"/>
      <c r="H1055" s="36" t="n"/>
      <c r="I1055" s="31" t="inlineStr">
        <is>
          <t xml:space="preserve">Комаров Роман Сергеевич </t>
        </is>
      </c>
      <c r="J1055" s="31" t="inlineStr">
        <is>
          <t>доцент</t>
        </is>
      </c>
      <c r="K1055" s="31" t="inlineStr">
        <is>
          <t>секр</t>
        </is>
      </c>
      <c r="L1055" s="36" t="n"/>
      <c r="M1055" s="12">
        <f>SUMIFS($E$2:$E$1130,$A$2:$A$1130,"осень",$I$2:$I$1130,I1055)</f>
        <v/>
      </c>
      <c r="N1055" s="13">
        <f>SUMIFS($E$2:$E$1130,$A$2:$A$1130,"весна",$I$2:$I$1130,I1055)</f>
        <v/>
      </c>
      <c r="O1055" s="14">
        <f>M1055+N1055</f>
        <v/>
      </c>
      <c r="P1055" s="15">
        <f>O1055/$P$1</f>
        <v/>
      </c>
    </row>
    <row r="1056" hidden="1" ht="15.75" customHeight="1" s="2">
      <c r="A1056" s="41" t="inlineStr">
        <is>
          <t>весна</t>
        </is>
      </c>
      <c r="B1056" s="9" t="inlineStr">
        <is>
          <t>Диплом</t>
        </is>
      </c>
      <c r="C1056" s="9" t="inlineStr">
        <is>
          <t>Диплом</t>
        </is>
      </c>
      <c r="D1056" s="42" t="inlineStr">
        <is>
          <t>Т1О-401Б-17</t>
        </is>
      </c>
      <c r="E1056" s="314" t="n">
        <v>5</v>
      </c>
      <c r="F1056" s="36" t="n"/>
      <c r="G1056" s="36" t="n"/>
      <c r="H1056" s="36" t="n"/>
      <c r="I1056" s="31" t="inlineStr">
        <is>
          <t xml:space="preserve">Шленский Алексей Геннадьевич </t>
        </is>
      </c>
      <c r="J1056" s="31" t="inlineStr">
        <is>
          <t>доцент</t>
        </is>
      </c>
      <c r="K1056" s="31" t="inlineStr">
        <is>
          <t>ком</t>
        </is>
      </c>
      <c r="L1056" s="36" t="n"/>
      <c r="M1056" s="12">
        <f>SUMIFS($E$2:$E$1130,$A$2:$A$1130,"осень",$I$2:$I$1130,I1056)</f>
        <v/>
      </c>
      <c r="N1056" s="13">
        <f>SUMIFS($E$2:$E$1130,$A$2:$A$1130,"весна",$I$2:$I$1130,I1056)</f>
        <v/>
      </c>
      <c r="O1056" s="14">
        <f>M1056+N1056</f>
        <v/>
      </c>
      <c r="P1056" s="15">
        <f>O1056/$P$1</f>
        <v/>
      </c>
    </row>
    <row r="1057" hidden="1" ht="15.75" customHeight="1" s="2">
      <c r="A1057" s="41" t="inlineStr">
        <is>
          <t>весна</t>
        </is>
      </c>
      <c r="B1057" s="9" t="inlineStr">
        <is>
          <t>Диплом</t>
        </is>
      </c>
      <c r="C1057" s="9" t="inlineStr">
        <is>
          <t>Диплом</t>
        </is>
      </c>
      <c r="D1057" s="42" t="inlineStr">
        <is>
          <t>Т1О-401Б-17 (Т1О-403Б-17)</t>
        </is>
      </c>
      <c r="E1057" s="46">
        <f>40+3.5</f>
        <v/>
      </c>
      <c r="F1057" s="36" t="n"/>
      <c r="G1057" s="36" t="n">
        <v>0</v>
      </c>
      <c r="H1057" s="36" t="n"/>
      <c r="I1057" s="31" t="inlineStr">
        <is>
          <t xml:space="preserve">Никитина Елена Владимировна </t>
        </is>
      </c>
      <c r="J1057" s="31" t="inlineStr">
        <is>
          <t>профессор</t>
        </is>
      </c>
      <c r="K1057" s="31" t="inlineStr">
        <is>
          <t>2 чел + ком</t>
        </is>
      </c>
      <c r="L1057" s="36" t="inlineStr">
        <is>
          <t>Порошки в сварку</t>
        </is>
      </c>
      <c r="M1057" s="12">
        <f>SUMIFS($E$2:$E$1130,$A$2:$A$1130,"осень",$I$2:$I$1130,I1057)</f>
        <v/>
      </c>
      <c r="N1057" s="13">
        <f>SUMIFS($E$2:$E$1130,$A$2:$A$1130,"весна",$I$2:$I$1130,I1057)</f>
        <v/>
      </c>
      <c r="O1057" s="14">
        <f>M1057+N1057</f>
        <v/>
      </c>
      <c r="P1057" s="15">
        <f>O1057/$P$1</f>
        <v/>
      </c>
    </row>
    <row r="1058" hidden="1" ht="15.75" customHeight="1" s="2">
      <c r="A1058" s="41" t="inlineStr">
        <is>
          <t>весна</t>
        </is>
      </c>
      <c r="B1058" s="9" t="inlineStr">
        <is>
          <t>Диплом</t>
        </is>
      </c>
      <c r="C1058" s="9" t="inlineStr">
        <is>
          <t>Диплом</t>
        </is>
      </c>
      <c r="D1058" s="42" t="inlineStr">
        <is>
          <t>Т1О-401Б-17 (Т1О-403Б-17)</t>
        </is>
      </c>
      <c r="E1058" s="46">
        <f>20+7+3.5</f>
        <v/>
      </c>
      <c r="F1058" s="36" t="n"/>
      <c r="G1058" s="36" t="n">
        <v>0</v>
      </c>
      <c r="H1058" s="36" t="n"/>
      <c r="I1058" s="31" t="inlineStr">
        <is>
          <t xml:space="preserve">Федоров Сергей Александрович </t>
        </is>
      </c>
      <c r="J1058" s="31" t="inlineStr">
        <is>
          <t>профессор</t>
        </is>
      </c>
      <c r="K1058" s="31" t="inlineStr">
        <is>
          <t>1 чел + норм+ком</t>
        </is>
      </c>
      <c r="L1058" s="36" t="inlineStr">
        <is>
          <t>Порошки в сварку</t>
        </is>
      </c>
      <c r="M1058" s="12">
        <f>SUMIFS($E$2:$E$1130,$A$2:$A$1130,"осень",$I$2:$I$1130,I1058)</f>
        <v/>
      </c>
      <c r="N1058" s="13">
        <f>SUMIFS($E$2:$E$1130,$A$2:$A$1130,"весна",$I$2:$I$1130,I1058)</f>
        <v/>
      </c>
      <c r="O1058" s="14">
        <f>M1058+N1058</f>
        <v/>
      </c>
      <c r="P1058" s="15">
        <f>O1058/$P$1</f>
        <v/>
      </c>
    </row>
    <row r="1059" hidden="1" ht="15.75" customHeight="1" s="2">
      <c r="A1059" s="41" t="inlineStr">
        <is>
          <t>весна</t>
        </is>
      </c>
      <c r="B1059" s="9" t="inlineStr">
        <is>
          <t>Диплом</t>
        </is>
      </c>
      <c r="C1059" s="9" t="inlineStr">
        <is>
          <t>Диплом</t>
        </is>
      </c>
      <c r="D1059" s="42" t="inlineStr">
        <is>
          <t>Т1О-401Б-17 (Т1О-403Б-17)</t>
        </is>
      </c>
      <c r="E1059" s="46">
        <f>40+3.5</f>
        <v/>
      </c>
      <c r="F1059" s="36" t="n"/>
      <c r="G1059" s="36" t="n">
        <v>0</v>
      </c>
      <c r="H1059" s="36" t="n"/>
      <c r="I1059" s="31" t="inlineStr">
        <is>
          <t xml:space="preserve">Конкевич Валентин Юрьевич </t>
        </is>
      </c>
      <c r="J1059" s="31" t="inlineStr">
        <is>
          <t>профессор</t>
        </is>
      </c>
      <c r="K1059" s="31" t="inlineStr">
        <is>
          <t>2 чел + ком</t>
        </is>
      </c>
      <c r="L1059" s="36" t="inlineStr">
        <is>
          <t>Порошки в сварку</t>
        </is>
      </c>
      <c r="M1059" s="12">
        <f>SUMIFS($E$2:$E$1130,$A$2:$A$1130,"осень",$I$2:$I$1130,I1059)</f>
        <v/>
      </c>
      <c r="N1059" s="13">
        <f>SUMIFS($E$2:$E$1130,$A$2:$A$1130,"весна",$I$2:$I$1130,I1059)</f>
        <v/>
      </c>
      <c r="O1059" s="14">
        <f>M1059+N1059</f>
        <v/>
      </c>
      <c r="P1059" s="15">
        <f>O1059/$P$1</f>
        <v/>
      </c>
    </row>
    <row r="1060" hidden="1" ht="15.75" customHeight="1" s="2">
      <c r="A1060" s="41" t="inlineStr">
        <is>
          <t>весна</t>
        </is>
      </c>
      <c r="B1060" s="9" t="inlineStr">
        <is>
          <t>Диплом</t>
        </is>
      </c>
      <c r="C1060" s="9" t="inlineStr">
        <is>
          <t>Диплом</t>
        </is>
      </c>
      <c r="D1060" s="42" t="inlineStr">
        <is>
          <t>Т1О-401Б-17 (Т1О-403Б-17)</t>
        </is>
      </c>
      <c r="E1060" s="47" t="n">
        <v>3.5</v>
      </c>
      <c r="F1060" s="48" t="n"/>
      <c r="G1060" s="48" t="n">
        <v>0</v>
      </c>
      <c r="H1060" s="48" t="n"/>
      <c r="I1060" s="49" t="inlineStr">
        <is>
          <t xml:space="preserve">Власенко Артем Николаевич </t>
        </is>
      </c>
      <c r="J1060" s="49" t="inlineStr">
        <is>
          <t>ст. преподаватель</t>
        </is>
      </c>
      <c r="K1060" s="49" t="inlineStr">
        <is>
          <t>секр</t>
        </is>
      </c>
      <c r="L1060" s="48" t="inlineStr">
        <is>
          <t>Порошки в сварку</t>
        </is>
      </c>
      <c r="M1060" s="12">
        <f>SUMIFS($E$2:$E$1130,$A$2:$A$1130,"осень",$I$2:$I$1130,I1060)</f>
        <v/>
      </c>
      <c r="N1060" s="13">
        <f>SUMIFS($E$2:$E$1130,$A$2:$A$1130,"весна",$I$2:$I$1130,I1060)</f>
        <v/>
      </c>
      <c r="O1060" s="14">
        <f>M1060+N1060</f>
        <v/>
      </c>
      <c r="P1060" s="15">
        <f>O1060/$P$1</f>
        <v/>
      </c>
    </row>
    <row r="1061" hidden="1" ht="15.75" customHeight="1" s="2">
      <c r="A1061" s="41" t="inlineStr">
        <is>
          <t>весна</t>
        </is>
      </c>
      <c r="B1061" s="9" t="inlineStr">
        <is>
          <t>Диплом</t>
        </is>
      </c>
      <c r="C1061" s="9" t="inlineStr">
        <is>
          <t>Диплом</t>
        </is>
      </c>
      <c r="D1061" s="42" t="inlineStr">
        <is>
          <t>Т1О-401Б-17 (Т1О-403Б-17)</t>
        </is>
      </c>
      <c r="E1061" s="50" t="n">
        <v>20</v>
      </c>
      <c r="F1061" s="9" t="n"/>
      <c r="G1061" s="9" t="n"/>
      <c r="H1061" s="9" t="n"/>
      <c r="I1061" s="41" t="inlineStr">
        <is>
          <t>Степанов Владимир Валерьевич</t>
        </is>
      </c>
      <c r="J1061" s="31" t="inlineStr">
        <is>
          <t>профессор</t>
        </is>
      </c>
      <c r="K1061" s="41" t="inlineStr">
        <is>
          <t>1 чел</t>
        </is>
      </c>
      <c r="L1061" s="9" t="n"/>
      <c r="M1061" s="12">
        <f>SUMIFS($E$2:$E$1130,$A$2:$A$1130,"осень",$I$2:$I$1130,I1061)</f>
        <v/>
      </c>
      <c r="N1061" s="13">
        <f>SUMIFS($E$2:$E$1130,$A$2:$A$1130,"весна",$I$2:$I$1130,I1061)</f>
        <v/>
      </c>
      <c r="O1061" s="14">
        <f>M1061+N1061</f>
        <v/>
      </c>
      <c r="P1061" s="15">
        <f>O1061/$P$1</f>
        <v/>
      </c>
    </row>
    <row r="1062" hidden="1" ht="15.75" customHeight="1" s="2">
      <c r="A1062" s="41" t="inlineStr">
        <is>
          <t>весна</t>
        </is>
      </c>
      <c r="B1062" s="9" t="inlineStr">
        <is>
          <t>Диплом</t>
        </is>
      </c>
      <c r="C1062" s="9" t="inlineStr">
        <is>
          <t>Диплом</t>
        </is>
      </c>
      <c r="D1062" s="42" t="inlineStr">
        <is>
          <t>Т1О-401Б-17 (Т1О-403Б-17)</t>
        </is>
      </c>
      <c r="E1062" s="51" t="n">
        <v>20</v>
      </c>
      <c r="F1062" s="9" t="n"/>
      <c r="G1062" s="9" t="n"/>
      <c r="H1062" s="9" t="n"/>
      <c r="I1062" s="41" t="inlineStr">
        <is>
          <t>Сидякин Виталий Александрович</t>
        </is>
      </c>
      <c r="J1062" s="31" t="inlineStr">
        <is>
          <t>профессор</t>
        </is>
      </c>
      <c r="K1062" s="41" t="inlineStr">
        <is>
          <t>1 чел</t>
        </is>
      </c>
      <c r="L1062" s="9" t="n"/>
      <c r="M1062" s="12">
        <f>SUMIFS($E$2:$E$1130,$A$2:$A$1130,"осень",$I$2:$I$1130,I1062)</f>
        <v/>
      </c>
      <c r="N1062" s="13">
        <f>SUMIFS($E$2:$E$1130,$A$2:$A$1130,"весна",$I$2:$I$1130,I1062)</f>
        <v/>
      </c>
      <c r="O1062" s="14">
        <f>M1062+N1062</f>
        <v/>
      </c>
      <c r="P1062" s="15">
        <f>O1062/$P$1</f>
        <v/>
      </c>
    </row>
    <row r="1063" hidden="1" ht="15.75" customHeight="1" s="2">
      <c r="A1063" s="41" t="inlineStr">
        <is>
          <t>весна</t>
        </is>
      </c>
      <c r="B1063" s="9" t="inlineStr">
        <is>
          <t>Диплом</t>
        </is>
      </c>
      <c r="C1063" s="9" t="inlineStr">
        <is>
          <t>Диплом</t>
        </is>
      </c>
      <c r="D1063" s="42" t="inlineStr">
        <is>
          <t>Т1О-401Б-17 (Т1О-403Б-17)</t>
        </is>
      </c>
      <c r="E1063" s="50" t="n">
        <v>34</v>
      </c>
      <c r="F1063" s="9" t="n"/>
      <c r="G1063" s="9" t="n"/>
      <c r="H1063" s="9" t="n"/>
      <c r="I1063" s="52" t="inlineStr">
        <is>
          <t>э-Комиссия-Д+С</t>
        </is>
      </c>
      <c r="J1063" s="41" t="n"/>
      <c r="K1063" s="41" t="n"/>
      <c r="L1063" s="9" t="n"/>
      <c r="M1063" s="12">
        <f>SUMIFS($E$2:$E$1130,$A$2:$A$1130,"осень",$I$2:$I$1130,I1063)</f>
        <v/>
      </c>
      <c r="N1063" s="13">
        <f>SUMIFS($E$2:$E$1130,$A$2:$A$1130,"весна",$I$2:$I$1130,I1063)</f>
        <v/>
      </c>
      <c r="O1063" s="14">
        <f>M1063+N1063</f>
        <v/>
      </c>
      <c r="P1063" s="15">
        <f>O1063/$P$1</f>
        <v/>
      </c>
    </row>
    <row r="1064" hidden="1" ht="15.75" customHeight="1" s="2">
      <c r="A1064" s="9" t="inlineStr">
        <is>
          <t>весна</t>
        </is>
      </c>
      <c r="B1064" s="9" t="inlineStr">
        <is>
          <t>Диплом</t>
        </is>
      </c>
      <c r="C1064" s="9" t="inlineStr">
        <is>
          <t>Диплом</t>
        </is>
      </c>
      <c r="D1064" s="9" t="inlineStr">
        <is>
          <t>Т1О-404Б-17</t>
        </is>
      </c>
      <c r="E1064" s="53" t="n"/>
      <c r="F1064" s="54" t="n">
        <v>575</v>
      </c>
      <c r="G1064" s="55" t="n">
        <v>0</v>
      </c>
      <c r="H1064" s="56" t="n"/>
      <c r="I1064" s="57" t="inlineStr">
        <is>
          <t>э-Диплома- А</t>
        </is>
      </c>
      <c r="J1064" s="57" t="inlineStr">
        <is>
          <t>23 чел</t>
        </is>
      </c>
      <c r="K1064" s="58" t="n"/>
      <c r="L1064" s="56" t="n"/>
      <c r="M1064" s="12">
        <f>SUMIFS($E$2:$E$1130,$A$2:$A$1130,"осень",$I$2:$I$1130,I1064)</f>
        <v/>
      </c>
      <c r="N1064" s="13">
        <f>SUMIFS($E$2:$E$1130,$A$2:$A$1130,"весна",$I$2:$I$1130,I1064)</f>
        <v/>
      </c>
      <c r="O1064" s="14">
        <f>M1064+N1064</f>
        <v/>
      </c>
      <c r="P1064" s="15">
        <f>O1064/$P$1</f>
        <v/>
      </c>
    </row>
    <row r="1065" hidden="1" ht="15.75" customHeight="1" s="2">
      <c r="A1065" s="36" t="inlineStr">
        <is>
          <t>весна</t>
        </is>
      </c>
      <c r="B1065" s="36" t="inlineStr">
        <is>
          <t>Диплом</t>
        </is>
      </c>
      <c r="C1065" s="9" t="inlineStr">
        <is>
          <t>Диплом</t>
        </is>
      </c>
      <c r="D1065" s="9" t="inlineStr">
        <is>
          <t>Т1О-404Б-17</t>
        </is>
      </c>
      <c r="E1065" s="10" t="n">
        <v>140</v>
      </c>
      <c r="F1065" s="9" t="n"/>
      <c r="G1065" s="9" t="n"/>
      <c r="H1065" s="9" t="n"/>
      <c r="I1065" s="32" t="inlineStr">
        <is>
          <t xml:space="preserve">Галкин Виктор Иванович </t>
        </is>
      </c>
      <c r="J1065" s="32" t="inlineStr">
        <is>
          <t>профессор</t>
        </is>
      </c>
      <c r="K1065" s="32" t="inlineStr">
        <is>
          <t>7 чел</t>
        </is>
      </c>
      <c r="L1065" s="9" t="inlineStr">
        <is>
          <t>кроме среды и первой пары понедельника</t>
        </is>
      </c>
      <c r="M1065" s="12">
        <f>SUMIFS($E$2:$E$1130,$A$2:$A$1130,"осень",$I$2:$I$1130,I1065)</f>
        <v/>
      </c>
      <c r="N1065" s="13">
        <f>SUMIFS($E$2:$E$1130,$A$2:$A$1130,"весна",$I$2:$I$1130,I1065)</f>
        <v/>
      </c>
      <c r="O1065" s="14">
        <f>M1065+N1065</f>
        <v/>
      </c>
      <c r="P1065" s="15">
        <f>O1065/$P$1</f>
        <v/>
      </c>
    </row>
    <row r="1066" hidden="1" ht="15.75" customHeight="1" s="2">
      <c r="A1066" s="36" t="inlineStr">
        <is>
          <t>весна</t>
        </is>
      </c>
      <c r="B1066" s="36" t="inlineStr">
        <is>
          <t>Диплом</t>
        </is>
      </c>
      <c r="C1066" s="9" t="inlineStr">
        <is>
          <t>Диплом</t>
        </is>
      </c>
      <c r="D1066" s="9" t="inlineStr">
        <is>
          <t>Т1О-404Б-17</t>
        </is>
      </c>
      <c r="E1066" s="10" t="n">
        <v>120</v>
      </c>
      <c r="F1066" s="9" t="n"/>
      <c r="G1066" s="9" t="n"/>
      <c r="H1066" s="9" t="n"/>
      <c r="I1066" s="32" t="inlineStr">
        <is>
          <t xml:space="preserve">Преображенский Евгений Владимирович </t>
        </is>
      </c>
      <c r="J1066" s="32" t="inlineStr">
        <is>
          <t>доцент</t>
        </is>
      </c>
      <c r="K1066" s="32" t="inlineStr">
        <is>
          <t>6 чел</t>
        </is>
      </c>
      <c r="L1066" s="9" t="n"/>
      <c r="M1066" s="12">
        <f>SUMIFS($E$2:$E$1130,$A$2:$A$1130,"осень",$I$2:$I$1130,I1066)</f>
        <v/>
      </c>
      <c r="N1066" s="13">
        <f>SUMIFS($E$2:$E$1130,$A$2:$A$1130,"весна",$I$2:$I$1130,I1066)</f>
        <v/>
      </c>
      <c r="O1066" s="14">
        <f>M1066+N1066</f>
        <v/>
      </c>
      <c r="P1066" s="15">
        <f>O1066/$P$1</f>
        <v/>
      </c>
    </row>
    <row r="1067" hidden="1" ht="15.75" customHeight="1" s="2">
      <c r="A1067" s="36" t="inlineStr">
        <is>
          <t>весна</t>
        </is>
      </c>
      <c r="B1067" s="36" t="inlineStr">
        <is>
          <t>Диплом</t>
        </is>
      </c>
      <c r="C1067" s="9" t="inlineStr">
        <is>
          <t>Диплом</t>
        </is>
      </c>
      <c r="D1067" s="9" t="inlineStr">
        <is>
          <t>Т1О-404Б-17</t>
        </is>
      </c>
      <c r="E1067" s="10" t="n">
        <v>80</v>
      </c>
      <c r="F1067" s="9" t="n"/>
      <c r="G1067" s="9" t="n"/>
      <c r="H1067" s="9" t="n"/>
      <c r="I1067" s="32" t="inlineStr">
        <is>
          <t xml:space="preserve">Шленский Алексей Геннадьевич </t>
        </is>
      </c>
      <c r="J1067" s="32" t="inlineStr">
        <is>
          <t>доцент</t>
        </is>
      </c>
      <c r="K1067" s="32" t="inlineStr">
        <is>
          <t>4 чел</t>
        </is>
      </c>
      <c r="L1067" s="9" t="n"/>
      <c r="M1067" s="12">
        <f>SUMIFS($E$2:$E$1130,$A$2:$A$1130,"осень",$I$2:$I$1130,I1067)</f>
        <v/>
      </c>
      <c r="N1067" s="13">
        <f>SUMIFS($E$2:$E$1130,$A$2:$A$1130,"весна",$I$2:$I$1130,I1067)</f>
        <v/>
      </c>
      <c r="O1067" s="14">
        <f>M1067+N1067</f>
        <v/>
      </c>
      <c r="P1067" s="15">
        <f>O1067/$P$1</f>
        <v/>
      </c>
    </row>
    <row r="1068" hidden="1" ht="15.75" customHeight="1" s="2">
      <c r="A1068" s="36" t="inlineStr">
        <is>
          <t>весна</t>
        </is>
      </c>
      <c r="B1068" s="36" t="inlineStr">
        <is>
          <t>Диплом</t>
        </is>
      </c>
      <c r="C1068" s="9" t="inlineStr">
        <is>
          <t>Диплом</t>
        </is>
      </c>
      <c r="D1068" s="9" t="inlineStr">
        <is>
          <t>Т1О-404Б-17</t>
        </is>
      </c>
      <c r="E1068" s="10" t="n">
        <v>71.5</v>
      </c>
      <c r="F1068" s="9" t="n"/>
      <c r="G1068" s="9" t="n"/>
      <c r="H1068" s="9" t="n"/>
      <c r="I1068" s="32" t="inlineStr">
        <is>
          <t xml:space="preserve">Палтиевич Андрей Романович </t>
        </is>
      </c>
      <c r="J1068" s="32" t="inlineStr">
        <is>
          <t>доцент</t>
        </is>
      </c>
      <c r="K1068" s="32" t="inlineStr">
        <is>
          <t>3 чел+ком</t>
        </is>
      </c>
      <c r="L1068" s="9" t="n"/>
      <c r="M1068" s="12">
        <f>SUMIFS($E$2:$E$1130,$A$2:$A$1130,"осень",$I$2:$I$1130,I1068)</f>
        <v/>
      </c>
      <c r="N1068" s="13">
        <f>SUMIFS($E$2:$E$1130,$A$2:$A$1130,"весна",$I$2:$I$1130,I1068)</f>
        <v/>
      </c>
      <c r="O1068" s="14">
        <f>M1068+N1068</f>
        <v/>
      </c>
      <c r="P1068" s="15">
        <f>O1068/$P$1</f>
        <v/>
      </c>
    </row>
    <row r="1069" hidden="1" ht="15.75" customHeight="1" s="2">
      <c r="A1069" s="36" t="inlineStr">
        <is>
          <t>весна</t>
        </is>
      </c>
      <c r="B1069" s="36" t="inlineStr">
        <is>
          <t>Диплом</t>
        </is>
      </c>
      <c r="C1069" s="9" t="inlineStr">
        <is>
          <t>Диплом</t>
        </is>
      </c>
      <c r="D1069" s="9" t="inlineStr">
        <is>
          <t>Т1О-404Б-17</t>
        </is>
      </c>
      <c r="E1069" s="10" t="n">
        <v>71.5</v>
      </c>
      <c r="F1069" s="9" t="n"/>
      <c r="G1069" s="9" t="n"/>
      <c r="H1069" s="9" t="n"/>
      <c r="I1069" s="32" t="inlineStr">
        <is>
          <t xml:space="preserve">Жаров Максим Владимирович </t>
        </is>
      </c>
      <c r="J1069" s="32" t="inlineStr">
        <is>
          <t>доцент</t>
        </is>
      </c>
      <c r="K1069" s="32" t="inlineStr">
        <is>
          <t>3 чел+ком</t>
        </is>
      </c>
      <c r="L1069" s="9" t="inlineStr">
        <is>
          <t>по первым неделям</t>
        </is>
      </c>
      <c r="M1069" s="12">
        <f>SUMIFS($E$2:$E$1130,$A$2:$A$1130,"осень",$I$2:$I$1130,I1069)</f>
        <v/>
      </c>
      <c r="N1069" s="13">
        <f>SUMIFS($E$2:$E$1130,$A$2:$A$1130,"весна",$I$2:$I$1130,I1069)</f>
        <v/>
      </c>
      <c r="O1069" s="14">
        <f>M1069+N1069</f>
        <v/>
      </c>
      <c r="P1069" s="15">
        <f>O1069/$P$1</f>
        <v/>
      </c>
    </row>
    <row r="1070" hidden="1" ht="15.75" customHeight="1" s="2">
      <c r="A1070" s="36" t="inlineStr">
        <is>
          <t>весна</t>
        </is>
      </c>
      <c r="B1070" s="36" t="inlineStr">
        <is>
          <t>Диплом</t>
        </is>
      </c>
      <c r="C1070" s="9" t="inlineStr">
        <is>
          <t>Диплом</t>
        </is>
      </c>
      <c r="D1070" s="9" t="inlineStr">
        <is>
          <t>Т1О-404Б-17</t>
        </is>
      </c>
      <c r="E1070" s="10" t="n">
        <v>11.5</v>
      </c>
      <c r="F1070" s="59" t="n"/>
      <c r="G1070" s="59" t="n"/>
      <c r="H1070" s="59" t="n"/>
      <c r="I1070" s="32" t="inlineStr">
        <is>
          <t xml:space="preserve">Галкин Евгений Владимирович </t>
        </is>
      </c>
      <c r="J1070" s="32" t="inlineStr">
        <is>
          <t>доцент</t>
        </is>
      </c>
      <c r="K1070" s="58" t="inlineStr">
        <is>
          <t>комиссия</t>
        </is>
      </c>
      <c r="L1070" s="56" t="n"/>
      <c r="M1070" s="12">
        <f>SUMIFS($E$2:$E$1130,$A$2:$A$1130,"осень",$I$2:$I$1130,I1070)</f>
        <v/>
      </c>
      <c r="N1070" s="13">
        <f>SUMIFS($E$2:$E$1130,$A$2:$A$1130,"весна",$I$2:$I$1130,I1070)</f>
        <v/>
      </c>
      <c r="O1070" s="14">
        <f>M1070+N1070</f>
        <v/>
      </c>
      <c r="P1070" s="15">
        <f>O1070/$P$1</f>
        <v/>
      </c>
    </row>
    <row r="1071" hidden="1" ht="15.75" customHeight="1" s="2">
      <c r="A1071" s="36" t="inlineStr">
        <is>
          <t>весна</t>
        </is>
      </c>
      <c r="B1071" s="36" t="inlineStr">
        <is>
          <t>Диплом</t>
        </is>
      </c>
      <c r="C1071" s="9" t="inlineStr">
        <is>
          <t>Диплом</t>
        </is>
      </c>
      <c r="D1071" s="9" t="inlineStr">
        <is>
          <t>Т1О-404Б-17</t>
        </is>
      </c>
      <c r="E1071" s="10" t="n">
        <v>11.5</v>
      </c>
      <c r="F1071" s="59" t="n"/>
      <c r="G1071" s="59" t="n"/>
      <c r="H1071" s="59" t="n"/>
      <c r="I1071" s="32" t="inlineStr">
        <is>
          <t xml:space="preserve">Комаров Роман Сергеевич </t>
        </is>
      </c>
      <c r="J1071" s="32" t="inlineStr">
        <is>
          <t>ассистент</t>
        </is>
      </c>
      <c r="K1071" s="32" t="inlineStr">
        <is>
          <t>секр</t>
        </is>
      </c>
      <c r="L1071" s="9" t="n"/>
      <c r="M1071" s="12">
        <f>SUMIFS($E$2:$E$1130,$A$2:$A$1130,"осень",$I$2:$I$1130,I1071)</f>
        <v/>
      </c>
      <c r="N1071" s="13">
        <f>SUMIFS($E$2:$E$1130,$A$2:$A$1130,"весна",$I$2:$I$1130,I1071)</f>
        <v/>
      </c>
      <c r="O1071" s="14">
        <f>M1071+N1071</f>
        <v/>
      </c>
      <c r="P1071" s="15">
        <f>O1071/$P$1</f>
        <v/>
      </c>
    </row>
    <row r="1072" hidden="1" ht="15.75" customHeight="1" s="2">
      <c r="A1072" s="9" t="inlineStr">
        <is>
          <t>весна</t>
        </is>
      </c>
      <c r="B1072" s="9" t="inlineStr">
        <is>
          <t>Диплом</t>
        </is>
      </c>
      <c r="C1072" s="9" t="inlineStr">
        <is>
          <t>Диплом</t>
        </is>
      </c>
      <c r="D1072" s="9" t="inlineStr">
        <is>
          <t>Т1О-404Б-17</t>
        </is>
      </c>
      <c r="E1072" s="10" t="n">
        <v>46</v>
      </c>
      <c r="F1072" s="9" t="n"/>
      <c r="G1072" s="9" t="n"/>
      <c r="H1072" s="9" t="n"/>
      <c r="I1072" s="60" t="inlineStr">
        <is>
          <t>э-Комиссия-А</t>
        </is>
      </c>
      <c r="J1072" s="32" t="n"/>
      <c r="K1072" s="32" t="inlineStr">
        <is>
          <t>комиссия сторонние</t>
        </is>
      </c>
      <c r="L1072" s="9" t="n"/>
      <c r="M1072" s="12">
        <f>SUMIFS($E$2:$E$1130,$A$2:$A$1130,"осень",$I$2:$I$1130,I1072)</f>
        <v/>
      </c>
      <c r="N1072" s="13">
        <f>SUMIFS($E$2:$E$1130,$A$2:$A$1130,"весна",$I$2:$I$1130,I1072)</f>
        <v/>
      </c>
      <c r="O1072" s="14">
        <f>M1072+N1072</f>
        <v/>
      </c>
      <c r="P1072" s="15">
        <f>O1072/$P$1</f>
        <v/>
      </c>
    </row>
    <row r="1073" hidden="1" ht="15.75" customHeight="1" s="2">
      <c r="A1073" s="9" t="inlineStr">
        <is>
          <t>весна</t>
        </is>
      </c>
      <c r="B1073" s="9" t="inlineStr">
        <is>
          <t>Диплом</t>
        </is>
      </c>
      <c r="C1073" s="9" t="inlineStr">
        <is>
          <t>Диплом</t>
        </is>
      </c>
      <c r="D1073" s="9" t="inlineStr">
        <is>
          <t>Т1О-404Б-17</t>
        </is>
      </c>
      <c r="E1073" s="10" t="n">
        <v>23</v>
      </c>
      <c r="F1073" s="9" t="n"/>
      <c r="G1073" s="9" t="n"/>
      <c r="H1073" s="9" t="n"/>
      <c r="I1073" s="32" t="inlineStr">
        <is>
          <t xml:space="preserve">Соколов Алексей Викторович </t>
        </is>
      </c>
      <c r="J1073" s="32" t="inlineStr">
        <is>
          <t>доцент</t>
        </is>
      </c>
      <c r="K1073" s="32" t="inlineStr">
        <is>
          <t>нормоконтроль</t>
        </is>
      </c>
      <c r="L1073" s="9" t="inlineStr">
        <is>
          <t>кроме пятницы</t>
        </is>
      </c>
      <c r="M1073" s="12">
        <f>SUMIFS($E$2:$E$1130,$A$2:$A$1130,"осень",$I$2:$I$1130,I1073)</f>
        <v/>
      </c>
      <c r="N1073" s="13">
        <f>SUMIFS($E$2:$E$1130,$A$2:$A$1130,"весна",$I$2:$I$1130,I1073)</f>
        <v/>
      </c>
      <c r="O1073" s="14">
        <f>M1073+N1073</f>
        <v/>
      </c>
      <c r="P1073" s="15">
        <f>O1073/$P$1</f>
        <v/>
      </c>
    </row>
    <row r="1074" hidden="1" ht="15.75" customHeight="1" s="2">
      <c r="A1074" s="41" t="inlineStr">
        <is>
          <t>весна</t>
        </is>
      </c>
      <c r="B1074" s="9" t="inlineStr">
        <is>
          <t>Диплом</t>
        </is>
      </c>
      <c r="C1074" s="9" t="inlineStr">
        <is>
          <t>Диплом</t>
        </is>
      </c>
      <c r="D1074" s="9" t="inlineStr">
        <is>
          <t>Т1О-402Б-17</t>
        </is>
      </c>
      <c r="E1074" s="53" t="n"/>
      <c r="F1074" s="10" t="n">
        <v>350</v>
      </c>
      <c r="G1074" s="11" t="n">
        <v>0</v>
      </c>
      <c r="H1074" s="9" t="n"/>
      <c r="I1074" s="61" t="inlineStr">
        <is>
          <t>э-Дипломы- Л+П</t>
        </is>
      </c>
      <c r="J1074" s="61" t="inlineStr">
        <is>
          <t>14 чел</t>
        </is>
      </c>
      <c r="K1074" s="14" t="n"/>
      <c r="L1074" s="9" t="n"/>
      <c r="M1074" s="12">
        <f>SUMIFS($E$2:$E$1130,$A$2:$A$1130,"осень",$I$2:$I$1130,I1074)</f>
        <v/>
      </c>
      <c r="N1074" s="13">
        <f>SUMIFS($E$2:$E$1130,$A$2:$A$1130,"весна",$I$2:$I$1130,I1074)</f>
        <v/>
      </c>
      <c r="O1074" s="14">
        <f>M1074+N1074</f>
        <v/>
      </c>
      <c r="P1074" s="15">
        <f>O1074/$P$1</f>
        <v/>
      </c>
    </row>
    <row r="1075" hidden="1" ht="15.75" customHeight="1" s="2">
      <c r="A1075" s="31" t="inlineStr">
        <is>
          <t>весна</t>
        </is>
      </c>
      <c r="B1075" s="36" t="inlineStr">
        <is>
          <t>Диплом</t>
        </is>
      </c>
      <c r="C1075" s="36" t="inlineStr">
        <is>
          <t>Диплом</t>
        </is>
      </c>
      <c r="D1075" s="36" t="inlineStr">
        <is>
          <t>Т1О-402Б-17 (Т1О-403Б-17)</t>
        </is>
      </c>
      <c r="E1075" s="62">
        <f>60+3+6</f>
        <v/>
      </c>
      <c r="F1075" s="36" t="n"/>
      <c r="G1075" s="36" t="n">
        <v>0</v>
      </c>
      <c r="H1075" s="36" t="n"/>
      <c r="I1075" s="33" t="inlineStr">
        <is>
          <t xml:space="preserve">Серов Михаил Михайлович </t>
        </is>
      </c>
      <c r="J1075" s="33" t="inlineStr">
        <is>
          <t>профессор</t>
        </is>
      </c>
      <c r="K1075" s="33" t="inlineStr">
        <is>
          <t>3чел +ком+норм</t>
        </is>
      </c>
      <c r="L1075" s="36" t="inlineStr">
        <is>
          <t>Порошки в порошки</t>
        </is>
      </c>
      <c r="M1075" s="12">
        <f>SUMIFS($E$2:$E$1130,$A$2:$A$1130,"осень",$I$2:$I$1130,I1075)</f>
        <v/>
      </c>
      <c r="N1075" s="13">
        <f>SUMIFS($E$2:$E$1130,$A$2:$A$1130,"весна",$I$2:$I$1130,I1075)</f>
        <v/>
      </c>
      <c r="O1075" s="14">
        <f>M1075+N1075</f>
        <v/>
      </c>
      <c r="P1075" s="15">
        <f>O1075/$P$1</f>
        <v/>
      </c>
    </row>
    <row r="1076" hidden="1" ht="15.75" customHeight="1" s="2">
      <c r="A1076" s="31" t="inlineStr">
        <is>
          <t>весна</t>
        </is>
      </c>
      <c r="B1076" s="36" t="inlineStr">
        <is>
          <t>Диплом</t>
        </is>
      </c>
      <c r="C1076" s="36" t="inlineStr">
        <is>
          <t>Диплом</t>
        </is>
      </c>
      <c r="D1076" s="36" t="inlineStr">
        <is>
          <t>Т1О-402Б-17 (Т1О-403Б-17)</t>
        </is>
      </c>
      <c r="E1076" s="62">
        <f>40+3</f>
        <v/>
      </c>
      <c r="F1076" s="36" t="n"/>
      <c r="G1076" s="36" t="n">
        <v>0</v>
      </c>
      <c r="H1076" s="36" t="n"/>
      <c r="I1076" s="33" t="inlineStr">
        <is>
          <t xml:space="preserve">Барабанова Ольга Алексеевна </t>
        </is>
      </c>
      <c r="J1076" s="33" t="inlineStr">
        <is>
          <t>профессор</t>
        </is>
      </c>
      <c r="K1076" s="33" t="inlineStr">
        <is>
          <t xml:space="preserve">2чел +ком </t>
        </is>
      </c>
      <c r="L1076" s="36" t="inlineStr">
        <is>
          <t>Порошки в порошки</t>
        </is>
      </c>
      <c r="M1076" s="12">
        <f>SUMIFS($E$2:$E$1130,$A$2:$A$1130,"осень",$I$2:$I$1130,I1076)</f>
        <v/>
      </c>
      <c r="N1076" s="13">
        <f>SUMIFS($E$2:$E$1130,$A$2:$A$1130,"весна",$I$2:$I$1130,I1076)</f>
        <v/>
      </c>
      <c r="O1076" s="14">
        <f>M1076+N1076</f>
        <v/>
      </c>
      <c r="P1076" s="15">
        <f>O1076/$P$1</f>
        <v/>
      </c>
    </row>
    <row r="1077" hidden="1" ht="15.75" customHeight="1" s="2">
      <c r="A1077" s="31" t="inlineStr">
        <is>
          <t>весна</t>
        </is>
      </c>
      <c r="B1077" s="36" t="inlineStr">
        <is>
          <t>Диплом</t>
        </is>
      </c>
      <c r="C1077" s="36" t="inlineStr">
        <is>
          <t>Диплом</t>
        </is>
      </c>
      <c r="D1077" s="36" t="inlineStr">
        <is>
          <t>Т1О-402Б-17 (Т1О-403Б-17)</t>
        </is>
      </c>
      <c r="E1077" s="62" t="n">
        <v>20</v>
      </c>
      <c r="F1077" s="36" t="n"/>
      <c r="G1077" s="36" t="n">
        <v>0</v>
      </c>
      <c r="H1077" s="36" t="n"/>
      <c r="I1077" s="33" t="inlineStr">
        <is>
          <t xml:space="preserve">Банишев Александр Федорович </t>
        </is>
      </c>
      <c r="J1077" s="33" t="inlineStr">
        <is>
          <t>профессор</t>
        </is>
      </c>
      <c r="K1077" s="33" t="inlineStr">
        <is>
          <t xml:space="preserve">1 чел </t>
        </is>
      </c>
      <c r="L1077" s="36" t="inlineStr">
        <is>
          <t>Порошки в порошки</t>
        </is>
      </c>
      <c r="M1077" s="12">
        <f>SUMIFS($E$2:$E$1130,$A$2:$A$1130,"осень",$I$2:$I$1130,I1077)</f>
        <v/>
      </c>
      <c r="N1077" s="13">
        <f>SUMIFS($E$2:$E$1130,$A$2:$A$1130,"весна",$I$2:$I$1130,I1077)</f>
        <v/>
      </c>
      <c r="O1077" s="14">
        <f>M1077+N1077</f>
        <v/>
      </c>
      <c r="P1077" s="15">
        <f>O1077/$P$1</f>
        <v/>
      </c>
    </row>
    <row r="1078" hidden="1" ht="15.75" customHeight="1" s="2">
      <c r="A1078" s="31" t="inlineStr">
        <is>
          <t>весна</t>
        </is>
      </c>
      <c r="B1078" s="36" t="inlineStr">
        <is>
          <t>Диплом</t>
        </is>
      </c>
      <c r="C1078" s="36" t="inlineStr">
        <is>
          <t>Диплом</t>
        </is>
      </c>
      <c r="D1078" s="36" t="inlineStr">
        <is>
          <t>Т1О-402Б-17 (Т1О-403Б-17)</t>
        </is>
      </c>
      <c r="E1078" s="62" t="n">
        <v>3</v>
      </c>
      <c r="F1078" s="36" t="n"/>
      <c r="G1078" s="36" t="n">
        <v>0</v>
      </c>
      <c r="H1078" s="9" t="inlineStr">
        <is>
          <t xml:space="preserve">95460     </t>
        </is>
      </c>
      <c r="I1078" s="9" t="inlineStr">
        <is>
          <t>Кубатина Екатерина Павловна</t>
        </is>
      </c>
      <c r="J1078" s="33" t="inlineStr">
        <is>
          <t>ассистент</t>
        </is>
      </c>
      <c r="K1078" s="33" t="inlineStr">
        <is>
          <t>секр</t>
        </is>
      </c>
      <c r="L1078" s="36" t="inlineStr">
        <is>
          <t>Порошки в порошки</t>
        </is>
      </c>
      <c r="M1078" s="12">
        <f>SUMIFS($E$2:$E$1130,$A$2:$A$1130,"осень",$I$2:$I$1130,I1078)</f>
        <v/>
      </c>
      <c r="N1078" s="13">
        <f>SUMIFS($E$2:$E$1130,$A$2:$A$1130,"весна",$I$2:$I$1130,I1078)</f>
        <v/>
      </c>
      <c r="O1078" s="14">
        <f>M1078+N1078</f>
        <v/>
      </c>
      <c r="P1078" s="15">
        <f>O1078/$P$1</f>
        <v/>
      </c>
    </row>
    <row r="1079" hidden="1" ht="15.75" customHeight="1" s="2">
      <c r="A1079" s="31" t="inlineStr">
        <is>
          <t>весна</t>
        </is>
      </c>
      <c r="B1079" s="36" t="inlineStr">
        <is>
          <t>Диплом</t>
        </is>
      </c>
      <c r="C1079" s="36" t="inlineStr">
        <is>
          <t>Диплом</t>
        </is>
      </c>
      <c r="D1079" s="36" t="inlineStr">
        <is>
          <t>Т1О-402Б-17 (Т1О-403Б-17)</t>
        </is>
      </c>
      <c r="E1079" s="62" t="n">
        <v>3</v>
      </c>
      <c r="F1079" s="36" t="n"/>
      <c r="G1079" s="36" t="n">
        <v>0</v>
      </c>
      <c r="H1079" s="36" t="n"/>
      <c r="I1079" s="33" t="inlineStr">
        <is>
          <t xml:space="preserve">Лозован Александр Александрович </t>
        </is>
      </c>
      <c r="J1079" s="33" t="inlineStr">
        <is>
          <t>профессор</t>
        </is>
      </c>
      <c r="K1079" s="33" t="inlineStr">
        <is>
          <t>ком</t>
        </is>
      </c>
      <c r="L1079" s="48" t="inlineStr">
        <is>
          <t>Порошки в порошки</t>
        </is>
      </c>
      <c r="M1079" s="12">
        <f>SUMIFS($E$2:$E$1130,$A$2:$A$1130,"осень",$I$2:$I$1130,I1079)</f>
        <v/>
      </c>
      <c r="N1079" s="13">
        <f>SUMIFS($E$2:$E$1130,$A$2:$A$1130,"весна",$I$2:$I$1130,I1079)</f>
        <v/>
      </c>
      <c r="O1079" s="14">
        <f>M1079+N1079</f>
        <v/>
      </c>
      <c r="P1079" s="15">
        <f>O1079/$P$1</f>
        <v/>
      </c>
    </row>
    <row r="1080" hidden="1" ht="15.75" customHeight="1" s="2">
      <c r="A1080" s="31" t="inlineStr">
        <is>
          <t>весна</t>
        </is>
      </c>
      <c r="B1080" s="36" t="inlineStr">
        <is>
          <t>Диплом</t>
        </is>
      </c>
      <c r="C1080" s="36" t="inlineStr">
        <is>
          <t>Диплом</t>
        </is>
      </c>
      <c r="D1080" s="36" t="inlineStr">
        <is>
          <t>Т1О-402Б-17</t>
        </is>
      </c>
      <c r="E1080" s="62">
        <f>40+8</f>
        <v/>
      </c>
      <c r="F1080" s="36" t="n"/>
      <c r="G1080" s="36" t="n">
        <v>0</v>
      </c>
      <c r="H1080" s="36" t="inlineStr">
        <is>
          <t xml:space="preserve">82086     </t>
        </is>
      </c>
      <c r="I1080" s="33" t="inlineStr">
        <is>
          <t xml:space="preserve">Смыков Андрей Федорович </t>
        </is>
      </c>
      <c r="J1080" s="33" t="inlineStr">
        <is>
          <t>профессор</t>
        </is>
      </c>
      <c r="K1080" s="33" t="inlineStr">
        <is>
          <t>2 чел + норм</t>
        </is>
      </c>
      <c r="L1080" s="63" t="n"/>
      <c r="M1080" s="12">
        <f>SUMIFS($E$2:$E$1130,$A$2:$A$1130,"осень",$I$2:$I$1130,I1080)</f>
        <v/>
      </c>
      <c r="N1080" s="13">
        <f>SUMIFS($E$2:$E$1130,$A$2:$A$1130,"весна",$I$2:$I$1130,I1080)</f>
        <v/>
      </c>
      <c r="O1080" s="14">
        <f>M1080+N1080</f>
        <v/>
      </c>
      <c r="P1080" s="15">
        <f>O1080/$P$1</f>
        <v/>
      </c>
    </row>
    <row r="1081" hidden="1" ht="15.75" customHeight="1" s="2">
      <c r="A1081" s="31" t="inlineStr">
        <is>
          <t>весна</t>
        </is>
      </c>
      <c r="B1081" s="36" t="inlineStr">
        <is>
          <t>Диплом</t>
        </is>
      </c>
      <c r="C1081" s="36" t="inlineStr">
        <is>
          <t>Диплом</t>
        </is>
      </c>
      <c r="D1081" s="36" t="inlineStr">
        <is>
          <t>Т1О-402Б-17</t>
        </is>
      </c>
      <c r="E1081" s="62" t="n">
        <v>20</v>
      </c>
      <c r="F1081" s="36" t="n"/>
      <c r="G1081" s="36" t="n">
        <v>0</v>
      </c>
      <c r="H1081" s="36" t="inlineStr">
        <is>
          <t xml:space="preserve">82022     </t>
        </is>
      </c>
      <c r="I1081" s="33" t="inlineStr">
        <is>
          <t xml:space="preserve">Ряховский Александр Павлович </t>
        </is>
      </c>
      <c r="J1081" s="33" t="inlineStr">
        <is>
          <t>доцент</t>
        </is>
      </c>
      <c r="K1081" s="33" t="inlineStr">
        <is>
          <t>1 чел</t>
        </is>
      </c>
      <c r="L1081" s="63" t="n"/>
      <c r="M1081" s="12">
        <f>SUMIFS($E$2:$E$1130,$A$2:$A$1130,"осень",$I$2:$I$1130,I1081)</f>
        <v/>
      </c>
      <c r="N1081" s="13">
        <f>SUMIFS($E$2:$E$1130,$A$2:$A$1130,"весна",$I$2:$I$1130,I1081)</f>
        <v/>
      </c>
      <c r="O1081" s="14">
        <f>M1081+N1081</f>
        <v/>
      </c>
      <c r="P1081" s="15">
        <f>O1081/$P$1</f>
        <v/>
      </c>
    </row>
    <row r="1082" hidden="1" ht="15.75" customHeight="1" s="2">
      <c r="A1082" s="31" t="inlineStr">
        <is>
          <t>весна</t>
        </is>
      </c>
      <c r="B1082" s="36" t="inlineStr">
        <is>
          <t>Диплом</t>
        </is>
      </c>
      <c r="C1082" s="36" t="inlineStr">
        <is>
          <t>Диплом</t>
        </is>
      </c>
      <c r="D1082" s="36" t="inlineStr">
        <is>
          <t>Т1О-402Б-17</t>
        </is>
      </c>
      <c r="E1082" s="62" t="n">
        <v>4</v>
      </c>
      <c r="F1082" s="36" t="n"/>
      <c r="G1082" s="36" t="n">
        <v>0</v>
      </c>
      <c r="H1082" s="36" t="inlineStr">
        <is>
          <t xml:space="preserve">89068     </t>
        </is>
      </c>
      <c r="I1082" s="33" t="inlineStr">
        <is>
          <t xml:space="preserve">Петров Игорь Алексеевич </t>
        </is>
      </c>
      <c r="J1082" s="33" t="inlineStr">
        <is>
          <t>доцент</t>
        </is>
      </c>
      <c r="K1082" s="33" t="inlineStr">
        <is>
          <t>секр</t>
        </is>
      </c>
      <c r="L1082" s="63" t="n"/>
      <c r="M1082" s="12">
        <f>SUMIFS($E$2:$E$1130,$A$2:$A$1130,"осень",$I$2:$I$1130,I1082)</f>
        <v/>
      </c>
      <c r="N1082" s="13">
        <f>SUMIFS($E$2:$E$1130,$A$2:$A$1130,"весна",$I$2:$I$1130,I1082)</f>
        <v/>
      </c>
      <c r="O1082" s="14">
        <f>M1082+N1082</f>
        <v/>
      </c>
      <c r="P1082" s="15">
        <f>O1082/$P$1</f>
        <v/>
      </c>
    </row>
    <row r="1083" hidden="1" ht="15.75" customHeight="1" s="2">
      <c r="A1083" s="31" t="inlineStr">
        <is>
          <t>весна</t>
        </is>
      </c>
      <c r="B1083" s="36" t="inlineStr">
        <is>
          <t>Диплом</t>
        </is>
      </c>
      <c r="C1083" s="36" t="inlineStr">
        <is>
          <t>Диплом</t>
        </is>
      </c>
      <c r="D1083" s="36" t="inlineStr">
        <is>
          <t>Т1О-402Б-17</t>
        </is>
      </c>
      <c r="E1083" s="62" t="n">
        <v>24</v>
      </c>
      <c r="F1083" s="36" t="n"/>
      <c r="G1083" s="36" t="n"/>
      <c r="H1083" s="36" t="inlineStr">
        <is>
          <t xml:space="preserve">82061     </t>
        </is>
      </c>
      <c r="I1083" s="33" t="inlineStr">
        <is>
          <t xml:space="preserve">Моисеев Виктор Сергеевич </t>
        </is>
      </c>
      <c r="J1083" s="33" t="inlineStr">
        <is>
          <t>зав. кафедрой</t>
        </is>
      </c>
      <c r="K1083" s="33" t="inlineStr">
        <is>
          <t>1чел +ком</t>
        </is>
      </c>
      <c r="L1083" s="63" t="n"/>
      <c r="M1083" s="12">
        <f>SUMIFS($E$2:$E$1130,$A$2:$A$1130,"осень",$I$2:$I$1130,I1083)</f>
        <v/>
      </c>
      <c r="N1083" s="13">
        <f>SUMIFS($E$2:$E$1130,$A$2:$A$1130,"весна",$I$2:$I$1130,I1083)</f>
        <v/>
      </c>
      <c r="O1083" s="14">
        <f>M1083+N1083</f>
        <v/>
      </c>
      <c r="P1083" s="15">
        <f>O1083/$P$1</f>
        <v/>
      </c>
    </row>
    <row r="1084" hidden="1" ht="15.75" customHeight="1" s="2">
      <c r="A1084" s="31" t="inlineStr">
        <is>
          <t>весна</t>
        </is>
      </c>
      <c r="B1084" s="36" t="inlineStr">
        <is>
          <t>Диплом</t>
        </is>
      </c>
      <c r="C1084" s="36" t="inlineStr">
        <is>
          <t>Диплом</t>
        </is>
      </c>
      <c r="D1084" s="36" t="inlineStr">
        <is>
          <t>Т1О-402Б-17</t>
        </is>
      </c>
      <c r="E1084" s="62" t="n">
        <v>44</v>
      </c>
      <c r="F1084" s="36" t="n"/>
      <c r="G1084" s="36" t="n"/>
      <c r="H1084" s="36" t="inlineStr">
        <is>
          <t xml:space="preserve">82020     </t>
        </is>
      </c>
      <c r="I1084" s="33" t="inlineStr">
        <is>
          <t xml:space="preserve">Варфоломеев Максим Сергеевич </t>
        </is>
      </c>
      <c r="J1084" s="33" t="inlineStr">
        <is>
          <t>доцент</t>
        </is>
      </c>
      <c r="K1084" s="33" t="inlineStr">
        <is>
          <t>2 чел + ком</t>
        </is>
      </c>
      <c r="L1084" s="63" t="n"/>
      <c r="M1084" s="12">
        <f>SUMIFS($E$2:$E$1130,$A$2:$A$1130,"осень",$I$2:$I$1130,I1084)</f>
        <v/>
      </c>
      <c r="N1084" s="13">
        <f>SUMIFS($E$2:$E$1130,$A$2:$A$1130,"весна",$I$2:$I$1130,I1084)</f>
        <v/>
      </c>
      <c r="O1084" s="14">
        <f>M1084+N1084</f>
        <v/>
      </c>
      <c r="P1084" s="15">
        <f>O1084/$P$1</f>
        <v/>
      </c>
    </row>
    <row r="1085" hidden="1" ht="15.75" customHeight="1" s="2">
      <c r="A1085" s="64" t="inlineStr">
        <is>
          <t>весна</t>
        </is>
      </c>
      <c r="B1085" s="36" t="inlineStr">
        <is>
          <t>Диплом</t>
        </is>
      </c>
      <c r="C1085" s="36" t="inlineStr">
        <is>
          <t>Диплом</t>
        </is>
      </c>
      <c r="D1085" s="36" t="inlineStr">
        <is>
          <t>Т1О-402Б-17</t>
        </is>
      </c>
      <c r="E1085" s="62" t="n">
        <v>44</v>
      </c>
      <c r="F1085" s="36" t="n"/>
      <c r="G1085" s="36" t="n"/>
      <c r="H1085" s="36" t="inlineStr">
        <is>
          <t xml:space="preserve">82018     </t>
        </is>
      </c>
      <c r="I1085" s="33" t="inlineStr">
        <is>
          <t>Бережной Дмитрий Васильевич</t>
        </is>
      </c>
      <c r="J1085" s="33" t="inlineStr">
        <is>
          <t>доцент</t>
        </is>
      </c>
      <c r="K1085" s="33" t="inlineStr">
        <is>
          <t>2 чел + ком</t>
        </is>
      </c>
      <c r="L1085" s="63" t="n"/>
      <c r="M1085" s="12">
        <f>SUMIFS($E$2:$E$1130,$A$2:$A$1130,"осень",$I$2:$I$1130,I1085)</f>
        <v/>
      </c>
      <c r="N1085" s="13">
        <f>SUMIFS($E$2:$E$1130,$A$2:$A$1130,"весна",$I$2:$I$1130,I1085)</f>
        <v/>
      </c>
      <c r="O1085" s="14">
        <f>M1085+N1085</f>
        <v/>
      </c>
      <c r="P1085" s="15">
        <f>O1085/$P$1</f>
        <v/>
      </c>
    </row>
    <row r="1086" hidden="1" ht="15.75" customHeight="1" s="2">
      <c r="A1086" s="31" t="inlineStr">
        <is>
          <t>весна</t>
        </is>
      </c>
      <c r="B1086" s="36" t="inlineStr">
        <is>
          <t>Диплом</t>
        </is>
      </c>
      <c r="C1086" s="36" t="inlineStr">
        <is>
          <t>Диплом</t>
        </is>
      </c>
      <c r="D1086" s="36" t="inlineStr">
        <is>
          <t>Т1О-402Б-17 (Т1О-403Б-17)</t>
        </is>
      </c>
      <c r="E1086" s="62" t="n">
        <v>28</v>
      </c>
      <c r="F1086" s="36" t="n"/>
      <c r="G1086" s="36" t="n"/>
      <c r="H1086" s="36" t="inlineStr">
        <is>
          <t xml:space="preserve">82018     </t>
        </is>
      </c>
      <c r="I1086" s="33" t="inlineStr">
        <is>
          <t>э-комиссия Л+П</t>
        </is>
      </c>
      <c r="J1086" s="33" t="n"/>
      <c r="K1086" s="33" t="inlineStr">
        <is>
          <t>внеш ком</t>
        </is>
      </c>
      <c r="L1086" s="63" t="n"/>
      <c r="M1086" s="12">
        <f>SUMIFS($E$2:$E$1130,$A$2:$A$1130,"осень",$I$2:$I$1130,I1086)</f>
        <v/>
      </c>
      <c r="N1086" s="13">
        <f>SUMIFS($E$2:$E$1130,$A$2:$A$1130,"весна",$I$2:$I$1130,I1086)</f>
        <v/>
      </c>
      <c r="O1086" s="14">
        <f>M1086+N1086</f>
        <v/>
      </c>
      <c r="P1086" s="15">
        <f>O1086/$P$1</f>
        <v/>
      </c>
    </row>
    <row r="1087" hidden="1" ht="15.75" customHeight="1" s="2">
      <c r="A1087" s="41" t="inlineStr">
        <is>
          <t>весна</t>
        </is>
      </c>
      <c r="B1087" s="18" t="inlineStr">
        <is>
          <t>Диплом</t>
        </is>
      </c>
      <c r="C1087" s="18" t="inlineStr">
        <is>
          <t>Диплом</t>
        </is>
      </c>
      <c r="D1087" s="18" t="inlineStr">
        <is>
          <t>Т1О-402Б-17</t>
        </is>
      </c>
      <c r="E1087" s="19" t="n">
        <v>50</v>
      </c>
      <c r="F1087" s="19" t="n">
        <v>50</v>
      </c>
      <c r="G1087" s="27" t="n"/>
      <c r="H1087" s="18" t="n"/>
      <c r="I1087" s="20" t="inlineStr">
        <is>
          <t xml:space="preserve">Моисеев Виктор Сергеевич </t>
        </is>
      </c>
      <c r="J1087" s="18" t="n"/>
      <c r="K1087" s="18" t="n"/>
      <c r="L1087" s="18" t="inlineStr">
        <is>
          <t>резерв лишние</t>
        </is>
      </c>
      <c r="M1087" s="12">
        <f>SUMIFS($E$2:$E$1130,$A$2:$A$1130,"осень",$I$2:$I$1130,I1087)</f>
        <v/>
      </c>
      <c r="N1087" s="13">
        <f>SUMIFS($E$2:$E$1130,$A$2:$A$1130,"весна",$I$2:$I$1130,I1087)</f>
        <v/>
      </c>
      <c r="O1087" s="14">
        <f>M1087+N1087</f>
        <v/>
      </c>
      <c r="P1087" s="15">
        <f>O1087/$P$1</f>
        <v/>
      </c>
    </row>
    <row r="1088" hidden="1" ht="15.75" customHeight="1" s="2">
      <c r="A1088" s="9" t="inlineStr">
        <is>
          <t>весна</t>
        </is>
      </c>
      <c r="B1088" s="9" t="inlineStr">
        <is>
          <t>Диплом</t>
        </is>
      </c>
      <c r="C1088" s="9" t="inlineStr">
        <is>
          <t>Диплом</t>
        </is>
      </c>
      <c r="D1088" s="9" t="inlineStr">
        <is>
          <t>Т1О-402А-17</t>
        </is>
      </c>
      <c r="E1088" s="10" t="n">
        <v>50</v>
      </c>
      <c r="F1088" s="9" t="n"/>
      <c r="G1088" s="11" t="n">
        <v>0</v>
      </c>
      <c r="H1088" s="9" t="inlineStr">
        <is>
          <t xml:space="preserve">92509     </t>
        </is>
      </c>
      <c r="I1088" s="9" t="inlineStr">
        <is>
          <t xml:space="preserve">Пашков Игорь Николаевич </t>
        </is>
      </c>
      <c r="J1088" s="9" t="n"/>
      <c r="K1088" s="9" t="n"/>
      <c r="L1088" s="9" t="inlineStr">
        <is>
          <t>Морозов Шаргаев</t>
        </is>
      </c>
      <c r="M1088" s="12">
        <f>SUMIFS($E$2:$E$1130,$A$2:$A$1130,"осень",$I$2:$I$1130,I1088)</f>
        <v/>
      </c>
      <c r="N1088" s="13">
        <f>SUMIFS($E$2:$E$1130,$A$2:$A$1130,"весна",$I$2:$I$1130,I1088)</f>
        <v/>
      </c>
      <c r="O1088" s="14">
        <f>M1088+N1088</f>
        <v/>
      </c>
      <c r="P1088" s="15">
        <f>O1088/$P$1</f>
        <v/>
      </c>
    </row>
    <row r="1089" hidden="1" ht="15.75" customHeight="1" s="2">
      <c r="A1089" s="9" t="inlineStr">
        <is>
          <t>весна</t>
        </is>
      </c>
      <c r="B1089" s="9" t="inlineStr">
        <is>
          <t>Диплом</t>
        </is>
      </c>
      <c r="C1089" s="9" t="inlineStr">
        <is>
          <t>Диплом</t>
        </is>
      </c>
      <c r="D1089" s="9" t="inlineStr">
        <is>
          <t>Т1О-407А-17</t>
        </is>
      </c>
      <c r="E1089" s="10" t="n">
        <v>25</v>
      </c>
      <c r="F1089" s="9" t="n"/>
      <c r="G1089" s="11" t="n">
        <v>0</v>
      </c>
      <c r="H1089" s="9" t="inlineStr">
        <is>
          <t xml:space="preserve">82060     </t>
        </is>
      </c>
      <c r="I1089" s="9" t="inlineStr">
        <is>
          <t xml:space="preserve">Лозован Александр Александрович </t>
        </is>
      </c>
      <c r="J1089" s="9" t="inlineStr">
        <is>
          <t>профессор</t>
        </is>
      </c>
      <c r="K1089" s="9" t="n"/>
      <c r="L1089" s="9" t="inlineStr">
        <is>
          <t>Павлов</t>
        </is>
      </c>
      <c r="M1089" s="12">
        <f>SUMIFS($E$2:$E$1130,$A$2:$A$1130,"осень",$I$2:$I$1130,I1089)</f>
        <v/>
      </c>
      <c r="N1089" s="13">
        <f>SUMIFS($E$2:$E$1130,$A$2:$A$1130,"весна",$I$2:$I$1130,I1089)</f>
        <v/>
      </c>
      <c r="O1089" s="14">
        <f>M1089+N1089</f>
        <v/>
      </c>
      <c r="P1089" s="15">
        <f>O1089/$P$1</f>
        <v/>
      </c>
    </row>
    <row r="1090" hidden="1" ht="15.75" customHeight="1" s="2">
      <c r="A1090" s="41" t="inlineStr">
        <is>
          <t>весна</t>
        </is>
      </c>
      <c r="B1090" s="9" t="inlineStr">
        <is>
          <t>Диплом</t>
        </is>
      </c>
      <c r="C1090" s="9" t="inlineStr">
        <is>
          <t>Диплом</t>
        </is>
      </c>
      <c r="D1090" s="9" t="inlineStr">
        <is>
          <t>Т1В-516Б-16</t>
        </is>
      </c>
      <c r="E1090" s="65" t="n"/>
      <c r="F1090" s="10" t="n">
        <v>150</v>
      </c>
      <c r="G1090" s="11" t="n">
        <v>0</v>
      </c>
      <c r="H1090" s="9" t="n"/>
      <c r="I1090" s="66" t="inlineStr">
        <is>
          <t>э-Диплом-ВЕЧЕР</t>
        </is>
      </c>
      <c r="J1090" s="9" t="n"/>
      <c r="K1090" s="9" t="n"/>
      <c r="L1090" s="9" t="n"/>
      <c r="M1090" s="12">
        <f>SUMIFS($E$2:$E$1130,$A$2:$A$1130,"осень",$I$2:$I$1130,I1090)</f>
        <v/>
      </c>
      <c r="N1090" s="13">
        <f>SUMIFS($E$2:$E$1130,$A$2:$A$1130,"весна",$I$2:$I$1130,I1090)</f>
        <v/>
      </c>
      <c r="O1090" s="14">
        <f>M1090+N1090</f>
        <v/>
      </c>
      <c r="P1090" s="15">
        <f>O1090/$P$1</f>
        <v/>
      </c>
    </row>
    <row r="1091" hidden="1" ht="15.75" customHeight="1" s="2">
      <c r="A1091" s="41" t="inlineStr">
        <is>
          <t>весна</t>
        </is>
      </c>
      <c r="B1091" s="9" t="inlineStr">
        <is>
          <t>Диплом</t>
        </is>
      </c>
      <c r="C1091" s="9" t="inlineStr">
        <is>
          <t>Диплом</t>
        </is>
      </c>
      <c r="D1091" s="9" t="inlineStr">
        <is>
          <t>Т1В-516Б-16</t>
        </is>
      </c>
      <c r="E1091" s="67" t="n">
        <v>43</v>
      </c>
      <c r="F1091" s="10" t="n"/>
      <c r="G1091" s="11" t="n"/>
      <c r="H1091" s="9" t="n"/>
      <c r="I1091" s="9" t="inlineStr">
        <is>
          <t xml:space="preserve">Петров Анатолий Павлович </t>
        </is>
      </c>
      <c r="J1091" s="9" t="n"/>
      <c r="K1091" s="9" t="inlineStr">
        <is>
          <t>2 чел ком</t>
        </is>
      </c>
      <c r="L1091" s="9" t="n"/>
      <c r="M1091" s="12">
        <f>SUMIFS($E$2:$E$1130,$A$2:$A$1130,"осень",$I$2:$I$1130,I1091)</f>
        <v/>
      </c>
      <c r="N1091" s="13">
        <f>SUMIFS($E$2:$E$1130,$A$2:$A$1130,"весна",$I$2:$I$1130,I1091)</f>
        <v/>
      </c>
      <c r="O1091" s="14">
        <f>M1091+N1091</f>
        <v/>
      </c>
      <c r="P1091" s="15">
        <f>O1091/$P$1</f>
        <v/>
      </c>
    </row>
    <row r="1092" hidden="1" ht="15.75" customHeight="1" s="2">
      <c r="A1092" s="41" t="inlineStr">
        <is>
          <t>весна</t>
        </is>
      </c>
      <c r="B1092" s="9" t="inlineStr">
        <is>
          <t>Диплом</t>
        </is>
      </c>
      <c r="C1092" s="9" t="inlineStr">
        <is>
          <t>Диплом</t>
        </is>
      </c>
      <c r="D1092" s="9" t="inlineStr">
        <is>
          <t>Т1В-516Б-16</t>
        </is>
      </c>
      <c r="E1092" s="67" t="n">
        <v>46</v>
      </c>
      <c r="F1092" s="10" t="n"/>
      <c r="G1092" s="11" t="n"/>
      <c r="H1092" s="9" t="n"/>
      <c r="I1092" s="9" t="inlineStr">
        <is>
          <t xml:space="preserve">Соколов Алексей Викторович </t>
        </is>
      </c>
      <c r="J1092" s="9" t="n"/>
      <c r="K1092" s="9" t="inlineStr">
        <is>
          <t>2 чел + ком+норм</t>
        </is>
      </c>
      <c r="L1092" s="9" t="n"/>
      <c r="M1092" s="12">
        <f>SUMIFS($E$2:$E$1130,$A$2:$A$1130,"осень",$I$2:$I$1130,I1092)</f>
        <v/>
      </c>
      <c r="N1092" s="13">
        <f>SUMIFS($E$2:$E$1130,$A$2:$A$1130,"весна",$I$2:$I$1130,I1092)</f>
        <v/>
      </c>
      <c r="O1092" s="14">
        <f>M1092+N1092</f>
        <v/>
      </c>
      <c r="P1092" s="15">
        <f>O1092/$P$1</f>
        <v/>
      </c>
    </row>
    <row r="1093" hidden="1" ht="15.75" customHeight="1" s="2">
      <c r="A1093" s="41" t="inlineStr">
        <is>
          <t>весна</t>
        </is>
      </c>
      <c r="B1093" s="9" t="inlineStr">
        <is>
          <t>Диплом</t>
        </is>
      </c>
      <c r="C1093" s="9" t="inlineStr">
        <is>
          <t>Диплом</t>
        </is>
      </c>
      <c r="D1093" s="9" t="inlineStr">
        <is>
          <t>Т1В-516Б-16</t>
        </is>
      </c>
      <c r="E1093" s="67" t="n">
        <v>23</v>
      </c>
      <c r="F1093" s="10" t="n"/>
      <c r="G1093" s="11" t="n"/>
      <c r="H1093" s="9" t="n"/>
      <c r="I1093" s="9" t="inlineStr">
        <is>
          <t xml:space="preserve">Шленский Алексей Геннадьевич </t>
        </is>
      </c>
      <c r="J1093" s="9" t="n"/>
      <c r="K1093" s="9" t="inlineStr">
        <is>
          <t>1+ ком</t>
        </is>
      </c>
      <c r="L1093" s="9" t="n"/>
      <c r="M1093" s="12">
        <f>SUMIFS($E$2:$E$1130,$A$2:$A$1130,"осень",$I$2:$I$1130,I1093)</f>
        <v/>
      </c>
      <c r="N1093" s="13">
        <f>SUMIFS($E$2:$E$1130,$A$2:$A$1130,"весна",$I$2:$I$1130,I1093)</f>
        <v/>
      </c>
      <c r="O1093" s="14">
        <f>M1093+N1093</f>
        <v/>
      </c>
      <c r="P1093" s="15">
        <f>O1093/$P$1</f>
        <v/>
      </c>
    </row>
    <row r="1094" hidden="1" ht="15.75" customHeight="1" s="2">
      <c r="A1094" s="41" t="inlineStr">
        <is>
          <t>весна</t>
        </is>
      </c>
      <c r="B1094" s="9" t="inlineStr">
        <is>
          <t>Диплом</t>
        </is>
      </c>
      <c r="C1094" s="9" t="inlineStr">
        <is>
          <t>Диплом</t>
        </is>
      </c>
      <c r="D1094" s="9" t="inlineStr">
        <is>
          <t>Т1В-516Б-16</t>
        </is>
      </c>
      <c r="E1094" s="67" t="n">
        <v>3</v>
      </c>
      <c r="F1094" s="10" t="n"/>
      <c r="G1094" s="11" t="n"/>
      <c r="H1094" s="9" t="n"/>
      <c r="I1094" s="9" t="inlineStr">
        <is>
          <t xml:space="preserve">Комаров Роман Сергеевич </t>
        </is>
      </c>
      <c r="J1094" s="9" t="n"/>
      <c r="K1094" s="9" t="inlineStr">
        <is>
          <t>секрет</t>
        </is>
      </c>
      <c r="L1094" s="9" t="n"/>
      <c r="M1094" s="12">
        <f>SUMIFS($E$2:$E$1130,$A$2:$A$1130,"осень",$I$2:$I$1130,I1094)</f>
        <v/>
      </c>
      <c r="N1094" s="13">
        <f>SUMIFS($E$2:$E$1130,$A$2:$A$1130,"весна",$I$2:$I$1130,I1094)</f>
        <v/>
      </c>
      <c r="O1094" s="14">
        <f>M1094+N1094</f>
        <v/>
      </c>
      <c r="P1094" s="15">
        <f>O1094/$P$1</f>
        <v/>
      </c>
    </row>
    <row r="1095" hidden="1" ht="15.75" customHeight="1" s="2">
      <c r="A1095" s="41" t="inlineStr">
        <is>
          <t>весна</t>
        </is>
      </c>
      <c r="B1095" s="9" t="inlineStr">
        <is>
          <t>Диплом</t>
        </is>
      </c>
      <c r="C1095" s="9" t="inlineStr">
        <is>
          <t>Диплом</t>
        </is>
      </c>
      <c r="D1095" s="9" t="inlineStr">
        <is>
          <t>Т1В-516Б-16</t>
        </is>
      </c>
      <c r="E1095" s="67" t="n">
        <v>23</v>
      </c>
      <c r="F1095" s="10" t="n"/>
      <c r="G1095" s="11" t="n"/>
      <c r="H1095" s="9" t="n"/>
      <c r="I1095" s="9" t="inlineStr">
        <is>
          <t xml:space="preserve">Еремеев Николай Владимирович </t>
        </is>
      </c>
      <c r="J1095" s="9" t="n"/>
      <c r="K1095" s="9" t="inlineStr">
        <is>
          <t>1 + ком</t>
        </is>
      </c>
      <c r="L1095" s="9" t="n"/>
      <c r="M1095" s="12">
        <f>SUMIFS($E$2:$E$1130,$A$2:$A$1130,"осень",$I$2:$I$1130,I1095)</f>
        <v/>
      </c>
      <c r="N1095" s="13">
        <f>SUMIFS($E$2:$E$1130,$A$2:$A$1130,"весна",$I$2:$I$1130,I1095)</f>
        <v/>
      </c>
      <c r="O1095" s="14">
        <f>M1095+N1095</f>
        <v/>
      </c>
      <c r="P1095" s="15">
        <f>O1095/$P$1</f>
        <v/>
      </c>
    </row>
    <row r="1096" hidden="1" ht="15.75" customHeight="1" s="2">
      <c r="A1096" s="41" t="inlineStr">
        <is>
          <t>весна</t>
        </is>
      </c>
      <c r="B1096" s="9" t="inlineStr">
        <is>
          <t>Диплом</t>
        </is>
      </c>
      <c r="C1096" s="9" t="inlineStr">
        <is>
          <t>Диплом</t>
        </is>
      </c>
      <c r="D1096" s="9" t="inlineStr">
        <is>
          <t>Т1В-516Б-16</t>
        </is>
      </c>
      <c r="E1096" s="67" t="n">
        <v>12</v>
      </c>
      <c r="F1096" s="10" t="n"/>
      <c r="G1096" s="11" t="n"/>
      <c r="H1096" s="9" t="n"/>
      <c r="I1096" s="9" t="inlineStr">
        <is>
          <t>э-Комиссия-В</t>
        </is>
      </c>
      <c r="J1096" s="9" t="n"/>
      <c r="K1096" s="9" t="inlineStr">
        <is>
          <t>внеш+предс</t>
        </is>
      </c>
      <c r="L1096" s="9" t="n"/>
      <c r="M1096" s="12">
        <f>SUMIFS($E$2:$E$1130,$A$2:$A$1130,"осень",$I$2:$I$1130,I1096)</f>
        <v/>
      </c>
      <c r="N1096" s="13">
        <f>SUMIFS($E$2:$E$1130,$A$2:$A$1130,"весна",$I$2:$I$1130,I1096)</f>
        <v/>
      </c>
      <c r="O1096" s="14">
        <f>M1096+N1096</f>
        <v/>
      </c>
      <c r="P1096" s="15">
        <f>O1096/$P$1</f>
        <v/>
      </c>
    </row>
    <row r="1097" hidden="1" ht="15.75" customHeight="1" s="2">
      <c r="A1097" s="41" t="inlineStr">
        <is>
          <t>весна</t>
        </is>
      </c>
      <c r="B1097" s="9" t="inlineStr">
        <is>
          <t>Диплом</t>
        </is>
      </c>
      <c r="C1097" s="9" t="inlineStr">
        <is>
          <t>Диплом</t>
        </is>
      </c>
      <c r="D1097" s="9" t="inlineStr">
        <is>
          <t>Т11О-201М-19</t>
        </is>
      </c>
      <c r="E1097" s="53" t="n"/>
      <c r="F1097" s="10" t="n">
        <v>245</v>
      </c>
      <c r="G1097" s="11" t="n">
        <v>0</v>
      </c>
      <c r="H1097" s="9" t="n"/>
      <c r="I1097" s="66" t="inlineStr">
        <is>
          <t>э-Диплом-Д</t>
        </is>
      </c>
      <c r="J1097" s="9" t="n"/>
      <c r="K1097" s="9" t="n"/>
      <c r="L1097" s="9" t="n"/>
      <c r="M1097" s="12">
        <f>SUMIFS($E$2:$E$1130,$A$2:$A$1130,"осень",$I$2:$I$1130,I1097)</f>
        <v/>
      </c>
      <c r="N1097" s="13">
        <f>SUMIFS($E$2:$E$1130,$A$2:$A$1130,"весна",$I$2:$I$1130,I1097)</f>
        <v/>
      </c>
      <c r="O1097" s="14">
        <f>M1097+N1097</f>
        <v/>
      </c>
      <c r="P1097" s="15">
        <f>O1097/$P$1</f>
        <v/>
      </c>
    </row>
    <row r="1098" hidden="1" ht="15.75" customHeight="1" s="2">
      <c r="A1098" s="41" t="inlineStr">
        <is>
          <t>весна</t>
        </is>
      </c>
      <c r="B1098" s="9" t="inlineStr">
        <is>
          <t>Диплом</t>
        </is>
      </c>
      <c r="C1098" s="9" t="inlineStr">
        <is>
          <t>Диплом</t>
        </is>
      </c>
      <c r="D1098" s="35" t="inlineStr">
        <is>
          <t>Т11О-201М-19</t>
        </is>
      </c>
      <c r="E1098" s="68" t="n">
        <v>30</v>
      </c>
      <c r="F1098" s="35" t="n"/>
      <c r="G1098" s="35" t="n"/>
      <c r="H1098" s="35" t="n"/>
      <c r="I1098" s="24" t="inlineStr">
        <is>
          <t xml:space="preserve">Беспалов Александр Владимирович </t>
        </is>
      </c>
      <c r="J1098" s="24" t="inlineStr">
        <is>
          <t>доцент</t>
        </is>
      </c>
      <c r="K1098" s="9" t="inlineStr">
        <is>
          <t>1 чел</t>
        </is>
      </c>
      <c r="L1098" s="35" t="inlineStr">
        <is>
          <t>вторник, среда</t>
        </is>
      </c>
      <c r="M1098" s="12">
        <f>SUMIFS($E$2:$E$1130,$A$2:$A$1130,"осень",$I$2:$I$1130,I1098)</f>
        <v/>
      </c>
      <c r="N1098" s="13">
        <f>SUMIFS($E$2:$E$1130,$A$2:$A$1130,"весна",$I$2:$I$1130,I1098)</f>
        <v/>
      </c>
      <c r="O1098" s="14">
        <f>M1098+N1098</f>
        <v/>
      </c>
      <c r="P1098" s="15">
        <f>O1098/$P$1</f>
        <v/>
      </c>
    </row>
    <row r="1099" hidden="1" ht="15.75" customHeight="1" s="2">
      <c r="A1099" s="41" t="inlineStr">
        <is>
          <t>весна</t>
        </is>
      </c>
      <c r="B1099" s="9" t="inlineStr">
        <is>
          <t>Диплом</t>
        </is>
      </c>
      <c r="C1099" s="9" t="inlineStr">
        <is>
          <t>Диплом</t>
        </is>
      </c>
      <c r="D1099" s="35" t="inlineStr">
        <is>
          <t>Т11О-201М-19</t>
        </is>
      </c>
      <c r="E1099" s="68" t="n">
        <v>33</v>
      </c>
      <c r="F1099" s="35" t="n"/>
      <c r="G1099" s="35" t="n"/>
      <c r="H1099" s="35" t="n"/>
      <c r="I1099" s="9" t="inlineStr">
        <is>
          <t xml:space="preserve">Галкин Виктор Иванович </t>
        </is>
      </c>
      <c r="J1099" s="34" t="inlineStr">
        <is>
          <t>профессор</t>
        </is>
      </c>
      <c r="K1099" s="24" t="inlineStr">
        <is>
          <t>1 чел+комиссия</t>
        </is>
      </c>
      <c r="L1099" s="35" t="inlineStr">
        <is>
          <t>кроме среды и первой пары понедельника</t>
        </is>
      </c>
      <c r="M1099" s="12">
        <f>SUMIFS($E$2:$E$1130,$A$2:$A$1130,"осень",$I$2:$I$1130,I1099)</f>
        <v/>
      </c>
      <c r="N1099" s="13">
        <f>SUMIFS($E$2:$E$1130,$A$2:$A$1130,"весна",$I$2:$I$1130,I1099)</f>
        <v/>
      </c>
      <c r="O1099" s="14">
        <f>M1099+N1099</f>
        <v/>
      </c>
      <c r="P1099" s="15">
        <f>O1099/$P$1</f>
        <v/>
      </c>
    </row>
    <row r="1100" hidden="1" ht="15.75" customHeight="1" s="2">
      <c r="A1100" s="41" t="inlineStr">
        <is>
          <t>весна</t>
        </is>
      </c>
      <c r="B1100" s="9" t="inlineStr">
        <is>
          <t>Диплом</t>
        </is>
      </c>
      <c r="C1100" s="9" t="inlineStr">
        <is>
          <t>Диплом</t>
        </is>
      </c>
      <c r="D1100" s="35" t="inlineStr">
        <is>
          <t>Т11О-201М-19</t>
        </is>
      </c>
      <c r="E1100" s="68" t="n">
        <v>33</v>
      </c>
      <c r="F1100" s="35" t="n"/>
      <c r="G1100" s="35" t="n"/>
      <c r="H1100" s="35" t="n"/>
      <c r="I1100" s="35" t="inlineStr">
        <is>
          <t xml:space="preserve">Петров Анатолий Павлович </t>
        </is>
      </c>
      <c r="J1100" s="35" t="inlineStr">
        <is>
          <t>профессор</t>
        </is>
      </c>
      <c r="K1100" s="24" t="inlineStr">
        <is>
          <t>1 чел+комиссия</t>
        </is>
      </c>
      <c r="L1100" s="69" t="inlineStr">
        <is>
          <t>кроме понедельника, желательно все занятия в один день</t>
        </is>
      </c>
      <c r="M1100" s="12">
        <f>SUMIFS($E$2:$E$1130,$A$2:$A$1130,"осень",$I$2:$I$1130,I1100)</f>
        <v/>
      </c>
      <c r="N1100" s="13">
        <f>SUMIFS($E$2:$E$1130,$A$2:$A$1130,"весна",$I$2:$I$1130,I1100)</f>
        <v/>
      </c>
      <c r="O1100" s="14">
        <f>M1100+N1100</f>
        <v/>
      </c>
      <c r="P1100" s="15">
        <f>O1100/$P$1</f>
        <v/>
      </c>
    </row>
    <row r="1101" hidden="1" ht="15.75" customHeight="1" s="2">
      <c r="A1101" s="41" t="inlineStr">
        <is>
          <t>весна</t>
        </is>
      </c>
      <c r="B1101" s="9" t="inlineStr">
        <is>
          <t>Диплом</t>
        </is>
      </c>
      <c r="C1101" s="9" t="inlineStr">
        <is>
          <t>Диплом</t>
        </is>
      </c>
      <c r="D1101" s="35" t="inlineStr">
        <is>
          <t>Т11О-201М-19</t>
        </is>
      </c>
      <c r="E1101" s="68" t="n">
        <v>63</v>
      </c>
      <c r="F1101" s="35" t="n"/>
      <c r="G1101" s="35" t="n"/>
      <c r="H1101" s="35" t="n"/>
      <c r="I1101" s="35" t="inlineStr">
        <is>
          <t>Федоров Анатолий Александрович</t>
        </is>
      </c>
      <c r="J1101" s="9" t="inlineStr">
        <is>
          <t>профессор</t>
        </is>
      </c>
      <c r="K1101" s="24" t="inlineStr">
        <is>
          <t>2 чел+ком</t>
        </is>
      </c>
      <c r="L1101" s="53" t="n"/>
      <c r="M1101" s="12">
        <f>SUMIFS($E$2:$E$1130,$A$2:$A$1130,"осень",$I$2:$I$1130,I1101)</f>
        <v/>
      </c>
      <c r="N1101" s="13">
        <f>SUMIFS($E$2:$E$1130,$A$2:$A$1130,"весна",$I$2:$I$1130,I1101)</f>
        <v/>
      </c>
      <c r="O1101" s="14">
        <f>M1101+N1101</f>
        <v/>
      </c>
      <c r="P1101" s="15">
        <f>O1101/$P$1</f>
        <v/>
      </c>
    </row>
    <row r="1102" hidden="1" ht="15.75" customHeight="1" s="2">
      <c r="A1102" s="41" t="inlineStr">
        <is>
          <t>весна</t>
        </is>
      </c>
      <c r="B1102" s="9" t="inlineStr">
        <is>
          <t>Диплом</t>
        </is>
      </c>
      <c r="C1102" s="9" t="inlineStr">
        <is>
          <t>Диплом</t>
        </is>
      </c>
      <c r="D1102" s="35" t="inlineStr">
        <is>
          <t>Т11О-201М-19</t>
        </is>
      </c>
      <c r="E1102" s="68" t="n">
        <v>30</v>
      </c>
      <c r="F1102" s="35" t="n"/>
      <c r="G1102" s="35" t="n"/>
      <c r="H1102" s="35" t="n"/>
      <c r="I1102" s="35" t="inlineStr">
        <is>
          <t xml:space="preserve">Шленский Алексей Геннадьевич </t>
        </is>
      </c>
      <c r="J1102" s="9" t="inlineStr">
        <is>
          <t>доцент</t>
        </is>
      </c>
      <c r="K1102" s="24" t="inlineStr">
        <is>
          <t>1 чел</t>
        </is>
      </c>
      <c r="L1102" s="35" t="inlineStr">
        <is>
          <t>кроме пятницы</t>
        </is>
      </c>
      <c r="M1102" s="12">
        <f>SUMIFS($E$2:$E$1130,$A$2:$A$1130,"осень",$I$2:$I$1130,I1102)</f>
        <v/>
      </c>
      <c r="N1102" s="13">
        <f>SUMIFS($E$2:$E$1130,$A$2:$A$1130,"весна",$I$2:$I$1130,I1102)</f>
        <v/>
      </c>
      <c r="O1102" s="14">
        <f>M1102+N1102</f>
        <v/>
      </c>
      <c r="P1102" s="15">
        <f>O1102/$P$1</f>
        <v/>
      </c>
    </row>
    <row r="1103" hidden="1" ht="15.75" customHeight="1" s="2">
      <c r="A1103" s="41" t="inlineStr">
        <is>
          <t>весна</t>
        </is>
      </c>
      <c r="B1103" s="9" t="inlineStr">
        <is>
          <t>Диплом</t>
        </is>
      </c>
      <c r="C1103" s="9" t="inlineStr">
        <is>
          <t>Диплом</t>
        </is>
      </c>
      <c r="D1103" s="35" t="inlineStr">
        <is>
          <t>Т11О-201М-19</t>
        </is>
      </c>
      <c r="E1103" s="68" t="n">
        <v>6</v>
      </c>
      <c r="F1103" s="35" t="n"/>
      <c r="G1103" s="35" t="n"/>
      <c r="H1103" s="35" t="n"/>
      <c r="I1103" s="36" t="inlineStr">
        <is>
          <t xml:space="preserve">Соколов Алексей Викторович </t>
        </is>
      </c>
      <c r="J1103" s="9" t="inlineStr">
        <is>
          <t>доцент</t>
        </is>
      </c>
      <c r="K1103" s="24" t="inlineStr">
        <is>
          <t>председ</t>
        </is>
      </c>
      <c r="L1103" s="37" t="n"/>
      <c r="M1103" s="12">
        <f>SUMIFS($E$2:$E$1130,$A$2:$A$1130,"осень",$I$2:$I$1130,I1103)</f>
        <v/>
      </c>
      <c r="N1103" s="13">
        <f>SUMIFS($E$2:$E$1130,$A$2:$A$1130,"весна",$I$2:$I$1130,I1103)</f>
        <v/>
      </c>
      <c r="O1103" s="14">
        <f>M1103+N1103</f>
        <v/>
      </c>
      <c r="P1103" s="15">
        <f>O1103/$P$1</f>
        <v/>
      </c>
    </row>
    <row r="1104" hidden="1" ht="15.75" customHeight="1" s="2">
      <c r="A1104" s="41" t="inlineStr">
        <is>
          <t>весна</t>
        </is>
      </c>
      <c r="B1104" s="9" t="inlineStr">
        <is>
          <t>Диплом</t>
        </is>
      </c>
      <c r="C1104" s="9" t="inlineStr">
        <is>
          <t>Диплом</t>
        </is>
      </c>
      <c r="D1104" s="35" t="inlineStr">
        <is>
          <t>Т11О-201М-19</t>
        </is>
      </c>
      <c r="E1104" s="68" t="n">
        <v>15</v>
      </c>
      <c r="F1104" s="35" t="n"/>
      <c r="G1104" s="35" t="n"/>
      <c r="H1104" s="35" t="n"/>
      <c r="I1104" s="70" t="inlineStr">
        <is>
          <t>э-Комиссия-Д</t>
        </is>
      </c>
      <c r="J1104" s="9" t="n"/>
      <c r="K1104" s="24" t="inlineStr">
        <is>
          <t>внеш+председ</t>
        </is>
      </c>
      <c r="L1104" s="37" t="n"/>
      <c r="M1104" s="12">
        <f>SUMIFS($E$2:$E$1130,$A$2:$A$1130,"осень",$I$2:$I$1130,I1104)</f>
        <v/>
      </c>
      <c r="N1104" s="13">
        <f>SUMIFS($E$2:$E$1130,$A$2:$A$1130,"весна",$I$2:$I$1130,I1104)</f>
        <v/>
      </c>
      <c r="O1104" s="14">
        <f>M1104+N1104</f>
        <v/>
      </c>
      <c r="P1104" s="15">
        <f>O1104/$P$1</f>
        <v/>
      </c>
    </row>
    <row r="1105" hidden="1" ht="15.75" customHeight="1" s="2">
      <c r="A1105" s="41" t="inlineStr">
        <is>
          <t>весна</t>
        </is>
      </c>
      <c r="B1105" s="18" t="inlineStr">
        <is>
          <t>Диплом</t>
        </is>
      </c>
      <c r="C1105" s="18" t="inlineStr">
        <is>
          <t>Диплом</t>
        </is>
      </c>
      <c r="D1105" s="71" t="inlineStr">
        <is>
          <t>Т11О-201М-19</t>
        </is>
      </c>
      <c r="E1105" s="72" t="n">
        <v>35</v>
      </c>
      <c r="F1105" s="71" t="n"/>
      <c r="G1105" s="71" t="n"/>
      <c r="H1105" s="71" t="n"/>
      <c r="I1105" s="73" t="inlineStr">
        <is>
          <t>ю-Отчсление</t>
        </is>
      </c>
      <c r="J1105" s="74" t="n"/>
      <c r="K1105" s="75" t="inlineStr">
        <is>
          <t>1 чел</t>
        </is>
      </c>
      <c r="L1105" s="76" t="n"/>
      <c r="M1105" s="12">
        <f>SUMIFS($E$2:$E$1130,$A$2:$A$1130,"осень",$I$2:$I$1130,I1105)</f>
        <v/>
      </c>
      <c r="N1105" s="13">
        <f>SUMIFS($E$2:$E$1130,$A$2:$A$1130,"весна",$I$2:$I$1130,I1105)</f>
        <v/>
      </c>
      <c r="O1105" s="14">
        <f>M1105+N1105</f>
        <v/>
      </c>
      <c r="P1105" s="15">
        <f>O1105/$P$1</f>
        <v/>
      </c>
    </row>
    <row r="1106" hidden="1" ht="15.75" customHeight="1" s="2">
      <c r="A1106" s="41" t="inlineStr">
        <is>
          <t>весна</t>
        </is>
      </c>
      <c r="B1106" s="9" t="inlineStr">
        <is>
          <t>Диплом</t>
        </is>
      </c>
      <c r="C1106" s="9" t="inlineStr">
        <is>
          <t>Диплом</t>
        </is>
      </c>
      <c r="D1106" s="9" t="inlineStr">
        <is>
          <t>Т11О-202М-19</t>
        </is>
      </c>
      <c r="E1106" s="53" t="n"/>
      <c r="F1106" s="10" t="n">
        <v>210</v>
      </c>
      <c r="G1106" s="11" t="n">
        <v>0</v>
      </c>
      <c r="H1106" s="9" t="n"/>
      <c r="I1106" s="66" t="inlineStr">
        <is>
          <t>э-Диплом-Л</t>
        </is>
      </c>
      <c r="J1106" s="9" t="n"/>
      <c r="K1106" s="9" t="n"/>
      <c r="L1106" s="9" t="n"/>
      <c r="M1106" s="12">
        <f>SUMIFS($E$2:$E$1130,$A$2:$A$1130,"осень",$I$2:$I$1130,I1106)</f>
        <v/>
      </c>
      <c r="N1106" s="13">
        <f>SUMIFS($E$2:$E$1130,$A$2:$A$1130,"весна",$I$2:$I$1130,I1106)</f>
        <v/>
      </c>
      <c r="O1106" s="14">
        <f>M1106+N1106</f>
        <v/>
      </c>
      <c r="P1106" s="15">
        <f>O1106/$P$1</f>
        <v/>
      </c>
    </row>
    <row r="1107" hidden="1" ht="15.75" customHeight="1" s="2">
      <c r="A1107" s="41" t="inlineStr">
        <is>
          <t>весна</t>
        </is>
      </c>
      <c r="B1107" s="9" t="inlineStr">
        <is>
          <t>Диплом</t>
        </is>
      </c>
      <c r="C1107" s="9" t="inlineStr">
        <is>
          <t>Диплом</t>
        </is>
      </c>
      <c r="D1107" s="9" t="inlineStr">
        <is>
          <t>Т11О-202М-19</t>
        </is>
      </c>
      <c r="E1107" s="10" t="n">
        <v>32.5</v>
      </c>
      <c r="F1107" s="9" t="n"/>
      <c r="G1107" s="11" t="n">
        <v>0</v>
      </c>
      <c r="H1107" s="9" t="n"/>
      <c r="I1107" s="9" t="inlineStr">
        <is>
          <t xml:space="preserve">Петров Игорь Алексеевич </t>
        </is>
      </c>
      <c r="J1107" s="9" t="inlineStr">
        <is>
          <t>доцент</t>
        </is>
      </c>
      <c r="K1107" s="26" t="inlineStr">
        <is>
          <t>1 чел+секр</t>
        </is>
      </c>
      <c r="L1107" s="26" t="n"/>
      <c r="M1107" s="12">
        <f>SUMIFS($E$2:$E$1130,$A$2:$A$1130,"осень",$I$2:$I$1130,I1107)</f>
        <v/>
      </c>
      <c r="N1107" s="13">
        <f>SUMIFS($E$2:$E$1130,$A$2:$A$1130,"весна",$I$2:$I$1130,I1107)</f>
        <v/>
      </c>
      <c r="O1107" s="14">
        <f>M1107+N1107</f>
        <v/>
      </c>
      <c r="P1107" s="15">
        <f>O1107/$P$1</f>
        <v/>
      </c>
    </row>
    <row r="1108" hidden="1" ht="15.75" customHeight="1" s="2">
      <c r="A1108" s="41" t="inlineStr">
        <is>
          <t>весна</t>
        </is>
      </c>
      <c r="B1108" s="9" t="inlineStr">
        <is>
          <t>Диплом</t>
        </is>
      </c>
      <c r="C1108" s="9" t="inlineStr">
        <is>
          <t>Диплом</t>
        </is>
      </c>
      <c r="D1108" s="9" t="inlineStr">
        <is>
          <t>Т11О-202М-19</t>
        </is>
      </c>
      <c r="E1108" s="10" t="n">
        <v>32.5</v>
      </c>
      <c r="F1108" s="9" t="n"/>
      <c r="G1108" s="11" t="n">
        <v>0</v>
      </c>
      <c r="H1108" s="9" t="n"/>
      <c r="I1108" s="9" t="inlineStr">
        <is>
          <t xml:space="preserve">Варфоломеев Максим Сергеевич </t>
        </is>
      </c>
      <c r="J1108" s="9" t="n"/>
      <c r="K1108" s="26" t="inlineStr">
        <is>
          <t>1 чел+ком</t>
        </is>
      </c>
      <c r="L1108" s="26" t="n"/>
      <c r="M1108" s="12">
        <f>SUMIFS($E$2:$E$1130,$A$2:$A$1130,"осень",$I$2:$I$1130,I1108)</f>
        <v/>
      </c>
      <c r="N1108" s="13">
        <f>SUMIFS($E$2:$E$1130,$A$2:$A$1130,"весна",$I$2:$I$1130,I1108)</f>
        <v/>
      </c>
      <c r="O1108" s="14">
        <f>M1108+N1108</f>
        <v/>
      </c>
      <c r="P1108" s="15">
        <f>O1108/$P$1</f>
        <v/>
      </c>
    </row>
    <row r="1109" hidden="1" ht="15.75" customHeight="1" s="2">
      <c r="A1109" s="41" t="inlineStr">
        <is>
          <t>весна</t>
        </is>
      </c>
      <c r="B1109" s="9" t="inlineStr">
        <is>
          <t>Диплом</t>
        </is>
      </c>
      <c r="C1109" s="9" t="inlineStr">
        <is>
          <t>Диплом</t>
        </is>
      </c>
      <c r="D1109" s="9" t="inlineStr">
        <is>
          <t>Т11О-202М-19</t>
        </is>
      </c>
      <c r="E1109" s="10" t="n">
        <v>30</v>
      </c>
      <c r="F1109" s="9" t="n"/>
      <c r="G1109" s="11" t="n">
        <v>0</v>
      </c>
      <c r="H1109" s="9" t="n"/>
      <c r="I1109" s="9" t="inlineStr">
        <is>
          <t>Бережной Дмитрий Васильевич</t>
        </is>
      </c>
      <c r="J1109" s="9" t="inlineStr">
        <is>
          <t>доцент</t>
        </is>
      </c>
      <c r="K1109" s="26" t="inlineStr">
        <is>
          <t>1 чел</t>
        </is>
      </c>
      <c r="L1109" s="26" t="n"/>
      <c r="M1109" s="12">
        <f>SUMIFS($E$2:$E$1130,$A$2:$A$1130,"осень",$I$2:$I$1130,I1109)</f>
        <v/>
      </c>
      <c r="N1109" s="13">
        <f>SUMIFS($E$2:$E$1130,$A$2:$A$1130,"весна",$I$2:$I$1130,I1109)</f>
        <v/>
      </c>
      <c r="O1109" s="14">
        <f>M1109+N1109</f>
        <v/>
      </c>
      <c r="P1109" s="15">
        <f>O1109/$P$1</f>
        <v/>
      </c>
    </row>
    <row r="1110" hidden="1" ht="15.75" customHeight="1" s="2">
      <c r="A1110" s="41" t="inlineStr">
        <is>
          <t>весна</t>
        </is>
      </c>
      <c r="B1110" s="9" t="inlineStr">
        <is>
          <t>Диплом</t>
        </is>
      </c>
      <c r="C1110" s="9" t="inlineStr">
        <is>
          <t>Диплом</t>
        </is>
      </c>
      <c r="D1110" s="9" t="inlineStr">
        <is>
          <t>Т11О-202М-19</t>
        </is>
      </c>
      <c r="E1110" s="10" t="n">
        <v>35</v>
      </c>
      <c r="F1110" s="9" t="n"/>
      <c r="G1110" s="11" t="n">
        <v>0</v>
      </c>
      <c r="H1110" s="9" t="n"/>
      <c r="I1110" s="9" t="inlineStr">
        <is>
          <t xml:space="preserve">Смыков Андрей Федорович </t>
        </is>
      </c>
      <c r="J1110" s="9" t="n"/>
      <c r="K1110" s="26" t="inlineStr">
        <is>
          <t>1 чел+ком</t>
        </is>
      </c>
      <c r="L1110" s="26" t="n"/>
      <c r="M1110" s="12">
        <f>SUMIFS($E$2:$E$1130,$A$2:$A$1130,"осень",$I$2:$I$1130,I1110)</f>
        <v/>
      </c>
      <c r="N1110" s="13">
        <f>SUMIFS($E$2:$E$1130,$A$2:$A$1130,"весна",$I$2:$I$1130,I1110)</f>
        <v/>
      </c>
      <c r="O1110" s="14">
        <f>M1110+N1110</f>
        <v/>
      </c>
      <c r="P1110" s="15">
        <f>O1110/$P$1</f>
        <v/>
      </c>
    </row>
    <row r="1111" hidden="1" ht="15.75" customHeight="1" s="2">
      <c r="A1111" s="41" t="inlineStr">
        <is>
          <t>весна</t>
        </is>
      </c>
      <c r="B1111" s="9" t="inlineStr">
        <is>
          <t>Диплом</t>
        </is>
      </c>
      <c r="C1111" s="9" t="inlineStr">
        <is>
          <t>Диплом</t>
        </is>
      </c>
      <c r="D1111" s="9" t="inlineStr">
        <is>
          <t>Т11О-202М-19</t>
        </is>
      </c>
      <c r="E1111" s="10" t="n">
        <v>30</v>
      </c>
      <c r="F1111" s="9" t="n"/>
      <c r="G1111" s="11" t="n">
        <v>0</v>
      </c>
      <c r="H1111" s="9" t="n"/>
      <c r="I1111" s="9" t="inlineStr">
        <is>
          <t xml:space="preserve">Ряховский Александр Павлович </t>
        </is>
      </c>
      <c r="J1111" s="9" t="n"/>
      <c r="K1111" s="26" t="inlineStr">
        <is>
          <t>1 чел</t>
        </is>
      </c>
      <c r="L1111" s="26" t="n"/>
      <c r="M1111" s="12">
        <f>SUMIFS($E$2:$E$1130,$A$2:$A$1130,"осень",$I$2:$I$1130,I1111)</f>
        <v/>
      </c>
      <c r="N1111" s="13">
        <f>SUMIFS($E$2:$E$1130,$A$2:$A$1130,"весна",$I$2:$I$1130,I1111)</f>
        <v/>
      </c>
      <c r="O1111" s="14">
        <f>M1111+N1111</f>
        <v/>
      </c>
      <c r="P1111" s="15">
        <f>O1111/$P$1</f>
        <v/>
      </c>
    </row>
    <row r="1112" hidden="1" ht="15.75" customHeight="1" s="2">
      <c r="A1112" s="41" t="inlineStr">
        <is>
          <t>весна</t>
        </is>
      </c>
      <c r="B1112" s="9" t="inlineStr">
        <is>
          <t>Диплом</t>
        </is>
      </c>
      <c r="C1112" s="9" t="inlineStr">
        <is>
          <t>Диплом</t>
        </is>
      </c>
      <c r="D1112" s="9" t="inlineStr">
        <is>
          <t>Т11О-202М-19</t>
        </is>
      </c>
      <c r="E1112" s="10" t="n">
        <v>2.5</v>
      </c>
      <c r="F1112" s="9" t="n"/>
      <c r="G1112" s="11" t="n"/>
      <c r="H1112" s="9" t="n"/>
      <c r="I1112" s="38" t="inlineStr">
        <is>
          <t xml:space="preserve">Моисеев Виктор Сергеевич </t>
        </is>
      </c>
      <c r="J1112" s="77" t="inlineStr">
        <is>
          <t>зав. кафедрой</t>
        </is>
      </c>
      <c r="K1112" s="78" t="inlineStr">
        <is>
          <t>ком</t>
        </is>
      </c>
      <c r="L1112" s="78" t="n"/>
      <c r="M1112" s="12">
        <f>SUMIFS($E$2:$E$1130,$A$2:$A$1130,"осень",$I$2:$I$1130,I1112)</f>
        <v/>
      </c>
      <c r="N1112" s="13">
        <f>SUMIFS($E$2:$E$1130,$A$2:$A$1130,"весна",$I$2:$I$1130,I1112)</f>
        <v/>
      </c>
      <c r="O1112" s="14">
        <f>M1112+N1112</f>
        <v/>
      </c>
      <c r="P1112" s="15">
        <f>O1112/$P$1</f>
        <v/>
      </c>
    </row>
    <row r="1113" hidden="1" ht="15.75" customHeight="1" s="2">
      <c r="A1113" s="41" t="inlineStr">
        <is>
          <t>весна</t>
        </is>
      </c>
      <c r="B1113" s="9" t="inlineStr">
        <is>
          <t>Диплом</t>
        </is>
      </c>
      <c r="C1113" s="9" t="inlineStr">
        <is>
          <t>Диплом</t>
        </is>
      </c>
      <c r="D1113" s="9" t="inlineStr">
        <is>
          <t>Т11О-202М-19</t>
        </is>
      </c>
      <c r="E1113" s="10" t="n">
        <v>12.5</v>
      </c>
      <c r="F1113" s="9" t="n"/>
      <c r="G1113" s="11" t="n"/>
      <c r="H1113" s="9" t="n"/>
      <c r="I1113" s="9" t="inlineStr">
        <is>
          <t>э-Комиссия-Л</t>
        </is>
      </c>
      <c r="J1113" s="79" t="n"/>
      <c r="K1113" s="63" t="inlineStr">
        <is>
          <t>внеш+председ</t>
        </is>
      </c>
      <c r="L1113" s="26" t="n"/>
      <c r="M1113" s="12">
        <f>SUMIFS($E$2:$E$1130,$A$2:$A$1130,"осень",$I$2:$I$1130,I1113)</f>
        <v/>
      </c>
      <c r="N1113" s="13">
        <f>SUMIFS($E$2:$E$1130,$A$2:$A$1130,"весна",$I$2:$I$1130,I1113)</f>
        <v/>
      </c>
      <c r="O1113" s="14">
        <f>M1113+N1113</f>
        <v/>
      </c>
      <c r="P1113" s="15">
        <f>O1113/$P$1</f>
        <v/>
      </c>
    </row>
    <row r="1114" hidden="1" ht="15.75" customHeight="1" s="2">
      <c r="A1114" s="80" t="inlineStr">
        <is>
          <t>весна</t>
        </is>
      </c>
      <c r="B1114" s="81" t="inlineStr">
        <is>
          <t>Диплом</t>
        </is>
      </c>
      <c r="C1114" s="81" t="inlineStr">
        <is>
          <t>Диплом</t>
        </is>
      </c>
      <c r="D1114" s="74" t="inlineStr">
        <is>
          <t>Т11О-202М-19</t>
        </is>
      </c>
      <c r="E1114" s="82" t="n">
        <v>35</v>
      </c>
      <c r="F1114" s="74" t="n"/>
      <c r="G1114" s="74" t="n">
        <v>0</v>
      </c>
      <c r="H1114" s="83" t="n"/>
      <c r="I1114" s="20" t="inlineStr">
        <is>
          <t>ю-Отчсление</t>
        </is>
      </c>
      <c r="J1114" s="81" t="n"/>
      <c r="K1114" s="81" t="inlineStr">
        <is>
          <t>1чел</t>
        </is>
      </c>
      <c r="L1114" s="28" t="n"/>
      <c r="M1114" s="12">
        <f>SUMIFS($E$2:$E$1130,$A$2:$A$1130,"осень",$I$2:$I$1130,I1114)</f>
        <v/>
      </c>
      <c r="N1114" s="13">
        <f>SUMIFS($E$2:$E$1130,$A$2:$A$1130,"весна",$I$2:$I$1130,I1114)</f>
        <v/>
      </c>
      <c r="O1114" s="14">
        <f>M1114+N1114</f>
        <v/>
      </c>
      <c r="P1114" s="15">
        <f>O1114/$P$1</f>
        <v/>
      </c>
    </row>
    <row r="1115" hidden="1" ht="15.75" customHeight="1" s="2">
      <c r="A1115" s="41" t="inlineStr">
        <is>
          <t>весна</t>
        </is>
      </c>
      <c r="B1115" s="9" t="inlineStr">
        <is>
          <t>Диплом</t>
        </is>
      </c>
      <c r="C1115" s="9" t="inlineStr">
        <is>
          <t>Диплом</t>
        </is>
      </c>
      <c r="D1115" s="9" t="inlineStr">
        <is>
          <t>Т11О-203М-19</t>
        </is>
      </c>
      <c r="E1115" s="53" t="n"/>
      <c r="F1115" s="10" t="n">
        <v>245</v>
      </c>
      <c r="G1115" s="11" t="n">
        <v>0</v>
      </c>
      <c r="H1115" s="9" t="n"/>
      <c r="I1115" s="66" t="inlineStr">
        <is>
          <t>э-Диплом-П</t>
        </is>
      </c>
      <c r="J1115" s="9" t="n"/>
      <c r="K1115" s="9" t="n"/>
      <c r="L1115" s="9" t="n"/>
      <c r="M1115" s="12">
        <f>SUMIFS($E$2:$E$1130,$A$2:$A$1130,"осень",$I$2:$I$1130,I1115)</f>
        <v/>
      </c>
      <c r="N1115" s="13">
        <f>SUMIFS($E$2:$E$1130,$A$2:$A$1130,"весна",$I$2:$I$1130,I1115)</f>
        <v/>
      </c>
      <c r="O1115" s="14">
        <f>M1115+N1115</f>
        <v/>
      </c>
      <c r="P1115" s="15">
        <f>O1115/$P$1</f>
        <v/>
      </c>
    </row>
    <row r="1116" hidden="1" ht="15.75" customHeight="1" s="2">
      <c r="A1116" s="41" t="inlineStr">
        <is>
          <t>весна</t>
        </is>
      </c>
      <c r="B1116" s="9" t="inlineStr">
        <is>
          <t>Диплом</t>
        </is>
      </c>
      <c r="C1116" s="9" t="inlineStr">
        <is>
          <t>Диплом</t>
        </is>
      </c>
      <c r="D1116" s="9" t="inlineStr">
        <is>
          <t>Т11О-203М-19</t>
        </is>
      </c>
      <c r="E1116" s="68" t="n">
        <v>35</v>
      </c>
      <c r="F1116" s="35" t="n"/>
      <c r="G1116" s="84" t="n">
        <v>0</v>
      </c>
      <c r="H1116" s="35" t="n"/>
      <c r="I1116" s="39" t="inlineStr">
        <is>
          <t xml:space="preserve">Лозован Александр Александрович </t>
        </is>
      </c>
      <c r="J1116" s="34" t="inlineStr">
        <is>
          <t>профессор</t>
        </is>
      </c>
      <c r="K1116" s="36" t="inlineStr">
        <is>
          <t>1чел+председ</t>
        </is>
      </c>
      <c r="L1116" s="53" t="n"/>
      <c r="M1116" s="12">
        <f>SUMIFS($E$2:$E$1130,$A$2:$A$1130,"осень",$I$2:$I$1130,I1116)</f>
        <v/>
      </c>
      <c r="N1116" s="13">
        <f>SUMIFS($E$2:$E$1130,$A$2:$A$1130,"весна",$I$2:$I$1130,I1116)</f>
        <v/>
      </c>
      <c r="O1116" s="14">
        <f>M1116+N1116</f>
        <v/>
      </c>
      <c r="P1116" s="15">
        <f>O1116/$P$1</f>
        <v/>
      </c>
    </row>
    <row r="1117" hidden="1" ht="15.75" customHeight="1" s="2">
      <c r="A1117" s="41" t="inlineStr">
        <is>
          <t>весна</t>
        </is>
      </c>
      <c r="B1117" s="9" t="inlineStr">
        <is>
          <t>Диплом</t>
        </is>
      </c>
      <c r="C1117" s="9" t="inlineStr">
        <is>
          <t>Диплом</t>
        </is>
      </c>
      <c r="D1117" s="9" t="inlineStr">
        <is>
          <t>Т11О-203М-19</t>
        </is>
      </c>
      <c r="E1117" s="68" t="n">
        <v>62.5</v>
      </c>
      <c r="F1117" s="35" t="n"/>
      <c r="G1117" s="84" t="n">
        <v>0</v>
      </c>
      <c r="H1117" s="35" t="n"/>
      <c r="I1117" s="39" t="inlineStr">
        <is>
          <t xml:space="preserve">Серов Михаил Михайлович </t>
        </is>
      </c>
      <c r="J1117" s="34" t="inlineStr">
        <is>
          <t>профессор</t>
        </is>
      </c>
      <c r="K1117" s="36" t="inlineStr">
        <is>
          <t>2чел+ком</t>
        </is>
      </c>
      <c r="L1117" s="53" t="n"/>
      <c r="M1117" s="12">
        <f>SUMIFS($E$2:$E$1130,$A$2:$A$1130,"осень",$I$2:$I$1130,I1117)</f>
        <v/>
      </c>
      <c r="N1117" s="13">
        <f>SUMIFS($E$2:$E$1130,$A$2:$A$1130,"весна",$I$2:$I$1130,I1117)</f>
        <v/>
      </c>
      <c r="O1117" s="14">
        <f>M1117+N1117</f>
        <v/>
      </c>
      <c r="P1117" s="15">
        <f>O1117/$P$1</f>
        <v/>
      </c>
    </row>
    <row r="1118" hidden="1" ht="15.75" customHeight="1" s="2">
      <c r="A1118" s="41" t="inlineStr">
        <is>
          <t>весна</t>
        </is>
      </c>
      <c r="B1118" s="9" t="inlineStr">
        <is>
          <t>Диплом</t>
        </is>
      </c>
      <c r="C1118" s="9" t="inlineStr">
        <is>
          <t>Диплом</t>
        </is>
      </c>
      <c r="D1118" s="9" t="inlineStr">
        <is>
          <t>Т11О-203М-19</t>
        </is>
      </c>
      <c r="E1118" s="68" t="n">
        <v>30</v>
      </c>
      <c r="F1118" s="35" t="n"/>
      <c r="G1118" s="84" t="n">
        <v>0</v>
      </c>
      <c r="H1118" s="35" t="n"/>
      <c r="I1118" s="39" t="inlineStr">
        <is>
          <t xml:space="preserve">Пашков Игорь Николаевич </t>
        </is>
      </c>
      <c r="J1118" s="34" t="inlineStr">
        <is>
          <t>профессор</t>
        </is>
      </c>
      <c r="K1118" s="34" t="inlineStr">
        <is>
          <t>1 чел</t>
        </is>
      </c>
      <c r="L1118" s="39" t="n"/>
      <c r="M1118" s="12">
        <f>SUMIFS($E$2:$E$1130,$A$2:$A$1130,"осень",$I$2:$I$1130,I1118)</f>
        <v/>
      </c>
      <c r="N1118" s="13">
        <f>SUMIFS($E$2:$E$1130,$A$2:$A$1130,"весна",$I$2:$I$1130,I1118)</f>
        <v/>
      </c>
      <c r="O1118" s="14">
        <f>M1118+N1118</f>
        <v/>
      </c>
      <c r="P1118" s="15">
        <f>O1118/$P$1</f>
        <v/>
      </c>
    </row>
    <row r="1119" hidden="1" ht="15.75" customHeight="1" s="2">
      <c r="A1119" s="41" t="inlineStr">
        <is>
          <t>весна</t>
        </is>
      </c>
      <c r="B1119" s="9" t="inlineStr">
        <is>
          <t>Диплом</t>
        </is>
      </c>
      <c r="C1119" s="9" t="inlineStr">
        <is>
          <t>Диплом</t>
        </is>
      </c>
      <c r="D1119" s="9" t="inlineStr">
        <is>
          <t>Т11О-203М-19</t>
        </is>
      </c>
      <c r="E1119" s="68" t="n">
        <v>2.5</v>
      </c>
      <c r="F1119" s="35" t="n"/>
      <c r="G1119" s="84" t="n"/>
      <c r="H1119" s="9" t="inlineStr">
        <is>
          <t xml:space="preserve">95460     </t>
        </is>
      </c>
      <c r="I1119" s="9" t="inlineStr">
        <is>
          <t>Кубатина Екатерина Павловна</t>
        </is>
      </c>
      <c r="J1119" s="34" t="inlineStr">
        <is>
          <t>ассистент</t>
        </is>
      </c>
      <c r="K1119" s="34" t="inlineStr">
        <is>
          <t>секр</t>
        </is>
      </c>
      <c r="L1119" s="39" t="n"/>
      <c r="M1119" s="12">
        <f>SUMIFS($E$2:$E$1130,$A$2:$A$1130,"осень",$I$2:$I$1130,I1119)</f>
        <v/>
      </c>
      <c r="N1119" s="13">
        <f>SUMIFS($E$2:$E$1130,$A$2:$A$1130,"весна",$I$2:$I$1130,I1119)</f>
        <v/>
      </c>
      <c r="O1119" s="14">
        <f>M1119+N1119</f>
        <v/>
      </c>
      <c r="P1119" s="15">
        <f>O1119/$P$1</f>
        <v/>
      </c>
    </row>
    <row r="1120" hidden="1" ht="15.75" customHeight="1" s="2">
      <c r="A1120" s="41" t="inlineStr">
        <is>
          <t>весна</t>
        </is>
      </c>
      <c r="B1120" s="9" t="inlineStr">
        <is>
          <t>Диплом</t>
        </is>
      </c>
      <c r="C1120" s="9" t="inlineStr">
        <is>
          <t>Диплом</t>
        </is>
      </c>
      <c r="D1120" s="9" t="inlineStr">
        <is>
          <t>Т11О-203М-19</t>
        </is>
      </c>
      <c r="E1120" s="68" t="n">
        <v>2.5</v>
      </c>
      <c r="F1120" s="35" t="n"/>
      <c r="G1120" s="84" t="n"/>
      <c r="H1120" s="35" t="n"/>
      <c r="I1120" s="39" t="inlineStr">
        <is>
          <t xml:space="preserve">Барабанова Ольга Алексеевна </t>
        </is>
      </c>
      <c r="J1120" s="34" t="inlineStr">
        <is>
          <t>профессор</t>
        </is>
      </c>
      <c r="K1120" s="34" t="inlineStr">
        <is>
          <t>ком</t>
        </is>
      </c>
      <c r="L1120" s="39" t="n"/>
      <c r="M1120" s="12">
        <f>SUMIFS($E$2:$E$1130,$A$2:$A$1130,"осень",$I$2:$I$1130,I1120)</f>
        <v/>
      </c>
      <c r="N1120" s="13">
        <f>SUMIFS($E$2:$E$1130,$A$2:$A$1130,"весна",$I$2:$I$1130,I1120)</f>
        <v/>
      </c>
      <c r="O1120" s="14">
        <f>M1120+N1120</f>
        <v/>
      </c>
      <c r="P1120" s="15">
        <f>O1120/$P$1</f>
        <v/>
      </c>
    </row>
    <row r="1121" hidden="1" ht="15.75" customHeight="1" s="2">
      <c r="A1121" s="41" t="inlineStr">
        <is>
          <t>весна</t>
        </is>
      </c>
      <c r="B1121" s="9" t="inlineStr">
        <is>
          <t>Диплом</t>
        </is>
      </c>
      <c r="C1121" s="9" t="inlineStr">
        <is>
          <t>Диплом</t>
        </is>
      </c>
      <c r="D1121" s="9" t="inlineStr">
        <is>
          <t>Т11О-203М-19</t>
        </is>
      </c>
      <c r="E1121" s="68" t="n">
        <v>30</v>
      </c>
      <c r="F1121" s="35" t="n"/>
      <c r="G1121" s="84" t="n">
        <v>0</v>
      </c>
      <c r="H1121" s="35" t="n"/>
      <c r="I1121" s="39" t="inlineStr">
        <is>
          <t xml:space="preserve">Конкевич Валентин Юрьевич </t>
        </is>
      </c>
      <c r="J1121" s="34" t="inlineStr">
        <is>
          <t>профессор</t>
        </is>
      </c>
      <c r="K1121" s="35" t="inlineStr">
        <is>
          <t>1 чел</t>
        </is>
      </c>
      <c r="L1121" s="39" t="n"/>
      <c r="M1121" s="12">
        <f>SUMIFS($E$2:$E$1130,$A$2:$A$1130,"осень",$I$2:$I$1130,I1121)</f>
        <v/>
      </c>
      <c r="N1121" s="13">
        <f>SUMIFS($E$2:$E$1130,$A$2:$A$1130,"весна",$I$2:$I$1130,I1121)</f>
        <v/>
      </c>
      <c r="O1121" s="14">
        <f>M1121+N1121</f>
        <v/>
      </c>
      <c r="P1121" s="15">
        <f>O1121/$P$1</f>
        <v/>
      </c>
    </row>
    <row r="1122" hidden="1" ht="15.75" customHeight="1" s="2">
      <c r="A1122" s="41" t="inlineStr">
        <is>
          <t>весна</t>
        </is>
      </c>
      <c r="B1122" s="9" t="inlineStr">
        <is>
          <t>Диплом</t>
        </is>
      </c>
      <c r="C1122" s="9" t="inlineStr">
        <is>
          <t>Диплом</t>
        </is>
      </c>
      <c r="D1122" s="9" t="inlineStr">
        <is>
          <t>Т11О-203М-19</t>
        </is>
      </c>
      <c r="E1122" s="10" t="n">
        <v>12.5</v>
      </c>
      <c r="F1122" s="63" t="n"/>
      <c r="G1122" s="63" t="n"/>
      <c r="H1122" s="63" t="n"/>
      <c r="I1122" s="9" t="inlineStr">
        <is>
          <t>э-Комиссия-П</t>
        </is>
      </c>
      <c r="J1122" s="63" t="n"/>
      <c r="K1122" s="63" t="inlineStr">
        <is>
          <t>внеш+председ</t>
        </is>
      </c>
      <c r="L1122" s="63" t="n"/>
      <c r="M1122" s="12">
        <f>SUMIFS($E$2:$E$1130,$A$2:$A$1130,"осень",$I$2:$I$1130,I1122)</f>
        <v/>
      </c>
      <c r="N1122" s="13">
        <f>SUMIFS($E$2:$E$1130,$A$2:$A$1130,"весна",$I$2:$I$1130,I1122)</f>
        <v/>
      </c>
      <c r="O1122" s="14">
        <f>M1122+N1122</f>
        <v/>
      </c>
      <c r="P1122" s="15">
        <f>O1122/$P$1</f>
        <v/>
      </c>
    </row>
    <row r="1123" hidden="1" ht="15.75" customHeight="1" s="2">
      <c r="A1123" s="80" t="inlineStr">
        <is>
          <t>весна</t>
        </is>
      </c>
      <c r="B1123" s="81" t="inlineStr">
        <is>
          <t>Диплом</t>
        </is>
      </c>
      <c r="C1123" s="81" t="inlineStr">
        <is>
          <t>Диплом</t>
        </is>
      </c>
      <c r="D1123" s="85" t="inlineStr">
        <is>
          <t>Т11О-203М-19</t>
        </is>
      </c>
      <c r="E1123" s="86" t="n">
        <v>70</v>
      </c>
      <c r="F1123" s="85" t="n"/>
      <c r="G1123" s="87" t="n">
        <v>0</v>
      </c>
      <c r="H1123" s="85" t="n"/>
      <c r="I1123" s="20" t="inlineStr">
        <is>
          <t>ю-Отчсление</t>
        </is>
      </c>
      <c r="J1123" s="85" t="n"/>
      <c r="K1123" s="88" t="inlineStr">
        <is>
          <t>2 чел</t>
        </is>
      </c>
      <c r="L1123" s="28" t="inlineStr">
        <is>
          <t>2 чел отчисление</t>
        </is>
      </c>
      <c r="M1123" s="12">
        <f>SUMIFS($E$2:$E$1130,$A$2:$A$1130,"осень",$I$2:$I$1130,I1123)</f>
        <v/>
      </c>
      <c r="N1123" s="13">
        <f>SUMIFS($E$2:$E$1130,$A$2:$A$1130,"весна",$I$2:$I$1130,I1123)</f>
        <v/>
      </c>
      <c r="O1123" s="14">
        <f>M1123+N1123</f>
        <v/>
      </c>
      <c r="P1123" s="15">
        <f>O1123/$P$1</f>
        <v/>
      </c>
    </row>
    <row r="1124" hidden="1" ht="15.75" customHeight="1" s="2">
      <c r="A1124" s="89" t="inlineStr">
        <is>
          <t>весна</t>
        </is>
      </c>
      <c r="B1124" s="90" t="inlineStr">
        <is>
          <t>Диплом</t>
        </is>
      </c>
      <c r="C1124" s="90" t="inlineStr">
        <is>
          <t>Диплом</t>
        </is>
      </c>
      <c r="D1124" s="90" t="inlineStr">
        <is>
          <t>Т11О-204М-19</t>
        </is>
      </c>
      <c r="E1124" s="53" t="n"/>
      <c r="F1124" s="10" t="n">
        <v>315</v>
      </c>
      <c r="G1124" s="11" t="n">
        <v>0</v>
      </c>
      <c r="H1124" s="91" t="n"/>
      <c r="I1124" s="66" t="inlineStr">
        <is>
          <t>э-Диплом-С</t>
        </is>
      </c>
      <c r="J1124" s="90" t="n"/>
      <c r="K1124" s="90" t="n"/>
      <c r="L1124" s="90" t="n"/>
      <c r="M1124" s="12">
        <f>SUMIFS($E$2:$E$1130,$A$2:$A$1130,"осень",$I$2:$I$1130,I1124)</f>
        <v/>
      </c>
      <c r="N1124" s="13">
        <f>SUMIFS($E$2:$E$1130,$A$2:$A$1130,"весна",$I$2:$I$1130,I1124)</f>
        <v/>
      </c>
      <c r="O1124" s="14">
        <f>M1124+N1124</f>
        <v/>
      </c>
      <c r="P1124" s="15">
        <f>O1124/$P$1</f>
        <v/>
      </c>
    </row>
    <row r="1125" hidden="1" ht="15.75" customHeight="1" s="2">
      <c r="A1125" s="89" t="inlineStr">
        <is>
          <t>весна</t>
        </is>
      </c>
      <c r="B1125" s="90" t="inlineStr">
        <is>
          <t>Диплом</t>
        </is>
      </c>
      <c r="C1125" s="90" t="inlineStr">
        <is>
          <t>Диплом</t>
        </is>
      </c>
      <c r="D1125" s="90" t="inlineStr">
        <is>
          <t>Т11О-204М-19</t>
        </is>
      </c>
      <c r="E1125" s="10" t="n">
        <v>99</v>
      </c>
      <c r="F1125" s="9" t="n"/>
      <c r="G1125" s="11" t="n">
        <v>0</v>
      </c>
      <c r="H1125" s="92" t="n"/>
      <c r="I1125" s="40" t="inlineStr">
        <is>
          <t xml:space="preserve">Никитина Елена Владимировна </t>
        </is>
      </c>
      <c r="J1125" s="34" t="inlineStr">
        <is>
          <t>профессор</t>
        </is>
      </c>
      <c r="K1125" s="9" t="inlineStr">
        <is>
          <t>3 чел+ком</t>
        </is>
      </c>
      <c r="L1125" s="53" t="n"/>
      <c r="M1125" s="12">
        <f>SUMIFS($E$2:$E$1130,$A$2:$A$1130,"осень",$I$2:$I$1130,I1125)</f>
        <v/>
      </c>
      <c r="N1125" s="13">
        <f>SUMIFS($E$2:$E$1130,$A$2:$A$1130,"весна",$I$2:$I$1130,I1125)</f>
        <v/>
      </c>
      <c r="O1125" s="14">
        <f>M1125+N1125</f>
        <v/>
      </c>
      <c r="P1125" s="15">
        <f>O1125/$P$1</f>
        <v/>
      </c>
    </row>
    <row r="1126" hidden="1" ht="15.75" customHeight="1" s="2">
      <c r="A1126" s="89" t="inlineStr">
        <is>
          <t>весна</t>
        </is>
      </c>
      <c r="B1126" s="90" t="inlineStr">
        <is>
          <t>Диплом</t>
        </is>
      </c>
      <c r="C1126" s="90" t="inlineStr">
        <is>
          <t>Диплом</t>
        </is>
      </c>
      <c r="D1126" s="90" t="inlineStr">
        <is>
          <t>Т11О-204М-19</t>
        </is>
      </c>
      <c r="E1126" s="93" t="n">
        <v>64.5</v>
      </c>
      <c r="F1126" s="94" t="n"/>
      <c r="G1126" s="95" t="n">
        <v>0</v>
      </c>
      <c r="H1126" s="94" t="n"/>
      <c r="I1126" s="40" t="inlineStr">
        <is>
          <t xml:space="preserve">Федоров Сергей Александрович </t>
        </is>
      </c>
      <c r="J1126" s="34" t="inlineStr">
        <is>
          <t>профессор</t>
        </is>
      </c>
      <c r="K1126" s="9" t="inlineStr">
        <is>
          <t>2 чел+ком</t>
        </is>
      </c>
      <c r="L1126" s="53" t="n"/>
      <c r="M1126" s="12">
        <f>SUMIFS($E$2:$E$1130,$A$2:$A$1130,"осень",$I$2:$I$1130,I1126)</f>
        <v/>
      </c>
      <c r="N1126" s="13">
        <f>SUMIFS($E$2:$E$1130,$A$2:$A$1130,"весна",$I$2:$I$1130,I1126)</f>
        <v/>
      </c>
      <c r="O1126" s="14">
        <f>M1126+N1126</f>
        <v/>
      </c>
      <c r="P1126" s="15">
        <f>O1126/$P$1</f>
        <v/>
      </c>
    </row>
    <row r="1127" hidden="1" ht="15.75" customHeight="1" s="2">
      <c r="A1127" s="89" t="inlineStr">
        <is>
          <t>весна</t>
        </is>
      </c>
      <c r="B1127" s="90" t="inlineStr">
        <is>
          <t>Диплом</t>
        </is>
      </c>
      <c r="C1127" s="90" t="inlineStr">
        <is>
          <t>Диплом</t>
        </is>
      </c>
      <c r="D1127" s="90" t="inlineStr">
        <is>
          <t>Т11О-204М-19</t>
        </is>
      </c>
      <c r="E1127" s="93" t="n">
        <v>64.5</v>
      </c>
      <c r="F1127" s="94" t="n"/>
      <c r="G1127" s="95" t="n">
        <v>0</v>
      </c>
      <c r="H1127" s="94" t="n"/>
      <c r="I1127" s="40" t="inlineStr">
        <is>
          <t xml:space="preserve">Конкевич Валентин Юрьевич </t>
        </is>
      </c>
      <c r="J1127" s="34" t="inlineStr">
        <is>
          <t>профессор</t>
        </is>
      </c>
      <c r="K1127" s="9" t="inlineStr">
        <is>
          <t>2 чел+ком</t>
        </is>
      </c>
      <c r="L1127" s="53" t="n"/>
      <c r="M1127" s="12">
        <f>SUMIFS($E$2:$E$1130,$A$2:$A$1130,"осень",$I$2:$I$1130,I1127)</f>
        <v/>
      </c>
      <c r="N1127" s="13">
        <f>SUMIFS($E$2:$E$1130,$A$2:$A$1130,"весна",$I$2:$I$1130,I1127)</f>
        <v/>
      </c>
      <c r="O1127" s="14">
        <f>M1127+N1127</f>
        <v/>
      </c>
      <c r="P1127" s="15">
        <f>O1127/$P$1</f>
        <v/>
      </c>
    </row>
    <row r="1128" hidden="1" ht="15.75" customHeight="1" s="2">
      <c r="A1128" s="89" t="inlineStr">
        <is>
          <t>весна</t>
        </is>
      </c>
      <c r="B1128" s="90" t="inlineStr">
        <is>
          <t>Диплом</t>
        </is>
      </c>
      <c r="C1128" s="90" t="inlineStr">
        <is>
          <t>Диплом</t>
        </is>
      </c>
      <c r="D1128" s="90" t="inlineStr">
        <is>
          <t>Т11О-204М-19</t>
        </is>
      </c>
      <c r="E1128" s="93" t="n">
        <v>60</v>
      </c>
      <c r="F1128" s="94" t="n"/>
      <c r="G1128" s="95" t="n">
        <v>0</v>
      </c>
      <c r="H1128" s="94" t="n"/>
      <c r="I1128" s="40" t="inlineStr">
        <is>
          <t xml:space="preserve">Пашков Игорь Николаевич </t>
        </is>
      </c>
      <c r="J1128" s="34" t="inlineStr">
        <is>
          <t>профессор</t>
        </is>
      </c>
      <c r="K1128" s="9" t="inlineStr">
        <is>
          <t>2 чел</t>
        </is>
      </c>
      <c r="L1128" s="53" t="n"/>
      <c r="M1128" s="12">
        <f>SUMIFS($E$2:$E$1130,$A$2:$A$1130,"осень",$I$2:$I$1130,I1128)</f>
        <v/>
      </c>
      <c r="N1128" s="13">
        <f>SUMIFS($E$2:$E$1130,$A$2:$A$1130,"весна",$I$2:$I$1130,I1128)</f>
        <v/>
      </c>
      <c r="O1128" s="14">
        <f>M1128+N1128</f>
        <v/>
      </c>
      <c r="P1128" s="15">
        <f>O1128/$P$1</f>
        <v/>
      </c>
    </row>
    <row r="1129" hidden="1" ht="15.75" customHeight="1" s="2">
      <c r="A1129" s="41" t="inlineStr">
        <is>
          <t>весна</t>
        </is>
      </c>
      <c r="B1129" s="9" t="inlineStr">
        <is>
          <t>Диплом</t>
        </is>
      </c>
      <c r="C1129" s="9" t="inlineStr">
        <is>
          <t>Диплом</t>
        </is>
      </c>
      <c r="D1129" s="9" t="inlineStr">
        <is>
          <t>Т11О-204М-19</t>
        </is>
      </c>
      <c r="E1129" s="53" t="n">
        <v>4.5</v>
      </c>
      <c r="F1129" s="10" t="n"/>
      <c r="G1129" s="11" t="n"/>
      <c r="H1129" s="9" t="n"/>
      <c r="I1129" s="96" t="inlineStr">
        <is>
          <t xml:space="preserve">Власенко Артем Николаевич </t>
        </is>
      </c>
      <c r="J1129" s="9" t="inlineStr">
        <is>
          <t>ст. преподаватель</t>
        </is>
      </c>
      <c r="K1129" s="9" t="inlineStr">
        <is>
          <t>секр</t>
        </is>
      </c>
      <c r="L1129" s="9" t="n"/>
      <c r="M1129" s="12">
        <f>SUMIFS($E$2:$E$1130,$A$2:$A$1130,"осень",$I$2:$I$1130,I1129)</f>
        <v/>
      </c>
      <c r="N1129" s="13">
        <f>SUMIFS($E$2:$E$1130,$A$2:$A$1130,"весна",$I$2:$I$1130,I1129)</f>
        <v/>
      </c>
      <c r="O1129" s="14">
        <f>M1129+N1129</f>
        <v/>
      </c>
      <c r="P1129" s="15">
        <f>O1129/$P$1</f>
        <v/>
      </c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</row>
    <row r="1130" hidden="1" ht="15.75" customHeight="1" s="2">
      <c r="A1130" s="41" t="inlineStr">
        <is>
          <t>весна</t>
        </is>
      </c>
      <c r="B1130" s="9" t="inlineStr">
        <is>
          <t>Диплом</t>
        </is>
      </c>
      <c r="C1130" s="9" t="inlineStr">
        <is>
          <t>Диплом</t>
        </is>
      </c>
      <c r="D1130" s="9" t="inlineStr">
        <is>
          <t>Т11О-204М-19</t>
        </is>
      </c>
      <c r="E1130" s="53" t="n">
        <v>22.5</v>
      </c>
      <c r="F1130" s="10" t="n"/>
      <c r="G1130" s="11" t="n"/>
      <c r="H1130" s="9" t="n"/>
      <c r="I1130" s="9" t="inlineStr">
        <is>
          <t>э-Комиссия-С</t>
        </is>
      </c>
      <c r="J1130" s="63" t="n"/>
      <c r="K1130" s="63" t="inlineStr">
        <is>
          <t>внеш+председ</t>
        </is>
      </c>
      <c r="L1130" s="9" t="n"/>
      <c r="M1130" s="12">
        <f>SUMIFS($E$2:$E$1130,$A$2:$A$1130,"осень",$I$2:$I$1130,I1130)</f>
        <v/>
      </c>
      <c r="N1130" s="13">
        <f>SUMIFS($E$2:$E$1130,$A$2:$A$1130,"весна",$I$2:$I$1130,I1130)</f>
        <v/>
      </c>
      <c r="O1130" s="14">
        <f>M1130+N1130</f>
        <v/>
      </c>
      <c r="P1130" s="15">
        <f>O1130/$P$1</f>
        <v/>
      </c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</row>
    <row r="1131" ht="15.75" customHeight="1" s="2">
      <c r="B1131" s="97" t="n"/>
      <c r="C1131" s="97" t="n"/>
      <c r="D1131" s="97" t="n"/>
      <c r="E1131" s="98" t="n"/>
      <c r="F1131" s="97" t="n"/>
      <c r="G1131" s="97" t="n"/>
      <c r="H1131" s="97" t="n"/>
      <c r="I1131" s="97" t="n"/>
      <c r="J1131" s="97" t="n"/>
      <c r="K1131" s="97" t="n"/>
      <c r="L1131" s="97" t="n"/>
    </row>
    <row r="1132" ht="15.75" customHeight="1" s="2">
      <c r="B1132" s="97" t="n"/>
      <c r="C1132" s="97" t="n"/>
      <c r="D1132" s="97" t="n"/>
      <c r="E1132" s="98">
        <f>SUBTOTAL(9,E2:E1131)</f>
        <v/>
      </c>
      <c r="F1132" s="97" t="n"/>
      <c r="G1132" s="97" t="n"/>
      <c r="H1132" s="97" t="n"/>
      <c r="I1132" s="97" t="n"/>
      <c r="J1132" s="97" t="n"/>
      <c r="K1132" s="97" t="n"/>
      <c r="L1132" s="97" t="n"/>
    </row>
    <row r="1133" ht="15.75" customHeight="1" s="2">
      <c r="B1133" s="97" t="n"/>
      <c r="C1133" s="97" t="n"/>
      <c r="D1133" s="97" t="n"/>
      <c r="E1133" s="98" t="n"/>
      <c r="F1133" s="97" t="n"/>
      <c r="G1133" s="97" t="n"/>
      <c r="H1133" s="97" t="n"/>
      <c r="I1133" s="97" t="n"/>
      <c r="J1133" s="97" t="n"/>
      <c r="K1133" s="97" t="n"/>
      <c r="L1133" s="97" t="n"/>
    </row>
    <row r="1134" ht="15.75" customHeight="1" s="2">
      <c r="B1134" s="97" t="n"/>
      <c r="C1134" s="97" t="n"/>
      <c r="D1134" s="97" t="n"/>
      <c r="E1134" s="98" t="n"/>
      <c r="F1134" s="97" t="n"/>
      <c r="G1134" s="97" t="n"/>
      <c r="H1134" s="97" t="n"/>
      <c r="I1134" s="97" t="n"/>
      <c r="J1134" s="97" t="n"/>
      <c r="K1134" s="97" t="n"/>
      <c r="L1134" s="97" t="n"/>
    </row>
    <row r="1135" ht="15.75" customHeight="1" s="2">
      <c r="B1135" s="97" t="n"/>
      <c r="C1135" s="97" t="n"/>
      <c r="D1135" s="97" t="n"/>
      <c r="E1135" s="98" t="n"/>
      <c r="F1135" s="97" t="n"/>
      <c r="G1135" s="97" t="n"/>
      <c r="H1135" s="97" t="n"/>
      <c r="I1135" s="97" t="n"/>
      <c r="J1135" s="99">
        <f>F1048-225</f>
        <v/>
      </c>
      <c r="K1135" s="97" t="n"/>
      <c r="L1135" s="97" t="n"/>
    </row>
    <row r="1136" ht="15.75" customHeight="1" s="2">
      <c r="B1136" s="97" t="n"/>
      <c r="C1136" s="97" t="n"/>
      <c r="D1136" s="100" t="n"/>
      <c r="E1136" s="101" t="inlineStr">
        <is>
          <t>сумма</t>
        </is>
      </c>
      <c r="F1136" s="102" t="inlineStr">
        <is>
          <t>чел</t>
        </is>
      </c>
      <c r="G1136" s="100" t="n"/>
      <c r="H1136" s="100" t="n"/>
      <c r="I1136" s="100" t="n"/>
      <c r="J1136" s="100" t="n"/>
      <c r="K1136" s="97" t="n"/>
      <c r="L1136" s="97" t="n"/>
    </row>
    <row r="1137" ht="15.75" customHeight="1" s="2">
      <c r="B1137" s="97" t="n"/>
      <c r="C1137" s="97" t="n"/>
      <c r="D1137" s="100" t="n"/>
      <c r="E1137" s="101" t="n">
        <v>150</v>
      </c>
      <c r="F1137" s="102">
        <f>E1137/25</f>
        <v/>
      </c>
      <c r="G1137" s="100" t="n"/>
      <c r="H1137" s="103" t="n"/>
      <c r="I1137" s="100" t="n"/>
      <c r="J1137" s="100" t="n"/>
      <c r="K1137" s="97" t="n"/>
      <c r="L1137" s="97" t="n"/>
    </row>
    <row r="1138" ht="15.75" customHeight="1" s="2">
      <c r="B1138" s="97" t="n"/>
      <c r="C1138" s="97" t="n"/>
      <c r="D1138" s="103" t="inlineStr">
        <is>
          <t xml:space="preserve">бакалавры </t>
        </is>
      </c>
      <c r="E1138" s="104" t="inlineStr">
        <is>
          <t>руковод</t>
        </is>
      </c>
      <c r="F1138" s="100" t="n">
        <v>20</v>
      </c>
      <c r="G1138" s="100">
        <f>$F$1137*F1138</f>
        <v/>
      </c>
      <c r="H1138" s="100" t="n"/>
      <c r="I1138" s="100" t="n"/>
      <c r="J1138" s="100" t="n"/>
      <c r="K1138" s="97" t="n"/>
      <c r="L1138" s="97" t="n"/>
    </row>
    <row r="1139" ht="15.75" customHeight="1" s="2">
      <c r="B1139" s="97" t="n"/>
      <c r="C1139" s="97" t="n"/>
      <c r="D1139" s="103" t="n"/>
      <c r="E1139" s="105" t="inlineStr">
        <is>
          <t>Норма</t>
        </is>
      </c>
      <c r="F1139" s="106" t="n">
        <v>1</v>
      </c>
      <c r="G1139" s="106">
        <f>F1139*$F$1137</f>
        <v/>
      </c>
      <c r="H1139" s="100" t="n"/>
      <c r="I1139" s="100" t="n"/>
      <c r="J1139" s="100" t="n"/>
      <c r="K1139" s="97" t="n">
        <v>230</v>
      </c>
      <c r="L1139" s="97" t="n"/>
    </row>
    <row r="1140" ht="15.75" customHeight="1" s="2">
      <c r="B1140" s="97" t="n"/>
      <c r="C1140" s="97" t="n"/>
      <c r="D1140" s="103" t="n"/>
      <c r="E1140" s="107" t="inlineStr">
        <is>
          <t>секр</t>
        </is>
      </c>
      <c r="F1140" s="108" t="n">
        <v>0.5</v>
      </c>
      <c r="G1140" s="108">
        <f>F1140*$F$1137</f>
        <v/>
      </c>
      <c r="H1140" s="100" t="n"/>
      <c r="I1140" s="100" t="n"/>
      <c r="J1140" s="100" t="n"/>
      <c r="K1140" s="97" t="n">
        <v>175</v>
      </c>
      <c r="L1140" s="97" t="n"/>
    </row>
    <row r="1141" ht="15.75" customHeight="1" s="2">
      <c r="B1141" s="97" t="n"/>
      <c r="C1141" s="97" t="n"/>
      <c r="D1141" s="103" t="n"/>
      <c r="E1141" s="109" t="inlineStr">
        <is>
          <t>комисс1</t>
        </is>
      </c>
      <c r="F1141" s="110" t="n">
        <v>0.5</v>
      </c>
      <c r="G1141" s="109">
        <f>F1141*$F$1137</f>
        <v/>
      </c>
      <c r="H1141" s="100" t="n"/>
      <c r="I1141" s="100" t="n"/>
      <c r="J1141" s="100" t="n"/>
      <c r="K1141" s="97" t="n"/>
      <c r="L1141" s="97" t="n"/>
      <c r="M1141" t="n">
        <v>1126</v>
      </c>
    </row>
    <row r="1142" ht="15.75" customHeight="1" s="2">
      <c r="B1142" s="97" t="n"/>
      <c r="C1142" s="97" t="n"/>
      <c r="D1142" s="103" t="n"/>
      <c r="E1142" s="109" t="inlineStr">
        <is>
          <t>комисс2</t>
        </is>
      </c>
      <c r="F1142" s="110" t="n">
        <v>0.5</v>
      </c>
      <c r="G1142" s="109">
        <f>F1142*$F$1137</f>
        <v/>
      </c>
      <c r="H1142" s="100" t="n"/>
      <c r="I1142" s="100" t="n"/>
      <c r="J1142" s="100" t="n"/>
      <c r="K1142" s="97" t="n"/>
      <c r="L1142" s="97" t="n"/>
      <c r="M1142">
        <f>M1141-830</f>
        <v/>
      </c>
    </row>
    <row r="1143" ht="15.75" customHeight="1" s="2">
      <c r="B1143" s="97" t="n"/>
      <c r="C1143" s="97" t="n"/>
      <c r="D1143" s="103" t="n"/>
      <c r="E1143" s="105" t="inlineStr">
        <is>
          <t>комисс3</t>
        </is>
      </c>
      <c r="F1143" s="106" t="n">
        <v>0.5</v>
      </c>
      <c r="G1143" s="106">
        <f>F1143*$F$1137</f>
        <v/>
      </c>
      <c r="H1143" s="100" t="n"/>
      <c r="I1143" s="100" t="n"/>
      <c r="J1143" s="100" t="n"/>
      <c r="K1143" s="97" t="n"/>
      <c r="L1143" s="97" t="n"/>
    </row>
    <row r="1144" ht="15.75" customHeight="1" s="2">
      <c r="B1144" s="97" t="n"/>
      <c r="C1144" s="97" t="n"/>
      <c r="D1144" s="103" t="n"/>
      <c r="E1144" s="105" t="inlineStr">
        <is>
          <t>комисс4</t>
        </is>
      </c>
      <c r="F1144" s="106" t="n">
        <v>0.5</v>
      </c>
      <c r="G1144" s="106">
        <f>F1144*$F$1137</f>
        <v/>
      </c>
      <c r="H1144" s="100" t="n"/>
      <c r="I1144" s="100" t="inlineStr">
        <is>
          <t>Комиссия</t>
        </is>
      </c>
      <c r="J1144" s="100" t="n"/>
      <c r="K1144" s="97" t="n"/>
      <c r="L1144" s="97" t="n"/>
    </row>
    <row r="1145" ht="15.75" customHeight="1" s="2">
      <c r="B1145" s="97" t="n"/>
      <c r="C1145" s="97" t="n"/>
      <c r="D1145" s="103" t="n"/>
      <c r="E1145" s="105" t="inlineStr">
        <is>
          <t>комисс4</t>
        </is>
      </c>
      <c r="F1145" s="106" t="n">
        <v>0.5</v>
      </c>
      <c r="G1145" s="106">
        <f>F1145*$F$1137</f>
        <v/>
      </c>
      <c r="H1145" s="100" t="n"/>
      <c r="I1145" s="106">
        <f>G1143+G1144+G1145</f>
        <v/>
      </c>
      <c r="J1145" s="111" t="inlineStr">
        <is>
          <t>&lt;--сумма наших</t>
        </is>
      </c>
      <c r="K1145" s="97" t="n"/>
      <c r="L1145" s="97" t="n"/>
      <c r="M1145">
        <f>963-830</f>
        <v/>
      </c>
    </row>
    <row r="1146" ht="15.75" customHeight="1" s="2">
      <c r="B1146" s="97" t="n"/>
      <c r="C1146" s="97" t="n"/>
      <c r="D1146" s="103" t="n"/>
      <c r="E1146" s="109" t="inlineStr">
        <is>
          <t>председ</t>
        </is>
      </c>
      <c r="F1146" s="110" t="n">
        <v>1</v>
      </c>
      <c r="G1146" s="110">
        <f>F1146*$F$1137</f>
        <v/>
      </c>
      <c r="H1146" s="112" t="n"/>
      <c r="I1146" s="109">
        <f>G1146+G1142+G1141</f>
        <v/>
      </c>
      <c r="J1146" s="111" t="inlineStr">
        <is>
          <t>&lt;--сумма внешних</t>
        </is>
      </c>
      <c r="K1146" s="97" t="n"/>
      <c r="L1146" s="97" t="n"/>
    </row>
    <row r="1147" ht="15.75" customHeight="1" s="2">
      <c r="B1147" s="97" t="n"/>
      <c r="C1147" s="97" t="n"/>
      <c r="D1147" s="113" t="n"/>
      <c r="E1147" s="114" t="n"/>
      <c r="F1147" s="115">
        <f>SUBTOTAL(9,F1138:F1146)</f>
        <v/>
      </c>
      <c r="G1147" s="115">
        <f>SUBTOTAL(9,G1138:G1146)</f>
        <v/>
      </c>
      <c r="H1147" s="115" t="n"/>
      <c r="I1147" s="100" t="n"/>
      <c r="J1147" s="111" t="n"/>
      <c r="K1147" s="97" t="n"/>
      <c r="L1147" s="97" t="n"/>
    </row>
    <row r="1148" ht="15.75" customHeight="1" s="2">
      <c r="B1148" s="97" t="n"/>
      <c r="C1148" s="97" t="n"/>
      <c r="D1148" s="103" t="n"/>
      <c r="E1148" s="100" t="n"/>
      <c r="F1148" s="100" t="n"/>
      <c r="G1148" s="100" t="n"/>
      <c r="H1148" s="100" t="n"/>
      <c r="I1148" s="100" t="n"/>
      <c r="J1148" s="111" t="n"/>
      <c r="K1148" s="97" t="n"/>
      <c r="L1148" s="97" t="n"/>
    </row>
    <row r="1149" ht="15.75" customHeight="1" s="2">
      <c r="B1149" s="97" t="n"/>
      <c r="C1149" s="97" t="n"/>
      <c r="D1149" s="103" t="n"/>
      <c r="E1149" s="101" t="inlineStr">
        <is>
          <t>сумма</t>
        </is>
      </c>
      <c r="F1149" s="102" t="inlineStr">
        <is>
          <t>чел</t>
        </is>
      </c>
      <c r="G1149" s="100" t="n"/>
      <c r="H1149" s="100" t="n"/>
      <c r="I1149" s="100" t="n"/>
      <c r="J1149" s="111" t="n"/>
      <c r="K1149" s="97" t="n"/>
      <c r="L1149" s="97" t="n"/>
    </row>
    <row r="1150" ht="15.75" customHeight="1" s="2">
      <c r="B1150" s="97" t="n"/>
      <c r="C1150" s="97" t="n"/>
      <c r="D1150" s="103" t="n"/>
      <c r="E1150" s="101" t="n">
        <v>315</v>
      </c>
      <c r="F1150" s="102">
        <f>E1150/35</f>
        <v/>
      </c>
      <c r="G1150" s="100" t="n"/>
      <c r="H1150" s="100" t="n"/>
      <c r="I1150" s="100" t="n"/>
      <c r="J1150" s="111" t="n"/>
      <c r="K1150" s="97" t="n"/>
      <c r="L1150" s="97" t="n"/>
    </row>
    <row r="1151" ht="15.75" customHeight="1" s="2">
      <c r="B1151" s="97" t="n"/>
      <c r="C1151" s="97" t="n"/>
      <c r="D1151" s="103" t="inlineStr">
        <is>
          <t xml:space="preserve">магистры </t>
        </is>
      </c>
      <c r="E1151" s="104" t="inlineStr">
        <is>
          <t>руковод</t>
        </is>
      </c>
      <c r="F1151" s="100" t="n">
        <v>30</v>
      </c>
      <c r="G1151" s="100">
        <f>$F$1150*F1151</f>
        <v/>
      </c>
      <c r="H1151" s="100" t="n"/>
      <c r="I1151" s="100" t="n"/>
      <c r="J1151" s="111" t="n"/>
      <c r="K1151" s="97" t="n"/>
      <c r="L1151" s="97" t="n"/>
    </row>
    <row r="1152" ht="15.75" customHeight="1" s="2">
      <c r="B1152" s="97" t="n"/>
      <c r="C1152" s="97" t="n"/>
      <c r="D1152" s="103" t="n"/>
      <c r="E1152" s="105" t="inlineStr">
        <is>
          <t>Норма</t>
        </is>
      </c>
      <c r="F1152" s="106" t="n">
        <v>1</v>
      </c>
      <c r="G1152" s="106">
        <f>F1152*$F$1150</f>
        <v/>
      </c>
      <c r="H1152" s="100" t="n"/>
      <c r="I1152" s="100" t="n"/>
      <c r="J1152" s="111" t="n"/>
      <c r="K1152" s="97" t="n"/>
      <c r="L1152" s="97" t="n"/>
    </row>
    <row r="1153" ht="15.75" customHeight="1" s="2">
      <c r="B1153" s="97" t="n"/>
      <c r="C1153" s="97" t="n"/>
      <c r="D1153" s="103" t="n"/>
      <c r="E1153" s="107" t="inlineStr">
        <is>
          <t>секр</t>
        </is>
      </c>
      <c r="F1153" s="108" t="n">
        <v>0.5</v>
      </c>
      <c r="G1153" s="108">
        <f>F1153*$F$1150</f>
        <v/>
      </c>
      <c r="H1153" s="100" t="n"/>
      <c r="I1153" s="100" t="n"/>
      <c r="J1153" s="111" t="n"/>
      <c r="K1153" s="97" t="n"/>
      <c r="L1153" s="97" t="n"/>
    </row>
    <row r="1154" ht="15.75" customHeight="1" s="2">
      <c r="B1154" s="97" t="n"/>
      <c r="C1154" s="97" t="n"/>
      <c r="D1154" s="103" t="n"/>
      <c r="E1154" s="109" t="inlineStr">
        <is>
          <t>комисс1</t>
        </is>
      </c>
      <c r="F1154" s="110" t="n">
        <v>0.5</v>
      </c>
      <c r="G1154" s="109">
        <f>F1154*$F$1150</f>
        <v/>
      </c>
      <c r="H1154" s="100" t="n"/>
      <c r="I1154" s="100" t="n"/>
      <c r="J1154" s="111" t="n"/>
      <c r="K1154" s="97" t="n"/>
      <c r="L1154" s="97" t="n"/>
    </row>
    <row r="1155" ht="15.75" customHeight="1" s="2">
      <c r="B1155" s="97" t="n"/>
      <c r="C1155" s="97" t="n"/>
      <c r="D1155" s="103" t="n"/>
      <c r="E1155" s="109" t="inlineStr">
        <is>
          <t>комисс2</t>
        </is>
      </c>
      <c r="F1155" s="110" t="n">
        <v>0.5</v>
      </c>
      <c r="G1155" s="109">
        <f>F1155*$F$1150</f>
        <v/>
      </c>
      <c r="H1155" s="100" t="n"/>
      <c r="I1155" s="100" t="n"/>
      <c r="J1155" s="111" t="n"/>
      <c r="K1155" s="97" t="n"/>
      <c r="L1155" s="97" t="n"/>
    </row>
    <row r="1156" ht="15.75" customHeight="1" s="2">
      <c r="B1156" s="97" t="n"/>
      <c r="C1156" s="97" t="n"/>
      <c r="D1156" s="103" t="n"/>
      <c r="E1156" s="105" t="inlineStr">
        <is>
          <t>комисс3</t>
        </is>
      </c>
      <c r="F1156" s="106" t="n">
        <v>0.5</v>
      </c>
      <c r="G1156" s="106">
        <f>F1156*$F$1150</f>
        <v/>
      </c>
      <c r="H1156" s="100" t="n"/>
      <c r="I1156" s="100" t="n"/>
      <c r="J1156" s="111" t="n"/>
      <c r="K1156" s="97" t="n"/>
      <c r="L1156" s="97" t="n"/>
    </row>
    <row r="1157" ht="15.75" customHeight="1" s="2">
      <c r="B1157" s="97" t="n"/>
      <c r="C1157" s="97" t="n"/>
      <c r="D1157" s="103" t="n"/>
      <c r="E1157" s="105" t="inlineStr">
        <is>
          <t>комисс4</t>
        </is>
      </c>
      <c r="F1157" s="106" t="n">
        <v>0.5</v>
      </c>
      <c r="G1157" s="106">
        <f>F1157*$F$1150</f>
        <v/>
      </c>
      <c r="H1157" s="100" t="n"/>
      <c r="I1157" s="100" t="inlineStr">
        <is>
          <t>Комиссия</t>
        </is>
      </c>
      <c r="J1157" s="111" t="n"/>
      <c r="K1157" s="97" t="n"/>
      <c r="L1157" s="97" t="n"/>
    </row>
    <row r="1158" ht="15.75" customHeight="1" s="2">
      <c r="B1158" s="97" t="n"/>
      <c r="C1158" s="97" t="n"/>
      <c r="D1158" s="103" t="n"/>
      <c r="E1158" s="105" t="inlineStr">
        <is>
          <t>комисс4</t>
        </is>
      </c>
      <c r="F1158" s="106" t="n">
        <v>0.5</v>
      </c>
      <c r="G1158" s="106">
        <f>F1158*$F$1150</f>
        <v/>
      </c>
      <c r="H1158" s="100" t="n"/>
      <c r="I1158" s="106">
        <f>G1156+G1157+G1158</f>
        <v/>
      </c>
      <c r="J1158" s="111" t="inlineStr">
        <is>
          <t>&lt;--сумма наших</t>
        </is>
      </c>
      <c r="K1158" s="97" t="n"/>
      <c r="L1158" s="97" t="n"/>
    </row>
    <row r="1159" ht="15.75" customHeight="1" s="2">
      <c r="B1159" s="97" t="n"/>
      <c r="C1159" s="97" t="n"/>
      <c r="D1159" s="103" t="n"/>
      <c r="E1159" s="109" t="inlineStr">
        <is>
          <t>председ</t>
        </is>
      </c>
      <c r="F1159" s="110" t="n">
        <v>1</v>
      </c>
      <c r="G1159" s="109">
        <f>F1159*$F$1150</f>
        <v/>
      </c>
      <c r="H1159" s="112" t="n"/>
      <c r="I1159" s="109">
        <f>G1159+G1155+G1154</f>
        <v/>
      </c>
      <c r="J1159" s="111" t="inlineStr">
        <is>
          <t>&lt;--сумма внешних</t>
        </is>
      </c>
      <c r="K1159" s="97" t="n"/>
      <c r="L1159" s="97" t="n"/>
    </row>
    <row r="1160" ht="15.75" customHeight="1" s="2">
      <c r="B1160" s="97" t="n"/>
      <c r="C1160" s="97" t="n"/>
      <c r="D1160" s="113" t="n"/>
      <c r="E1160" s="114" t="n"/>
      <c r="F1160" s="115">
        <f>SUBTOTAL(9,F1151:F1159)</f>
        <v/>
      </c>
      <c r="G1160" s="115">
        <f>SUBTOTAL(9,G1151:G1159)</f>
        <v/>
      </c>
      <c r="H1160" s="115" t="n"/>
      <c r="I1160" s="100" t="n"/>
      <c r="J1160" s="100" t="n"/>
      <c r="K1160" s="97" t="n"/>
      <c r="L1160" s="97" t="n"/>
    </row>
    <row r="1161" ht="15.75" customHeight="1" s="2">
      <c r="B1161" s="97" t="n"/>
      <c r="C1161" s="97" t="n"/>
      <c r="D1161" s="97" t="n"/>
      <c r="E1161" s="98" t="n"/>
      <c r="F1161" s="97" t="n"/>
      <c r="G1161" s="97" t="n"/>
      <c r="H1161" s="97" t="n"/>
      <c r="I1161" s="97" t="n"/>
      <c r="J1161" s="97" t="n"/>
      <c r="K1161" s="97" t="n"/>
      <c r="L1161" s="97" t="n"/>
    </row>
    <row r="1162" ht="15.75" customHeight="1" s="2">
      <c r="B1162" s="97" t="n"/>
      <c r="C1162" s="97" t="n"/>
      <c r="D1162" s="97" t="n"/>
      <c r="E1162" s="98" t="n"/>
      <c r="F1162" s="97" t="n"/>
      <c r="G1162" s="97" t="n"/>
      <c r="H1162" s="97" t="n"/>
      <c r="I1162" s="97" t="n"/>
      <c r="J1162" s="97" t="n"/>
      <c r="K1162" s="97" t="n"/>
      <c r="L1162" s="97" t="n"/>
    </row>
    <row r="1163" ht="15.75" customHeight="1" s="2">
      <c r="B1163" s="97" t="n"/>
      <c r="C1163" s="97" t="n"/>
      <c r="D1163" s="103" t="n"/>
      <c r="E1163" s="101" t="inlineStr">
        <is>
          <t>сумма</t>
        </is>
      </c>
      <c r="F1163" s="102" t="inlineStr">
        <is>
          <t>чел</t>
        </is>
      </c>
      <c r="G1163" s="100" t="n"/>
      <c r="H1163" s="97" t="n"/>
      <c r="I1163" s="97" t="n"/>
      <c r="J1163" s="97" t="n"/>
      <c r="K1163" s="97" t="n"/>
      <c r="L1163" s="97" t="n"/>
    </row>
    <row r="1164" ht="15.75" customHeight="1" s="2">
      <c r="B1164" s="97" t="n"/>
      <c r="C1164" s="97" t="n"/>
      <c r="D1164" s="103" t="n"/>
      <c r="E1164" s="101" t="n">
        <v>75</v>
      </c>
      <c r="F1164" s="102">
        <f>E1164/F1165</f>
        <v/>
      </c>
      <c r="G1164" s="100" t="n"/>
      <c r="H1164" s="97" t="n"/>
      <c r="I1164" s="97" t="n"/>
      <c r="J1164" s="97" t="n"/>
      <c r="K1164" s="97" t="n"/>
      <c r="L1164" s="97" t="n"/>
    </row>
    <row r="1165" ht="15.75" customHeight="1" s="2">
      <c r="B1165" s="97" t="n"/>
      <c r="C1165" s="97" t="n"/>
      <c r="D1165" s="103" t="inlineStr">
        <is>
          <t>руководство магистрами</t>
        </is>
      </c>
      <c r="E1165" s="104" t="inlineStr">
        <is>
          <t>руковод</t>
        </is>
      </c>
      <c r="F1165" s="100" t="n">
        <v>15</v>
      </c>
      <c r="G1165" s="100" t="n"/>
      <c r="H1165" s="97" t="n"/>
      <c r="I1165" s="97" t="n"/>
      <c r="J1165" s="97" t="n"/>
      <c r="K1165" s="97" t="n"/>
      <c r="L1165" s="97" t="n"/>
    </row>
    <row r="1166" ht="15.75" customHeight="1" s="2">
      <c r="B1166" s="97" t="n"/>
      <c r="C1166" s="97" t="n"/>
      <c r="D1166" s="97" t="n"/>
      <c r="E1166" s="98" t="n"/>
      <c r="F1166" s="97" t="n"/>
      <c r="G1166" s="97" t="n"/>
      <c r="H1166" s="97" t="n"/>
      <c r="I1166" s="97" t="n"/>
      <c r="J1166" s="97" t="n"/>
      <c r="K1166" s="97" t="n"/>
      <c r="L1166" s="97" t="n"/>
    </row>
    <row r="1167" ht="15.75" customHeight="1" s="2">
      <c r="B1167" s="97" t="n"/>
      <c r="C1167" s="97" t="n"/>
      <c r="D1167" s="97" t="n"/>
      <c r="E1167" s="98" t="n"/>
      <c r="F1167" s="97" t="n"/>
      <c r="G1167" s="97" t="n"/>
      <c r="H1167" s="97" t="n"/>
      <c r="I1167" s="97" t="n"/>
      <c r="J1167" s="97" t="n"/>
      <c r="K1167" s="97" t="n"/>
      <c r="L1167" s="97" t="n"/>
    </row>
    <row r="1168" ht="15.75" customHeight="1" s="2">
      <c r="B1168" s="97" t="n"/>
      <c r="C1168" s="97" t="n"/>
      <c r="D1168" s="97" t="n"/>
      <c r="E1168" s="98" t="n"/>
      <c r="F1168" s="97" t="n"/>
      <c r="G1168" s="97" t="n"/>
      <c r="H1168" s="97" t="n"/>
      <c r="I1168" s="97" t="n"/>
      <c r="J1168" s="97" t="n"/>
      <c r="K1168" s="97" t="n"/>
      <c r="L1168" s="97" t="n"/>
    </row>
    <row r="1169" ht="15.75" customHeight="1" s="2">
      <c r="B1169" s="97" t="n"/>
      <c r="C1169" s="97" t="n"/>
      <c r="D1169" s="97" t="n"/>
      <c r="E1169" s="98" t="n"/>
      <c r="F1169" s="97" t="n"/>
      <c r="G1169" s="97" t="n"/>
      <c r="H1169" s="97" t="n"/>
      <c r="I1169" s="97" t="n"/>
      <c r="J1169" s="97" t="n"/>
      <c r="K1169" s="97" t="n"/>
      <c r="L1169" s="97" t="n"/>
    </row>
    <row r="1170" ht="15.75" customHeight="1" s="2">
      <c r="B1170" s="97" t="n"/>
      <c r="C1170" s="97" t="n"/>
      <c r="D1170" s="97" t="n"/>
      <c r="E1170" s="98" t="n"/>
      <c r="F1170" s="97" t="n"/>
      <c r="G1170" s="97" t="n"/>
      <c r="H1170" s="97" t="n"/>
      <c r="I1170" s="97" t="n"/>
      <c r="J1170" s="97" t="n"/>
      <c r="K1170" s="97" t="n"/>
      <c r="L1170" s="97" t="n"/>
    </row>
    <row r="1171" ht="15.75" customHeight="1" s="2">
      <c r="B1171" s="97" t="n"/>
      <c r="C1171" s="97" t="n"/>
      <c r="D1171" s="97" t="n"/>
      <c r="E1171" s="98" t="n"/>
      <c r="F1171" s="97" t="n"/>
      <c r="G1171" s="97" t="n"/>
      <c r="H1171" s="97" t="n"/>
      <c r="I1171" s="97" t="n"/>
      <c r="J1171" s="97" t="n"/>
      <c r="K1171" s="97" t="n"/>
      <c r="L1171" s="97" t="n"/>
    </row>
    <row r="1172" ht="15.75" customHeight="1" s="2">
      <c r="B1172" s="97" t="n"/>
      <c r="C1172" s="97" t="n"/>
      <c r="D1172" s="97" t="n"/>
      <c r="E1172" s="98" t="n"/>
      <c r="F1172" s="97" t="n"/>
      <c r="G1172" s="97" t="n"/>
      <c r="H1172" s="97" t="n"/>
      <c r="I1172" s="97" t="n"/>
      <c r="J1172" s="97" t="n"/>
      <c r="K1172" s="97" t="n"/>
      <c r="L1172" s="97" t="n"/>
    </row>
    <row r="1173" ht="15.75" customHeight="1" s="2">
      <c r="B1173" s="97" t="n"/>
      <c r="C1173" s="97" t="n"/>
      <c r="D1173" s="97" t="n"/>
      <c r="E1173" s="98" t="n"/>
      <c r="F1173" s="97" t="n"/>
      <c r="G1173" s="97" t="n"/>
      <c r="H1173" s="97" t="n"/>
      <c r="I1173" s="97" t="n"/>
      <c r="J1173" s="97" t="n"/>
      <c r="K1173" s="97" t="n"/>
      <c r="L1173" s="97" t="n"/>
    </row>
    <row r="1174" ht="15.75" customHeight="1" s="2">
      <c r="B1174" s="116" t="n"/>
      <c r="C1174" s="97" t="n"/>
      <c r="D1174" s="97" t="n"/>
      <c r="E1174" s="98" t="n"/>
      <c r="F1174" s="97" t="n"/>
      <c r="G1174" s="97" t="n"/>
      <c r="H1174" s="97" t="n"/>
      <c r="I1174" s="97" t="n"/>
      <c r="J1174" s="97" t="n"/>
      <c r="K1174" s="97" t="n"/>
      <c r="L1174" s="97" t="n"/>
    </row>
  </sheetData>
  <autoFilter ref="A1:Q1130">
    <filterColumn colId="1" hiddenButton="0" showButton="1">
      <filters>
        <filter val="&quot;5E=&gt;;&gt;38O 8 &gt;1&gt;@C4&gt;20"/>
      </filters>
    </filterColumn>
  </autoFilter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74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6.85546875" customWidth="1" style="2" min="1" max="1"/>
    <col width="34.5703125" customWidth="1" style="2" min="2" max="2"/>
    <col width="11.7109375" customWidth="1" style="2" min="3" max="3"/>
    <col width="23.85546875" customWidth="1" style="2" min="4" max="4"/>
    <col width="8.85546875" customWidth="1" style="2" min="5" max="5"/>
    <col width="7.42578125" customWidth="1" style="2" min="6" max="6"/>
    <col width="7.28515625" customWidth="1" style="2" min="7" max="7"/>
    <col width="7.7109375" customWidth="1" style="2" min="8" max="8"/>
    <col width="29.5703125" customWidth="1" style="2" min="9" max="9"/>
    <col width="10.85546875" customWidth="1" style="2" min="10" max="10"/>
    <col width="7.7109375" customWidth="1" style="2" min="11" max="11"/>
    <col width="17.85546875" customWidth="1" style="2" min="12" max="12"/>
    <col width="6.28515625" customWidth="1" style="2" min="13" max="13"/>
    <col width="7.42578125" customWidth="1" style="2" min="14" max="14"/>
    <col width="6.140625" customWidth="1" style="2" min="15" max="15"/>
    <col width="6.7109375" customWidth="1" style="2" min="16" max="16"/>
    <col width="11.42578125" customWidth="1" style="2" min="17" max="17"/>
    <col width="9.140625" customWidth="1" style="2" min="18" max="36"/>
  </cols>
  <sheetData>
    <row r="1">
      <c r="A1" s="3" t="inlineStr">
        <is>
          <t>семестр</t>
        </is>
      </c>
      <c r="B1" s="4" t="inlineStr">
        <is>
          <t>Дисциплина</t>
        </is>
      </c>
      <c r="C1" s="4" t="inlineStr">
        <is>
          <t>Вид нагрузки</t>
        </is>
      </c>
      <c r="D1" s="4" t="inlineStr">
        <is>
          <t>Группы</t>
        </is>
      </c>
      <c r="E1" s="5" t="inlineStr">
        <is>
          <t>Нагрузка</t>
        </is>
      </c>
      <c r="F1" s="4" t="inlineStr">
        <is>
          <t>Поток</t>
        </is>
      </c>
      <c r="G1" s="4" t="inlineStr">
        <is>
          <t>Количества часов по УП</t>
        </is>
      </c>
      <c r="H1" s="4" t="inlineStr">
        <is>
          <t>Табельный №</t>
        </is>
      </c>
      <c r="I1" s="4" t="inlineStr">
        <is>
          <t>ФИО</t>
        </is>
      </c>
      <c r="J1" s="6" t="inlineStr">
        <is>
          <t>Должность</t>
        </is>
      </c>
      <c r="K1" s="4" t="inlineStr">
        <is>
          <t>Желаемая аудитория</t>
        </is>
      </c>
      <c r="L1" s="4" t="inlineStr">
        <is>
          <t>Описание (пожелания по дням недели, времени, требования по техническому обеспечению аудитории)</t>
        </is>
      </c>
      <c r="M1" s="7" t="inlineStr">
        <is>
          <t>осень</t>
        </is>
      </c>
      <c r="N1" s="7" t="inlineStr">
        <is>
          <t>весна</t>
        </is>
      </c>
      <c r="O1" s="7" t="inlineStr">
        <is>
          <t>всего</t>
        </is>
      </c>
      <c r="P1" s="7" t="n">
        <v>830</v>
      </c>
      <c r="Q1" s="7" t="inlineStr">
        <is>
          <t>ПР</t>
        </is>
      </c>
    </row>
    <row r="2">
      <c r="A2" s="117" t="inlineStr">
        <is>
          <t>осень</t>
        </is>
      </c>
      <c r="B2" s="9" t="inlineStr">
        <is>
          <t>ИДПО</t>
        </is>
      </c>
      <c r="C2" s="9" t="inlineStr">
        <is>
          <t>ИДПО</t>
        </is>
      </c>
      <c r="D2" s="9" t="n"/>
      <c r="E2" s="10" t="n">
        <v>75</v>
      </c>
      <c r="F2" s="9" t="n"/>
      <c r="G2" s="11" t="n">
        <v>0</v>
      </c>
      <c r="H2" s="9" t="inlineStr">
        <is>
          <t xml:space="preserve">89067     </t>
        </is>
      </c>
      <c r="I2" s="9" t="inlineStr">
        <is>
          <t xml:space="preserve">Ряховский Александр Павлович </t>
        </is>
      </c>
      <c r="J2" s="9" t="inlineStr">
        <is>
          <t>доцент</t>
        </is>
      </c>
      <c r="K2" s="9" t="n"/>
      <c r="L2" s="9" t="n"/>
      <c r="M2" s="12">
        <f>SUMIFS($E$2:$E$1130,$A$2:$A$1130,"осень",$I$2:$I$1130,I2)</f>
        <v/>
      </c>
      <c r="N2" s="13">
        <f>SUMIFS($E$2:$E$1130,$A$2:$A$1130,"весна",$I$2:$I$1130,I2)</f>
        <v/>
      </c>
      <c r="O2" s="14">
        <f>M2+N2</f>
        <v/>
      </c>
      <c r="P2" s="15">
        <f>O2/$P$1</f>
        <v/>
      </c>
    </row>
    <row r="3">
      <c r="A3" s="117" t="inlineStr">
        <is>
          <t>осень</t>
        </is>
      </c>
      <c r="B3" s="9" t="inlineStr">
        <is>
          <t>ИДПО</t>
        </is>
      </c>
      <c r="C3" s="9" t="inlineStr">
        <is>
          <t>ИДПО</t>
        </is>
      </c>
      <c r="D3" s="9" t="n"/>
      <c r="E3" s="10" t="n">
        <v>50</v>
      </c>
      <c r="F3" s="9" t="n"/>
      <c r="G3" s="11" t="n">
        <v>0</v>
      </c>
      <c r="H3" s="9" t="inlineStr">
        <is>
          <t xml:space="preserve">82020     </t>
        </is>
      </c>
      <c r="I3" s="9" t="inlineStr">
        <is>
          <t xml:space="preserve">Варфоломеев Максим Сергеевич </t>
        </is>
      </c>
      <c r="J3" s="9" t="inlineStr">
        <is>
          <t>доцент</t>
        </is>
      </c>
      <c r="K3" s="9" t="n"/>
      <c r="L3" s="9" t="n"/>
      <c r="M3" s="12">
        <f>SUMIFS($E$2:$E$1130,$A$2:$A$1130,"осень",$I$2:$I$1130,I3)</f>
        <v/>
      </c>
      <c r="N3" s="13">
        <f>SUMIFS($E$2:$E$1130,$A$2:$A$1130,"весна",$I$2:$I$1130,I3)</f>
        <v/>
      </c>
      <c r="O3" s="14">
        <f>M3+N3</f>
        <v/>
      </c>
      <c r="P3" s="15">
        <f>O3/$P$1</f>
        <v/>
      </c>
    </row>
    <row r="4">
      <c r="A4" s="117" t="inlineStr">
        <is>
          <t>осень</t>
        </is>
      </c>
      <c r="B4" s="9" t="inlineStr">
        <is>
          <t>ИДПО</t>
        </is>
      </c>
      <c r="C4" s="9" t="inlineStr">
        <is>
          <t>ИДПО</t>
        </is>
      </c>
      <c r="D4" s="9" t="n"/>
      <c r="E4" s="10" t="n">
        <v>25</v>
      </c>
      <c r="F4" s="9" t="n"/>
      <c r="G4" s="11" t="n">
        <v>0</v>
      </c>
      <c r="H4" s="9" t="inlineStr">
        <is>
          <t xml:space="preserve">82026     </t>
        </is>
      </c>
      <c r="I4" s="9" t="inlineStr">
        <is>
          <t xml:space="preserve">Александрова Светлана Сергеевна </t>
        </is>
      </c>
      <c r="J4" s="9" t="inlineStr">
        <is>
          <t>доцент</t>
        </is>
      </c>
      <c r="K4" s="9" t="n"/>
      <c r="L4" s="9" t="n"/>
      <c r="M4" s="12">
        <f>SUMIFS($E$2:$E$1130,$A$2:$A$1130,"осень",$I$2:$I$1130,I4)</f>
        <v/>
      </c>
      <c r="N4" s="13">
        <f>SUMIFS($E$2:$E$1130,$A$2:$A$1130,"весна",$I$2:$I$1130,I4)</f>
        <v/>
      </c>
      <c r="O4" s="14">
        <f>M4+N4</f>
        <v/>
      </c>
      <c r="P4" s="15">
        <f>O4/$P$1</f>
        <v/>
      </c>
    </row>
    <row r="5">
      <c r="A5" s="117" t="inlineStr">
        <is>
          <t>осень</t>
        </is>
      </c>
      <c r="B5" s="9" t="inlineStr">
        <is>
          <t>Руководство кафедрой</t>
        </is>
      </c>
      <c r="C5" s="9" t="inlineStr">
        <is>
          <t>Руководство кафедрой</t>
        </is>
      </c>
      <c r="D5" s="9" t="n"/>
      <c r="E5" s="10" t="n">
        <v>30</v>
      </c>
      <c r="F5" s="9" t="n"/>
      <c r="G5" s="11" t="n">
        <v>0</v>
      </c>
      <c r="H5" s="9" t="inlineStr">
        <is>
          <t xml:space="preserve">82061     </t>
        </is>
      </c>
      <c r="I5" s="9" t="inlineStr">
        <is>
          <t xml:space="preserve">Моисеев Виктор Сергеевич </t>
        </is>
      </c>
      <c r="J5" s="9" t="n"/>
      <c r="K5" s="9" t="n"/>
      <c r="L5" s="9" t="n"/>
      <c r="M5" s="12">
        <f>SUMIFS($E$2:$E$1130,$A$2:$A$1130,"осень",$I$2:$I$1130,I5)</f>
        <v/>
      </c>
      <c r="N5" s="13">
        <f>SUMIFS($E$2:$E$1130,$A$2:$A$1130,"весна",$I$2:$I$1130,I5)</f>
        <v/>
      </c>
      <c r="O5" s="14">
        <f>M5+N5</f>
        <v/>
      </c>
      <c r="P5" s="15">
        <f>O5/$P$1</f>
        <v/>
      </c>
    </row>
    <row r="6">
      <c r="A6" s="117" t="inlineStr">
        <is>
          <t>осень</t>
        </is>
      </c>
      <c r="B6" s="9" t="inlineStr">
        <is>
          <t>Спецглавы технологий пайки</t>
        </is>
      </c>
      <c r="C6" s="9" t="inlineStr">
        <is>
          <t>ЛК</t>
        </is>
      </c>
      <c r="D6" s="9" t="inlineStr">
        <is>
          <t>Т11О-202А-19</t>
        </is>
      </c>
      <c r="E6" s="10" t="n">
        <v>24</v>
      </c>
      <c r="F6" s="9" t="inlineStr">
        <is>
          <t>10740</t>
        </is>
      </c>
      <c r="G6" s="10" t="n">
        <v>24</v>
      </c>
      <c r="H6" s="9" t="inlineStr">
        <is>
          <t xml:space="preserve">92509     </t>
        </is>
      </c>
      <c r="I6" s="9" t="inlineStr">
        <is>
          <t xml:space="preserve">Пашков Игорь Николаевич </t>
        </is>
      </c>
      <c r="J6" s="9" t="n"/>
      <c r="K6" s="9" t="n"/>
      <c r="L6" s="9" t="inlineStr">
        <is>
          <t>Степанов Максим Александрович</t>
        </is>
      </c>
      <c r="M6" s="12">
        <f>SUMIFS($E$2:$E$1130,$A$2:$A$1130,"осень",$I$2:$I$1130,I6)</f>
        <v/>
      </c>
      <c r="N6" s="13">
        <f>SUMIFS($E$2:$E$1130,$A$2:$A$1130,"весна",$I$2:$I$1130,I6)</f>
        <v/>
      </c>
      <c r="O6" s="14">
        <f>M6+N6</f>
        <v/>
      </c>
      <c r="P6" s="15">
        <f>O6/$P$1</f>
        <v/>
      </c>
    </row>
    <row r="7">
      <c r="A7" s="117" t="inlineStr">
        <is>
          <t>осень</t>
        </is>
      </c>
      <c r="B7" s="9" t="inlineStr">
        <is>
          <t>Спецглавы технологий пайки</t>
        </is>
      </c>
      <c r="C7" s="9" t="inlineStr">
        <is>
          <t>ПЗ</t>
        </is>
      </c>
      <c r="D7" s="9" t="inlineStr">
        <is>
          <t>Т11О-202А-19</t>
        </is>
      </c>
      <c r="E7" s="10" t="n">
        <v>8</v>
      </c>
      <c r="F7" s="9" t="inlineStr">
        <is>
          <t>10740</t>
        </is>
      </c>
      <c r="G7" s="10" t="n">
        <v>8</v>
      </c>
      <c r="H7" s="9" t="inlineStr">
        <is>
          <t xml:space="preserve">92509     </t>
        </is>
      </c>
      <c r="I7" s="9" t="inlineStr">
        <is>
          <t xml:space="preserve">Пашков Игорь Николаевич </t>
        </is>
      </c>
      <c r="J7" s="9" t="n"/>
      <c r="K7" s="9" t="n"/>
      <c r="L7" s="9" t="inlineStr">
        <is>
          <t>Степанов Максим Александрович</t>
        </is>
      </c>
      <c r="M7" s="12">
        <f>SUMIFS($E$2:$E$1130,$A$2:$A$1130,"осень",$I$2:$I$1130,I7)</f>
        <v/>
      </c>
      <c r="N7" s="13">
        <f>SUMIFS($E$2:$E$1130,$A$2:$A$1130,"весна",$I$2:$I$1130,I7)</f>
        <v/>
      </c>
      <c r="O7" s="14">
        <f>M7+N7</f>
        <v/>
      </c>
      <c r="P7" s="15">
        <f>O7/$P$1</f>
        <v/>
      </c>
    </row>
    <row r="8">
      <c r="A8" s="117" t="inlineStr">
        <is>
          <t>осень</t>
        </is>
      </c>
      <c r="B8" s="9" t="inlineStr">
        <is>
          <t>Спецглавы технологий пайки</t>
        </is>
      </c>
      <c r="C8" s="9" t="inlineStr">
        <is>
          <t>Консультация</t>
        </is>
      </c>
      <c r="D8" s="9" t="inlineStr">
        <is>
          <t>Т11О-202А-19</t>
        </is>
      </c>
      <c r="E8" s="10" t="n">
        <v>1</v>
      </c>
      <c r="F8" s="9" t="inlineStr">
        <is>
          <t>10740</t>
        </is>
      </c>
      <c r="G8" s="11" t="n">
        <v>0</v>
      </c>
      <c r="H8" s="9" t="inlineStr">
        <is>
          <t xml:space="preserve">92509     </t>
        </is>
      </c>
      <c r="I8" s="9" t="inlineStr">
        <is>
          <t xml:space="preserve">Пашков Игорь Николаевич </t>
        </is>
      </c>
      <c r="J8" s="9" t="n"/>
      <c r="K8" s="9" t="n"/>
      <c r="L8" s="9" t="inlineStr">
        <is>
          <t>Степанов Максим Александрович</t>
        </is>
      </c>
      <c r="M8" s="12">
        <f>SUMIFS($E$2:$E$1130,$A$2:$A$1130,"осень",$I$2:$I$1130,I8)</f>
        <v/>
      </c>
      <c r="N8" s="13">
        <f>SUMIFS($E$2:$E$1130,$A$2:$A$1130,"весна",$I$2:$I$1130,I8)</f>
        <v/>
      </c>
      <c r="O8" s="14">
        <f>M8+N8</f>
        <v/>
      </c>
      <c r="P8" s="15">
        <f>O8/$P$1</f>
        <v/>
      </c>
    </row>
    <row r="9">
      <c r="A9" s="117" t="inlineStr">
        <is>
          <t>осень</t>
        </is>
      </c>
      <c r="B9" s="9" t="inlineStr">
        <is>
          <t>История профессии</t>
        </is>
      </c>
      <c r="C9" s="9" t="inlineStr">
        <is>
          <t>ЛК</t>
        </is>
      </c>
      <c r="D9" s="9" t="inlineStr">
        <is>
          <t>Т11О-101Б-20, Т11О-102Б-20</t>
        </is>
      </c>
      <c r="E9" s="10" t="n">
        <v>44</v>
      </c>
      <c r="F9" s="9" t="inlineStr">
        <is>
          <t>13524</t>
        </is>
      </c>
      <c r="G9" s="10" t="n">
        <v>44</v>
      </c>
      <c r="H9" s="9" t="inlineStr">
        <is>
          <t xml:space="preserve">81720     </t>
        </is>
      </c>
      <c r="I9" s="9" t="inlineStr">
        <is>
          <t xml:space="preserve">Палтиевич Андрей Романович </t>
        </is>
      </c>
      <c r="J9" s="9" t="n"/>
      <c r="K9" s="9" t="n"/>
      <c r="L9" s="9" t="inlineStr">
        <is>
          <t>кроме вторника (523 А)</t>
        </is>
      </c>
      <c r="M9" s="12">
        <f>SUMIFS($E$2:$E$1130,$A$2:$A$1130,"осень",$I$2:$I$1130,I9)</f>
        <v/>
      </c>
      <c r="N9" s="13">
        <f>SUMIFS($E$2:$E$1130,$A$2:$A$1130,"весна",$I$2:$I$1130,I9)</f>
        <v/>
      </c>
      <c r="O9" s="14">
        <f>M9+N9</f>
        <v/>
      </c>
      <c r="P9" s="15">
        <f>O9/$P$1</f>
        <v/>
      </c>
    </row>
    <row r="10">
      <c r="A10" s="117" t="inlineStr">
        <is>
          <t>осень</t>
        </is>
      </c>
      <c r="B10" s="9" t="inlineStr">
        <is>
          <t>История профессии</t>
        </is>
      </c>
      <c r="C10" s="9" t="inlineStr">
        <is>
          <t>Зачет с оценкой</t>
        </is>
      </c>
      <c r="D10" s="9" t="inlineStr">
        <is>
          <t>Т11О-101Б-20</t>
        </is>
      </c>
      <c r="E10" s="10" t="n">
        <v>7</v>
      </c>
      <c r="F10" s="9" t="inlineStr">
        <is>
          <t>13524</t>
        </is>
      </c>
      <c r="G10" s="11" t="n">
        <v>0</v>
      </c>
      <c r="H10" s="9" t="inlineStr">
        <is>
          <t xml:space="preserve">81720     </t>
        </is>
      </c>
      <c r="I10" s="9" t="inlineStr">
        <is>
          <t xml:space="preserve">Палтиевич Андрей Романович </t>
        </is>
      </c>
      <c r="J10" s="9" t="n"/>
      <c r="K10" s="9" t="n"/>
      <c r="L10" s="9" t="inlineStr">
        <is>
          <t>кроме вторника</t>
        </is>
      </c>
      <c r="M10" s="12">
        <f>SUMIFS($E$2:$E$1130,$A$2:$A$1130,"осень",$I$2:$I$1130,I10)</f>
        <v/>
      </c>
      <c r="N10" s="13">
        <f>SUMIFS($E$2:$E$1130,$A$2:$A$1130,"весна",$I$2:$I$1130,I10)</f>
        <v/>
      </c>
      <c r="O10" s="14">
        <f>M10+N10</f>
        <v/>
      </c>
      <c r="P10" s="15">
        <f>O10/$P$1</f>
        <v/>
      </c>
    </row>
    <row r="11">
      <c r="A11" s="117" t="inlineStr">
        <is>
          <t>осень</t>
        </is>
      </c>
      <c r="B11" s="9" t="inlineStr">
        <is>
          <t>История профессии</t>
        </is>
      </c>
      <c r="C11" s="9" t="inlineStr">
        <is>
          <t>Зачет с оценкой</t>
        </is>
      </c>
      <c r="D11" s="9" t="inlineStr">
        <is>
          <t>Т11О-102Б-20</t>
        </is>
      </c>
      <c r="E11" s="10" t="n">
        <v>7</v>
      </c>
      <c r="F11" s="9" t="inlineStr">
        <is>
          <t>13524</t>
        </is>
      </c>
      <c r="G11" s="11" t="n">
        <v>0</v>
      </c>
      <c r="H11" s="9" t="inlineStr">
        <is>
          <t xml:space="preserve">81720     </t>
        </is>
      </c>
      <c r="I11" s="9" t="inlineStr">
        <is>
          <t xml:space="preserve">Палтиевич Андрей Романович </t>
        </is>
      </c>
      <c r="J11" s="9" t="n"/>
      <c r="K11" s="9" t="n"/>
      <c r="L11" s="9" t="inlineStr">
        <is>
          <t>кроме вторника</t>
        </is>
      </c>
      <c r="M11" s="12">
        <f>SUMIFS($E$2:$E$1130,$A$2:$A$1130,"осень",$I$2:$I$1130,I11)</f>
        <v/>
      </c>
      <c r="N11" s="13">
        <f>SUMIFS($E$2:$E$1130,$A$2:$A$1130,"весна",$I$2:$I$1130,I11)</f>
        <v/>
      </c>
      <c r="O11" s="14">
        <f>M11+N11</f>
        <v/>
      </c>
      <c r="P11" s="15">
        <f>O11/$P$1</f>
        <v/>
      </c>
    </row>
    <row r="12">
      <c r="A12" s="117" t="inlineStr">
        <is>
          <t>осень</t>
        </is>
      </c>
      <c r="B12" s="9" t="inlineStr">
        <is>
          <t>История профессии</t>
        </is>
      </c>
      <c r="C12" s="9" t="inlineStr">
        <is>
          <t>ПЗ</t>
        </is>
      </c>
      <c r="D12" s="9" t="inlineStr">
        <is>
          <t>Т11О-101Б-20</t>
        </is>
      </c>
      <c r="E12" s="10" t="n">
        <v>8</v>
      </c>
      <c r="F12" s="9" t="inlineStr">
        <is>
          <t>13524</t>
        </is>
      </c>
      <c r="G12" s="10" t="n">
        <v>32</v>
      </c>
      <c r="H12" s="9" t="inlineStr">
        <is>
          <t xml:space="preserve">81729     </t>
        </is>
      </c>
      <c r="I12" s="9" t="inlineStr">
        <is>
          <t xml:space="preserve">Соколов Алексей Викторович </t>
        </is>
      </c>
      <c r="J12" s="9" t="inlineStr">
        <is>
          <t>доцент</t>
        </is>
      </c>
      <c r="K12" s="9" t="n"/>
      <c r="L12" s="9" t="inlineStr">
        <is>
          <t>кроме пятницы (523 А)</t>
        </is>
      </c>
      <c r="M12" s="12">
        <f>SUMIFS($E$2:$E$1130,$A$2:$A$1130,"осень",$I$2:$I$1130,I12)</f>
        <v/>
      </c>
      <c r="N12" s="13">
        <f>SUMIFS($E$2:$E$1130,$A$2:$A$1130,"весна",$I$2:$I$1130,I12)</f>
        <v/>
      </c>
      <c r="O12" s="14">
        <f>M12+N12</f>
        <v/>
      </c>
      <c r="P12" s="15">
        <f>O12/$P$1</f>
        <v/>
      </c>
    </row>
    <row r="13">
      <c r="A13" s="117" t="inlineStr">
        <is>
          <t>осень</t>
        </is>
      </c>
      <c r="B13" s="9" t="inlineStr">
        <is>
          <t>История профессии</t>
        </is>
      </c>
      <c r="C13" s="9" t="inlineStr">
        <is>
          <t>ПЗ</t>
        </is>
      </c>
      <c r="D13" s="9" t="inlineStr">
        <is>
          <t>Т11О-101Б-20</t>
        </is>
      </c>
      <c r="E13" s="10" t="n">
        <v>8</v>
      </c>
      <c r="F13" s="9" t="inlineStr">
        <is>
          <t>13524</t>
        </is>
      </c>
      <c r="G13" s="10" t="n">
        <v>32</v>
      </c>
      <c r="H13" s="9" t="inlineStr">
        <is>
          <t xml:space="preserve">87438     </t>
        </is>
      </c>
      <c r="I13" s="9" t="inlineStr">
        <is>
          <t xml:space="preserve">Конкевич Валентин Юрьевич </t>
        </is>
      </c>
      <c r="J13" s="9" t="n"/>
      <c r="K13" s="9" t="n"/>
      <c r="L13" s="9" t="n"/>
      <c r="M13" s="12">
        <f>SUMIFS($E$2:$E$1130,$A$2:$A$1130,"осень",$I$2:$I$1130,I13)</f>
        <v/>
      </c>
      <c r="N13" s="13">
        <f>SUMIFS($E$2:$E$1130,$A$2:$A$1130,"весна",$I$2:$I$1130,I13)</f>
        <v/>
      </c>
      <c r="O13" s="14">
        <f>M13+N13</f>
        <v/>
      </c>
      <c r="P13" s="15">
        <f>O13/$P$1</f>
        <v/>
      </c>
    </row>
    <row r="14">
      <c r="A14" s="117" t="inlineStr">
        <is>
          <t>осень</t>
        </is>
      </c>
      <c r="B14" s="9" t="inlineStr">
        <is>
          <t>История профессии</t>
        </is>
      </c>
      <c r="C14" s="9" t="inlineStr">
        <is>
          <t>ПЗ</t>
        </is>
      </c>
      <c r="D14" s="9" t="inlineStr">
        <is>
          <t>Т11О-101Б-20</t>
        </is>
      </c>
      <c r="E14" s="10" t="n">
        <v>8</v>
      </c>
      <c r="F14" s="9" t="inlineStr">
        <is>
          <t>13524</t>
        </is>
      </c>
      <c r="G14" s="10" t="n">
        <v>32</v>
      </c>
      <c r="H14" s="9" t="inlineStr">
        <is>
          <t xml:space="preserve">82066     </t>
        </is>
      </c>
      <c r="I14" s="9" t="inlineStr">
        <is>
          <t xml:space="preserve">Серов Михаил Михайлович </t>
        </is>
      </c>
      <c r="J14" s="9" t="inlineStr">
        <is>
          <t>профессор</t>
        </is>
      </c>
      <c r="K14" s="9" t="n"/>
      <c r="L14" s="9" t="n"/>
      <c r="M14" s="12">
        <f>SUMIFS($E$2:$E$1130,$A$2:$A$1130,"осень",$I$2:$I$1130,I14)</f>
        <v/>
      </c>
      <c r="N14" s="13">
        <f>SUMIFS($E$2:$E$1130,$A$2:$A$1130,"весна",$I$2:$I$1130,I14)</f>
        <v/>
      </c>
      <c r="O14" s="14">
        <f>M14+N14</f>
        <v/>
      </c>
      <c r="P14" s="15">
        <f>O14/$P$1</f>
        <v/>
      </c>
    </row>
    <row r="15">
      <c r="A15" s="117" t="inlineStr">
        <is>
          <t>осень</t>
        </is>
      </c>
      <c r="B15" s="9" t="inlineStr">
        <is>
          <t>История профессии</t>
        </is>
      </c>
      <c r="C15" s="9" t="inlineStr">
        <is>
          <t>ПЗ</t>
        </is>
      </c>
      <c r="D15" s="9" t="inlineStr">
        <is>
          <t>Т11О-101Б-20</t>
        </is>
      </c>
      <c r="E15" s="10" t="n">
        <v>8</v>
      </c>
      <c r="F15" s="9" t="inlineStr">
        <is>
          <t>13524</t>
        </is>
      </c>
      <c r="G15" s="10" t="n">
        <v>32</v>
      </c>
      <c r="H15" s="9" t="inlineStr">
        <is>
          <t xml:space="preserve">89068     </t>
        </is>
      </c>
      <c r="I15" s="9" t="inlineStr">
        <is>
          <t xml:space="preserve">Петров Игорь Алексеевич </t>
        </is>
      </c>
      <c r="J15" s="9" t="inlineStr">
        <is>
          <t>доцент</t>
        </is>
      </c>
      <c r="K15" s="9" t="n"/>
      <c r="L15" s="9" t="n"/>
      <c r="M15" s="12">
        <f>SUMIFS($E$2:$E$1130,$A$2:$A$1130,"осень",$I$2:$I$1130,I15)</f>
        <v/>
      </c>
      <c r="N15" s="13">
        <f>SUMIFS($E$2:$E$1130,$A$2:$A$1130,"весна",$I$2:$I$1130,I15)</f>
        <v/>
      </c>
      <c r="O15" s="14">
        <f>M15+N15</f>
        <v/>
      </c>
      <c r="P15" s="15">
        <f>O15/$P$1</f>
        <v/>
      </c>
    </row>
    <row r="16">
      <c r="A16" s="117" t="inlineStr">
        <is>
          <t>осень</t>
        </is>
      </c>
      <c r="B16" s="9" t="inlineStr">
        <is>
          <t>История профессии</t>
        </is>
      </c>
      <c r="C16" s="9" t="inlineStr">
        <is>
          <t>ПЗ</t>
        </is>
      </c>
      <c r="D16" s="9" t="inlineStr">
        <is>
          <t>Т11О-102Б-20</t>
        </is>
      </c>
      <c r="E16" s="10" t="n">
        <v>8</v>
      </c>
      <c r="F16" s="9" t="inlineStr">
        <is>
          <t>13524</t>
        </is>
      </c>
      <c r="G16" s="10" t="n">
        <v>32</v>
      </c>
      <c r="H16" s="9" t="inlineStr">
        <is>
          <t xml:space="preserve">87438     </t>
        </is>
      </c>
      <c r="I16" s="9" t="inlineStr">
        <is>
          <t xml:space="preserve">Конкевич Валентин Юрьевич </t>
        </is>
      </c>
      <c r="J16" s="9" t="n"/>
      <c r="K16" s="9" t="n"/>
      <c r="L16" s="9" t="n"/>
      <c r="M16" s="12">
        <f>SUMIFS($E$2:$E$1130,$A$2:$A$1130,"осень",$I$2:$I$1130,I16)</f>
        <v/>
      </c>
      <c r="N16" s="13">
        <f>SUMIFS($E$2:$E$1130,$A$2:$A$1130,"весна",$I$2:$I$1130,I16)</f>
        <v/>
      </c>
      <c r="O16" s="14">
        <f>M16+N16</f>
        <v/>
      </c>
      <c r="P16" s="15">
        <f>O16/$P$1</f>
        <v/>
      </c>
    </row>
    <row r="17">
      <c r="A17" s="117" t="inlineStr">
        <is>
          <t>осень</t>
        </is>
      </c>
      <c r="B17" s="9" t="inlineStr">
        <is>
          <t>История профессии</t>
        </is>
      </c>
      <c r="C17" s="9" t="inlineStr">
        <is>
          <t>ПЗ</t>
        </is>
      </c>
      <c r="D17" s="9" t="inlineStr">
        <is>
          <t>Т11О-102Б-20</t>
        </is>
      </c>
      <c r="E17" s="10" t="n">
        <v>8</v>
      </c>
      <c r="F17" s="9" t="inlineStr">
        <is>
          <t>13524</t>
        </is>
      </c>
      <c r="G17" s="10" t="n">
        <v>32</v>
      </c>
      <c r="H17" s="9" t="inlineStr">
        <is>
          <t xml:space="preserve">81729     </t>
        </is>
      </c>
      <c r="I17" s="9" t="inlineStr">
        <is>
          <t xml:space="preserve">Соколов Алексей Викторович </t>
        </is>
      </c>
      <c r="J17" s="9" t="inlineStr">
        <is>
          <t>доцент</t>
        </is>
      </c>
      <c r="K17" s="9" t="n"/>
      <c r="L17" s="9" t="inlineStr">
        <is>
          <t>кроме пятницы (523 А)</t>
        </is>
      </c>
      <c r="M17" s="12">
        <f>SUMIFS($E$2:$E$1130,$A$2:$A$1130,"осень",$I$2:$I$1130,I17)</f>
        <v/>
      </c>
      <c r="N17" s="13">
        <f>SUMIFS($E$2:$E$1130,$A$2:$A$1130,"весна",$I$2:$I$1130,I17)</f>
        <v/>
      </c>
      <c r="O17" s="14">
        <f>M17+N17</f>
        <v/>
      </c>
      <c r="P17" s="15">
        <f>O17/$P$1</f>
        <v/>
      </c>
    </row>
    <row r="18">
      <c r="A18" s="117" t="inlineStr">
        <is>
          <t>осень</t>
        </is>
      </c>
      <c r="B18" s="9" t="inlineStr">
        <is>
          <t>История профессии</t>
        </is>
      </c>
      <c r="C18" s="9" t="inlineStr">
        <is>
          <t>ПЗ</t>
        </is>
      </c>
      <c r="D18" s="9" t="inlineStr">
        <is>
          <t>Т11О-102Б-20</t>
        </is>
      </c>
      <c r="E18" s="10" t="n">
        <v>8</v>
      </c>
      <c r="F18" s="9" t="inlineStr">
        <is>
          <t>13524</t>
        </is>
      </c>
      <c r="G18" s="10" t="n">
        <v>32</v>
      </c>
      <c r="H18" s="9" t="inlineStr">
        <is>
          <t xml:space="preserve">89068     </t>
        </is>
      </c>
      <c r="I18" s="9" t="inlineStr">
        <is>
          <t xml:space="preserve">Петров Игорь Алексеевич </t>
        </is>
      </c>
      <c r="J18" s="9" t="inlineStr">
        <is>
          <t>доцент</t>
        </is>
      </c>
      <c r="K18" s="9" t="n"/>
      <c r="L18" s="9" t="n"/>
      <c r="M18" s="12">
        <f>SUMIFS($E$2:$E$1130,$A$2:$A$1130,"осень",$I$2:$I$1130,I18)</f>
        <v/>
      </c>
      <c r="N18" s="13">
        <f>SUMIFS($E$2:$E$1130,$A$2:$A$1130,"весна",$I$2:$I$1130,I18)</f>
        <v/>
      </c>
      <c r="O18" s="14">
        <f>M18+N18</f>
        <v/>
      </c>
      <c r="P18" s="15">
        <f>O18/$P$1</f>
        <v/>
      </c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</row>
    <row r="19">
      <c r="A19" s="117" t="inlineStr">
        <is>
          <t>осень</t>
        </is>
      </c>
      <c r="B19" s="9" t="inlineStr">
        <is>
          <t>История профессии</t>
        </is>
      </c>
      <c r="C19" s="9" t="inlineStr">
        <is>
          <t>ПЗ</t>
        </is>
      </c>
      <c r="D19" s="9" t="inlineStr">
        <is>
          <t>Т11О-102Б-20</t>
        </is>
      </c>
      <c r="E19" s="10" t="n">
        <v>8</v>
      </c>
      <c r="F19" s="9" t="inlineStr">
        <is>
          <t>13524</t>
        </is>
      </c>
      <c r="G19" s="10" t="n">
        <v>32</v>
      </c>
      <c r="H19" s="9" t="inlineStr">
        <is>
          <t xml:space="preserve">82066     </t>
        </is>
      </c>
      <c r="I19" s="9" t="inlineStr">
        <is>
          <t xml:space="preserve">Серов Михаил Михайлович </t>
        </is>
      </c>
      <c r="J19" s="9" t="inlineStr">
        <is>
          <t>профессор</t>
        </is>
      </c>
      <c r="K19" s="9" t="n"/>
      <c r="L19" s="9" t="n"/>
      <c r="M19" s="12">
        <f>SUMIFS($E$2:$E$1130,$A$2:$A$1130,"осень",$I$2:$I$1130,I19)</f>
        <v/>
      </c>
      <c r="N19" s="13">
        <f>SUMIFS($E$2:$E$1130,$A$2:$A$1130,"весна",$I$2:$I$1130,I19)</f>
        <v/>
      </c>
      <c r="O19" s="14">
        <f>M19+N19</f>
        <v/>
      </c>
      <c r="P19" s="15">
        <f>O19/$P$1</f>
        <v/>
      </c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</row>
    <row r="20">
      <c r="A20" s="117" t="inlineStr">
        <is>
          <t>осень</t>
        </is>
      </c>
      <c r="B20" s="9" t="inlineStr">
        <is>
          <t>История профессии</t>
        </is>
      </c>
      <c r="C20" s="9" t="inlineStr">
        <is>
          <t>ЛР</t>
        </is>
      </c>
      <c r="D20" s="9" t="inlineStr">
        <is>
          <t>Т11О-101Б-20</t>
        </is>
      </c>
      <c r="E20" s="10" t="n">
        <v>8</v>
      </c>
      <c r="F20" s="9" t="inlineStr">
        <is>
          <t>13524</t>
        </is>
      </c>
      <c r="G20" s="10" t="n">
        <v>16</v>
      </c>
      <c r="H20" s="9" t="inlineStr">
        <is>
          <t xml:space="preserve">81729     </t>
        </is>
      </c>
      <c r="I20" s="9" t="inlineStr">
        <is>
          <t xml:space="preserve">Соколов Алексей Викторович </t>
        </is>
      </c>
      <c r="J20" s="9" t="inlineStr">
        <is>
          <t>доцент</t>
        </is>
      </c>
      <c r="K20" s="9" t="n"/>
      <c r="L20" s="9" t="inlineStr">
        <is>
          <t>кроме пятницы (523 А)</t>
        </is>
      </c>
      <c r="M20" s="12">
        <f>SUMIFS($E$2:$E$1130,$A$2:$A$1130,"осень",$I$2:$I$1130,I20)</f>
        <v/>
      </c>
      <c r="N20" s="13">
        <f>SUMIFS($E$2:$E$1130,$A$2:$A$1130,"весна",$I$2:$I$1130,I20)</f>
        <v/>
      </c>
      <c r="O20" s="14">
        <f>M20+N20</f>
        <v/>
      </c>
      <c r="P20" s="15">
        <f>O20/$P$1</f>
        <v/>
      </c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</row>
    <row r="21" ht="15.75" customHeight="1" s="2">
      <c r="A21" s="117" t="inlineStr">
        <is>
          <t>осень</t>
        </is>
      </c>
      <c r="B21" s="9" t="inlineStr">
        <is>
          <t>История профессии</t>
        </is>
      </c>
      <c r="C21" s="9" t="inlineStr">
        <is>
          <t>ЛР</t>
        </is>
      </c>
      <c r="D21" s="9" t="inlineStr">
        <is>
          <t>Т11О-101Б-20</t>
        </is>
      </c>
      <c r="E21" s="10" t="n">
        <v>8</v>
      </c>
      <c r="F21" s="9" t="inlineStr">
        <is>
          <t>13524</t>
        </is>
      </c>
      <c r="G21" s="10" t="n">
        <v>16</v>
      </c>
      <c r="H21" s="9" t="inlineStr">
        <is>
          <t xml:space="preserve">87438     </t>
        </is>
      </c>
      <c r="I21" s="9" t="inlineStr">
        <is>
          <t xml:space="preserve">Конкевич Валентин Юрьевич </t>
        </is>
      </c>
      <c r="J21" s="9" t="n"/>
      <c r="K21" s="9" t="n"/>
      <c r="L21" s="9" t="n"/>
      <c r="M21" s="12">
        <f>SUMIFS($E$2:$E$1130,$A$2:$A$1130,"осень",$I$2:$I$1130,I21)</f>
        <v/>
      </c>
      <c r="N21" s="13">
        <f>SUMIFS($E$2:$E$1130,$A$2:$A$1130,"весна",$I$2:$I$1130,I21)</f>
        <v/>
      </c>
      <c r="O21" s="14">
        <f>M21+N21</f>
        <v/>
      </c>
      <c r="P21" s="15">
        <f>O21/$P$1</f>
        <v/>
      </c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</row>
    <row r="22" ht="15.75" customHeight="1" s="2">
      <c r="A22" s="117" t="inlineStr">
        <is>
          <t>осень</t>
        </is>
      </c>
      <c r="B22" s="9" t="inlineStr">
        <is>
          <t>История профессии</t>
        </is>
      </c>
      <c r="C22" s="9" t="inlineStr">
        <is>
          <t>ЛР</t>
        </is>
      </c>
      <c r="D22" s="9" t="inlineStr">
        <is>
          <t>Т11О-101Б-20</t>
        </is>
      </c>
      <c r="E22" s="10" t="n">
        <v>8</v>
      </c>
      <c r="F22" s="9" t="inlineStr">
        <is>
          <t>13524</t>
        </is>
      </c>
      <c r="G22" s="10" t="n">
        <v>16</v>
      </c>
      <c r="H22" s="9" t="inlineStr">
        <is>
          <t xml:space="preserve">82066     </t>
        </is>
      </c>
      <c r="I22" s="9" t="inlineStr">
        <is>
          <t xml:space="preserve">Серов Михаил Михайлович </t>
        </is>
      </c>
      <c r="J22" s="9" t="inlineStr">
        <is>
          <t>профессор</t>
        </is>
      </c>
      <c r="K22" s="9" t="n"/>
      <c r="L22" s="9" t="n"/>
      <c r="M22" s="12">
        <f>SUMIFS($E$2:$E$1130,$A$2:$A$1130,"осень",$I$2:$I$1130,I22)</f>
        <v/>
      </c>
      <c r="N22" s="13">
        <f>SUMIFS($E$2:$E$1130,$A$2:$A$1130,"весна",$I$2:$I$1130,I22)</f>
        <v/>
      </c>
      <c r="O22" s="14">
        <f>M22+N22</f>
        <v/>
      </c>
      <c r="P22" s="15">
        <f>O22/$P$1</f>
        <v/>
      </c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</row>
    <row r="23" ht="15.75" customHeight="1" s="2">
      <c r="A23" s="117" t="inlineStr">
        <is>
          <t>осень</t>
        </is>
      </c>
      <c r="B23" s="9" t="inlineStr">
        <is>
          <t>История профессии</t>
        </is>
      </c>
      <c r="C23" s="9" t="inlineStr">
        <is>
          <t>ЛР</t>
        </is>
      </c>
      <c r="D23" s="9" t="inlineStr">
        <is>
          <t>Т11О-101Б-20</t>
        </is>
      </c>
      <c r="E23" s="10" t="n">
        <v>8</v>
      </c>
      <c r="F23" s="9" t="inlineStr">
        <is>
          <t>13524</t>
        </is>
      </c>
      <c r="G23" s="10" t="n">
        <v>16</v>
      </c>
      <c r="H23" s="9" t="inlineStr">
        <is>
          <t xml:space="preserve">89068     </t>
        </is>
      </c>
      <c r="I23" s="9" t="inlineStr">
        <is>
          <t xml:space="preserve">Петров Игорь Алексеевич </t>
        </is>
      </c>
      <c r="J23" s="9" t="inlineStr">
        <is>
          <t>доцент</t>
        </is>
      </c>
      <c r="K23" s="9" t="n"/>
      <c r="L23" s="9" t="n"/>
      <c r="M23" s="12">
        <f>SUMIFS($E$2:$E$1130,$A$2:$A$1130,"осень",$I$2:$I$1130,I23)</f>
        <v/>
      </c>
      <c r="N23" s="13">
        <f>SUMIFS($E$2:$E$1130,$A$2:$A$1130,"весна",$I$2:$I$1130,I23)</f>
        <v/>
      </c>
      <c r="O23" s="14">
        <f>M23+N23</f>
        <v/>
      </c>
      <c r="P23" s="15">
        <f>O23/$P$1</f>
        <v/>
      </c>
    </row>
    <row r="24" ht="15.75" customHeight="1" s="2">
      <c r="A24" s="117" t="inlineStr">
        <is>
          <t>осень</t>
        </is>
      </c>
      <c r="B24" s="9" t="inlineStr">
        <is>
          <t>История профессии</t>
        </is>
      </c>
      <c r="C24" s="9" t="inlineStr">
        <is>
          <t>ЛР</t>
        </is>
      </c>
      <c r="D24" s="9" t="inlineStr">
        <is>
          <t>Т11О-102Б-20</t>
        </is>
      </c>
      <c r="E24" s="10" t="n">
        <v>8</v>
      </c>
      <c r="F24" s="9" t="inlineStr">
        <is>
          <t>13524</t>
        </is>
      </c>
      <c r="G24" s="10" t="n">
        <v>16</v>
      </c>
      <c r="H24" s="9" t="inlineStr">
        <is>
          <t xml:space="preserve">87438     </t>
        </is>
      </c>
      <c r="I24" s="9" t="inlineStr">
        <is>
          <t xml:space="preserve">Конкевич Валентин Юрьевич </t>
        </is>
      </c>
      <c r="J24" s="9" t="n"/>
      <c r="K24" s="9" t="n"/>
      <c r="L24" s="9" t="n"/>
      <c r="M24" s="12">
        <f>SUMIFS($E$2:$E$1130,$A$2:$A$1130,"осень",$I$2:$I$1130,I24)</f>
        <v/>
      </c>
      <c r="N24" s="13">
        <f>SUMIFS($E$2:$E$1130,$A$2:$A$1130,"весна",$I$2:$I$1130,I24)</f>
        <v/>
      </c>
      <c r="O24" s="14">
        <f>M24+N24</f>
        <v/>
      </c>
      <c r="P24" s="15">
        <f>O24/$P$1</f>
        <v/>
      </c>
    </row>
    <row r="25" ht="15.75" customHeight="1" s="2">
      <c r="A25" s="117" t="inlineStr">
        <is>
          <t>осень</t>
        </is>
      </c>
      <c r="B25" s="9" t="inlineStr">
        <is>
          <t>История профессии</t>
        </is>
      </c>
      <c r="C25" s="9" t="inlineStr">
        <is>
          <t>ЛР</t>
        </is>
      </c>
      <c r="D25" s="9" t="inlineStr">
        <is>
          <t>Т11О-102Б-20</t>
        </is>
      </c>
      <c r="E25" s="10" t="n">
        <v>8</v>
      </c>
      <c r="F25" s="9" t="inlineStr">
        <is>
          <t>13524</t>
        </is>
      </c>
      <c r="G25" s="10" t="n">
        <v>16</v>
      </c>
      <c r="H25" s="9" t="inlineStr">
        <is>
          <t xml:space="preserve">82066     </t>
        </is>
      </c>
      <c r="I25" s="9" t="inlineStr">
        <is>
          <t xml:space="preserve">Серов Михаил Михайлович </t>
        </is>
      </c>
      <c r="J25" s="9" t="inlineStr">
        <is>
          <t>профессор</t>
        </is>
      </c>
      <c r="K25" s="9" t="n"/>
      <c r="L25" s="9" t="n"/>
      <c r="M25" s="12">
        <f>SUMIFS($E$2:$E$1130,$A$2:$A$1130,"осень",$I$2:$I$1130,I25)</f>
        <v/>
      </c>
      <c r="N25" s="13">
        <f>SUMIFS($E$2:$E$1130,$A$2:$A$1130,"весна",$I$2:$I$1130,I25)</f>
        <v/>
      </c>
      <c r="O25" s="14">
        <f>M25+N25</f>
        <v/>
      </c>
      <c r="P25" s="15">
        <f>O25/$P$1</f>
        <v/>
      </c>
    </row>
    <row r="26" ht="15.75" customHeight="1" s="2">
      <c r="A26" s="117" t="inlineStr">
        <is>
          <t>осень</t>
        </is>
      </c>
      <c r="B26" s="9" t="inlineStr">
        <is>
          <t>История профессии</t>
        </is>
      </c>
      <c r="C26" s="9" t="inlineStr">
        <is>
          <t>ЛР</t>
        </is>
      </c>
      <c r="D26" s="9" t="inlineStr">
        <is>
          <t>Т11О-102Б-20</t>
        </is>
      </c>
      <c r="E26" s="10" t="n">
        <v>8</v>
      </c>
      <c r="F26" s="9" t="inlineStr">
        <is>
          <t>13524</t>
        </is>
      </c>
      <c r="G26" s="10" t="n">
        <v>16</v>
      </c>
      <c r="H26" s="9" t="inlineStr">
        <is>
          <t xml:space="preserve">81729     </t>
        </is>
      </c>
      <c r="I26" s="9" t="inlineStr">
        <is>
          <t xml:space="preserve">Соколов Алексей Викторович </t>
        </is>
      </c>
      <c r="J26" s="9" t="inlineStr">
        <is>
          <t>доцент</t>
        </is>
      </c>
      <c r="K26" s="9" t="n"/>
      <c r="L26" s="9" t="inlineStr">
        <is>
          <t>кроме пятницы (523 А)</t>
        </is>
      </c>
      <c r="M26" s="12">
        <f>SUMIFS($E$2:$E$1130,$A$2:$A$1130,"осень",$I$2:$I$1130,I26)</f>
        <v/>
      </c>
      <c r="N26" s="13">
        <f>SUMIFS($E$2:$E$1130,$A$2:$A$1130,"весна",$I$2:$I$1130,I26)</f>
        <v/>
      </c>
      <c r="O26" s="14">
        <f>M26+N26</f>
        <v/>
      </c>
      <c r="P26" s="15">
        <f>O26/$P$1</f>
        <v/>
      </c>
    </row>
    <row r="27" ht="15.75" customHeight="1" s="2">
      <c r="A27" s="117" t="inlineStr">
        <is>
          <t>осень</t>
        </is>
      </c>
      <c r="B27" s="9" t="inlineStr">
        <is>
          <t>История профессии</t>
        </is>
      </c>
      <c r="C27" s="9" t="inlineStr">
        <is>
          <t>ЛР</t>
        </is>
      </c>
      <c r="D27" s="9" t="inlineStr">
        <is>
          <t>Т11О-102Б-20</t>
        </is>
      </c>
      <c r="E27" s="10" t="n">
        <v>8</v>
      </c>
      <c r="F27" s="9" t="inlineStr">
        <is>
          <t>13524</t>
        </is>
      </c>
      <c r="G27" s="10" t="n">
        <v>16</v>
      </c>
      <c r="H27" s="9" t="inlineStr">
        <is>
          <t xml:space="preserve">89068     </t>
        </is>
      </c>
      <c r="I27" s="9" t="inlineStr">
        <is>
          <t xml:space="preserve">Петров Игорь Алексеевич </t>
        </is>
      </c>
      <c r="J27" s="9" t="inlineStr">
        <is>
          <t>доцент</t>
        </is>
      </c>
      <c r="K27" s="9" t="n"/>
      <c r="L27" s="9" t="n"/>
      <c r="M27" s="12">
        <f>SUMIFS($E$2:$E$1130,$A$2:$A$1130,"осень",$I$2:$I$1130,I27)</f>
        <v/>
      </c>
      <c r="N27" s="13">
        <f>SUMIFS($E$2:$E$1130,$A$2:$A$1130,"весна",$I$2:$I$1130,I27)</f>
        <v/>
      </c>
      <c r="O27" s="14">
        <f>M27+N27</f>
        <v/>
      </c>
      <c r="P27" s="15">
        <f>O27/$P$1</f>
        <v/>
      </c>
    </row>
    <row r="28" ht="15.75" customHeight="1" s="2">
      <c r="A28" s="117" t="inlineStr">
        <is>
          <t>осень</t>
        </is>
      </c>
      <c r="B28" s="9" t="inlineStr">
        <is>
          <t>История профессии</t>
        </is>
      </c>
      <c r="C28" s="9" t="inlineStr">
        <is>
          <t>Консультация</t>
        </is>
      </c>
      <c r="D28" s="9" t="inlineStr">
        <is>
          <t>Т11О-101Б-20</t>
        </is>
      </c>
      <c r="E28" s="10" t="n">
        <v>2</v>
      </c>
      <c r="F28" s="9" t="inlineStr">
        <is>
          <t>13524</t>
        </is>
      </c>
      <c r="G28" s="11" t="n">
        <v>0</v>
      </c>
      <c r="H28" s="9" t="inlineStr">
        <is>
          <t xml:space="preserve">81720     </t>
        </is>
      </c>
      <c r="I28" s="9" t="inlineStr">
        <is>
          <t xml:space="preserve">Палтиевич Андрей Романович </t>
        </is>
      </c>
      <c r="J28" s="9" t="n"/>
      <c r="K28" s="9" t="n"/>
      <c r="L28" s="9" t="inlineStr">
        <is>
          <t>кроме вторника</t>
        </is>
      </c>
      <c r="M28" s="12">
        <f>SUMIFS($E$2:$E$1130,$A$2:$A$1130,"осень",$I$2:$I$1130,I28)</f>
        <v/>
      </c>
      <c r="N28" s="13">
        <f>SUMIFS($E$2:$E$1130,$A$2:$A$1130,"весна",$I$2:$I$1130,I28)</f>
        <v/>
      </c>
      <c r="O28" s="14">
        <f>M28+N28</f>
        <v/>
      </c>
      <c r="P28" s="15">
        <f>O28/$P$1</f>
        <v/>
      </c>
    </row>
    <row r="29" ht="15.75" customHeight="1" s="2">
      <c r="A29" s="117" t="inlineStr">
        <is>
          <t>осень</t>
        </is>
      </c>
      <c r="B29" s="9" t="inlineStr">
        <is>
          <t>История профессии</t>
        </is>
      </c>
      <c r="C29" s="9" t="inlineStr">
        <is>
          <t>Консультация</t>
        </is>
      </c>
      <c r="D29" s="9" t="inlineStr">
        <is>
          <t>Т11О-102Б-20</t>
        </is>
      </c>
      <c r="E29" s="10" t="n">
        <v>2</v>
      </c>
      <c r="F29" s="9" t="inlineStr">
        <is>
          <t>13524</t>
        </is>
      </c>
      <c r="G29" s="11" t="n">
        <v>0</v>
      </c>
      <c r="H29" s="9" t="inlineStr">
        <is>
          <t xml:space="preserve">81720     </t>
        </is>
      </c>
      <c r="I29" s="9" t="inlineStr">
        <is>
          <t xml:space="preserve">Палтиевич Андрей Романович </t>
        </is>
      </c>
      <c r="J29" s="9" t="n"/>
      <c r="K29" s="9" t="n"/>
      <c r="L29" s="9" t="inlineStr">
        <is>
          <t>кроме вторника</t>
        </is>
      </c>
      <c r="M29" s="12">
        <f>SUMIFS($E$2:$E$1130,$A$2:$A$1130,"осень",$I$2:$I$1130,I29)</f>
        <v/>
      </c>
      <c r="N29" s="13">
        <f>SUMIFS($E$2:$E$1130,$A$2:$A$1130,"весна",$I$2:$I$1130,I29)</f>
        <v/>
      </c>
      <c r="O29" s="14">
        <f>M29+N29</f>
        <v/>
      </c>
      <c r="P29" s="15">
        <f>O29/$P$1</f>
        <v/>
      </c>
    </row>
    <row r="30" ht="15.75" customHeight="1" s="2">
      <c r="A30" s="117" t="inlineStr">
        <is>
          <t>осень</t>
        </is>
      </c>
      <c r="B30" s="9" t="inlineStr">
        <is>
          <t>Технология и оборудование сварки плавлением</t>
        </is>
      </c>
      <c r="C30" s="9" t="inlineStr">
        <is>
          <t>КП</t>
        </is>
      </c>
      <c r="D30" s="9" t="inlineStr">
        <is>
          <t>Т1О-401Б-17</t>
        </is>
      </c>
      <c r="E30" s="10" t="n">
        <v>64</v>
      </c>
      <c r="F30" s="9" t="inlineStr">
        <is>
          <t>06256</t>
        </is>
      </c>
      <c r="G30" s="11" t="n">
        <v>0</v>
      </c>
      <c r="H30" s="9" t="inlineStr">
        <is>
          <t xml:space="preserve">89090     </t>
        </is>
      </c>
      <c r="I30" s="9" t="inlineStr">
        <is>
          <t>Степанов Владимир Валерьевич</t>
        </is>
      </c>
      <c r="J30" s="9" t="n"/>
      <c r="K30" s="9" t="n"/>
      <c r="L30" s="9" t="inlineStr">
        <is>
          <t>желательно конец недели, включая субботу</t>
        </is>
      </c>
      <c r="M30" s="12">
        <f>SUMIFS($E$2:$E$1130,$A$2:$A$1130,"осень",$I$2:$I$1130,I30)</f>
        <v/>
      </c>
      <c r="N30" s="13">
        <f>SUMIFS($E$2:$E$1130,$A$2:$A$1130,"весна",$I$2:$I$1130,I30)</f>
        <v/>
      </c>
      <c r="O30" s="14">
        <f>M30+N30</f>
        <v/>
      </c>
      <c r="P30" s="15">
        <f>O30/$P$1</f>
        <v/>
      </c>
    </row>
    <row r="31" ht="15.75" customHeight="1" s="2">
      <c r="A31" s="117" t="inlineStr">
        <is>
          <t>осень</t>
        </is>
      </c>
      <c r="B31" s="9" t="inlineStr">
        <is>
          <t>Технология и оборудование сварки плавлением</t>
        </is>
      </c>
      <c r="C31" s="9" t="inlineStr">
        <is>
          <t>ЛК</t>
        </is>
      </c>
      <c r="D31" s="9" t="inlineStr">
        <is>
          <t>Т1О-401Б-17</t>
        </is>
      </c>
      <c r="E31" s="10" t="n">
        <v>44</v>
      </c>
      <c r="F31" s="9" t="inlineStr">
        <is>
          <t>06256</t>
        </is>
      </c>
      <c r="G31" s="10" t="n">
        <v>44</v>
      </c>
      <c r="H31" s="9" t="inlineStr">
        <is>
          <t xml:space="preserve">89090     </t>
        </is>
      </c>
      <c r="I31" s="9" t="inlineStr">
        <is>
          <t>Степанов Владимир Валерьевич</t>
        </is>
      </c>
      <c r="J31" s="9" t="n"/>
      <c r="K31" s="9" t="n"/>
      <c r="L31" s="9" t="inlineStr">
        <is>
          <t>желательно конец недели, включая субботу</t>
        </is>
      </c>
      <c r="M31" s="12">
        <f>SUMIFS($E$2:$E$1130,$A$2:$A$1130,"осень",$I$2:$I$1130,I31)</f>
        <v/>
      </c>
      <c r="N31" s="13">
        <f>SUMIFS($E$2:$E$1130,$A$2:$A$1130,"весна",$I$2:$I$1130,I31)</f>
        <v/>
      </c>
      <c r="O31" s="14">
        <f>M31+N31</f>
        <v/>
      </c>
      <c r="P31" s="15">
        <f>O31/$P$1</f>
        <v/>
      </c>
    </row>
    <row r="32" ht="15.75" customHeight="1" s="2">
      <c r="A32" s="117" t="inlineStr">
        <is>
          <t>осень</t>
        </is>
      </c>
      <c r="B32" s="9" t="inlineStr">
        <is>
          <t>Технология и оборудование сварки плавлением</t>
        </is>
      </c>
      <c r="C32" s="9" t="inlineStr">
        <is>
          <t>ПЗ</t>
        </is>
      </c>
      <c r="D32" s="9" t="inlineStr">
        <is>
          <t>Т1О-401Б-17</t>
        </is>
      </c>
      <c r="E32" s="10" t="n">
        <v>64</v>
      </c>
      <c r="F32" s="9" t="inlineStr">
        <is>
          <t>06256</t>
        </is>
      </c>
      <c r="G32" s="10" t="n">
        <v>64</v>
      </c>
      <c r="H32" s="9" t="inlineStr">
        <is>
          <t xml:space="preserve">89090     </t>
        </is>
      </c>
      <c r="I32" s="9" t="inlineStr">
        <is>
          <t>Степанов Владимир Валерьевич</t>
        </is>
      </c>
      <c r="J32" s="9" t="n"/>
      <c r="K32" s="9" t="n"/>
      <c r="L32" s="9" t="inlineStr">
        <is>
          <t>желательно конец недели, включая субботу</t>
        </is>
      </c>
      <c r="M32" s="12">
        <f>SUMIFS($E$2:$E$1130,$A$2:$A$1130,"осень",$I$2:$I$1130,I32)</f>
        <v/>
      </c>
      <c r="N32" s="13">
        <f>SUMIFS($E$2:$E$1130,$A$2:$A$1130,"весна",$I$2:$I$1130,I32)</f>
        <v/>
      </c>
      <c r="O32" s="14">
        <f>M32+N32</f>
        <v/>
      </c>
      <c r="P32" s="15">
        <f>O32/$P$1</f>
        <v/>
      </c>
    </row>
    <row r="33" ht="15.75" customHeight="1" s="2">
      <c r="A33" s="117" t="inlineStr">
        <is>
          <t>осень</t>
        </is>
      </c>
      <c r="B33" s="9" t="inlineStr">
        <is>
          <t>Технология и оборудование сварки плавлением</t>
        </is>
      </c>
      <c r="C33" s="9" t="inlineStr">
        <is>
          <t>ЛР</t>
        </is>
      </c>
      <c r="D33" s="9" t="inlineStr">
        <is>
          <t>Т1О-401Б-17</t>
        </is>
      </c>
      <c r="E33" s="10" t="n">
        <v>72</v>
      </c>
      <c r="F33" s="9" t="inlineStr">
        <is>
          <t>06256</t>
        </is>
      </c>
      <c r="G33" s="10" t="n">
        <v>36</v>
      </c>
      <c r="H33" s="9" t="inlineStr">
        <is>
          <t xml:space="preserve">89090     </t>
        </is>
      </c>
      <c r="I33" s="9" t="inlineStr">
        <is>
          <t>Степанов Владимир Валерьевич</t>
        </is>
      </c>
      <c r="J33" s="9" t="n"/>
      <c r="K33" s="9" t="n"/>
      <c r="L33" s="9" t="inlineStr">
        <is>
          <t>желательно конец недели, включая субботу</t>
        </is>
      </c>
      <c r="M33" s="12">
        <f>SUMIFS($E$2:$E$1130,$A$2:$A$1130,"осень",$I$2:$I$1130,I33)</f>
        <v/>
      </c>
      <c r="N33" s="13">
        <f>SUMIFS($E$2:$E$1130,$A$2:$A$1130,"весна",$I$2:$I$1130,I33)</f>
        <v/>
      </c>
      <c r="O33" s="14">
        <f>M33+N33</f>
        <v/>
      </c>
      <c r="P33" s="15">
        <f>O33/$P$1</f>
        <v/>
      </c>
    </row>
    <row r="34" ht="15.75" customHeight="1" s="2">
      <c r="A34" s="117" t="inlineStr">
        <is>
          <t>осень</t>
        </is>
      </c>
      <c r="B34" s="9" t="inlineStr">
        <is>
          <t>Технология и оборудование сварки плавлением</t>
        </is>
      </c>
      <c r="C34" s="9" t="inlineStr">
        <is>
          <t>Экзамен</t>
        </is>
      </c>
      <c r="D34" s="9" t="inlineStr">
        <is>
          <t>Т1О-401Б-17</t>
        </is>
      </c>
      <c r="E34" s="10" t="n">
        <v>8</v>
      </c>
      <c r="F34" s="9" t="inlineStr">
        <is>
          <t>06256</t>
        </is>
      </c>
      <c r="G34" s="11" t="n">
        <v>0</v>
      </c>
      <c r="H34" s="9" t="inlineStr">
        <is>
          <t xml:space="preserve">89090     </t>
        </is>
      </c>
      <c r="I34" s="9" t="inlineStr">
        <is>
          <t>Степанов Владимир Валерьевич</t>
        </is>
      </c>
      <c r="J34" s="9" t="n"/>
      <c r="K34" s="9" t="n"/>
      <c r="L34" s="9" t="inlineStr">
        <is>
          <t>желательно конец недели, включая субботу</t>
        </is>
      </c>
      <c r="M34" s="12">
        <f>SUMIFS($E$2:$E$1130,$A$2:$A$1130,"осень",$I$2:$I$1130,I34)</f>
        <v/>
      </c>
      <c r="N34" s="13">
        <f>SUMIFS($E$2:$E$1130,$A$2:$A$1130,"весна",$I$2:$I$1130,I34)</f>
        <v/>
      </c>
      <c r="O34" s="14">
        <f>M34+N34</f>
        <v/>
      </c>
      <c r="P34" s="15">
        <f>O34/$P$1</f>
        <v/>
      </c>
    </row>
    <row r="35" ht="15.75" customHeight="1" s="2">
      <c r="A35" s="117" t="inlineStr">
        <is>
          <t>осень</t>
        </is>
      </c>
      <c r="B35" s="9" t="inlineStr">
        <is>
          <t>Технология и оборудование сварки плавлением</t>
        </is>
      </c>
      <c r="C35" s="9" t="inlineStr">
        <is>
          <t>Консультация</t>
        </is>
      </c>
      <c r="D35" s="9" t="inlineStr">
        <is>
          <t>Т1О-401Б-17</t>
        </is>
      </c>
      <c r="E35" s="10" t="n">
        <v>4</v>
      </c>
      <c r="F35" s="9" t="inlineStr">
        <is>
          <t>06256</t>
        </is>
      </c>
      <c r="G35" s="11" t="n">
        <v>0</v>
      </c>
      <c r="H35" s="9" t="inlineStr">
        <is>
          <t xml:space="preserve">89090     </t>
        </is>
      </c>
      <c r="I35" s="9" t="inlineStr">
        <is>
          <t>Степанов Владимир Валерьевич</t>
        </is>
      </c>
      <c r="J35" s="9" t="n"/>
      <c r="K35" s="9" t="n"/>
      <c r="L35" s="9" t="inlineStr">
        <is>
          <t>желательно конец недели, включая субботу</t>
        </is>
      </c>
      <c r="M35" s="12">
        <f>SUMIFS($E$2:$E$1130,$A$2:$A$1130,"осень",$I$2:$I$1130,I35)</f>
        <v/>
      </c>
      <c r="N35" s="13">
        <f>SUMIFS($E$2:$E$1130,$A$2:$A$1130,"весна",$I$2:$I$1130,I35)</f>
        <v/>
      </c>
      <c r="O35" s="14">
        <f>M35+N35</f>
        <v/>
      </c>
      <c r="P35" s="15">
        <f>O35/$P$1</f>
        <v/>
      </c>
    </row>
    <row r="36" ht="15.75" customHeight="1" s="2">
      <c r="A36" s="117" t="inlineStr">
        <is>
          <t>осень</t>
        </is>
      </c>
      <c r="B36" s="9" t="inlineStr">
        <is>
          <t>Прикладная гидравлика</t>
        </is>
      </c>
      <c r="C36" s="9" t="inlineStr">
        <is>
          <t>ЛК</t>
        </is>
      </c>
      <c r="D36" s="9" t="inlineStr">
        <is>
          <t>Т1О-402Б-17, Т1О-409Б-17</t>
        </is>
      </c>
      <c r="E36" s="10" t="n">
        <v>24</v>
      </c>
      <c r="F36" s="9" t="inlineStr">
        <is>
          <t>12883</t>
        </is>
      </c>
      <c r="G36" s="10" t="n">
        <v>24</v>
      </c>
      <c r="H36" s="9" t="inlineStr">
        <is>
          <t xml:space="preserve">82018     </t>
        </is>
      </c>
      <c r="I36" s="9" t="inlineStr">
        <is>
          <t>Бережной Дмитрий Васильевич</t>
        </is>
      </c>
      <c r="J36" s="9" t="inlineStr">
        <is>
          <t>доцент</t>
        </is>
      </c>
      <c r="K36" s="9" t="n"/>
      <c r="L36" s="9" t="inlineStr">
        <is>
          <t>кроме одного любого дня и субботы</t>
        </is>
      </c>
      <c r="M36" s="12">
        <f>SUMIFS($E$2:$E$1130,$A$2:$A$1130,"осень",$I$2:$I$1130,I36)</f>
        <v/>
      </c>
      <c r="N36" s="13">
        <f>SUMIFS($E$2:$E$1130,$A$2:$A$1130,"весна",$I$2:$I$1130,I36)</f>
        <v/>
      </c>
      <c r="O36" s="14">
        <f>M36+N36</f>
        <v/>
      </c>
      <c r="P36" s="15">
        <f>O36/$P$1</f>
        <v/>
      </c>
    </row>
    <row r="37" ht="15.75" customHeight="1" s="2">
      <c r="A37" s="117" t="inlineStr">
        <is>
          <t>осень</t>
        </is>
      </c>
      <c r="B37" s="9" t="inlineStr">
        <is>
          <t>Прикладная гидравлика</t>
        </is>
      </c>
      <c r="C37" s="9" t="inlineStr">
        <is>
          <t>Зачет с оценкой</t>
        </is>
      </c>
      <c r="D37" s="9" t="inlineStr">
        <is>
          <t>Т1О-409Б-17</t>
        </is>
      </c>
      <c r="E37" s="10" t="n">
        <v>7</v>
      </c>
      <c r="F37" s="9" t="inlineStr">
        <is>
          <t>12883</t>
        </is>
      </c>
      <c r="G37" s="11" t="n">
        <v>0</v>
      </c>
      <c r="H37" s="9" t="inlineStr">
        <is>
          <t xml:space="preserve">82018     </t>
        </is>
      </c>
      <c r="I37" s="9" t="inlineStr">
        <is>
          <t>Бережной Дмитрий Васильевич</t>
        </is>
      </c>
      <c r="J37" s="9" t="inlineStr">
        <is>
          <t>доцент</t>
        </is>
      </c>
      <c r="K37" s="9" t="n"/>
      <c r="L37" s="9" t="inlineStr">
        <is>
          <t>кроме одного любого дня и субботы</t>
        </is>
      </c>
      <c r="M37" s="12">
        <f>SUMIFS($E$2:$E$1130,$A$2:$A$1130,"осень",$I$2:$I$1130,I37)</f>
        <v/>
      </c>
      <c r="N37" s="13">
        <f>SUMIFS($E$2:$E$1130,$A$2:$A$1130,"весна",$I$2:$I$1130,I37)</f>
        <v/>
      </c>
      <c r="O37" s="14">
        <f>M37+N37</f>
        <v/>
      </c>
      <c r="P37" s="15">
        <f>O37/$P$1</f>
        <v/>
      </c>
    </row>
    <row r="38" ht="15.75" customHeight="1" s="2">
      <c r="A38" s="117" t="inlineStr">
        <is>
          <t>осень</t>
        </is>
      </c>
      <c r="B38" s="9" t="inlineStr">
        <is>
          <t>Прикладная гидравлика</t>
        </is>
      </c>
      <c r="C38" s="9" t="inlineStr">
        <is>
          <t>Зачет с оценкой</t>
        </is>
      </c>
      <c r="D38" s="9" t="inlineStr">
        <is>
          <t>Т1О-402Б-17</t>
        </is>
      </c>
      <c r="E38" s="10" t="n">
        <v>6</v>
      </c>
      <c r="F38" s="9" t="inlineStr">
        <is>
          <t>12883</t>
        </is>
      </c>
      <c r="G38" s="11" t="n">
        <v>0</v>
      </c>
      <c r="H38" s="9" t="inlineStr">
        <is>
          <t xml:space="preserve">82018     </t>
        </is>
      </c>
      <c r="I38" s="9" t="inlineStr">
        <is>
          <t>Бережной Дмитрий Васильевич</t>
        </is>
      </c>
      <c r="J38" s="9" t="inlineStr">
        <is>
          <t>доцент</t>
        </is>
      </c>
      <c r="K38" s="9" t="n"/>
      <c r="L38" s="9" t="inlineStr">
        <is>
          <t>кроме одного любого дня и субботы</t>
        </is>
      </c>
      <c r="M38" s="12">
        <f>SUMIFS($E$2:$E$1130,$A$2:$A$1130,"осень",$I$2:$I$1130,I38)</f>
        <v/>
      </c>
      <c r="N38" s="13">
        <f>SUMIFS($E$2:$E$1130,$A$2:$A$1130,"весна",$I$2:$I$1130,I38)</f>
        <v/>
      </c>
      <c r="O38" s="14">
        <f>M38+N38</f>
        <v/>
      </c>
      <c r="P38" s="15">
        <f>O38/$P$1</f>
        <v/>
      </c>
    </row>
    <row r="39" ht="15.75" customHeight="1" s="2">
      <c r="A39" s="117" t="inlineStr">
        <is>
          <t>осень</t>
        </is>
      </c>
      <c r="B39" s="9" t="inlineStr">
        <is>
          <t>Прикладная гидравлика</t>
        </is>
      </c>
      <c r="C39" s="9" t="inlineStr">
        <is>
          <t>ПЗ</t>
        </is>
      </c>
      <c r="D39" s="9" t="inlineStr">
        <is>
          <t>Т1О-409Б-17</t>
        </is>
      </c>
      <c r="E39" s="10" t="n">
        <v>32</v>
      </c>
      <c r="F39" s="9" t="inlineStr">
        <is>
          <t>12883</t>
        </is>
      </c>
      <c r="G39" s="10" t="n">
        <v>32</v>
      </c>
      <c r="H39" s="9" t="inlineStr">
        <is>
          <t xml:space="preserve">82018     </t>
        </is>
      </c>
      <c r="I39" s="9" t="inlineStr">
        <is>
          <t>Бережной Дмитрий Васильевич</t>
        </is>
      </c>
      <c r="J39" s="9" t="inlineStr">
        <is>
          <t>доцент</t>
        </is>
      </c>
      <c r="K39" s="9" t="n"/>
      <c r="L39" s="9" t="inlineStr">
        <is>
          <t>кроме одного любого дня и субботы</t>
        </is>
      </c>
      <c r="M39" s="12">
        <f>SUMIFS($E$2:$E$1130,$A$2:$A$1130,"осень",$I$2:$I$1130,I39)</f>
        <v/>
      </c>
      <c r="N39" s="13">
        <f>SUMIFS($E$2:$E$1130,$A$2:$A$1130,"весна",$I$2:$I$1130,I39)</f>
        <v/>
      </c>
      <c r="O39" s="14">
        <f>M39+N39</f>
        <v/>
      </c>
      <c r="P39" s="15">
        <f>O39/$P$1</f>
        <v/>
      </c>
    </row>
    <row r="40" ht="15.75" customHeight="1" s="2">
      <c r="A40" s="117" t="inlineStr">
        <is>
          <t>осень</t>
        </is>
      </c>
      <c r="B40" s="9" t="inlineStr">
        <is>
          <t>Прикладная гидравлика</t>
        </is>
      </c>
      <c r="C40" s="9" t="inlineStr">
        <is>
          <t>ПЗ</t>
        </is>
      </c>
      <c r="D40" s="9" t="inlineStr">
        <is>
          <t>Т1О-402Б-17</t>
        </is>
      </c>
      <c r="E40" s="10" t="n">
        <v>28</v>
      </c>
      <c r="F40" s="9" t="inlineStr">
        <is>
          <t>12883</t>
        </is>
      </c>
      <c r="G40" s="10" t="n">
        <v>28</v>
      </c>
      <c r="H40" s="9" t="inlineStr">
        <is>
          <t xml:space="preserve">82018     </t>
        </is>
      </c>
      <c r="I40" s="9" t="inlineStr">
        <is>
          <t>Бережной Дмитрий Васильевич</t>
        </is>
      </c>
      <c r="J40" s="9" t="inlineStr">
        <is>
          <t>доцент</t>
        </is>
      </c>
      <c r="K40" s="9" t="n"/>
      <c r="L40" s="9" t="inlineStr">
        <is>
          <t>кроме одного любого дня и субботы</t>
        </is>
      </c>
      <c r="M40" s="12">
        <f>SUMIFS($E$2:$E$1130,$A$2:$A$1130,"осень",$I$2:$I$1130,I40)</f>
        <v/>
      </c>
      <c r="N40" s="13">
        <f>SUMIFS($E$2:$E$1130,$A$2:$A$1130,"весна",$I$2:$I$1130,I40)</f>
        <v/>
      </c>
      <c r="O40" s="14">
        <f>M40+N40</f>
        <v/>
      </c>
      <c r="P40" s="15">
        <f>O40/$P$1</f>
        <v/>
      </c>
    </row>
    <row r="41" ht="15.75" customHeight="1" s="2">
      <c r="A41" s="117" t="inlineStr">
        <is>
          <t>осень</t>
        </is>
      </c>
      <c r="B41" s="9" t="inlineStr">
        <is>
          <t>Прикладная гидравлика</t>
        </is>
      </c>
      <c r="C41" s="9" t="inlineStr">
        <is>
          <t>ЛР</t>
        </is>
      </c>
      <c r="D41" s="9" t="inlineStr">
        <is>
          <t>Т1О-409Б-17</t>
        </is>
      </c>
      <c r="E41" s="10" t="n">
        <v>16</v>
      </c>
      <c r="F41" s="9" t="inlineStr">
        <is>
          <t>12883</t>
        </is>
      </c>
      <c r="G41" s="10" t="n">
        <v>8</v>
      </c>
      <c r="H41" s="9" t="inlineStr">
        <is>
          <t xml:space="preserve">82018     </t>
        </is>
      </c>
      <c r="I41" s="9" t="inlineStr">
        <is>
          <t>Бережной Дмитрий Васильевич</t>
        </is>
      </c>
      <c r="J41" s="9" t="inlineStr">
        <is>
          <t>доцент</t>
        </is>
      </c>
      <c r="K41" s="9" t="n"/>
      <c r="L41" s="9" t="inlineStr">
        <is>
          <t>кроме одного любого дня и субботы</t>
        </is>
      </c>
      <c r="M41" s="12">
        <f>SUMIFS($E$2:$E$1130,$A$2:$A$1130,"осень",$I$2:$I$1130,I41)</f>
        <v/>
      </c>
      <c r="N41" s="13">
        <f>SUMIFS($E$2:$E$1130,$A$2:$A$1130,"весна",$I$2:$I$1130,I41)</f>
        <v/>
      </c>
      <c r="O41" s="14">
        <f>M41+N41</f>
        <v/>
      </c>
      <c r="P41" s="15">
        <f>O41/$P$1</f>
        <v/>
      </c>
    </row>
    <row r="42" ht="15.75" customHeight="1" s="2">
      <c r="A42" s="117" t="inlineStr">
        <is>
          <t>осень</t>
        </is>
      </c>
      <c r="B42" s="9" t="inlineStr">
        <is>
          <t>Прикладная гидравлика</t>
        </is>
      </c>
      <c r="C42" s="9" t="inlineStr">
        <is>
          <t>ЛР</t>
        </is>
      </c>
      <c r="D42" s="9" t="inlineStr">
        <is>
          <t>Т1О-402Б-17</t>
        </is>
      </c>
      <c r="E42" s="10" t="n">
        <v>16</v>
      </c>
      <c r="F42" s="9" t="inlineStr">
        <is>
          <t>12883</t>
        </is>
      </c>
      <c r="G42" s="10" t="n">
        <v>8</v>
      </c>
      <c r="H42" s="9" t="inlineStr">
        <is>
          <t xml:space="preserve">82018     </t>
        </is>
      </c>
      <c r="I42" s="9" t="inlineStr">
        <is>
          <t>Бережной Дмитрий Васильевич</t>
        </is>
      </c>
      <c r="J42" s="9" t="inlineStr">
        <is>
          <t>доцент</t>
        </is>
      </c>
      <c r="K42" s="9" t="n"/>
      <c r="L42" s="9" t="inlineStr">
        <is>
          <t>кроме одного любого дня и субботы</t>
        </is>
      </c>
      <c r="M42" s="12">
        <f>SUMIFS($E$2:$E$1130,$A$2:$A$1130,"осень",$I$2:$I$1130,I42)</f>
        <v/>
      </c>
      <c r="N42" s="13">
        <f>SUMIFS($E$2:$E$1130,$A$2:$A$1130,"весна",$I$2:$I$1130,I42)</f>
        <v/>
      </c>
      <c r="O42" s="14">
        <f>M42+N42</f>
        <v/>
      </c>
      <c r="P42" s="15">
        <f>O42/$P$1</f>
        <v/>
      </c>
    </row>
    <row r="43" ht="15.75" customHeight="1" s="2">
      <c r="A43" s="117" t="inlineStr">
        <is>
          <t>осень</t>
        </is>
      </c>
      <c r="B43" s="9" t="inlineStr">
        <is>
          <t>Прикладная гидравлика</t>
        </is>
      </c>
      <c r="C43" s="9" t="inlineStr">
        <is>
          <t>Консультация</t>
        </is>
      </c>
      <c r="D43" s="9" t="inlineStr">
        <is>
          <t>Т1О-409Б-17</t>
        </is>
      </c>
      <c r="E43" s="10" t="n">
        <v>1</v>
      </c>
      <c r="F43" s="9" t="inlineStr">
        <is>
          <t>12883</t>
        </is>
      </c>
      <c r="G43" s="11" t="n">
        <v>0</v>
      </c>
      <c r="H43" s="9" t="inlineStr">
        <is>
          <t xml:space="preserve">82018     </t>
        </is>
      </c>
      <c r="I43" s="9" t="inlineStr">
        <is>
          <t>Бережной Дмитрий Васильевич</t>
        </is>
      </c>
      <c r="J43" s="9" t="inlineStr">
        <is>
          <t>доцент</t>
        </is>
      </c>
      <c r="K43" s="9" t="n"/>
      <c r="L43" s="9" t="inlineStr">
        <is>
          <t>кроме одного любого дня и субботы</t>
        </is>
      </c>
      <c r="M43" s="12">
        <f>SUMIFS($E$2:$E$1130,$A$2:$A$1130,"осень",$I$2:$I$1130,I43)</f>
        <v/>
      </c>
      <c r="N43" s="13">
        <f>SUMIFS($E$2:$E$1130,$A$2:$A$1130,"весна",$I$2:$I$1130,I43)</f>
        <v/>
      </c>
      <c r="O43" s="14">
        <f>M43+N43</f>
        <v/>
      </c>
      <c r="P43" s="15">
        <f>O43/$P$1</f>
        <v/>
      </c>
    </row>
    <row r="44" ht="15.75" customHeight="1" s="2">
      <c r="A44" s="117" t="inlineStr">
        <is>
          <t>осень</t>
        </is>
      </c>
      <c r="B44" s="9" t="inlineStr">
        <is>
          <t>Прикладная гидравлика</t>
        </is>
      </c>
      <c r="C44" s="9" t="inlineStr">
        <is>
          <t>Консультация</t>
        </is>
      </c>
      <c r="D44" s="9" t="inlineStr">
        <is>
          <t>Т1О-402Б-17</t>
        </is>
      </c>
      <c r="E44" s="10" t="n">
        <v>1</v>
      </c>
      <c r="F44" s="9" t="inlineStr">
        <is>
          <t>12883</t>
        </is>
      </c>
      <c r="G44" s="11" t="n">
        <v>0</v>
      </c>
      <c r="H44" s="9" t="inlineStr">
        <is>
          <t xml:space="preserve">82018     </t>
        </is>
      </c>
      <c r="I44" s="9" t="inlineStr">
        <is>
          <t>Бережной Дмитрий Васильевич</t>
        </is>
      </c>
      <c r="J44" s="9" t="inlineStr">
        <is>
          <t>доцент</t>
        </is>
      </c>
      <c r="K44" s="9" t="n"/>
      <c r="L44" s="9" t="inlineStr">
        <is>
          <t>кроме одного любого дня и субботы</t>
        </is>
      </c>
      <c r="M44" s="12">
        <f>SUMIFS($E$2:$E$1130,$A$2:$A$1130,"осень",$I$2:$I$1130,I44)</f>
        <v/>
      </c>
      <c r="N44" s="13">
        <f>SUMIFS($E$2:$E$1130,$A$2:$A$1130,"весна",$I$2:$I$1130,I44)</f>
        <v/>
      </c>
      <c r="O44" s="14">
        <f>M44+N44</f>
        <v/>
      </c>
      <c r="P44" s="15">
        <f>O44/$P$1</f>
        <v/>
      </c>
    </row>
    <row r="45" ht="15.75" customHeight="1" s="2">
      <c r="A45" s="117" t="inlineStr">
        <is>
          <t>осень</t>
        </is>
      </c>
      <c r="B45" s="9" t="inlineStr">
        <is>
          <t>Теория литейных процессов</t>
        </is>
      </c>
      <c r="C45" s="9" t="inlineStr">
        <is>
          <t>ЛК</t>
        </is>
      </c>
      <c r="D45" s="9" t="inlineStr">
        <is>
          <t>Т1О-402Б-17</t>
        </is>
      </c>
      <c r="E45" s="10" t="n">
        <v>44</v>
      </c>
      <c r="F45" s="9" t="inlineStr">
        <is>
          <t>04517</t>
        </is>
      </c>
      <c r="G45" s="10" t="n">
        <v>44</v>
      </c>
      <c r="H45" s="9" t="inlineStr">
        <is>
          <t xml:space="preserve">89067     </t>
        </is>
      </c>
      <c r="I45" s="9" t="inlineStr">
        <is>
          <t xml:space="preserve">Ряховский Александр Павлович </t>
        </is>
      </c>
      <c r="J45" s="9" t="inlineStr">
        <is>
          <t>доцент</t>
        </is>
      </c>
      <c r="K45" s="9" t="n"/>
      <c r="L45" s="9" t="inlineStr">
        <is>
          <t>только ПН, ЧТ</t>
        </is>
      </c>
      <c r="M45" s="12">
        <f>SUMIFS($E$2:$E$1130,$A$2:$A$1130,"осень",$I$2:$I$1130,I45)</f>
        <v/>
      </c>
      <c r="N45" s="13">
        <f>SUMIFS($E$2:$E$1130,$A$2:$A$1130,"весна",$I$2:$I$1130,I45)</f>
        <v/>
      </c>
      <c r="O45" s="14">
        <f>M45+N45</f>
        <v/>
      </c>
      <c r="P45" s="15">
        <f>O45/$P$1</f>
        <v/>
      </c>
    </row>
    <row r="46" ht="15.75" customHeight="1" s="2">
      <c r="A46" s="117" t="inlineStr">
        <is>
          <t>осень</t>
        </is>
      </c>
      <c r="B46" s="9" t="inlineStr">
        <is>
          <t>Теория литейных процессов</t>
        </is>
      </c>
      <c r="C46" s="9" t="inlineStr">
        <is>
          <t>КР</t>
        </is>
      </c>
      <c r="D46" s="9" t="inlineStr">
        <is>
          <t>Т1О-402Б-17</t>
        </is>
      </c>
      <c r="E46" s="10" t="n">
        <v>51</v>
      </c>
      <c r="F46" s="9" t="inlineStr">
        <is>
          <t>04517</t>
        </is>
      </c>
      <c r="G46" s="11" t="n">
        <v>0</v>
      </c>
      <c r="H46" s="9" t="inlineStr">
        <is>
          <t xml:space="preserve">89067     </t>
        </is>
      </c>
      <c r="I46" s="9" t="inlineStr">
        <is>
          <t xml:space="preserve">Ряховский Александр Павлович </t>
        </is>
      </c>
      <c r="J46" s="9" t="inlineStr">
        <is>
          <t>доцент</t>
        </is>
      </c>
      <c r="K46" s="9" t="n"/>
      <c r="L46" s="9" t="inlineStr">
        <is>
          <t>только ПН, ЧТ</t>
        </is>
      </c>
      <c r="M46" s="12">
        <f>SUMIFS($E$2:$E$1130,$A$2:$A$1130,"осень",$I$2:$I$1130,I46)</f>
        <v/>
      </c>
      <c r="N46" s="13">
        <f>SUMIFS($E$2:$E$1130,$A$2:$A$1130,"весна",$I$2:$I$1130,I46)</f>
        <v/>
      </c>
      <c r="O46" s="14">
        <f>M46+N46</f>
        <v/>
      </c>
      <c r="P46" s="15">
        <f>O46/$P$1</f>
        <v/>
      </c>
    </row>
    <row r="47" ht="15.75" customHeight="1" s="2">
      <c r="A47" s="117" t="inlineStr">
        <is>
          <t>осень</t>
        </is>
      </c>
      <c r="B47" s="9" t="inlineStr">
        <is>
          <t>Теория литейных процессов</t>
        </is>
      </c>
      <c r="C47" s="9" t="inlineStr">
        <is>
          <t>ПЗ</t>
        </is>
      </c>
      <c r="D47" s="9" t="inlineStr">
        <is>
          <t>Т1О-402Б-17</t>
        </is>
      </c>
      <c r="E47" s="10" t="n">
        <v>32</v>
      </c>
      <c r="F47" s="9" t="inlineStr">
        <is>
          <t>04517</t>
        </is>
      </c>
      <c r="G47" s="10" t="n">
        <v>32</v>
      </c>
      <c r="H47" s="9" t="inlineStr">
        <is>
          <t xml:space="preserve">89067     </t>
        </is>
      </c>
      <c r="I47" s="9" t="inlineStr">
        <is>
          <t xml:space="preserve">Ряховский Александр Павлович </t>
        </is>
      </c>
      <c r="J47" s="9" t="inlineStr">
        <is>
          <t>доцент</t>
        </is>
      </c>
      <c r="K47" s="9" t="n"/>
      <c r="L47" s="9" t="inlineStr">
        <is>
          <t>только ПН, ЧТ</t>
        </is>
      </c>
      <c r="M47" s="12">
        <f>SUMIFS($E$2:$E$1130,$A$2:$A$1130,"осень",$I$2:$I$1130,I47)</f>
        <v/>
      </c>
      <c r="N47" s="13">
        <f>SUMIFS($E$2:$E$1130,$A$2:$A$1130,"весна",$I$2:$I$1130,I47)</f>
        <v/>
      </c>
      <c r="O47" s="14">
        <f>M47+N47</f>
        <v/>
      </c>
      <c r="P47" s="15">
        <f>O47/$P$1</f>
        <v/>
      </c>
    </row>
    <row r="48" ht="15.75" customHeight="1" s="2">
      <c r="A48" s="117" t="inlineStr">
        <is>
          <t>осень</t>
        </is>
      </c>
      <c r="B48" s="9" t="inlineStr">
        <is>
          <t>Теория литейных процессов</t>
        </is>
      </c>
      <c r="C48" s="9" t="inlineStr">
        <is>
          <t>ЛР</t>
        </is>
      </c>
      <c r="D48" s="9" t="inlineStr">
        <is>
          <t>Т1О-402Б-17</t>
        </is>
      </c>
      <c r="E48" s="10" t="n">
        <v>32</v>
      </c>
      <c r="F48" s="9" t="inlineStr">
        <is>
          <t>04517</t>
        </is>
      </c>
      <c r="G48" s="10" t="n">
        <v>32</v>
      </c>
      <c r="H48" s="9" t="inlineStr">
        <is>
          <t xml:space="preserve">89068     </t>
        </is>
      </c>
      <c r="I48" s="9" t="inlineStr">
        <is>
          <t xml:space="preserve">Петров Игорь Алексеевич </t>
        </is>
      </c>
      <c r="J48" s="9" t="inlineStr">
        <is>
          <t>доцент</t>
        </is>
      </c>
      <c r="K48" s="9" t="n"/>
      <c r="L48" s="9" t="inlineStr">
        <is>
          <t>!!!</t>
        </is>
      </c>
      <c r="M48" s="12">
        <f>SUMIFS($E$2:$E$1130,$A$2:$A$1130,"осень",$I$2:$I$1130,I48)</f>
        <v/>
      </c>
      <c r="N48" s="13">
        <f>SUMIFS($E$2:$E$1130,$A$2:$A$1130,"весна",$I$2:$I$1130,I48)</f>
        <v/>
      </c>
      <c r="O48" s="14">
        <f>M48+N48</f>
        <v/>
      </c>
      <c r="P48" s="15">
        <f>O48/$P$1</f>
        <v/>
      </c>
    </row>
    <row r="49" ht="15.75" customHeight="1" s="2">
      <c r="A49" s="117" t="inlineStr">
        <is>
          <t>осень</t>
        </is>
      </c>
      <c r="B49" s="18" t="inlineStr">
        <is>
          <t>Теория литейных процессов</t>
        </is>
      </c>
      <c r="C49" s="18" t="inlineStr">
        <is>
          <t>ЛР</t>
        </is>
      </c>
      <c r="D49" s="18" t="inlineStr">
        <is>
          <t>Т1О-402Б-17</t>
        </is>
      </c>
      <c r="E49" s="19" t="n">
        <v>32</v>
      </c>
      <c r="F49" s="18" t="inlineStr">
        <is>
          <t>04517</t>
        </is>
      </c>
      <c r="G49" s="19" t="n">
        <v>32</v>
      </c>
      <c r="H49" s="18" t="n"/>
      <c r="I49" s="20" t="inlineStr">
        <is>
          <t xml:space="preserve">Моисеев Виктор Сергеевич </t>
        </is>
      </c>
      <c r="J49" s="18" t="n"/>
      <c r="K49" s="9" t="n"/>
      <c r="L49" s="9" t="inlineStr">
        <is>
          <t>!!!</t>
        </is>
      </c>
      <c r="M49" s="12">
        <f>SUMIFS($E$2:$E$1130,$A$2:$A$1130,"осень",$I$2:$I$1130,I49)</f>
        <v/>
      </c>
      <c r="N49" s="13">
        <f>SUMIFS($E$2:$E$1130,$A$2:$A$1130,"весна",$I$2:$I$1130,I49)</f>
        <v/>
      </c>
      <c r="O49" s="14">
        <f>M49+N49</f>
        <v/>
      </c>
      <c r="P49" s="15">
        <f>O49/$P$1</f>
        <v/>
      </c>
    </row>
    <row r="50" ht="15.75" customHeight="1" s="2">
      <c r="A50" s="117" t="inlineStr">
        <is>
          <t>осень</t>
        </is>
      </c>
      <c r="B50" s="9" t="inlineStr">
        <is>
          <t>Теория литейных процессов</t>
        </is>
      </c>
      <c r="C50" s="9" t="inlineStr">
        <is>
          <t>Экзамен</t>
        </is>
      </c>
      <c r="D50" s="9" t="inlineStr">
        <is>
          <t>Т1О-402Б-17</t>
        </is>
      </c>
      <c r="E50" s="10" t="n">
        <v>9</v>
      </c>
      <c r="F50" s="9" t="inlineStr">
        <is>
          <t>04517</t>
        </is>
      </c>
      <c r="G50" s="11" t="n">
        <v>0</v>
      </c>
      <c r="H50" s="9" t="inlineStr">
        <is>
          <t xml:space="preserve">89067     </t>
        </is>
      </c>
      <c r="I50" s="9" t="inlineStr">
        <is>
          <t xml:space="preserve">Ряховский Александр Павлович </t>
        </is>
      </c>
      <c r="J50" s="9" t="inlineStr">
        <is>
          <t>доцент</t>
        </is>
      </c>
      <c r="K50" s="9" t="n"/>
      <c r="L50" s="9" t="inlineStr">
        <is>
          <t>только ПН, ЧТ</t>
        </is>
      </c>
      <c r="M50" s="12">
        <f>SUMIFS($E$2:$E$1130,$A$2:$A$1130,"осень",$I$2:$I$1130,I50)</f>
        <v/>
      </c>
      <c r="N50" s="13">
        <f>SUMIFS($E$2:$E$1130,$A$2:$A$1130,"весна",$I$2:$I$1130,I50)</f>
        <v/>
      </c>
      <c r="O50" s="14">
        <f>M50+N50</f>
        <v/>
      </c>
      <c r="P50" s="15">
        <f>O50/$P$1</f>
        <v/>
      </c>
    </row>
    <row r="51" ht="15.75" customHeight="1" s="2">
      <c r="A51" s="117" t="inlineStr">
        <is>
          <t>осень</t>
        </is>
      </c>
      <c r="B51" s="9" t="inlineStr">
        <is>
          <t>Теория литейных процессов</t>
        </is>
      </c>
      <c r="C51" s="9" t="inlineStr">
        <is>
          <t>Консультация</t>
        </is>
      </c>
      <c r="D51" s="9" t="inlineStr">
        <is>
          <t>Т1О-402Б-17</t>
        </is>
      </c>
      <c r="E51" s="10" t="n">
        <v>4</v>
      </c>
      <c r="F51" s="9" t="inlineStr">
        <is>
          <t>04517</t>
        </is>
      </c>
      <c r="G51" s="11" t="n">
        <v>0</v>
      </c>
      <c r="H51" s="9" t="inlineStr">
        <is>
          <t xml:space="preserve">89067     </t>
        </is>
      </c>
      <c r="I51" s="9" t="inlineStr">
        <is>
          <t xml:space="preserve">Ряховский Александр Павлович </t>
        </is>
      </c>
      <c r="J51" s="9" t="inlineStr">
        <is>
          <t>доцент</t>
        </is>
      </c>
      <c r="K51" s="9" t="n"/>
      <c r="L51" s="9" t="inlineStr">
        <is>
          <t>только ПН, ЧТ</t>
        </is>
      </c>
      <c r="M51" s="12">
        <f>SUMIFS($E$2:$E$1130,$A$2:$A$1130,"осень",$I$2:$I$1130,I51)</f>
        <v/>
      </c>
      <c r="N51" s="13">
        <f>SUMIFS($E$2:$E$1130,$A$2:$A$1130,"весна",$I$2:$I$1130,I51)</f>
        <v/>
      </c>
      <c r="O51" s="14">
        <f>M51+N51</f>
        <v/>
      </c>
      <c r="P51" s="15">
        <f>O51/$P$1</f>
        <v/>
      </c>
    </row>
    <row r="52" ht="15.75" customHeight="1" s="2">
      <c r="A52" s="117" t="inlineStr">
        <is>
          <t>осень</t>
        </is>
      </c>
      <c r="B52" s="9" t="inlineStr">
        <is>
          <t>Инженерные и графические системы</t>
        </is>
      </c>
      <c r="C52" s="9" t="inlineStr">
        <is>
          <t>ЛК</t>
        </is>
      </c>
      <c r="D52" s="9" t="inlineStr">
        <is>
          <t>Т11О-103Б-20</t>
        </is>
      </c>
      <c r="E52" s="10" t="n">
        <v>16</v>
      </c>
      <c r="F52" s="9" t="inlineStr">
        <is>
          <t>13288</t>
        </is>
      </c>
      <c r="G52" s="10" t="n">
        <v>16</v>
      </c>
      <c r="H52" s="9" t="inlineStr">
        <is>
          <t xml:space="preserve">81728     </t>
        </is>
      </c>
      <c r="I52" s="9" t="inlineStr">
        <is>
          <t xml:space="preserve">Галкин Виктор Иванович </t>
        </is>
      </c>
      <c r="J52" s="9" t="inlineStr">
        <is>
          <t>профессор</t>
        </is>
      </c>
      <c r="K52" s="9" t="n"/>
      <c r="L52" s="9" t="inlineStr">
        <is>
          <t>кроме среды и первой пары понедельника (525 А)</t>
        </is>
      </c>
      <c r="M52" s="12">
        <f>SUMIFS($E$2:$E$1130,$A$2:$A$1130,"осень",$I$2:$I$1130,I52)</f>
        <v/>
      </c>
      <c r="N52" s="13">
        <f>SUMIFS($E$2:$E$1130,$A$2:$A$1130,"весна",$I$2:$I$1130,I52)</f>
        <v/>
      </c>
      <c r="O52" s="14">
        <f>M52+N52</f>
        <v/>
      </c>
      <c r="P52" s="15">
        <f>O52/$P$1</f>
        <v/>
      </c>
    </row>
    <row r="53" ht="15.75" customHeight="1" s="2">
      <c r="A53" s="117" t="inlineStr">
        <is>
          <t>осень</t>
        </is>
      </c>
      <c r="B53" s="9" t="inlineStr">
        <is>
          <t>Инженерные и графические системы</t>
        </is>
      </c>
      <c r="C53" s="9" t="inlineStr">
        <is>
          <t>Зачет с оценкой</t>
        </is>
      </c>
      <c r="D53" s="9" t="inlineStr">
        <is>
          <t>Т11О-103Б-20</t>
        </is>
      </c>
      <c r="E53" s="10" t="n">
        <v>5</v>
      </c>
      <c r="F53" s="9" t="inlineStr">
        <is>
          <t>13288</t>
        </is>
      </c>
      <c r="G53" s="11" t="n">
        <v>0</v>
      </c>
      <c r="H53" s="9" t="inlineStr">
        <is>
          <t xml:space="preserve">81728     </t>
        </is>
      </c>
      <c r="I53" s="9" t="inlineStr">
        <is>
          <t xml:space="preserve">Галкин Виктор Иванович </t>
        </is>
      </c>
      <c r="J53" s="9" t="inlineStr">
        <is>
          <t>профессор</t>
        </is>
      </c>
      <c r="K53" s="9" t="n"/>
      <c r="L53" s="9" t="inlineStr">
        <is>
          <t>кроме среды и первой пары понедельника (525 А)</t>
        </is>
      </c>
      <c r="M53" s="12">
        <f>SUMIFS($E$2:$E$1130,$A$2:$A$1130,"осень",$I$2:$I$1130,I53)</f>
        <v/>
      </c>
      <c r="N53" s="13">
        <f>SUMIFS($E$2:$E$1130,$A$2:$A$1130,"весна",$I$2:$I$1130,I53)</f>
        <v/>
      </c>
      <c r="O53" s="14">
        <f>M53+N53</f>
        <v/>
      </c>
      <c r="P53" s="15">
        <f>O53/$P$1</f>
        <v/>
      </c>
    </row>
    <row r="54" ht="15.75" customHeight="1" s="2">
      <c r="A54" s="117" t="inlineStr">
        <is>
          <t>осень</t>
        </is>
      </c>
      <c r="B54" s="9" t="inlineStr">
        <is>
          <t>Инженерные и графические системы</t>
        </is>
      </c>
      <c r="C54" s="9" t="inlineStr">
        <is>
          <t>ПЗ</t>
        </is>
      </c>
      <c r="D54" s="9" t="inlineStr">
        <is>
          <t>Т11О-103Б-20</t>
        </is>
      </c>
      <c r="E54" s="10" t="n">
        <v>8</v>
      </c>
      <c r="F54" s="9" t="inlineStr">
        <is>
          <t>13288</t>
        </is>
      </c>
      <c r="G54" s="10" t="n">
        <v>8</v>
      </c>
      <c r="H54" s="9" t="inlineStr">
        <is>
          <t xml:space="preserve">81728     </t>
        </is>
      </c>
      <c r="I54" s="9" t="inlineStr">
        <is>
          <t xml:space="preserve">Галкин Виктор Иванович </t>
        </is>
      </c>
      <c r="J54" s="9" t="inlineStr">
        <is>
          <t>профессор</t>
        </is>
      </c>
      <c r="K54" s="9" t="n"/>
      <c r="L54" s="9" t="inlineStr">
        <is>
          <t>кроме среды и первой пары понедельника (525 А)</t>
        </is>
      </c>
      <c r="M54" s="12">
        <f>SUMIFS($E$2:$E$1130,$A$2:$A$1130,"осень",$I$2:$I$1130,I54)</f>
        <v/>
      </c>
      <c r="N54" s="13">
        <f>SUMIFS($E$2:$E$1130,$A$2:$A$1130,"весна",$I$2:$I$1130,I54)</f>
        <v/>
      </c>
      <c r="O54" s="14">
        <f>M54+N54</f>
        <v/>
      </c>
      <c r="P54" s="15">
        <f>O54/$P$1</f>
        <v/>
      </c>
    </row>
    <row r="55" ht="15.75" customHeight="1" s="2">
      <c r="A55" s="117" t="inlineStr">
        <is>
          <t>осень</t>
        </is>
      </c>
      <c r="B55" s="9" t="inlineStr">
        <is>
          <t>Инженерные и графические системы</t>
        </is>
      </c>
      <c r="C55" s="9" t="inlineStr">
        <is>
          <t>ЛР</t>
        </is>
      </c>
      <c r="D55" s="9" t="inlineStr">
        <is>
          <t>Т11О-103Б-20</t>
        </is>
      </c>
      <c r="E55" s="10" t="n">
        <v>12</v>
      </c>
      <c r="F55" s="9" t="inlineStr">
        <is>
          <t>13288</t>
        </is>
      </c>
      <c r="G55" s="10" t="n">
        <v>12</v>
      </c>
      <c r="H55" s="9" t="inlineStr">
        <is>
          <t xml:space="preserve">81728     </t>
        </is>
      </c>
      <c r="I55" s="9" t="inlineStr">
        <is>
          <t xml:space="preserve">Галкин Виктор Иванович </t>
        </is>
      </c>
      <c r="J55" s="9" t="inlineStr">
        <is>
          <t>профессор</t>
        </is>
      </c>
      <c r="K55" s="9" t="n"/>
      <c r="L55" s="9" t="inlineStr">
        <is>
          <t>кроме среды и первой пары понедельника (525 А)</t>
        </is>
      </c>
      <c r="M55" s="12">
        <f>SUMIFS($E$2:$E$1130,$A$2:$A$1130,"осень",$I$2:$I$1130,I55)</f>
        <v/>
      </c>
      <c r="N55" s="13">
        <f>SUMIFS($E$2:$E$1130,$A$2:$A$1130,"весна",$I$2:$I$1130,I55)</f>
        <v/>
      </c>
      <c r="O55" s="14">
        <f>M55+N55</f>
        <v/>
      </c>
      <c r="P55" s="15">
        <f>O55/$P$1</f>
        <v/>
      </c>
    </row>
    <row r="56" ht="15.75" customHeight="1" s="2">
      <c r="A56" s="117" t="inlineStr">
        <is>
          <t>осень</t>
        </is>
      </c>
      <c r="B56" s="9" t="inlineStr">
        <is>
          <t>Инженерные и графические системы</t>
        </is>
      </c>
      <c r="C56" s="9" t="inlineStr">
        <is>
          <t>Консультация</t>
        </is>
      </c>
      <c r="D56" s="9" t="inlineStr">
        <is>
          <t>Т11О-103Б-20</t>
        </is>
      </c>
      <c r="E56" s="10" t="n">
        <v>1</v>
      </c>
      <c r="F56" s="9" t="inlineStr">
        <is>
          <t>13288</t>
        </is>
      </c>
      <c r="G56" s="11" t="n">
        <v>0</v>
      </c>
      <c r="H56" s="9" t="inlineStr">
        <is>
          <t xml:space="preserve">81728     </t>
        </is>
      </c>
      <c r="I56" s="9" t="inlineStr">
        <is>
          <t xml:space="preserve">Галкин Виктор Иванович </t>
        </is>
      </c>
      <c r="J56" s="9" t="inlineStr">
        <is>
          <t>профессор</t>
        </is>
      </c>
      <c r="K56" s="9" t="n"/>
      <c r="L56" s="9" t="inlineStr">
        <is>
          <t>кроме среды и первой пары понедельника (525 А)</t>
        </is>
      </c>
      <c r="M56" s="12">
        <f>SUMIFS($E$2:$E$1130,$A$2:$A$1130,"осень",$I$2:$I$1130,I56)</f>
        <v/>
      </c>
      <c r="N56" s="13">
        <f>SUMIFS($E$2:$E$1130,$A$2:$A$1130,"весна",$I$2:$I$1130,I56)</f>
        <v/>
      </c>
      <c r="O56" s="14">
        <f>M56+N56</f>
        <v/>
      </c>
      <c r="P56" s="15">
        <f>O56/$P$1</f>
        <v/>
      </c>
    </row>
    <row r="57" ht="15.75" customHeight="1" s="2">
      <c r="A57" s="117" t="inlineStr">
        <is>
          <t>осень</t>
        </is>
      </c>
      <c r="B57" s="9" t="inlineStr">
        <is>
          <t>Защита интеллектуальной собственности и патентоведение</t>
        </is>
      </c>
      <c r="C57" s="9" t="inlineStr">
        <is>
          <t>ЛК</t>
        </is>
      </c>
      <c r="D57" s="9" t="inlineStr">
        <is>
          <t>М9О-104М-20</t>
        </is>
      </c>
      <c r="E57" s="10" t="n">
        <v>18</v>
      </c>
      <c r="F57" s="9" t="inlineStr">
        <is>
          <t>12598</t>
        </is>
      </c>
      <c r="G57" s="10" t="n">
        <v>18</v>
      </c>
      <c r="H57" s="9" t="inlineStr">
        <is>
          <t xml:space="preserve">89090     </t>
        </is>
      </c>
      <c r="I57" s="9" t="inlineStr">
        <is>
          <t>Степанов Владимир Валерьевич</t>
        </is>
      </c>
      <c r="J57" s="9" t="n"/>
      <c r="K57" s="9" t="n"/>
      <c r="L57" s="9" t="n"/>
      <c r="M57" s="12">
        <f>SUMIFS($E$2:$E$1130,$A$2:$A$1130,"осень",$I$2:$I$1130,I57)</f>
        <v/>
      </c>
      <c r="N57" s="13">
        <f>SUMIFS($E$2:$E$1130,$A$2:$A$1130,"весна",$I$2:$I$1130,I57)</f>
        <v/>
      </c>
      <c r="O57" s="14">
        <f>M57+N57</f>
        <v/>
      </c>
      <c r="P57" s="15">
        <f>O57/$P$1</f>
        <v/>
      </c>
    </row>
    <row r="58" ht="15.75" customHeight="1" s="2">
      <c r="A58" s="117" t="inlineStr">
        <is>
          <t>осень</t>
        </is>
      </c>
      <c r="B58" s="9" t="inlineStr">
        <is>
          <t>Защита интеллектуальной собственности и патентоведение</t>
        </is>
      </c>
      <c r="C58" s="9" t="inlineStr">
        <is>
          <t>ПЗ</t>
        </is>
      </c>
      <c r="D58" s="9" t="inlineStr">
        <is>
          <t>Т11О-101М-20</t>
        </is>
      </c>
      <c r="E58" s="10" t="n">
        <v>28</v>
      </c>
      <c r="F58" s="9" t="inlineStr">
        <is>
          <t>12597</t>
        </is>
      </c>
      <c r="G58" s="10" t="n">
        <v>28</v>
      </c>
      <c r="H58" s="9" t="inlineStr">
        <is>
          <t xml:space="preserve">82021     </t>
        </is>
      </c>
      <c r="I58" s="9" t="inlineStr">
        <is>
          <t xml:space="preserve">Власенко Артем Николаевич </t>
        </is>
      </c>
      <c r="J58" s="9" t="n"/>
      <c r="K58" s="9" t="n"/>
      <c r="L58" s="9" t="inlineStr">
        <is>
          <t>кроме четверга</t>
        </is>
      </c>
      <c r="M58" s="12">
        <f>SUMIFS($E$2:$E$1130,$A$2:$A$1130,"осень",$I$2:$I$1130,I58)</f>
        <v/>
      </c>
      <c r="N58" s="13">
        <f>SUMIFS($E$2:$E$1130,$A$2:$A$1130,"весна",$I$2:$I$1130,I58)</f>
        <v/>
      </c>
      <c r="O58" s="14">
        <f>M58+N58</f>
        <v/>
      </c>
      <c r="P58" s="15">
        <f>O58/$P$1</f>
        <v/>
      </c>
    </row>
    <row r="59" ht="15.75" customHeight="1" s="2">
      <c r="A59" s="117" t="inlineStr">
        <is>
          <t>осень</t>
        </is>
      </c>
      <c r="B59" s="9" t="inlineStr">
        <is>
          <t>Защита интеллектуальной собственности и патентоведение</t>
        </is>
      </c>
      <c r="C59" s="9" t="inlineStr">
        <is>
          <t>ПЗ</t>
        </is>
      </c>
      <c r="D59" s="9" t="inlineStr">
        <is>
          <t>Т11О-102М-20</t>
        </is>
      </c>
      <c r="E59" s="10" t="n">
        <v>28</v>
      </c>
      <c r="F59" s="9" t="inlineStr">
        <is>
          <t>12597</t>
        </is>
      </c>
      <c r="G59" s="10" t="n">
        <v>28</v>
      </c>
      <c r="H59" s="9" t="inlineStr">
        <is>
          <t xml:space="preserve">82021     </t>
        </is>
      </c>
      <c r="I59" s="9" t="inlineStr">
        <is>
          <t xml:space="preserve">Власенко Артем Николаевич </t>
        </is>
      </c>
      <c r="J59" s="9" t="n"/>
      <c r="K59" s="9" t="n"/>
      <c r="L59" s="9" t="inlineStr">
        <is>
          <t>кроме четверга</t>
        </is>
      </c>
      <c r="M59" s="12">
        <f>SUMIFS($E$2:$E$1130,$A$2:$A$1130,"осень",$I$2:$I$1130,I59)</f>
        <v/>
      </c>
      <c r="N59" s="13">
        <f>SUMIFS($E$2:$E$1130,$A$2:$A$1130,"весна",$I$2:$I$1130,I59)</f>
        <v/>
      </c>
      <c r="O59" s="14">
        <f>M59+N59</f>
        <v/>
      </c>
      <c r="P59" s="15">
        <f>O59/$P$1</f>
        <v/>
      </c>
    </row>
    <row r="60" ht="15.75" customHeight="1" s="2">
      <c r="A60" s="117" t="inlineStr">
        <is>
          <t>осень</t>
        </is>
      </c>
      <c r="B60" s="9" t="inlineStr">
        <is>
          <t>Защита интеллектуальной собственности и патентоведение</t>
        </is>
      </c>
      <c r="C60" s="9" t="inlineStr">
        <is>
          <t>ПЗ</t>
        </is>
      </c>
      <c r="D60" s="9" t="inlineStr">
        <is>
          <t>Т11О-103М-20</t>
        </is>
      </c>
      <c r="E60" s="10" t="n">
        <v>28</v>
      </c>
      <c r="F60" s="9" t="inlineStr">
        <is>
          <t>12597</t>
        </is>
      </c>
      <c r="G60" s="10" t="n">
        <v>28</v>
      </c>
      <c r="H60" s="9" t="inlineStr">
        <is>
          <t xml:space="preserve">82021     </t>
        </is>
      </c>
      <c r="I60" s="9" t="inlineStr">
        <is>
          <t xml:space="preserve">Власенко Артем Николаевич </t>
        </is>
      </c>
      <c r="J60" s="9" t="n"/>
      <c r="K60" s="9" t="n"/>
      <c r="L60" s="9" t="inlineStr">
        <is>
          <t>кроме четверга</t>
        </is>
      </c>
      <c r="M60" s="12">
        <f>SUMIFS($E$2:$E$1130,$A$2:$A$1130,"осень",$I$2:$I$1130,I60)</f>
        <v/>
      </c>
      <c r="N60" s="13">
        <f>SUMIFS($E$2:$E$1130,$A$2:$A$1130,"весна",$I$2:$I$1130,I60)</f>
        <v/>
      </c>
      <c r="O60" s="14">
        <f>M60+N60</f>
        <v/>
      </c>
      <c r="P60" s="15">
        <f>O60/$P$1</f>
        <v/>
      </c>
    </row>
    <row r="61" ht="15.75" customHeight="1" s="2">
      <c r="A61" s="117" t="inlineStr">
        <is>
          <t>осень</t>
        </is>
      </c>
      <c r="B61" s="9" t="inlineStr">
        <is>
          <t>Защита интеллектуальной собственности и патентоведение</t>
        </is>
      </c>
      <c r="C61" s="9" t="inlineStr">
        <is>
          <t>ПЗ</t>
        </is>
      </c>
      <c r="D61" s="9" t="inlineStr">
        <is>
          <t>Т11О-104М-20</t>
        </is>
      </c>
      <c r="E61" s="10" t="n">
        <v>28</v>
      </c>
      <c r="F61" s="9" t="inlineStr">
        <is>
          <t>12597</t>
        </is>
      </c>
      <c r="G61" s="10" t="n">
        <v>28</v>
      </c>
      <c r="H61" s="9" t="inlineStr">
        <is>
          <t xml:space="preserve">82021     </t>
        </is>
      </c>
      <c r="I61" s="9" t="inlineStr">
        <is>
          <t xml:space="preserve">Власенко Артем Николаевич </t>
        </is>
      </c>
      <c r="J61" s="9" t="n"/>
      <c r="K61" s="9" t="n"/>
      <c r="L61" s="9" t="inlineStr">
        <is>
          <t>кроме четверга</t>
        </is>
      </c>
      <c r="M61" s="12">
        <f>SUMIFS($E$2:$E$1130,$A$2:$A$1130,"осень",$I$2:$I$1130,I61)</f>
        <v/>
      </c>
      <c r="N61" s="13">
        <f>SUMIFS($E$2:$E$1130,$A$2:$A$1130,"весна",$I$2:$I$1130,I61)</f>
        <v/>
      </c>
      <c r="O61" s="14">
        <f>M61+N61</f>
        <v/>
      </c>
      <c r="P61" s="15">
        <f>O61/$P$1</f>
        <v/>
      </c>
    </row>
    <row r="62" ht="15.75" customHeight="1" s="2">
      <c r="A62" s="117" t="inlineStr">
        <is>
          <t>осень</t>
        </is>
      </c>
      <c r="B62" s="9" t="inlineStr">
        <is>
          <t>Защита интеллектуальной собственности и патентоведение</t>
        </is>
      </c>
      <c r="C62" s="9" t="inlineStr">
        <is>
          <t>ПЗ</t>
        </is>
      </c>
      <c r="D62" s="9" t="inlineStr">
        <is>
          <t>М9О-104М-20</t>
        </is>
      </c>
      <c r="E62" s="10" t="n">
        <v>28</v>
      </c>
      <c r="F62" s="9" t="inlineStr">
        <is>
          <t>12598</t>
        </is>
      </c>
      <c r="G62" s="10" t="n">
        <v>28</v>
      </c>
      <c r="H62" s="9" t="inlineStr">
        <is>
          <t xml:space="preserve">82021     </t>
        </is>
      </c>
      <c r="I62" s="9" t="inlineStr">
        <is>
          <t xml:space="preserve">Власенко Артем Николаевич </t>
        </is>
      </c>
      <c r="J62" s="9" t="n"/>
      <c r="K62" s="9" t="n"/>
      <c r="L62" s="9" t="n"/>
      <c r="M62" s="12">
        <f>SUMIFS($E$2:$E$1130,$A$2:$A$1130,"осень",$I$2:$I$1130,I62)</f>
        <v/>
      </c>
      <c r="N62" s="13">
        <f>SUMIFS($E$2:$E$1130,$A$2:$A$1130,"весна",$I$2:$I$1130,I62)</f>
        <v/>
      </c>
      <c r="O62" s="14">
        <f>M62+N62</f>
        <v/>
      </c>
      <c r="P62" s="15">
        <f>O62/$P$1</f>
        <v/>
      </c>
    </row>
    <row r="63" ht="15.75" customHeight="1" s="2">
      <c r="A63" s="117" t="inlineStr">
        <is>
          <t>осень</t>
        </is>
      </c>
      <c r="B63" s="9" t="inlineStr">
        <is>
          <t>Защита интеллектуальной собственности и патентоведение</t>
        </is>
      </c>
      <c r="C63" s="9" t="inlineStr">
        <is>
          <t>Зачет</t>
        </is>
      </c>
      <c r="D63" s="9" t="inlineStr">
        <is>
          <t>Т11О-101М-20</t>
        </is>
      </c>
      <c r="E63" s="10" t="n">
        <v>2</v>
      </c>
      <c r="F63" s="9" t="inlineStr">
        <is>
          <t>12597</t>
        </is>
      </c>
      <c r="G63" s="11" t="n">
        <v>0</v>
      </c>
      <c r="H63" s="9" t="inlineStr">
        <is>
          <t xml:space="preserve">89090     </t>
        </is>
      </c>
      <c r="I63" s="9" t="inlineStr">
        <is>
          <t>Степанов Владимир Валерьевич</t>
        </is>
      </c>
      <c r="J63" s="9" t="n"/>
      <c r="K63" s="9" t="n"/>
      <c r="L63" s="9" t="inlineStr">
        <is>
          <t>желательно конец недели, включая субботу</t>
        </is>
      </c>
      <c r="M63" s="12">
        <f>SUMIFS($E$2:$E$1130,$A$2:$A$1130,"осень",$I$2:$I$1130,I63)</f>
        <v/>
      </c>
      <c r="N63" s="13">
        <f>SUMIFS($E$2:$E$1130,$A$2:$A$1130,"весна",$I$2:$I$1130,I63)</f>
        <v/>
      </c>
      <c r="O63" s="14">
        <f>M63+N63</f>
        <v/>
      </c>
      <c r="P63" s="15">
        <f>O63/$P$1</f>
        <v/>
      </c>
    </row>
    <row r="64" ht="15.75" customHeight="1" s="2">
      <c r="A64" s="117" t="inlineStr">
        <is>
          <t>осень</t>
        </is>
      </c>
      <c r="B64" s="9" t="inlineStr">
        <is>
          <t>Защита интеллектуальной собственности и патентоведение</t>
        </is>
      </c>
      <c r="C64" s="9" t="inlineStr">
        <is>
          <t>Зачет</t>
        </is>
      </c>
      <c r="D64" s="9" t="inlineStr">
        <is>
          <t>Т11О-102М-20</t>
        </is>
      </c>
      <c r="E64" s="10" t="n">
        <v>2</v>
      </c>
      <c r="F64" s="9" t="inlineStr">
        <is>
          <t>12597</t>
        </is>
      </c>
      <c r="G64" s="11" t="n">
        <v>0</v>
      </c>
      <c r="H64" s="9" t="inlineStr">
        <is>
          <t xml:space="preserve">89090     </t>
        </is>
      </c>
      <c r="I64" s="9" t="inlineStr">
        <is>
          <t>Степанов Владимир Валерьевич</t>
        </is>
      </c>
      <c r="J64" s="9" t="n"/>
      <c r="K64" s="9" t="n"/>
      <c r="L64" s="9" t="inlineStr">
        <is>
          <t>желательно конец недели, включая субботу</t>
        </is>
      </c>
      <c r="M64" s="12">
        <f>SUMIFS($E$2:$E$1130,$A$2:$A$1130,"осень",$I$2:$I$1130,I64)</f>
        <v/>
      </c>
      <c r="N64" s="13">
        <f>SUMIFS($E$2:$E$1130,$A$2:$A$1130,"весна",$I$2:$I$1130,I64)</f>
        <v/>
      </c>
      <c r="O64" s="14">
        <f>M64+N64</f>
        <v/>
      </c>
      <c r="P64" s="15">
        <f>O64/$P$1</f>
        <v/>
      </c>
    </row>
    <row r="65" ht="15.75" customHeight="1" s="2">
      <c r="A65" s="117" t="inlineStr">
        <is>
          <t>осень</t>
        </is>
      </c>
      <c r="B65" s="9" t="inlineStr">
        <is>
          <t>Защита интеллектуальной собственности и патентоведение</t>
        </is>
      </c>
      <c r="C65" s="9" t="inlineStr">
        <is>
          <t>Зачет</t>
        </is>
      </c>
      <c r="D65" s="9" t="inlineStr">
        <is>
          <t>Т11О-103М-20</t>
        </is>
      </c>
      <c r="E65" s="10" t="n">
        <v>2</v>
      </c>
      <c r="F65" s="9" t="inlineStr">
        <is>
          <t>12597</t>
        </is>
      </c>
      <c r="G65" s="11" t="n">
        <v>0</v>
      </c>
      <c r="H65" s="9" t="inlineStr">
        <is>
          <t xml:space="preserve">89090     </t>
        </is>
      </c>
      <c r="I65" s="9" t="inlineStr">
        <is>
          <t>Степанов Владимир Валерьевич</t>
        </is>
      </c>
      <c r="J65" s="9" t="n"/>
      <c r="K65" s="9" t="n"/>
      <c r="L65" s="9" t="inlineStr">
        <is>
          <t>желательно конец недели, включая субботу</t>
        </is>
      </c>
      <c r="M65" s="12">
        <f>SUMIFS($E$2:$E$1130,$A$2:$A$1130,"осень",$I$2:$I$1130,I65)</f>
        <v/>
      </c>
      <c r="N65" s="13">
        <f>SUMIFS($E$2:$E$1130,$A$2:$A$1130,"весна",$I$2:$I$1130,I65)</f>
        <v/>
      </c>
      <c r="O65" s="14">
        <f>M65+N65</f>
        <v/>
      </c>
      <c r="P65" s="15">
        <f>O65/$P$1</f>
        <v/>
      </c>
    </row>
    <row r="66" ht="15.75" customHeight="1" s="2">
      <c r="A66" s="117" t="inlineStr">
        <is>
          <t>осень</t>
        </is>
      </c>
      <c r="B66" s="9" t="inlineStr">
        <is>
          <t>Защита интеллектуальной собственности и патентоведение</t>
        </is>
      </c>
      <c r="C66" s="9" t="inlineStr">
        <is>
          <t>Зачет</t>
        </is>
      </c>
      <c r="D66" s="9" t="inlineStr">
        <is>
          <t>Т11О-104М-20</t>
        </is>
      </c>
      <c r="E66" s="10" t="n">
        <v>2</v>
      </c>
      <c r="F66" s="9" t="inlineStr">
        <is>
          <t>12597</t>
        </is>
      </c>
      <c r="G66" s="11" t="n">
        <v>0</v>
      </c>
      <c r="H66" s="9" t="inlineStr">
        <is>
          <t xml:space="preserve">89090     </t>
        </is>
      </c>
      <c r="I66" s="9" t="inlineStr">
        <is>
          <t>Степанов Владимир Валерьевич</t>
        </is>
      </c>
      <c r="J66" s="9" t="n"/>
      <c r="K66" s="9" t="n"/>
      <c r="L66" s="9" t="inlineStr">
        <is>
          <t>желательно конец недели, включая субботу</t>
        </is>
      </c>
      <c r="M66" s="12">
        <f>SUMIFS($E$2:$E$1130,$A$2:$A$1130,"осень",$I$2:$I$1130,I66)</f>
        <v/>
      </c>
      <c r="N66" s="13">
        <f>SUMIFS($E$2:$E$1130,$A$2:$A$1130,"весна",$I$2:$I$1130,I66)</f>
        <v/>
      </c>
      <c r="O66" s="14">
        <f>M66+N66</f>
        <v/>
      </c>
      <c r="P66" s="15">
        <f>O66/$P$1</f>
        <v/>
      </c>
    </row>
    <row r="67" ht="15.75" customHeight="1" s="2">
      <c r="A67" s="117" t="inlineStr">
        <is>
          <t>осень</t>
        </is>
      </c>
      <c r="B67" s="9" t="inlineStr">
        <is>
          <t>Защита интеллектуальной собственности и патентоведение</t>
        </is>
      </c>
      <c r="C67" s="9" t="inlineStr">
        <is>
          <t>Зачет</t>
        </is>
      </c>
      <c r="D67" s="9" t="inlineStr">
        <is>
          <t>М9О-104М-20</t>
        </is>
      </c>
      <c r="E67" s="10" t="n">
        <v>2</v>
      </c>
      <c r="F67" s="9" t="inlineStr">
        <is>
          <t>12598</t>
        </is>
      </c>
      <c r="G67" s="11" t="n">
        <v>0</v>
      </c>
      <c r="H67" s="9" t="inlineStr">
        <is>
          <t xml:space="preserve">89090     </t>
        </is>
      </c>
      <c r="I67" s="9" t="inlineStr">
        <is>
          <t>Степанов Владимир Валерьевич</t>
        </is>
      </c>
      <c r="J67" s="9" t="n"/>
      <c r="K67" s="9" t="n"/>
      <c r="L67" s="9" t="n"/>
      <c r="M67" s="12">
        <f>SUMIFS($E$2:$E$1130,$A$2:$A$1130,"осень",$I$2:$I$1130,I67)</f>
        <v/>
      </c>
      <c r="N67" s="13">
        <f>SUMIFS($E$2:$E$1130,$A$2:$A$1130,"весна",$I$2:$I$1130,I67)</f>
        <v/>
      </c>
      <c r="O67" s="14">
        <f>M67+N67</f>
        <v/>
      </c>
      <c r="P67" s="15">
        <f>O67/$P$1</f>
        <v/>
      </c>
    </row>
    <row r="68" ht="15.75" customHeight="1" s="2">
      <c r="A68" s="117" t="inlineStr">
        <is>
          <t>осень</t>
        </is>
      </c>
      <c r="B68" s="9" t="inlineStr">
        <is>
          <t>Защита интеллектуальной собственности и патентоведение</t>
        </is>
      </c>
      <c r="C68" s="9" t="inlineStr">
        <is>
          <t>Консультация</t>
        </is>
      </c>
      <c r="D68" s="9" t="inlineStr">
        <is>
          <t>Т11О-101М-20</t>
        </is>
      </c>
      <c r="E68" s="10" t="n">
        <v>1</v>
      </c>
      <c r="F68" s="9" t="inlineStr">
        <is>
          <t>12597</t>
        </is>
      </c>
      <c r="G68" s="11" t="n">
        <v>0</v>
      </c>
      <c r="H68" s="9" t="inlineStr">
        <is>
          <t xml:space="preserve">82021     </t>
        </is>
      </c>
      <c r="I68" s="9" t="inlineStr">
        <is>
          <t xml:space="preserve">Власенко Артем Николаевич </t>
        </is>
      </c>
      <c r="J68" s="9" t="n"/>
      <c r="K68" s="9" t="n"/>
      <c r="L68" s="9" t="inlineStr">
        <is>
          <t>кроме четверга</t>
        </is>
      </c>
      <c r="M68" s="12">
        <f>SUMIFS($E$2:$E$1130,$A$2:$A$1130,"осень",$I$2:$I$1130,I68)</f>
        <v/>
      </c>
      <c r="N68" s="13">
        <f>SUMIFS($E$2:$E$1130,$A$2:$A$1130,"весна",$I$2:$I$1130,I68)</f>
        <v/>
      </c>
      <c r="O68" s="14">
        <f>M68+N68</f>
        <v/>
      </c>
      <c r="P68" s="15">
        <f>O68/$P$1</f>
        <v/>
      </c>
    </row>
    <row r="69" ht="15.75" customHeight="1" s="2">
      <c r="A69" s="117" t="inlineStr">
        <is>
          <t>осень</t>
        </is>
      </c>
      <c r="B69" s="9" t="inlineStr">
        <is>
          <t>Защита интеллектуальной собственности и патентоведение</t>
        </is>
      </c>
      <c r="C69" s="9" t="inlineStr">
        <is>
          <t>Консультация</t>
        </is>
      </c>
      <c r="D69" s="9" t="inlineStr">
        <is>
          <t>Т11О-102М-20</t>
        </is>
      </c>
      <c r="E69" s="10" t="n">
        <v>1</v>
      </c>
      <c r="F69" s="9" t="inlineStr">
        <is>
          <t>12597</t>
        </is>
      </c>
      <c r="G69" s="11" t="n">
        <v>0</v>
      </c>
      <c r="H69" s="9" t="inlineStr">
        <is>
          <t xml:space="preserve">82021     </t>
        </is>
      </c>
      <c r="I69" s="9" t="inlineStr">
        <is>
          <t xml:space="preserve">Власенко Артем Николаевич </t>
        </is>
      </c>
      <c r="J69" s="9" t="n"/>
      <c r="K69" s="9" t="n"/>
      <c r="L69" s="9" t="inlineStr">
        <is>
          <t>кроме четверга</t>
        </is>
      </c>
      <c r="M69" s="12">
        <f>SUMIFS($E$2:$E$1130,$A$2:$A$1130,"осень",$I$2:$I$1130,I69)</f>
        <v/>
      </c>
      <c r="N69" s="13">
        <f>SUMIFS($E$2:$E$1130,$A$2:$A$1130,"весна",$I$2:$I$1130,I69)</f>
        <v/>
      </c>
      <c r="O69" s="14">
        <f>M69+N69</f>
        <v/>
      </c>
      <c r="P69" s="15">
        <f>O69/$P$1</f>
        <v/>
      </c>
    </row>
    <row r="70" ht="15.75" customHeight="1" s="2">
      <c r="A70" s="117" t="inlineStr">
        <is>
          <t>осень</t>
        </is>
      </c>
      <c r="B70" s="9" t="inlineStr">
        <is>
          <t>Защита интеллектуальной собственности и патентоведение</t>
        </is>
      </c>
      <c r="C70" s="9" t="inlineStr">
        <is>
          <t>Консультация</t>
        </is>
      </c>
      <c r="D70" s="9" t="inlineStr">
        <is>
          <t>Т11О-103М-20</t>
        </is>
      </c>
      <c r="E70" s="10" t="n">
        <v>1</v>
      </c>
      <c r="F70" s="9" t="inlineStr">
        <is>
          <t>12597</t>
        </is>
      </c>
      <c r="G70" s="11" t="n">
        <v>0</v>
      </c>
      <c r="H70" s="9" t="inlineStr">
        <is>
          <t xml:space="preserve">82021     </t>
        </is>
      </c>
      <c r="I70" s="9" t="inlineStr">
        <is>
          <t xml:space="preserve">Власенко Артем Николаевич </t>
        </is>
      </c>
      <c r="J70" s="9" t="n"/>
      <c r="K70" s="9" t="n"/>
      <c r="L70" s="9" t="inlineStr">
        <is>
          <t>кроме четверга</t>
        </is>
      </c>
      <c r="M70" s="12">
        <f>SUMIFS($E$2:$E$1130,$A$2:$A$1130,"осень",$I$2:$I$1130,I70)</f>
        <v/>
      </c>
      <c r="N70" s="13">
        <f>SUMIFS($E$2:$E$1130,$A$2:$A$1130,"весна",$I$2:$I$1130,I70)</f>
        <v/>
      </c>
      <c r="O70" s="14">
        <f>M70+N70</f>
        <v/>
      </c>
      <c r="P70" s="15">
        <f>O70/$P$1</f>
        <v/>
      </c>
    </row>
    <row r="71" ht="15.75" customHeight="1" s="2">
      <c r="A71" s="117" t="inlineStr">
        <is>
          <t>осень</t>
        </is>
      </c>
      <c r="B71" s="9" t="inlineStr">
        <is>
          <t>Защита интеллектуальной собственности и патентоведение</t>
        </is>
      </c>
      <c r="C71" s="9" t="inlineStr">
        <is>
          <t>Консультация</t>
        </is>
      </c>
      <c r="D71" s="9" t="inlineStr">
        <is>
          <t>Т11О-104М-20</t>
        </is>
      </c>
      <c r="E71" s="10" t="n">
        <v>1</v>
      </c>
      <c r="F71" s="9" t="inlineStr">
        <is>
          <t>12597</t>
        </is>
      </c>
      <c r="G71" s="11" t="n">
        <v>0</v>
      </c>
      <c r="H71" s="9" t="inlineStr">
        <is>
          <t xml:space="preserve">82021     </t>
        </is>
      </c>
      <c r="I71" s="9" t="inlineStr">
        <is>
          <t xml:space="preserve">Власенко Артем Николаевич </t>
        </is>
      </c>
      <c r="J71" s="9" t="n"/>
      <c r="K71" s="9" t="n"/>
      <c r="L71" s="9" t="inlineStr">
        <is>
          <t>кроме четверга</t>
        </is>
      </c>
      <c r="M71" s="12">
        <f>SUMIFS($E$2:$E$1130,$A$2:$A$1130,"осень",$I$2:$I$1130,I71)</f>
        <v/>
      </c>
      <c r="N71" s="13">
        <f>SUMIFS($E$2:$E$1130,$A$2:$A$1130,"весна",$I$2:$I$1130,I71)</f>
        <v/>
      </c>
      <c r="O71" s="14">
        <f>M71+N71</f>
        <v/>
      </c>
      <c r="P71" s="15">
        <f>O71/$P$1</f>
        <v/>
      </c>
    </row>
    <row r="72" ht="15.75" customHeight="1" s="2">
      <c r="A72" s="117" t="inlineStr">
        <is>
          <t>осень</t>
        </is>
      </c>
      <c r="B72" s="9" t="inlineStr">
        <is>
          <t>Защита интеллектуальной собственности и патентоведение</t>
        </is>
      </c>
      <c r="C72" s="9" t="inlineStr">
        <is>
          <t>Консультация</t>
        </is>
      </c>
      <c r="D72" s="9" t="inlineStr">
        <is>
          <t>М9О-104М-20</t>
        </is>
      </c>
      <c r="E72" s="10" t="n">
        <v>1</v>
      </c>
      <c r="F72" s="9" t="inlineStr">
        <is>
          <t>12598</t>
        </is>
      </c>
      <c r="G72" s="11" t="n">
        <v>0</v>
      </c>
      <c r="H72" s="9" t="inlineStr">
        <is>
          <t xml:space="preserve">82021     </t>
        </is>
      </c>
      <c r="I72" s="9" t="inlineStr">
        <is>
          <t xml:space="preserve">Власенко Артем Николаевич </t>
        </is>
      </c>
      <c r="J72" s="9" t="n"/>
      <c r="K72" s="9" t="n"/>
      <c r="L72" s="9" t="n"/>
      <c r="M72" s="12">
        <f>SUMIFS($E$2:$E$1130,$A$2:$A$1130,"осень",$I$2:$I$1130,I72)</f>
        <v/>
      </c>
      <c r="N72" s="13">
        <f>SUMIFS($E$2:$E$1130,$A$2:$A$1130,"весна",$I$2:$I$1130,I72)</f>
        <v/>
      </c>
      <c r="O72" s="14">
        <f>M72+N72</f>
        <v/>
      </c>
      <c r="P72" s="15">
        <f>O72/$P$1</f>
        <v/>
      </c>
    </row>
    <row r="73" ht="15.75" customHeight="1" s="2">
      <c r="A73" s="117" t="inlineStr">
        <is>
          <t>осень</t>
        </is>
      </c>
      <c r="B73" s="9" t="inlineStr">
        <is>
          <t>Современные технологии сварки плавлением</t>
        </is>
      </c>
      <c r="C73" s="9" t="inlineStr">
        <is>
          <t>ЛК</t>
        </is>
      </c>
      <c r="D73" s="9" t="inlineStr">
        <is>
          <t>Т11О-204М-19</t>
        </is>
      </c>
      <c r="E73" s="10" t="n">
        <v>8</v>
      </c>
      <c r="F73" s="9" t="inlineStr">
        <is>
          <t>04595</t>
        </is>
      </c>
      <c r="G73" s="10" t="n">
        <v>8</v>
      </c>
      <c r="H73" s="9" t="inlineStr">
        <is>
          <t xml:space="preserve">82056     </t>
        </is>
      </c>
      <c r="I73" s="9" t="inlineStr">
        <is>
          <t xml:space="preserve">Никитина Елена Владимировна </t>
        </is>
      </c>
      <c r="J73" s="9" t="n"/>
      <c r="K73" s="9" t="n"/>
      <c r="L73" s="9" t="inlineStr">
        <is>
          <t>пн-пт с 13:00 (509 или 532)</t>
        </is>
      </c>
      <c r="M73" s="12">
        <f>SUMIFS($E$2:$E$1130,$A$2:$A$1130,"осень",$I$2:$I$1130,I73)</f>
        <v/>
      </c>
      <c r="N73" s="13">
        <f>SUMIFS($E$2:$E$1130,$A$2:$A$1130,"весна",$I$2:$I$1130,I73)</f>
        <v/>
      </c>
      <c r="O73" s="14">
        <f>M73+N73</f>
        <v/>
      </c>
      <c r="P73" s="15">
        <f>O73/$P$1</f>
        <v/>
      </c>
    </row>
    <row r="74" ht="15.75" customHeight="1" s="2">
      <c r="A74" s="117" t="inlineStr">
        <is>
          <t>осень</t>
        </is>
      </c>
      <c r="B74" s="9" t="inlineStr">
        <is>
          <t>Современные технологии сварки плавлением</t>
        </is>
      </c>
      <c r="C74" s="9" t="inlineStr">
        <is>
          <t>КР</t>
        </is>
      </c>
      <c r="D74" s="9" t="inlineStr">
        <is>
          <t>Т11О-204М-19</t>
        </is>
      </c>
      <c r="E74" s="10" t="n">
        <v>27</v>
      </c>
      <c r="F74" s="9" t="inlineStr">
        <is>
          <t>04595</t>
        </is>
      </c>
      <c r="G74" s="11" t="n">
        <v>0</v>
      </c>
      <c r="H74" s="9" t="inlineStr">
        <is>
          <t xml:space="preserve">82056     </t>
        </is>
      </c>
      <c r="I74" s="9" t="inlineStr">
        <is>
          <t xml:space="preserve">Никитина Елена Владимировна </t>
        </is>
      </c>
      <c r="J74" s="9" t="n"/>
      <c r="K74" s="9" t="n"/>
      <c r="L74" s="9" t="inlineStr">
        <is>
          <t>пн-пт с 13:00 (509 или 532)</t>
        </is>
      </c>
      <c r="M74" s="12">
        <f>SUMIFS($E$2:$E$1130,$A$2:$A$1130,"осень",$I$2:$I$1130,I74)</f>
        <v/>
      </c>
      <c r="N74" s="13">
        <f>SUMIFS($E$2:$E$1130,$A$2:$A$1130,"весна",$I$2:$I$1130,I74)</f>
        <v/>
      </c>
      <c r="O74" s="14">
        <f>M74+N74</f>
        <v/>
      </c>
      <c r="P74" s="15">
        <f>O74/$P$1</f>
        <v/>
      </c>
    </row>
    <row r="75" ht="15.75" customHeight="1" s="2">
      <c r="A75" s="117" t="inlineStr">
        <is>
          <t>осень</t>
        </is>
      </c>
      <c r="B75" s="9" t="inlineStr">
        <is>
          <t>Современные технологии сварки плавлением</t>
        </is>
      </c>
      <c r="C75" s="9" t="inlineStr">
        <is>
          <t>ПЗ</t>
        </is>
      </c>
      <c r="D75" s="9" t="inlineStr">
        <is>
          <t>Т11О-204М-19</t>
        </is>
      </c>
      <c r="E75" s="10" t="n">
        <v>36</v>
      </c>
      <c r="F75" s="9" t="inlineStr">
        <is>
          <t>04595</t>
        </is>
      </c>
      <c r="G75" s="10" t="n">
        <v>36</v>
      </c>
      <c r="H75" s="9" t="inlineStr">
        <is>
          <t xml:space="preserve">82056     </t>
        </is>
      </c>
      <c r="I75" s="9" t="inlineStr">
        <is>
          <t xml:space="preserve">Никитина Елена Владимировна </t>
        </is>
      </c>
      <c r="J75" s="9" t="n"/>
      <c r="K75" s="9" t="n"/>
      <c r="L75" s="9" t="inlineStr">
        <is>
          <t>пн-пт с 13:00 (509 или 532)</t>
        </is>
      </c>
      <c r="M75" s="12">
        <f>SUMIFS($E$2:$E$1130,$A$2:$A$1130,"осень",$I$2:$I$1130,I75)</f>
        <v/>
      </c>
      <c r="N75" s="13">
        <f>SUMIFS($E$2:$E$1130,$A$2:$A$1130,"весна",$I$2:$I$1130,I75)</f>
        <v/>
      </c>
      <c r="O75" s="14">
        <f>M75+N75</f>
        <v/>
      </c>
      <c r="P75" s="15">
        <f>O75/$P$1</f>
        <v/>
      </c>
    </row>
    <row r="76" ht="15.75" customHeight="1" s="2">
      <c r="A76" s="117" t="inlineStr">
        <is>
          <t>осень</t>
        </is>
      </c>
      <c r="B76" s="9" t="inlineStr">
        <is>
          <t>Современные технологии сварки плавлением</t>
        </is>
      </c>
      <c r="C76" s="9" t="inlineStr">
        <is>
          <t>Экзамен</t>
        </is>
      </c>
      <c r="D76" s="9" t="inlineStr">
        <is>
          <t>Т11О-204М-19</t>
        </is>
      </c>
      <c r="E76" s="10" t="n">
        <v>5</v>
      </c>
      <c r="F76" s="9" t="inlineStr">
        <is>
          <t>04595</t>
        </is>
      </c>
      <c r="G76" s="11" t="n">
        <v>0</v>
      </c>
      <c r="H76" s="9" t="inlineStr">
        <is>
          <t xml:space="preserve">82056     </t>
        </is>
      </c>
      <c r="I76" s="9" t="inlineStr">
        <is>
          <t xml:space="preserve">Никитина Елена Владимировна </t>
        </is>
      </c>
      <c r="J76" s="9" t="n"/>
      <c r="K76" s="9" t="n"/>
      <c r="L76" s="9" t="inlineStr">
        <is>
          <t>пн-пт с 13:00 (509 или 532)</t>
        </is>
      </c>
      <c r="M76" s="12">
        <f>SUMIFS($E$2:$E$1130,$A$2:$A$1130,"осень",$I$2:$I$1130,I76)</f>
        <v/>
      </c>
      <c r="N76" s="13">
        <f>SUMIFS($E$2:$E$1130,$A$2:$A$1130,"весна",$I$2:$I$1130,I76)</f>
        <v/>
      </c>
      <c r="O76" s="14">
        <f>M76+N76</f>
        <v/>
      </c>
      <c r="P76" s="15">
        <f>O76/$P$1</f>
        <v/>
      </c>
    </row>
    <row r="77" ht="15.75" customHeight="1" s="2">
      <c r="A77" s="117" t="inlineStr">
        <is>
          <t>осень</t>
        </is>
      </c>
      <c r="B77" s="9" t="inlineStr">
        <is>
          <t>Современные технологии сварки плавлением</t>
        </is>
      </c>
      <c r="C77" s="9" t="inlineStr">
        <is>
          <t>Консультация</t>
        </is>
      </c>
      <c r="D77" s="9" t="inlineStr">
        <is>
          <t>Т11О-204М-19</t>
        </is>
      </c>
      <c r="E77" s="10" t="n">
        <v>2</v>
      </c>
      <c r="F77" s="9" t="inlineStr">
        <is>
          <t>04595</t>
        </is>
      </c>
      <c r="G77" s="11" t="n">
        <v>0</v>
      </c>
      <c r="H77" s="9" t="inlineStr">
        <is>
          <t xml:space="preserve">82056     </t>
        </is>
      </c>
      <c r="I77" s="9" t="inlineStr">
        <is>
          <t xml:space="preserve">Никитина Елена Владимировна </t>
        </is>
      </c>
      <c r="J77" s="9" t="n"/>
      <c r="K77" s="9" t="n"/>
      <c r="L77" s="9" t="inlineStr">
        <is>
          <t>пн-пт с 13:00 (509 или 532)</t>
        </is>
      </c>
      <c r="M77" s="12">
        <f>SUMIFS($E$2:$E$1130,$A$2:$A$1130,"осень",$I$2:$I$1130,I77)</f>
        <v/>
      </c>
      <c r="N77" s="13">
        <f>SUMIFS($E$2:$E$1130,$A$2:$A$1130,"весна",$I$2:$I$1130,I77)</f>
        <v/>
      </c>
      <c r="O77" s="14">
        <f>M77+N77</f>
        <v/>
      </c>
      <c r="P77" s="15">
        <f>O77/$P$1</f>
        <v/>
      </c>
    </row>
    <row r="78" ht="15.75" customHeight="1" s="2">
      <c r="A78" s="117" t="inlineStr">
        <is>
          <t>осень</t>
        </is>
      </c>
      <c r="B78" s="9" t="inlineStr">
        <is>
          <t>Современные технологии сварки давлением</t>
        </is>
      </c>
      <c r="C78" s="9" t="inlineStr">
        <is>
          <t>ЛК</t>
        </is>
      </c>
      <c r="D78" s="9" t="inlineStr">
        <is>
          <t>Т11О-104М-20</t>
        </is>
      </c>
      <c r="E78" s="10" t="n">
        <v>8</v>
      </c>
      <c r="F78" s="9" t="inlineStr">
        <is>
          <t>04595</t>
        </is>
      </c>
      <c r="G78" s="10" t="n">
        <v>8</v>
      </c>
      <c r="H78" s="9" t="inlineStr">
        <is>
          <t xml:space="preserve">87438     </t>
        </is>
      </c>
      <c r="I78" s="9" t="inlineStr">
        <is>
          <t xml:space="preserve">Конкевич Валентин Юрьевич </t>
        </is>
      </c>
      <c r="J78" s="9" t="n"/>
      <c r="K78" s="9" t="n"/>
      <c r="L78" s="9" t="n"/>
      <c r="M78" s="12">
        <f>SUMIFS($E$2:$E$1130,$A$2:$A$1130,"осень",$I$2:$I$1130,I78)</f>
        <v/>
      </c>
      <c r="N78" s="13">
        <f>SUMIFS($E$2:$E$1130,$A$2:$A$1130,"весна",$I$2:$I$1130,I78)</f>
        <v/>
      </c>
      <c r="O78" s="14">
        <f>M78+N78</f>
        <v/>
      </c>
      <c r="P78" s="15">
        <f>O78/$P$1</f>
        <v/>
      </c>
    </row>
    <row r="79" ht="15.75" customHeight="1" s="2">
      <c r="A79" s="117" t="inlineStr">
        <is>
          <t>осень</t>
        </is>
      </c>
      <c r="B79" s="9" t="inlineStr">
        <is>
          <t>Современные технологии сварки давлением</t>
        </is>
      </c>
      <c r="C79" s="9" t="inlineStr">
        <is>
          <t>КР</t>
        </is>
      </c>
      <c r="D79" s="9" t="inlineStr">
        <is>
          <t>Т11О-104М-20</t>
        </is>
      </c>
      <c r="E79" s="10" t="n">
        <v>18</v>
      </c>
      <c r="F79" s="9" t="inlineStr">
        <is>
          <t>04595</t>
        </is>
      </c>
      <c r="G79" s="11" t="n">
        <v>0</v>
      </c>
      <c r="H79" s="9" t="inlineStr">
        <is>
          <t xml:space="preserve">87438     </t>
        </is>
      </c>
      <c r="I79" s="9" t="inlineStr">
        <is>
          <t xml:space="preserve">Конкевич Валентин Юрьевич </t>
        </is>
      </c>
      <c r="J79" s="9" t="n"/>
      <c r="K79" s="9" t="n"/>
      <c r="L79" s="9" t="n"/>
      <c r="M79" s="12">
        <f>SUMIFS($E$2:$E$1130,$A$2:$A$1130,"осень",$I$2:$I$1130,I79)</f>
        <v/>
      </c>
      <c r="N79" s="13">
        <f>SUMIFS($E$2:$E$1130,$A$2:$A$1130,"весна",$I$2:$I$1130,I79)</f>
        <v/>
      </c>
      <c r="O79" s="14">
        <f>M79+N79</f>
        <v/>
      </c>
      <c r="P79" s="15">
        <f>O79/$P$1</f>
        <v/>
      </c>
    </row>
    <row r="80" ht="15.75" customHeight="1" s="2">
      <c r="A80" s="117" t="inlineStr">
        <is>
          <t>осень</t>
        </is>
      </c>
      <c r="B80" s="9" t="inlineStr">
        <is>
          <t>Современные технологии сварки давлением</t>
        </is>
      </c>
      <c r="C80" s="9" t="inlineStr">
        <is>
          <t>Зачет с оценкой</t>
        </is>
      </c>
      <c r="D80" s="9" t="inlineStr">
        <is>
          <t>Т11О-104М-20</t>
        </is>
      </c>
      <c r="E80" s="10" t="n">
        <v>2</v>
      </c>
      <c r="F80" s="9" t="inlineStr">
        <is>
          <t>04595</t>
        </is>
      </c>
      <c r="G80" s="11" t="n">
        <v>0</v>
      </c>
      <c r="H80" s="9" t="inlineStr">
        <is>
          <t xml:space="preserve">87438     </t>
        </is>
      </c>
      <c r="I80" s="9" t="inlineStr">
        <is>
          <t xml:space="preserve">Конкевич Валентин Юрьевич </t>
        </is>
      </c>
      <c r="J80" s="9" t="n"/>
      <c r="K80" s="9" t="n"/>
      <c r="L80" s="9" t="n"/>
      <c r="M80" s="12">
        <f>SUMIFS($E$2:$E$1130,$A$2:$A$1130,"осень",$I$2:$I$1130,I80)</f>
        <v/>
      </c>
      <c r="N80" s="13">
        <f>SUMIFS($E$2:$E$1130,$A$2:$A$1130,"весна",$I$2:$I$1130,I80)</f>
        <v/>
      </c>
      <c r="O80" s="14">
        <f>M80+N80</f>
        <v/>
      </c>
      <c r="P80" s="15">
        <f>O80/$P$1</f>
        <v/>
      </c>
    </row>
    <row r="81" ht="15.75" customHeight="1" s="2">
      <c r="A81" s="117" t="inlineStr">
        <is>
          <t>осень</t>
        </is>
      </c>
      <c r="B81" s="9" t="inlineStr">
        <is>
          <t>Современные технологии сварки давлением</t>
        </is>
      </c>
      <c r="C81" s="9" t="inlineStr">
        <is>
          <t>ПЗ</t>
        </is>
      </c>
      <c r="D81" s="9" t="inlineStr">
        <is>
          <t>Т11О-104М-20</t>
        </is>
      </c>
      <c r="E81" s="10" t="n">
        <v>36</v>
      </c>
      <c r="F81" s="9" t="inlineStr">
        <is>
          <t>04595</t>
        </is>
      </c>
      <c r="G81" s="10" t="n">
        <v>36</v>
      </c>
      <c r="H81" s="9" t="inlineStr">
        <is>
          <t xml:space="preserve">87438     </t>
        </is>
      </c>
      <c r="I81" s="9" t="inlineStr">
        <is>
          <t xml:space="preserve">Конкевич Валентин Юрьевич </t>
        </is>
      </c>
      <c r="J81" s="9" t="n"/>
      <c r="K81" s="9" t="n"/>
      <c r="L81" s="9" t="n"/>
      <c r="M81" s="12">
        <f>SUMIFS($E$2:$E$1130,$A$2:$A$1130,"осень",$I$2:$I$1130,I81)</f>
        <v/>
      </c>
      <c r="N81" s="13">
        <f>SUMIFS($E$2:$E$1130,$A$2:$A$1130,"весна",$I$2:$I$1130,I81)</f>
        <v/>
      </c>
      <c r="O81" s="14">
        <f>M81+N81</f>
        <v/>
      </c>
      <c r="P81" s="15">
        <f>O81/$P$1</f>
        <v/>
      </c>
    </row>
    <row r="82" ht="15.75" customHeight="1" s="2">
      <c r="A82" s="117" t="inlineStr">
        <is>
          <t>осень</t>
        </is>
      </c>
      <c r="B82" s="9" t="inlineStr">
        <is>
          <t>Современные технологии пайки</t>
        </is>
      </c>
      <c r="C82" s="9" t="inlineStr">
        <is>
          <t>ЛК</t>
        </is>
      </c>
      <c r="D82" s="9" t="inlineStr">
        <is>
          <t>Т11О-204М-19</t>
        </is>
      </c>
      <c r="E82" s="10" t="n">
        <v>12</v>
      </c>
      <c r="F82" s="9" t="inlineStr">
        <is>
          <t>04595</t>
        </is>
      </c>
      <c r="G82" s="10" t="n">
        <v>12</v>
      </c>
      <c r="H82" s="9" t="inlineStr">
        <is>
          <t xml:space="preserve">92509     </t>
        </is>
      </c>
      <c r="I82" s="9" t="inlineStr">
        <is>
          <t xml:space="preserve">Пашков Игорь Николаевич </t>
        </is>
      </c>
      <c r="J82" s="9" t="n"/>
      <c r="K82" s="9" t="n"/>
      <c r="L82" s="9" t="n"/>
      <c r="M82" s="12">
        <f>SUMIFS($E$2:$E$1130,$A$2:$A$1130,"осень",$I$2:$I$1130,I82)</f>
        <v/>
      </c>
      <c r="N82" s="13">
        <f>SUMIFS($E$2:$E$1130,$A$2:$A$1130,"весна",$I$2:$I$1130,I82)</f>
        <v/>
      </c>
      <c r="O82" s="14">
        <f>M82+N82</f>
        <v/>
      </c>
      <c r="P82" s="15">
        <f>O82/$P$1</f>
        <v/>
      </c>
    </row>
    <row r="83" ht="15.75" customHeight="1" s="2">
      <c r="A83" s="117" t="inlineStr">
        <is>
          <t>осень</t>
        </is>
      </c>
      <c r="B83" s="9" t="inlineStr">
        <is>
          <t>Современные технологии пайки</t>
        </is>
      </c>
      <c r="C83" s="9" t="inlineStr">
        <is>
          <t>Зачет с оценкой</t>
        </is>
      </c>
      <c r="D83" s="9" t="inlineStr">
        <is>
          <t>Т11О-204М-19</t>
        </is>
      </c>
      <c r="E83" s="10" t="n">
        <v>3</v>
      </c>
      <c r="F83" s="9" t="inlineStr">
        <is>
          <t>04595</t>
        </is>
      </c>
      <c r="G83" s="11" t="n">
        <v>0</v>
      </c>
      <c r="H83" s="9" t="inlineStr">
        <is>
          <t xml:space="preserve">92509     </t>
        </is>
      </c>
      <c r="I83" s="9" t="inlineStr">
        <is>
          <t xml:space="preserve">Пашков Игорь Николаевич </t>
        </is>
      </c>
      <c r="J83" s="9" t="n"/>
      <c r="K83" s="9" t="n"/>
      <c r="L83" s="9" t="n"/>
      <c r="M83" s="12">
        <f>SUMIFS($E$2:$E$1130,$A$2:$A$1130,"осень",$I$2:$I$1130,I83)</f>
        <v/>
      </c>
      <c r="N83" s="13">
        <f>SUMIFS($E$2:$E$1130,$A$2:$A$1130,"весна",$I$2:$I$1130,I83)</f>
        <v/>
      </c>
      <c r="O83" s="14">
        <f>M83+N83</f>
        <v/>
      </c>
      <c r="P83" s="15">
        <f>O83/$P$1</f>
        <v/>
      </c>
    </row>
    <row r="84" ht="15.75" customHeight="1" s="2">
      <c r="A84" s="117" t="inlineStr">
        <is>
          <t>осень</t>
        </is>
      </c>
      <c r="B84" s="9" t="inlineStr">
        <is>
          <t>Современные технологии пайки</t>
        </is>
      </c>
      <c r="C84" s="9" t="inlineStr">
        <is>
          <t>ПЗ</t>
        </is>
      </c>
      <c r="D84" s="9" t="inlineStr">
        <is>
          <t>Т11О-204М-19</t>
        </is>
      </c>
      <c r="E84" s="10" t="n">
        <v>40</v>
      </c>
      <c r="F84" s="9" t="inlineStr">
        <is>
          <t>04595</t>
        </is>
      </c>
      <c r="G84" s="10" t="n">
        <v>40</v>
      </c>
      <c r="H84" s="9" t="inlineStr">
        <is>
          <t xml:space="preserve">92509     </t>
        </is>
      </c>
      <c r="I84" s="9" t="inlineStr">
        <is>
          <t xml:space="preserve">Пашков Игорь Николаевич </t>
        </is>
      </c>
      <c r="J84" s="9" t="n"/>
      <c r="K84" s="9" t="n"/>
      <c r="L84" s="9" t="n"/>
      <c r="M84" s="12">
        <f>SUMIFS($E$2:$E$1130,$A$2:$A$1130,"осень",$I$2:$I$1130,I84)</f>
        <v/>
      </c>
      <c r="N84" s="13">
        <f>SUMIFS($E$2:$E$1130,$A$2:$A$1130,"весна",$I$2:$I$1130,I84)</f>
        <v/>
      </c>
      <c r="O84" s="14">
        <f>M84+N84</f>
        <v/>
      </c>
      <c r="P84" s="15">
        <f>O84/$P$1</f>
        <v/>
      </c>
    </row>
    <row r="85" ht="15.75" customHeight="1" s="2">
      <c r="A85" s="117" t="inlineStr">
        <is>
          <t>осень</t>
        </is>
      </c>
      <c r="B85" s="9" t="inlineStr">
        <is>
          <t>Современные технологии пайки</t>
        </is>
      </c>
      <c r="C85" s="9" t="inlineStr">
        <is>
          <t>Консультация</t>
        </is>
      </c>
      <c r="D85" s="9" t="inlineStr">
        <is>
          <t>Т11О-204М-19</t>
        </is>
      </c>
      <c r="E85" s="10" t="n">
        <v>1</v>
      </c>
      <c r="F85" s="9" t="inlineStr">
        <is>
          <t>04595</t>
        </is>
      </c>
      <c r="G85" s="11" t="n">
        <v>0</v>
      </c>
      <c r="H85" s="9" t="inlineStr">
        <is>
          <t xml:space="preserve">92509     </t>
        </is>
      </c>
      <c r="I85" s="9" t="inlineStr">
        <is>
          <t xml:space="preserve">Пашков Игорь Николаевич </t>
        </is>
      </c>
      <c r="J85" s="9" t="n"/>
      <c r="K85" s="9" t="n"/>
      <c r="L85" s="9" t="n"/>
      <c r="M85" s="12">
        <f>SUMIFS($E$2:$E$1130,$A$2:$A$1130,"осень",$I$2:$I$1130,I85)</f>
        <v/>
      </c>
      <c r="N85" s="13">
        <f>SUMIFS($E$2:$E$1130,$A$2:$A$1130,"весна",$I$2:$I$1130,I85)</f>
        <v/>
      </c>
      <c r="O85" s="14">
        <f>M85+N85</f>
        <v/>
      </c>
      <c r="P85" s="15">
        <f>O85/$P$1</f>
        <v/>
      </c>
    </row>
    <row r="86" ht="15.75" customHeight="1" s="2">
      <c r="A86" s="117" t="inlineStr">
        <is>
          <t>осень</t>
        </is>
      </c>
      <c r="B86" s="9" t="inlineStr">
        <is>
          <t>Контроль качества в порошковой металлургии</t>
        </is>
      </c>
      <c r="C86" s="9" t="inlineStr">
        <is>
          <t>ЛК</t>
        </is>
      </c>
      <c r="D86" s="9" t="inlineStr">
        <is>
          <t>Т11О-203М-19</t>
        </is>
      </c>
      <c r="E86" s="10" t="n">
        <v>16</v>
      </c>
      <c r="F86" s="9" t="inlineStr">
        <is>
          <t>06203</t>
        </is>
      </c>
      <c r="G86" s="10" t="n">
        <v>16</v>
      </c>
      <c r="H86" s="9" t="inlineStr">
        <is>
          <t xml:space="preserve">82090     </t>
        </is>
      </c>
      <c r="I86" s="9" t="inlineStr">
        <is>
          <t xml:space="preserve">Барабанова Ольга Алексеевна </t>
        </is>
      </c>
      <c r="J86" s="9" t="n"/>
      <c r="K86" s="9" t="n"/>
      <c r="L86" s="9" t="inlineStr">
        <is>
          <t>вт с 13:00</t>
        </is>
      </c>
      <c r="M86" s="12">
        <f>SUMIFS($E$2:$E$1130,$A$2:$A$1130,"осень",$I$2:$I$1130,I86)</f>
        <v/>
      </c>
      <c r="N86" s="13">
        <f>SUMIFS($E$2:$E$1130,$A$2:$A$1130,"весна",$I$2:$I$1130,I86)</f>
        <v/>
      </c>
      <c r="O86" s="14">
        <f>M86+N86</f>
        <v/>
      </c>
      <c r="P86" s="15">
        <f>O86/$P$1</f>
        <v/>
      </c>
    </row>
    <row r="87" ht="15.75" customHeight="1" s="2">
      <c r="A87" s="117" t="inlineStr">
        <is>
          <t>осень</t>
        </is>
      </c>
      <c r="B87" s="9" t="inlineStr">
        <is>
          <t>Контроль качества в порошковой металлургии</t>
        </is>
      </c>
      <c r="C87" s="9" t="inlineStr">
        <is>
          <t>ПЗ</t>
        </is>
      </c>
      <c r="D87" s="9" t="inlineStr">
        <is>
          <t>Т11О-203М-19</t>
        </is>
      </c>
      <c r="E87" s="10" t="n">
        <v>36</v>
      </c>
      <c r="F87" s="9" t="inlineStr">
        <is>
          <t>06203</t>
        </is>
      </c>
      <c r="G87" s="10" t="n">
        <v>36</v>
      </c>
      <c r="H87" s="9" t="inlineStr">
        <is>
          <t xml:space="preserve">82090     </t>
        </is>
      </c>
      <c r="I87" s="9" t="inlineStr">
        <is>
          <t xml:space="preserve">Барабанова Ольга Алексеевна </t>
        </is>
      </c>
      <c r="J87" s="9" t="n"/>
      <c r="K87" s="9" t="n"/>
      <c r="L87" s="9" t="inlineStr">
        <is>
          <t>вт с 13:00</t>
        </is>
      </c>
      <c r="M87" s="12">
        <f>SUMIFS($E$2:$E$1130,$A$2:$A$1130,"осень",$I$2:$I$1130,I87)</f>
        <v/>
      </c>
      <c r="N87" s="13">
        <f>SUMIFS($E$2:$E$1130,$A$2:$A$1130,"весна",$I$2:$I$1130,I87)</f>
        <v/>
      </c>
      <c r="O87" s="14">
        <f>M87+N87</f>
        <v/>
      </c>
      <c r="P87" s="15">
        <f>O87/$P$1</f>
        <v/>
      </c>
    </row>
    <row r="88" ht="15.75" customHeight="1" s="2">
      <c r="A88" s="117" t="inlineStr">
        <is>
          <t>осень</t>
        </is>
      </c>
      <c r="B88" s="9" t="inlineStr">
        <is>
          <t>Контроль качества в порошковой металлургии</t>
        </is>
      </c>
      <c r="C88" s="9" t="inlineStr">
        <is>
          <t>Зачет</t>
        </is>
      </c>
      <c r="D88" s="9" t="inlineStr">
        <is>
          <t>Т11О-203М-19</t>
        </is>
      </c>
      <c r="E88" s="10" t="n">
        <v>2</v>
      </c>
      <c r="F88" s="9" t="inlineStr">
        <is>
          <t>06203</t>
        </is>
      </c>
      <c r="G88" s="11" t="n">
        <v>0</v>
      </c>
      <c r="H88" s="9" t="inlineStr">
        <is>
          <t xml:space="preserve">82090     </t>
        </is>
      </c>
      <c r="I88" s="9" t="inlineStr">
        <is>
          <t xml:space="preserve">Барабанова Ольга Алексеевна </t>
        </is>
      </c>
      <c r="J88" s="9" t="n"/>
      <c r="K88" s="9" t="n"/>
      <c r="L88" s="9" t="inlineStr">
        <is>
          <t>вт с 13:00</t>
        </is>
      </c>
      <c r="M88" s="12">
        <f>SUMIFS($E$2:$E$1130,$A$2:$A$1130,"осень",$I$2:$I$1130,I88)</f>
        <v/>
      </c>
      <c r="N88" s="13">
        <f>SUMIFS($E$2:$E$1130,$A$2:$A$1130,"весна",$I$2:$I$1130,I88)</f>
        <v/>
      </c>
      <c r="O88" s="14">
        <f>M88+N88</f>
        <v/>
      </c>
      <c r="P88" s="15">
        <f>O88/$P$1</f>
        <v/>
      </c>
    </row>
    <row r="89" ht="15.75" customHeight="1" s="2">
      <c r="A89" s="117" t="inlineStr">
        <is>
          <t>осень</t>
        </is>
      </c>
      <c r="B89" s="9" t="inlineStr">
        <is>
          <t>Контроль качества в порошковой металлургии</t>
        </is>
      </c>
      <c r="C89" s="9" t="inlineStr">
        <is>
          <t>Консультация</t>
        </is>
      </c>
      <c r="D89" s="9" t="inlineStr">
        <is>
          <t>Т11О-203М-19</t>
        </is>
      </c>
      <c r="E89" s="10" t="n">
        <v>1</v>
      </c>
      <c r="F89" s="9" t="inlineStr">
        <is>
          <t>06203</t>
        </is>
      </c>
      <c r="G89" s="11" t="n">
        <v>0</v>
      </c>
      <c r="H89" s="9" t="inlineStr">
        <is>
          <t xml:space="preserve">82090     </t>
        </is>
      </c>
      <c r="I89" s="9" t="inlineStr">
        <is>
          <t xml:space="preserve">Барабанова Ольга Алексеевна </t>
        </is>
      </c>
      <c r="J89" s="9" t="n"/>
      <c r="K89" s="9" t="n"/>
      <c r="L89" s="9" t="inlineStr">
        <is>
          <t>вт с 13:00</t>
        </is>
      </c>
      <c r="M89" s="12">
        <f>SUMIFS($E$2:$E$1130,$A$2:$A$1130,"осень",$I$2:$I$1130,I89)</f>
        <v/>
      </c>
      <c r="N89" s="13">
        <f>SUMIFS($E$2:$E$1130,$A$2:$A$1130,"весна",$I$2:$I$1130,I89)</f>
        <v/>
      </c>
      <c r="O89" s="14">
        <f>M89+N89</f>
        <v/>
      </c>
      <c r="P89" s="15">
        <f>O89/$P$1</f>
        <v/>
      </c>
    </row>
    <row r="90" ht="15.75" customHeight="1" s="2">
      <c r="A90" s="117" t="inlineStr">
        <is>
          <t>осень</t>
        </is>
      </c>
      <c r="B90" s="9" t="inlineStr">
        <is>
          <t>Разработка ресурсосберегающих технологий диффузионной сварки</t>
        </is>
      </c>
      <c r="C90" s="9" t="inlineStr">
        <is>
          <t>ЛК</t>
        </is>
      </c>
      <c r="D90" s="9" t="inlineStr">
        <is>
          <t>Т11О-103М-20</t>
        </is>
      </c>
      <c r="E90" s="10" t="n">
        <v>12</v>
      </c>
      <c r="F90" s="9" t="inlineStr">
        <is>
          <t>06203</t>
        </is>
      </c>
      <c r="G90" s="10" t="n">
        <v>12</v>
      </c>
      <c r="H90" s="9" t="inlineStr">
        <is>
          <t xml:space="preserve">82090     </t>
        </is>
      </c>
      <c r="I90" s="9" t="inlineStr">
        <is>
          <t xml:space="preserve">Барабанова Ольга Алексеевна </t>
        </is>
      </c>
      <c r="J90" s="9" t="n"/>
      <c r="K90" s="9" t="n"/>
      <c r="L90" s="9" t="inlineStr">
        <is>
          <t>пт с 13:00</t>
        </is>
      </c>
      <c r="M90" s="12">
        <f>SUMIFS($E$2:$E$1130,$A$2:$A$1130,"осень",$I$2:$I$1130,I90)</f>
        <v/>
      </c>
      <c r="N90" s="13">
        <f>SUMIFS($E$2:$E$1130,$A$2:$A$1130,"весна",$I$2:$I$1130,I90)</f>
        <v/>
      </c>
      <c r="O90" s="14">
        <f>M90+N90</f>
        <v/>
      </c>
      <c r="P90" s="15">
        <f>O90/$P$1</f>
        <v/>
      </c>
    </row>
    <row r="91" ht="15.75" customHeight="1" s="2">
      <c r="A91" s="117" t="inlineStr">
        <is>
          <t>осень</t>
        </is>
      </c>
      <c r="B91" s="9" t="inlineStr">
        <is>
          <t>Разработка ресурсосберегающих технологий диффузионной сварки</t>
        </is>
      </c>
      <c r="C91" s="9" t="inlineStr">
        <is>
          <t>Зачет с оценкой</t>
        </is>
      </c>
      <c r="D91" s="9" t="inlineStr">
        <is>
          <t>Т11О-103М-20</t>
        </is>
      </c>
      <c r="E91" s="10" t="n">
        <v>2</v>
      </c>
      <c r="F91" s="9" t="inlineStr">
        <is>
          <t>06203</t>
        </is>
      </c>
      <c r="G91" s="11" t="n">
        <v>0</v>
      </c>
      <c r="H91" s="9" t="inlineStr">
        <is>
          <t xml:space="preserve">82090     </t>
        </is>
      </c>
      <c r="I91" s="9" t="inlineStr">
        <is>
          <t xml:space="preserve">Барабанова Ольга Алексеевна </t>
        </is>
      </c>
      <c r="J91" s="9" t="n"/>
      <c r="K91" s="9" t="n"/>
      <c r="L91" s="9" t="inlineStr">
        <is>
          <t>пт с 13:00</t>
        </is>
      </c>
      <c r="M91" s="12">
        <f>SUMIFS($E$2:$E$1130,$A$2:$A$1130,"осень",$I$2:$I$1130,I91)</f>
        <v/>
      </c>
      <c r="N91" s="13">
        <f>SUMIFS($E$2:$E$1130,$A$2:$A$1130,"весна",$I$2:$I$1130,I91)</f>
        <v/>
      </c>
      <c r="O91" s="14">
        <f>M91+N91</f>
        <v/>
      </c>
      <c r="P91" s="15">
        <f>O91/$P$1</f>
        <v/>
      </c>
    </row>
    <row r="92" ht="15.75" customHeight="1" s="2">
      <c r="A92" s="117" t="inlineStr">
        <is>
          <t>осень</t>
        </is>
      </c>
      <c r="B92" s="9" t="inlineStr">
        <is>
          <t>Разработка ресурсосберегающих технологий диффузионной сварки</t>
        </is>
      </c>
      <c r="C92" s="9" t="inlineStr">
        <is>
          <t>ПЗ</t>
        </is>
      </c>
      <c r="D92" s="9" t="inlineStr">
        <is>
          <t>Т11О-103М-20</t>
        </is>
      </c>
      <c r="E92" s="10" t="n">
        <v>26</v>
      </c>
      <c r="F92" s="9" t="inlineStr">
        <is>
          <t>06203</t>
        </is>
      </c>
      <c r="G92" s="10" t="n">
        <v>26</v>
      </c>
      <c r="H92" s="9" t="inlineStr">
        <is>
          <t xml:space="preserve">82090     </t>
        </is>
      </c>
      <c r="I92" s="9" t="inlineStr">
        <is>
          <t xml:space="preserve">Барабанова Ольга Алексеевна </t>
        </is>
      </c>
      <c r="J92" s="9" t="n"/>
      <c r="K92" s="9" t="n"/>
      <c r="L92" s="9" t="inlineStr">
        <is>
          <t>пт с 13:00</t>
        </is>
      </c>
      <c r="M92" s="12">
        <f>SUMIFS($E$2:$E$1130,$A$2:$A$1130,"осень",$I$2:$I$1130,I92)</f>
        <v/>
      </c>
      <c r="N92" s="13">
        <f>SUMIFS($E$2:$E$1130,$A$2:$A$1130,"весна",$I$2:$I$1130,I92)</f>
        <v/>
      </c>
      <c r="O92" s="14">
        <f>M92+N92</f>
        <v/>
      </c>
      <c r="P92" s="15">
        <f>O92/$P$1</f>
        <v/>
      </c>
    </row>
    <row r="93" ht="15.75" customHeight="1" s="2">
      <c r="A93" s="117" t="inlineStr">
        <is>
          <t>осень</t>
        </is>
      </c>
      <c r="B93" s="9" t="inlineStr">
        <is>
          <t>Разработка ресурсосберегающих технологий диффузионной сварки</t>
        </is>
      </c>
      <c r="C93" s="9" t="inlineStr">
        <is>
          <t>Консультация</t>
        </is>
      </c>
      <c r="D93" s="9" t="inlineStr">
        <is>
          <t>Т11О-103М-20</t>
        </is>
      </c>
      <c r="E93" s="10" t="n">
        <v>1</v>
      </c>
      <c r="F93" s="9" t="inlineStr">
        <is>
          <t>06203</t>
        </is>
      </c>
      <c r="G93" s="11" t="n">
        <v>0</v>
      </c>
      <c r="H93" s="9" t="inlineStr">
        <is>
          <t xml:space="preserve">82090     </t>
        </is>
      </c>
      <c r="I93" s="9" t="inlineStr">
        <is>
          <t xml:space="preserve">Барабанова Ольга Алексеевна </t>
        </is>
      </c>
      <c r="J93" s="9" t="n"/>
      <c r="K93" s="9" t="n"/>
      <c r="L93" s="9" t="inlineStr">
        <is>
          <t>пт с 13:00</t>
        </is>
      </c>
      <c r="M93" s="12">
        <f>SUMIFS($E$2:$E$1130,$A$2:$A$1130,"осень",$I$2:$I$1130,I93)</f>
        <v/>
      </c>
      <c r="N93" s="13">
        <f>SUMIFS($E$2:$E$1130,$A$2:$A$1130,"весна",$I$2:$I$1130,I93)</f>
        <v/>
      </c>
      <c r="O93" s="14">
        <f>M93+N93</f>
        <v/>
      </c>
      <c r="P93" s="15">
        <f>O93/$P$1</f>
        <v/>
      </c>
    </row>
    <row r="94" ht="15.75" customHeight="1" s="2">
      <c r="A94" s="117" t="inlineStr">
        <is>
          <t>осень</t>
        </is>
      </c>
      <c r="B94" s="9" t="inlineStr">
        <is>
          <t>Документооборот в профессиональной деятельности</t>
        </is>
      </c>
      <c r="C94" s="9" t="inlineStr">
        <is>
          <t>ЛК</t>
        </is>
      </c>
      <c r="D94" s="9" t="inlineStr">
        <is>
          <t>Т11О-301Б-18, Т11О-302Б-18</t>
        </is>
      </c>
      <c r="E94" s="10" t="n">
        <v>18</v>
      </c>
      <c r="F94" s="9" t="inlineStr">
        <is>
          <t>08947</t>
        </is>
      </c>
      <c r="G94" s="10" t="n">
        <v>18</v>
      </c>
      <c r="H94" s="9" t="inlineStr">
        <is>
          <t xml:space="preserve">82021     </t>
        </is>
      </c>
      <c r="I94" s="9" t="inlineStr">
        <is>
          <t xml:space="preserve">Власенко Артем Николаевич </t>
        </is>
      </c>
      <c r="J94" s="9" t="n"/>
      <c r="K94" s="9" t="n"/>
      <c r="L94" s="9" t="inlineStr">
        <is>
          <t>кроме четверга</t>
        </is>
      </c>
      <c r="M94" s="12">
        <f>SUMIFS($E$2:$E$1130,$A$2:$A$1130,"осень",$I$2:$I$1130,I94)</f>
        <v/>
      </c>
      <c r="N94" s="13">
        <f>SUMIFS($E$2:$E$1130,$A$2:$A$1130,"весна",$I$2:$I$1130,I94)</f>
        <v/>
      </c>
      <c r="O94" s="14">
        <f>M94+N94</f>
        <v/>
      </c>
      <c r="P94" s="15">
        <f>O94/$P$1</f>
        <v/>
      </c>
    </row>
    <row r="95" ht="15.75" customHeight="1" s="2">
      <c r="A95" s="117" t="inlineStr">
        <is>
          <t>осень</t>
        </is>
      </c>
      <c r="B95" s="9" t="inlineStr">
        <is>
          <t>Документооборот в профессиональной деятельности</t>
        </is>
      </c>
      <c r="C95" s="9" t="inlineStr">
        <is>
          <t>ПЗ</t>
        </is>
      </c>
      <c r="D95" s="9" t="inlineStr">
        <is>
          <t>Т11О-301Б-18</t>
        </is>
      </c>
      <c r="E95" s="10" t="n">
        <v>18</v>
      </c>
      <c r="F95" s="9" t="inlineStr">
        <is>
          <t>08947</t>
        </is>
      </c>
      <c r="G95" s="10" t="n">
        <v>18</v>
      </c>
      <c r="H95" s="9" t="inlineStr">
        <is>
          <t xml:space="preserve">82021     </t>
        </is>
      </c>
      <c r="I95" s="9" t="inlineStr">
        <is>
          <t xml:space="preserve">Власенко Артем Николаевич </t>
        </is>
      </c>
      <c r="J95" s="9" t="n"/>
      <c r="K95" s="9" t="n"/>
      <c r="L95" s="9" t="inlineStr">
        <is>
          <t>кроме четверга</t>
        </is>
      </c>
      <c r="M95" s="12">
        <f>SUMIFS($E$2:$E$1130,$A$2:$A$1130,"осень",$I$2:$I$1130,I95)</f>
        <v/>
      </c>
      <c r="N95" s="13">
        <f>SUMIFS($E$2:$E$1130,$A$2:$A$1130,"весна",$I$2:$I$1130,I95)</f>
        <v/>
      </c>
      <c r="O95" s="14">
        <f>M95+N95</f>
        <v/>
      </c>
      <c r="P95" s="15">
        <f>O95/$P$1</f>
        <v/>
      </c>
    </row>
    <row r="96" ht="15.75" customHeight="1" s="2">
      <c r="A96" s="117" t="inlineStr">
        <is>
          <t>осень</t>
        </is>
      </c>
      <c r="B96" s="9" t="inlineStr">
        <is>
          <t>Документооборот в профессиональной деятельности</t>
        </is>
      </c>
      <c r="C96" s="9" t="inlineStr">
        <is>
          <t>ПЗ</t>
        </is>
      </c>
      <c r="D96" s="9" t="inlineStr">
        <is>
          <t>Т11О-302Б-18</t>
        </is>
      </c>
      <c r="E96" s="10" t="n">
        <v>18</v>
      </c>
      <c r="F96" s="9" t="inlineStr">
        <is>
          <t>08947</t>
        </is>
      </c>
      <c r="G96" s="10" t="n">
        <v>18</v>
      </c>
      <c r="H96" s="9" t="inlineStr">
        <is>
          <t xml:space="preserve">82021     </t>
        </is>
      </c>
      <c r="I96" s="9" t="inlineStr">
        <is>
          <t xml:space="preserve">Власенко Артем Николаевич </t>
        </is>
      </c>
      <c r="J96" s="9" t="n"/>
      <c r="K96" s="9" t="n"/>
      <c r="L96" s="9" t="inlineStr">
        <is>
          <t>кроме четверга</t>
        </is>
      </c>
      <c r="M96" s="12">
        <f>SUMIFS($E$2:$E$1130,$A$2:$A$1130,"осень",$I$2:$I$1130,I96)</f>
        <v/>
      </c>
      <c r="N96" s="13">
        <f>SUMIFS($E$2:$E$1130,$A$2:$A$1130,"весна",$I$2:$I$1130,I96)</f>
        <v/>
      </c>
      <c r="O96" s="14">
        <f>M96+N96</f>
        <v/>
      </c>
      <c r="P96" s="15">
        <f>O96/$P$1</f>
        <v/>
      </c>
    </row>
    <row r="97" ht="15.75" customHeight="1" s="2">
      <c r="A97" s="117" t="inlineStr">
        <is>
          <t>осень</t>
        </is>
      </c>
      <c r="B97" s="9" t="inlineStr">
        <is>
          <t>Документооборот в профессиональной деятельности</t>
        </is>
      </c>
      <c r="C97" s="9" t="inlineStr">
        <is>
          <t>Зачет</t>
        </is>
      </c>
      <c r="D97" s="9" t="inlineStr">
        <is>
          <t>Т11О-301Б-18</t>
        </is>
      </c>
      <c r="E97" s="10" t="n">
        <v>6</v>
      </c>
      <c r="F97" s="9" t="inlineStr">
        <is>
          <t>08947</t>
        </is>
      </c>
      <c r="G97" s="11" t="n">
        <v>0</v>
      </c>
      <c r="H97" s="9" t="inlineStr">
        <is>
          <t xml:space="preserve">82021     </t>
        </is>
      </c>
      <c r="I97" s="9" t="inlineStr">
        <is>
          <t xml:space="preserve">Власенко Артем Николаевич </t>
        </is>
      </c>
      <c r="J97" s="9" t="n"/>
      <c r="K97" s="9" t="n"/>
      <c r="L97" s="9" t="inlineStr">
        <is>
          <t>кроме четверга</t>
        </is>
      </c>
      <c r="M97" s="12">
        <f>SUMIFS($E$2:$E$1130,$A$2:$A$1130,"осень",$I$2:$I$1130,I97)</f>
        <v/>
      </c>
      <c r="N97" s="13">
        <f>SUMIFS($E$2:$E$1130,$A$2:$A$1130,"весна",$I$2:$I$1130,I97)</f>
        <v/>
      </c>
      <c r="O97" s="14">
        <f>M97+N97</f>
        <v/>
      </c>
      <c r="P97" s="15">
        <f>O97/$P$1</f>
        <v/>
      </c>
    </row>
    <row r="98" ht="15.75" customHeight="1" s="2">
      <c r="A98" s="117" t="inlineStr">
        <is>
          <t>осень</t>
        </is>
      </c>
      <c r="B98" s="9" t="inlineStr">
        <is>
          <t>Документооборот в профессиональной деятельности</t>
        </is>
      </c>
      <c r="C98" s="9" t="inlineStr">
        <is>
          <t>Зачет</t>
        </is>
      </c>
      <c r="D98" s="9" t="inlineStr">
        <is>
          <t>Т11О-302Б-18</t>
        </is>
      </c>
      <c r="E98" s="10" t="n">
        <v>5</v>
      </c>
      <c r="F98" s="9" t="inlineStr">
        <is>
          <t>08947</t>
        </is>
      </c>
      <c r="G98" s="11" t="n">
        <v>0</v>
      </c>
      <c r="H98" s="9" t="inlineStr">
        <is>
          <t xml:space="preserve">82021     </t>
        </is>
      </c>
      <c r="I98" s="9" t="inlineStr">
        <is>
          <t xml:space="preserve">Власенко Артем Николаевич </t>
        </is>
      </c>
      <c r="J98" s="9" t="n"/>
      <c r="K98" s="9" t="n"/>
      <c r="L98" s="9" t="inlineStr">
        <is>
          <t>кроме четверга</t>
        </is>
      </c>
      <c r="M98" s="12">
        <f>SUMIFS($E$2:$E$1130,$A$2:$A$1130,"осень",$I$2:$I$1130,I98)</f>
        <v/>
      </c>
      <c r="N98" s="13">
        <f>SUMIFS($E$2:$E$1130,$A$2:$A$1130,"весна",$I$2:$I$1130,I98)</f>
        <v/>
      </c>
      <c r="O98" s="14">
        <f>M98+N98</f>
        <v/>
      </c>
      <c r="P98" s="15">
        <f>O98/$P$1</f>
        <v/>
      </c>
    </row>
    <row r="99" ht="15.75" customHeight="1" s="2">
      <c r="A99" s="117" t="inlineStr">
        <is>
          <t>осень</t>
        </is>
      </c>
      <c r="B99" s="9" t="inlineStr">
        <is>
          <t>Документооборот в профессиональной деятельности</t>
        </is>
      </c>
      <c r="C99" s="9" t="inlineStr">
        <is>
          <t>Консультация</t>
        </is>
      </c>
      <c r="D99" s="9" t="inlineStr">
        <is>
          <t>Т11О-301Б-18</t>
        </is>
      </c>
      <c r="E99" s="10" t="n">
        <v>1</v>
      </c>
      <c r="F99" s="9" t="inlineStr">
        <is>
          <t>08947</t>
        </is>
      </c>
      <c r="G99" s="11" t="n">
        <v>0</v>
      </c>
      <c r="H99" s="9" t="inlineStr">
        <is>
          <t xml:space="preserve">82021     </t>
        </is>
      </c>
      <c r="I99" s="9" t="inlineStr">
        <is>
          <t xml:space="preserve">Власенко Артем Николаевич </t>
        </is>
      </c>
      <c r="J99" s="9" t="n"/>
      <c r="K99" s="9" t="n"/>
      <c r="L99" s="9" t="inlineStr">
        <is>
          <t>кроме четверга</t>
        </is>
      </c>
      <c r="M99" s="12">
        <f>SUMIFS($E$2:$E$1130,$A$2:$A$1130,"осень",$I$2:$I$1130,I99)</f>
        <v/>
      </c>
      <c r="N99" s="13">
        <f>SUMIFS($E$2:$E$1130,$A$2:$A$1130,"весна",$I$2:$I$1130,I99)</f>
        <v/>
      </c>
      <c r="O99" s="14">
        <f>M99+N99</f>
        <v/>
      </c>
      <c r="P99" s="15">
        <f>O99/$P$1</f>
        <v/>
      </c>
    </row>
    <row r="100" ht="15.75" customHeight="1" s="2">
      <c r="A100" s="117" t="inlineStr">
        <is>
          <t>осень</t>
        </is>
      </c>
      <c r="B100" s="9" t="inlineStr">
        <is>
          <t>Документооборот в профессиональной деятельности</t>
        </is>
      </c>
      <c r="C100" s="9" t="inlineStr">
        <is>
          <t>Консультация</t>
        </is>
      </c>
      <c r="D100" s="9" t="inlineStr">
        <is>
          <t>Т11О-302Б-18</t>
        </is>
      </c>
      <c r="E100" s="10" t="n">
        <v>1</v>
      </c>
      <c r="F100" s="9" t="inlineStr">
        <is>
          <t>08947</t>
        </is>
      </c>
      <c r="G100" s="11" t="n">
        <v>0</v>
      </c>
      <c r="H100" s="9" t="inlineStr">
        <is>
          <t xml:space="preserve">82021     </t>
        </is>
      </c>
      <c r="I100" s="9" t="inlineStr">
        <is>
          <t xml:space="preserve">Власенко Артем Николаевич </t>
        </is>
      </c>
      <c r="J100" s="9" t="n"/>
      <c r="K100" s="9" t="n"/>
      <c r="L100" s="9" t="inlineStr">
        <is>
          <t>кроме четверга</t>
        </is>
      </c>
      <c r="M100" s="12">
        <f>SUMIFS($E$2:$E$1130,$A$2:$A$1130,"осень",$I$2:$I$1130,I100)</f>
        <v/>
      </c>
      <c r="N100" s="13">
        <f>SUMIFS($E$2:$E$1130,$A$2:$A$1130,"весна",$I$2:$I$1130,I100)</f>
        <v/>
      </c>
      <c r="O100" s="14">
        <f>M100+N100</f>
        <v/>
      </c>
      <c r="P100" s="15">
        <f>O100/$P$1</f>
        <v/>
      </c>
    </row>
    <row r="101" ht="15.75" customHeight="1" s="2">
      <c r="A101" s="117" t="inlineStr">
        <is>
          <t>осень</t>
        </is>
      </c>
      <c r="B101" s="9" t="inlineStr">
        <is>
          <t>Моделирование и оптимизация технологических процессов</t>
        </is>
      </c>
      <c r="C101" s="9" t="inlineStr">
        <is>
          <t>ЛК</t>
        </is>
      </c>
      <c r="D101" s="9" t="inlineStr">
        <is>
          <t>Т11О-201М-19</t>
        </is>
      </c>
      <c r="E101" s="10" t="n">
        <v>18</v>
      </c>
      <c r="F101" s="9" t="inlineStr">
        <is>
          <t>04489</t>
        </is>
      </c>
      <c r="G101" s="10" t="n">
        <v>18</v>
      </c>
      <c r="H101" s="9" t="inlineStr">
        <is>
          <t xml:space="preserve">81722     </t>
        </is>
      </c>
      <c r="I101" s="9" t="inlineStr">
        <is>
          <t xml:space="preserve">Шленский Алексей Геннадьевич </t>
        </is>
      </c>
      <c r="J101" s="9" t="inlineStr">
        <is>
          <t>доцент</t>
        </is>
      </c>
      <c r="K101" s="9" t="n"/>
      <c r="L101" s="9" t="inlineStr">
        <is>
          <t>525 А</t>
        </is>
      </c>
      <c r="M101" s="12">
        <f>SUMIFS($E$2:$E$1130,$A$2:$A$1130,"осень",$I$2:$I$1130,I101)</f>
        <v/>
      </c>
      <c r="N101" s="13">
        <f>SUMIFS($E$2:$E$1130,$A$2:$A$1130,"весна",$I$2:$I$1130,I101)</f>
        <v/>
      </c>
      <c r="O101" s="14">
        <f>M101+N101</f>
        <v/>
      </c>
      <c r="P101" s="15">
        <f>O101/$P$1</f>
        <v/>
      </c>
    </row>
    <row r="102" ht="15.75" customHeight="1" s="2">
      <c r="A102" s="117" t="inlineStr">
        <is>
          <t>осень</t>
        </is>
      </c>
      <c r="B102" s="9" t="inlineStr">
        <is>
          <t>Моделирование и оптимизация технологических процессов</t>
        </is>
      </c>
      <c r="C102" s="9" t="inlineStr">
        <is>
          <t>КР</t>
        </is>
      </c>
      <c r="D102" s="9" t="inlineStr">
        <is>
          <t>Т11О-201М-19</t>
        </is>
      </c>
      <c r="E102" s="10" t="n">
        <v>21</v>
      </c>
      <c r="F102" s="9" t="inlineStr">
        <is>
          <t>04489</t>
        </is>
      </c>
      <c r="G102" s="11" t="n">
        <v>0</v>
      </c>
      <c r="H102" s="9" t="inlineStr">
        <is>
          <t xml:space="preserve">81722     </t>
        </is>
      </c>
      <c r="I102" s="9" t="inlineStr">
        <is>
          <t xml:space="preserve">Шленский Алексей Геннадьевич </t>
        </is>
      </c>
      <c r="J102" s="9" t="inlineStr">
        <is>
          <t>доцент</t>
        </is>
      </c>
      <c r="K102" s="9" t="n"/>
      <c r="L102" s="9" t="inlineStr">
        <is>
          <t>525 А</t>
        </is>
      </c>
      <c r="M102" s="12">
        <f>SUMIFS($E$2:$E$1130,$A$2:$A$1130,"осень",$I$2:$I$1130,I102)</f>
        <v/>
      </c>
      <c r="N102" s="13">
        <f>SUMIFS($E$2:$E$1130,$A$2:$A$1130,"весна",$I$2:$I$1130,I102)</f>
        <v/>
      </c>
      <c r="O102" s="14">
        <f>M102+N102</f>
        <v/>
      </c>
      <c r="P102" s="15">
        <f>O102/$P$1</f>
        <v/>
      </c>
    </row>
    <row r="103" ht="15.75" customHeight="1" s="2">
      <c r="A103" s="117" t="inlineStr">
        <is>
          <t>осень</t>
        </is>
      </c>
      <c r="B103" s="9" t="inlineStr">
        <is>
          <t>Моделирование и оптимизация технологических процессов</t>
        </is>
      </c>
      <c r="C103" s="9" t="inlineStr">
        <is>
          <t>Зачет с оценкой</t>
        </is>
      </c>
      <c r="D103" s="9" t="inlineStr">
        <is>
          <t>Т11О-201М-19</t>
        </is>
      </c>
      <c r="E103" s="10" t="n">
        <v>2</v>
      </c>
      <c r="F103" s="9" t="inlineStr">
        <is>
          <t>04489</t>
        </is>
      </c>
      <c r="G103" s="11" t="n">
        <v>0</v>
      </c>
      <c r="H103" s="9" t="inlineStr">
        <is>
          <t xml:space="preserve">81722     </t>
        </is>
      </c>
      <c r="I103" s="9" t="inlineStr">
        <is>
          <t xml:space="preserve">Шленский Алексей Геннадьевич </t>
        </is>
      </c>
      <c r="J103" s="9" t="inlineStr">
        <is>
          <t>доцент</t>
        </is>
      </c>
      <c r="K103" s="9" t="n"/>
      <c r="L103" s="9" t="inlineStr">
        <is>
          <t>525 А</t>
        </is>
      </c>
      <c r="M103" s="12">
        <f>SUMIFS($E$2:$E$1130,$A$2:$A$1130,"осень",$I$2:$I$1130,I103)</f>
        <v/>
      </c>
      <c r="N103" s="13">
        <f>SUMIFS($E$2:$E$1130,$A$2:$A$1130,"весна",$I$2:$I$1130,I103)</f>
        <v/>
      </c>
      <c r="O103" s="14">
        <f>M103+N103</f>
        <v/>
      </c>
      <c r="P103" s="15">
        <f>O103/$P$1</f>
        <v/>
      </c>
    </row>
    <row r="104" ht="15.75" customHeight="1" s="2">
      <c r="A104" s="117" t="inlineStr">
        <is>
          <t>осень</t>
        </is>
      </c>
      <c r="B104" s="9" t="inlineStr">
        <is>
          <t>Моделирование и оптимизация технологических процессов</t>
        </is>
      </c>
      <c r="C104" s="9" t="inlineStr">
        <is>
          <t>ПЗ</t>
        </is>
      </c>
      <c r="D104" s="9" t="inlineStr">
        <is>
          <t>Т11О-201М-19</t>
        </is>
      </c>
      <c r="E104" s="10" t="n">
        <v>62</v>
      </c>
      <c r="F104" s="9" t="inlineStr">
        <is>
          <t>04489</t>
        </is>
      </c>
      <c r="G104" s="10" t="n">
        <v>62</v>
      </c>
      <c r="H104" s="9" t="inlineStr">
        <is>
          <t xml:space="preserve">81722     </t>
        </is>
      </c>
      <c r="I104" s="9" t="inlineStr">
        <is>
          <t xml:space="preserve">Шленский Алексей Геннадьевич </t>
        </is>
      </c>
      <c r="J104" s="9" t="inlineStr">
        <is>
          <t>доцент</t>
        </is>
      </c>
      <c r="K104" s="9" t="n"/>
      <c r="L104" s="9" t="inlineStr">
        <is>
          <t>525 А</t>
        </is>
      </c>
      <c r="M104" s="12">
        <f>SUMIFS($E$2:$E$1130,$A$2:$A$1130,"осень",$I$2:$I$1130,I104)</f>
        <v/>
      </c>
      <c r="N104" s="13">
        <f>SUMIFS($E$2:$E$1130,$A$2:$A$1130,"весна",$I$2:$I$1130,I104)</f>
        <v/>
      </c>
      <c r="O104" s="14">
        <f>M104+N104</f>
        <v/>
      </c>
      <c r="P104" s="15">
        <f>O104/$P$1</f>
        <v/>
      </c>
    </row>
    <row r="105" ht="15.75" customHeight="1" s="2">
      <c r="A105" s="117" t="inlineStr">
        <is>
          <t>осень</t>
        </is>
      </c>
      <c r="B105" s="9" t="inlineStr">
        <is>
          <t>Моделирование и оптимизация технологических процессов</t>
        </is>
      </c>
      <c r="C105" s="9" t="inlineStr">
        <is>
          <t>Консультация</t>
        </is>
      </c>
      <c r="D105" s="9" t="inlineStr">
        <is>
          <t>Т11О-201М-19</t>
        </is>
      </c>
      <c r="E105" s="10" t="n">
        <v>1</v>
      </c>
      <c r="F105" s="9" t="inlineStr">
        <is>
          <t>04489</t>
        </is>
      </c>
      <c r="G105" s="11" t="n">
        <v>0</v>
      </c>
      <c r="H105" s="9" t="inlineStr">
        <is>
          <t xml:space="preserve">81722     </t>
        </is>
      </c>
      <c r="I105" s="9" t="inlineStr">
        <is>
          <t xml:space="preserve">Шленский Алексей Геннадьевич </t>
        </is>
      </c>
      <c r="J105" s="9" t="inlineStr">
        <is>
          <t>доцент</t>
        </is>
      </c>
      <c r="K105" s="9" t="n"/>
      <c r="L105" s="9" t="inlineStr">
        <is>
          <t>525 А</t>
        </is>
      </c>
      <c r="M105" s="12">
        <f>SUMIFS($E$2:$E$1130,$A$2:$A$1130,"осень",$I$2:$I$1130,I105)</f>
        <v/>
      </c>
      <c r="N105" s="13">
        <f>SUMIFS($E$2:$E$1130,$A$2:$A$1130,"весна",$I$2:$I$1130,I105)</f>
        <v/>
      </c>
      <c r="O105" s="14">
        <f>M105+N105</f>
        <v/>
      </c>
      <c r="P105" s="15">
        <f>O105/$P$1</f>
        <v/>
      </c>
    </row>
    <row r="106" ht="15.75" customHeight="1" s="2">
      <c r="A106" s="117" t="inlineStr">
        <is>
          <t>осень</t>
        </is>
      </c>
      <c r="B106" s="9" t="inlineStr">
        <is>
          <t>Физико-математическое моделирование процессов обработки металлов давлением</t>
        </is>
      </c>
      <c r="C106" s="9" t="inlineStr">
        <is>
          <t>ЛК</t>
        </is>
      </c>
      <c r="D106" s="9" t="inlineStr">
        <is>
          <t>Т11О-201М-19</t>
        </is>
      </c>
      <c r="E106" s="10" t="n">
        <v>12</v>
      </c>
      <c r="F106" s="9" t="inlineStr">
        <is>
          <t>04489</t>
        </is>
      </c>
      <c r="G106" s="10" t="n">
        <v>12</v>
      </c>
      <c r="H106" s="9" t="inlineStr">
        <is>
          <t xml:space="preserve">81732     </t>
        </is>
      </c>
      <c r="I106" s="9" t="inlineStr">
        <is>
          <t xml:space="preserve">Петров Анатолий Павлович </t>
        </is>
      </c>
      <c r="J106" s="9" t="inlineStr">
        <is>
          <t>профессор</t>
        </is>
      </c>
      <c r="K106" s="9" t="n"/>
      <c r="L106" s="9" t="inlineStr">
        <is>
          <t>кроме среды и первой пары понедельника (525 А)</t>
        </is>
      </c>
      <c r="M106" s="12">
        <f>SUMIFS($E$2:$E$1130,$A$2:$A$1130,"осень",$I$2:$I$1130,I106)</f>
        <v/>
      </c>
      <c r="N106" s="13">
        <f>SUMIFS($E$2:$E$1130,$A$2:$A$1130,"весна",$I$2:$I$1130,I106)</f>
        <v/>
      </c>
      <c r="O106" s="14">
        <f>M106+N106</f>
        <v/>
      </c>
      <c r="P106" s="15">
        <f>O106/$P$1</f>
        <v/>
      </c>
    </row>
    <row r="107" ht="15.75" customHeight="1" s="2">
      <c r="A107" s="117" t="inlineStr">
        <is>
          <t>осень</t>
        </is>
      </c>
      <c r="B107" s="9" t="inlineStr">
        <is>
          <t>Физико-математическое моделирование процессов обработки металлов давлением</t>
        </is>
      </c>
      <c r="C107" s="9" t="inlineStr">
        <is>
          <t>ПЗ</t>
        </is>
      </c>
      <c r="D107" s="9" t="inlineStr">
        <is>
          <t>Т11О-201М-19</t>
        </is>
      </c>
      <c r="E107" s="10" t="n">
        <v>42</v>
      </c>
      <c r="F107" s="9" t="inlineStr">
        <is>
          <t>04489</t>
        </is>
      </c>
      <c r="G107" s="10" t="n">
        <v>42</v>
      </c>
      <c r="H107" s="9" t="inlineStr">
        <is>
          <t xml:space="preserve">81732     </t>
        </is>
      </c>
      <c r="I107" s="9" t="inlineStr">
        <is>
          <t xml:space="preserve">Петров Анатолий Павлович </t>
        </is>
      </c>
      <c r="J107" s="9" t="inlineStr">
        <is>
          <t>профессор</t>
        </is>
      </c>
      <c r="K107" s="9" t="n"/>
      <c r="L107" s="9" t="inlineStr">
        <is>
          <t>кроме среды и первой пары понедельника (525 А)</t>
        </is>
      </c>
      <c r="M107" s="12">
        <f>SUMIFS($E$2:$E$1130,$A$2:$A$1130,"осень",$I$2:$I$1130,I107)</f>
        <v/>
      </c>
      <c r="N107" s="13">
        <f>SUMIFS($E$2:$E$1130,$A$2:$A$1130,"весна",$I$2:$I$1130,I107)</f>
        <v/>
      </c>
      <c r="O107" s="14">
        <f>M107+N107</f>
        <v/>
      </c>
      <c r="P107" s="15">
        <f>O107/$P$1</f>
        <v/>
      </c>
    </row>
    <row r="108" ht="15.75" customHeight="1" s="2">
      <c r="A108" s="117" t="inlineStr">
        <is>
          <t>осень</t>
        </is>
      </c>
      <c r="B108" s="9" t="inlineStr">
        <is>
          <t>Физико-математическое моделирование процессов обработки металлов давлением</t>
        </is>
      </c>
      <c r="C108" s="9" t="inlineStr">
        <is>
          <t>Экзамен</t>
        </is>
      </c>
      <c r="D108" s="9" t="inlineStr">
        <is>
          <t>Т11О-201М-19</t>
        </is>
      </c>
      <c r="E108" s="10" t="n">
        <v>4</v>
      </c>
      <c r="F108" s="9" t="inlineStr">
        <is>
          <t>04489</t>
        </is>
      </c>
      <c r="G108" s="11" t="n">
        <v>0</v>
      </c>
      <c r="H108" s="9" t="inlineStr">
        <is>
          <t xml:space="preserve">81732     </t>
        </is>
      </c>
      <c r="I108" s="9" t="inlineStr">
        <is>
          <t xml:space="preserve">Петров Анатолий Павлович </t>
        </is>
      </c>
      <c r="J108" s="9" t="inlineStr">
        <is>
          <t>профессор</t>
        </is>
      </c>
      <c r="K108" s="9" t="n"/>
      <c r="L108" s="9" t="inlineStr">
        <is>
          <t>кроме среды и первой пары понедельника (525 А)</t>
        </is>
      </c>
      <c r="M108" s="12">
        <f>SUMIFS($E$2:$E$1130,$A$2:$A$1130,"осень",$I$2:$I$1130,I108)</f>
        <v/>
      </c>
      <c r="N108" s="13">
        <f>SUMIFS($E$2:$E$1130,$A$2:$A$1130,"весна",$I$2:$I$1130,I108)</f>
        <v/>
      </c>
      <c r="O108" s="14">
        <f>M108+N108</f>
        <v/>
      </c>
      <c r="P108" s="15">
        <f>O108/$P$1</f>
        <v/>
      </c>
    </row>
    <row r="109" ht="15.75" customHeight="1" s="2">
      <c r="A109" s="117" t="inlineStr">
        <is>
          <t>осень</t>
        </is>
      </c>
      <c r="B109" s="9" t="inlineStr">
        <is>
          <t>Физико-математическое моделирование процессов обработки металлов давлением</t>
        </is>
      </c>
      <c r="C109" s="9" t="inlineStr">
        <is>
          <t>Консультация</t>
        </is>
      </c>
      <c r="D109" s="9" t="inlineStr">
        <is>
          <t>Т11О-201М-19</t>
        </is>
      </c>
      <c r="E109" s="10" t="n">
        <v>3</v>
      </c>
      <c r="F109" s="9" t="inlineStr">
        <is>
          <t>04489</t>
        </is>
      </c>
      <c r="G109" s="11" t="n">
        <v>0</v>
      </c>
      <c r="H109" s="9" t="inlineStr">
        <is>
          <t xml:space="preserve">81732     </t>
        </is>
      </c>
      <c r="I109" s="9" t="inlineStr">
        <is>
          <t xml:space="preserve">Петров Анатолий Павлович </t>
        </is>
      </c>
      <c r="J109" s="9" t="inlineStr">
        <is>
          <t>профессор</t>
        </is>
      </c>
      <c r="K109" s="9" t="n"/>
      <c r="L109" s="9" t="inlineStr">
        <is>
          <t>кроме среды и первой пары понедельника (525 А)</t>
        </is>
      </c>
      <c r="M109" s="12">
        <f>SUMIFS($E$2:$E$1130,$A$2:$A$1130,"осень",$I$2:$I$1130,I109)</f>
        <v/>
      </c>
      <c r="N109" s="13">
        <f>SUMIFS($E$2:$E$1130,$A$2:$A$1130,"весна",$I$2:$I$1130,I109)</f>
        <v/>
      </c>
      <c r="O109" s="14">
        <f>M109+N109</f>
        <v/>
      </c>
      <c r="P109" s="15">
        <f>O109/$P$1</f>
        <v/>
      </c>
    </row>
    <row r="110" ht="15.75" customHeight="1" s="2">
      <c r="A110" s="117" t="inlineStr">
        <is>
          <t>осень</t>
        </is>
      </c>
      <c r="B110" s="9" t="inlineStr">
        <is>
          <t>Физика и техника высоких давлений</t>
        </is>
      </c>
      <c r="C110" s="9" t="inlineStr">
        <is>
          <t>ЛК</t>
        </is>
      </c>
      <c r="D110" s="9" t="inlineStr">
        <is>
          <t>Т11О-201М-19</t>
        </is>
      </c>
      <c r="E110" s="10" t="n">
        <v>18</v>
      </c>
      <c r="F110" s="9" t="inlineStr">
        <is>
          <t>04489</t>
        </is>
      </c>
      <c r="G110" s="10" t="n">
        <v>18</v>
      </c>
      <c r="H110" s="9" t="inlineStr">
        <is>
          <t xml:space="preserve">81730     </t>
        </is>
      </c>
      <c r="I110" s="9" t="inlineStr">
        <is>
          <t>Федоров Анатолий Александрович</t>
        </is>
      </c>
      <c r="J110" s="9" t="inlineStr">
        <is>
          <t>профессор</t>
        </is>
      </c>
      <c r="K110" s="9" t="n"/>
      <c r="L110" s="9" t="n"/>
      <c r="M110" s="12">
        <f>SUMIFS($E$2:$E$1130,$A$2:$A$1130,"осень",$I$2:$I$1130,I110)</f>
        <v/>
      </c>
      <c r="N110" s="13">
        <f>SUMIFS($E$2:$E$1130,$A$2:$A$1130,"весна",$I$2:$I$1130,I110)</f>
        <v/>
      </c>
      <c r="O110" s="14">
        <f>M110+N110</f>
        <v/>
      </c>
      <c r="P110" s="15">
        <f>O110/$P$1</f>
        <v/>
      </c>
    </row>
    <row r="111" ht="15.75" customHeight="1" s="2">
      <c r="A111" s="117" t="inlineStr">
        <is>
          <t>осень</t>
        </is>
      </c>
      <c r="B111" s="9" t="inlineStr">
        <is>
          <t>Физика и техника высоких давлений</t>
        </is>
      </c>
      <c r="C111" s="9" t="inlineStr">
        <is>
          <t>ПЗ</t>
        </is>
      </c>
      <c r="D111" s="9" t="inlineStr">
        <is>
          <t>Т11О-201М-19</t>
        </is>
      </c>
      <c r="E111" s="10" t="n">
        <v>36</v>
      </c>
      <c r="F111" s="9" t="inlineStr">
        <is>
          <t>04489</t>
        </is>
      </c>
      <c r="G111" s="10" t="n">
        <v>36</v>
      </c>
      <c r="H111" s="9" t="inlineStr">
        <is>
          <t xml:space="preserve">81730     </t>
        </is>
      </c>
      <c r="I111" s="9" t="inlineStr">
        <is>
          <t>Федоров Анатолий Александрович</t>
        </is>
      </c>
      <c r="J111" s="9" t="inlineStr">
        <is>
          <t>профессор</t>
        </is>
      </c>
      <c r="K111" s="9" t="n"/>
      <c r="L111" s="9" t="n"/>
      <c r="M111" s="12">
        <f>SUMIFS($E$2:$E$1130,$A$2:$A$1130,"осень",$I$2:$I$1130,I111)</f>
        <v/>
      </c>
      <c r="N111" s="13">
        <f>SUMIFS($E$2:$E$1130,$A$2:$A$1130,"весна",$I$2:$I$1130,I111)</f>
        <v/>
      </c>
      <c r="O111" s="14">
        <f>M111+N111</f>
        <v/>
      </c>
      <c r="P111" s="15">
        <f>O111/$P$1</f>
        <v/>
      </c>
    </row>
    <row r="112" ht="15.75" customHeight="1" s="2">
      <c r="A112" s="117" t="inlineStr">
        <is>
          <t>осень</t>
        </is>
      </c>
      <c r="B112" s="9" t="inlineStr">
        <is>
          <t>Физика и техника высоких давлений</t>
        </is>
      </c>
      <c r="C112" s="9" t="inlineStr">
        <is>
          <t>Экзамен</t>
        </is>
      </c>
      <c r="D112" s="9" t="inlineStr">
        <is>
          <t>Т11О-201М-19</t>
        </is>
      </c>
      <c r="E112" s="10" t="n">
        <v>4</v>
      </c>
      <c r="F112" s="9" t="inlineStr">
        <is>
          <t>04489</t>
        </is>
      </c>
      <c r="G112" s="11" t="n">
        <v>0</v>
      </c>
      <c r="H112" s="9" t="inlineStr">
        <is>
          <t xml:space="preserve">81730     </t>
        </is>
      </c>
      <c r="I112" s="9" t="inlineStr">
        <is>
          <t>Федоров Анатолий Александрович</t>
        </is>
      </c>
      <c r="J112" s="9" t="inlineStr">
        <is>
          <t>профессор</t>
        </is>
      </c>
      <c r="K112" s="9" t="n"/>
      <c r="L112" s="9" t="n"/>
      <c r="M112" s="12">
        <f>SUMIFS($E$2:$E$1130,$A$2:$A$1130,"осень",$I$2:$I$1130,I112)</f>
        <v/>
      </c>
      <c r="N112" s="13">
        <f>SUMIFS($E$2:$E$1130,$A$2:$A$1130,"весна",$I$2:$I$1130,I112)</f>
        <v/>
      </c>
      <c r="O112" s="14">
        <f>M112+N112</f>
        <v/>
      </c>
      <c r="P112" s="15">
        <f>O112/$P$1</f>
        <v/>
      </c>
    </row>
    <row r="113" ht="15.75" customHeight="1" s="2">
      <c r="A113" s="117" t="inlineStr">
        <is>
          <t>осень</t>
        </is>
      </c>
      <c r="B113" s="9" t="inlineStr">
        <is>
          <t>Физика и техника высоких давлений</t>
        </is>
      </c>
      <c r="C113" s="9" t="inlineStr">
        <is>
          <t>Консультация</t>
        </is>
      </c>
      <c r="D113" s="9" t="inlineStr">
        <is>
          <t>Т11О-201М-19</t>
        </is>
      </c>
      <c r="E113" s="10" t="n">
        <v>3</v>
      </c>
      <c r="F113" s="9" t="inlineStr">
        <is>
          <t>04489</t>
        </is>
      </c>
      <c r="G113" s="11" t="n">
        <v>0</v>
      </c>
      <c r="H113" s="9" t="inlineStr">
        <is>
          <t xml:space="preserve">81730     </t>
        </is>
      </c>
      <c r="I113" s="9" t="inlineStr">
        <is>
          <t>Федоров Анатолий Александрович</t>
        </is>
      </c>
      <c r="J113" s="9" t="inlineStr">
        <is>
          <t>профессор</t>
        </is>
      </c>
      <c r="K113" s="9" t="n"/>
      <c r="L113" s="9" t="n"/>
      <c r="M113" s="12">
        <f>SUMIFS($E$2:$E$1130,$A$2:$A$1130,"осень",$I$2:$I$1130,I113)</f>
        <v/>
      </c>
      <c r="N113" s="13">
        <f>SUMIFS($E$2:$E$1130,$A$2:$A$1130,"весна",$I$2:$I$1130,I113)</f>
        <v/>
      </c>
      <c r="O113" s="14">
        <f>M113+N113</f>
        <v/>
      </c>
      <c r="P113" s="15">
        <f>O113/$P$1</f>
        <v/>
      </c>
    </row>
    <row r="114" ht="15.75" customHeight="1" s="2">
      <c r="A114" s="117" t="inlineStr">
        <is>
          <t>осень</t>
        </is>
      </c>
      <c r="B114" s="9" t="inlineStr">
        <is>
          <t>Основы автоматизации технологических процессов</t>
        </is>
      </c>
      <c r="C114" s="9" t="inlineStr">
        <is>
          <t>ЛК</t>
        </is>
      </c>
      <c r="D114" s="9" t="inlineStr">
        <is>
          <t>Т11О-301Б-18, Т11О-302Б-18, Т11О-305Б-18, Т11О-306Б-18, Т11О-307Б-18, Т11О-308Б-18</t>
        </is>
      </c>
      <c r="E114" s="10" t="n">
        <v>24</v>
      </c>
      <c r="F114" s="9" t="inlineStr">
        <is>
          <t>09898</t>
        </is>
      </c>
      <c r="G114" s="10" t="n">
        <v>24</v>
      </c>
      <c r="H114" s="9" t="inlineStr">
        <is>
          <t xml:space="preserve">81716     </t>
        </is>
      </c>
      <c r="I114" s="9" t="inlineStr">
        <is>
          <t xml:space="preserve">Жаров Максим Владимирович </t>
        </is>
      </c>
      <c r="J114" s="9" t="inlineStr">
        <is>
          <t>доцент</t>
        </is>
      </c>
      <c r="K114" s="9" t="n"/>
      <c r="L114" s="9" t="inlineStr">
        <is>
          <t>по первым неделям</t>
        </is>
      </c>
      <c r="M114" s="12">
        <f>SUMIFS($E$2:$E$1130,$A$2:$A$1130,"осень",$I$2:$I$1130,I114)</f>
        <v/>
      </c>
      <c r="N114" s="13">
        <f>SUMIFS($E$2:$E$1130,$A$2:$A$1130,"весна",$I$2:$I$1130,I114)</f>
        <v/>
      </c>
      <c r="O114" s="14">
        <f>M114+N114</f>
        <v/>
      </c>
      <c r="P114" s="15">
        <f>O114/$P$1</f>
        <v/>
      </c>
    </row>
    <row r="115" ht="15.75" customHeight="1" s="2">
      <c r="A115" s="117" t="inlineStr">
        <is>
          <t>осень</t>
        </is>
      </c>
      <c r="B115" s="9" t="inlineStr">
        <is>
          <t>Основы автоматизации технологических процессов</t>
        </is>
      </c>
      <c r="C115" s="9" t="inlineStr">
        <is>
          <t>Зачет с оценкой</t>
        </is>
      </c>
      <c r="D115" s="9" t="inlineStr">
        <is>
          <t>Т11О-301Б-18</t>
        </is>
      </c>
      <c r="E115" s="10" t="n">
        <v>6</v>
      </c>
      <c r="F115" s="9" t="inlineStr">
        <is>
          <t>09898</t>
        </is>
      </c>
      <c r="G115" s="11" t="n">
        <v>0</v>
      </c>
      <c r="H115" s="9" t="inlineStr">
        <is>
          <t xml:space="preserve">81716     </t>
        </is>
      </c>
      <c r="I115" s="9" t="inlineStr">
        <is>
          <t xml:space="preserve">Жаров Максим Владимирович </t>
        </is>
      </c>
      <c r="J115" s="9" t="inlineStr">
        <is>
          <t>доцент</t>
        </is>
      </c>
      <c r="K115" s="9" t="n"/>
      <c r="L115" s="9" t="inlineStr">
        <is>
          <t>по первым неделям</t>
        </is>
      </c>
      <c r="M115" s="12">
        <f>SUMIFS($E$2:$E$1130,$A$2:$A$1130,"осень",$I$2:$I$1130,I115)</f>
        <v/>
      </c>
      <c r="N115" s="13">
        <f>SUMIFS($E$2:$E$1130,$A$2:$A$1130,"весна",$I$2:$I$1130,I115)</f>
        <v/>
      </c>
      <c r="O115" s="14">
        <f>M115+N115</f>
        <v/>
      </c>
      <c r="P115" s="15">
        <f>O115/$P$1</f>
        <v/>
      </c>
    </row>
    <row r="116" ht="15.75" customHeight="1" s="2">
      <c r="A116" s="117" t="inlineStr">
        <is>
          <t>осень</t>
        </is>
      </c>
      <c r="B116" s="9" t="inlineStr">
        <is>
          <t>Основы автоматизации технологических процессов</t>
        </is>
      </c>
      <c r="C116" s="9" t="inlineStr">
        <is>
          <t>Зачет с оценкой</t>
        </is>
      </c>
      <c r="D116" s="9" t="inlineStr">
        <is>
          <t>Т11О-302Б-18</t>
        </is>
      </c>
      <c r="E116" s="10" t="n">
        <v>5</v>
      </c>
      <c r="F116" s="9" t="inlineStr">
        <is>
          <t>09898</t>
        </is>
      </c>
      <c r="G116" s="11" t="n">
        <v>0</v>
      </c>
      <c r="H116" s="9" t="inlineStr">
        <is>
          <t xml:space="preserve">81716     </t>
        </is>
      </c>
      <c r="I116" s="9" t="inlineStr">
        <is>
          <t xml:space="preserve">Жаров Максим Владимирович </t>
        </is>
      </c>
      <c r="J116" s="9" t="inlineStr">
        <is>
          <t>доцент</t>
        </is>
      </c>
      <c r="K116" s="9" t="n"/>
      <c r="L116" s="9" t="inlineStr">
        <is>
          <t>по первым неделям</t>
        </is>
      </c>
      <c r="M116" s="12">
        <f>SUMIFS($E$2:$E$1130,$A$2:$A$1130,"осень",$I$2:$I$1130,I116)</f>
        <v/>
      </c>
      <c r="N116" s="13">
        <f>SUMIFS($E$2:$E$1130,$A$2:$A$1130,"весна",$I$2:$I$1130,I116)</f>
        <v/>
      </c>
      <c r="O116" s="14">
        <f>M116+N116</f>
        <v/>
      </c>
      <c r="P116" s="15">
        <f>O116/$P$1</f>
        <v/>
      </c>
    </row>
    <row r="117" ht="15.75" customHeight="1" s="2">
      <c r="A117" s="117" t="inlineStr">
        <is>
          <t>осень</t>
        </is>
      </c>
      <c r="B117" s="9" t="inlineStr">
        <is>
          <t>Основы автоматизации технологических процессов</t>
        </is>
      </c>
      <c r="C117" s="9" t="inlineStr">
        <is>
          <t>ПЗ</t>
        </is>
      </c>
      <c r="D117" s="9" t="inlineStr">
        <is>
          <t>Т11О-306Б-18</t>
        </is>
      </c>
      <c r="E117" s="10" t="n">
        <v>8</v>
      </c>
      <c r="F117" s="9" t="inlineStr">
        <is>
          <t>09898</t>
        </is>
      </c>
      <c r="G117" s="10" t="n">
        <v>8</v>
      </c>
      <c r="H117" s="9" t="inlineStr">
        <is>
          <t xml:space="preserve">81716     </t>
        </is>
      </c>
      <c r="I117" s="9" t="inlineStr">
        <is>
          <t xml:space="preserve">Жаров Максим Владимирович </t>
        </is>
      </c>
      <c r="J117" s="9" t="inlineStr">
        <is>
          <t>доцент</t>
        </is>
      </c>
      <c r="K117" s="9" t="n"/>
      <c r="L117" s="9" t="inlineStr">
        <is>
          <t>по первым неделям</t>
        </is>
      </c>
      <c r="M117" s="12">
        <f>SUMIFS($E$2:$E$1130,$A$2:$A$1130,"осень",$I$2:$I$1130,I117)</f>
        <v/>
      </c>
      <c r="N117" s="13">
        <f>SUMIFS($E$2:$E$1130,$A$2:$A$1130,"весна",$I$2:$I$1130,I117)</f>
        <v/>
      </c>
      <c r="O117" s="14">
        <f>M117+N117</f>
        <v/>
      </c>
      <c r="P117" s="15">
        <f>O117/$P$1</f>
        <v/>
      </c>
    </row>
    <row r="118" ht="15.75" customHeight="1" s="2">
      <c r="A118" s="117" t="inlineStr">
        <is>
          <t>осень</t>
        </is>
      </c>
      <c r="B118" s="9" t="inlineStr">
        <is>
          <t>Основы автоматизации технологических процессов</t>
        </is>
      </c>
      <c r="C118" s="9" t="inlineStr">
        <is>
          <t>ПЗ</t>
        </is>
      </c>
      <c r="D118" s="9" t="inlineStr">
        <is>
          <t>Т11О-307Б-18</t>
        </is>
      </c>
      <c r="E118" s="10" t="n">
        <v>8</v>
      </c>
      <c r="F118" s="9" t="inlineStr">
        <is>
          <t>09898</t>
        </is>
      </c>
      <c r="G118" s="10" t="n">
        <v>8</v>
      </c>
      <c r="H118" s="9" t="inlineStr">
        <is>
          <t xml:space="preserve">81716     </t>
        </is>
      </c>
      <c r="I118" s="9" t="inlineStr">
        <is>
          <t xml:space="preserve">Жаров Максим Владимирович </t>
        </is>
      </c>
      <c r="J118" s="9" t="inlineStr">
        <is>
          <t>доцент</t>
        </is>
      </c>
      <c r="K118" s="9" t="n"/>
      <c r="L118" s="9" t="inlineStr">
        <is>
          <t>по первым неделям</t>
        </is>
      </c>
      <c r="M118" s="12">
        <f>SUMIFS($E$2:$E$1130,$A$2:$A$1130,"осень",$I$2:$I$1130,I118)</f>
        <v/>
      </c>
      <c r="N118" s="13">
        <f>SUMIFS($E$2:$E$1130,$A$2:$A$1130,"весна",$I$2:$I$1130,I118)</f>
        <v/>
      </c>
      <c r="O118" s="14">
        <f>M118+N118</f>
        <v/>
      </c>
      <c r="P118" s="15">
        <f>O118/$P$1</f>
        <v/>
      </c>
    </row>
    <row r="119" ht="15.75" customHeight="1" s="2">
      <c r="A119" s="117" t="inlineStr">
        <is>
          <t>осень</t>
        </is>
      </c>
      <c r="B119" s="9" t="inlineStr">
        <is>
          <t>Основы автоматизации технологических процессов</t>
        </is>
      </c>
      <c r="C119" s="9" t="inlineStr">
        <is>
          <t>ПЗ</t>
        </is>
      </c>
      <c r="D119" s="9" t="inlineStr">
        <is>
          <t>Т11О-301Б-18</t>
        </is>
      </c>
      <c r="E119" s="10" t="n">
        <v>8</v>
      </c>
      <c r="F119" s="9" t="inlineStr">
        <is>
          <t>09898</t>
        </is>
      </c>
      <c r="G119" s="10" t="n">
        <v>8</v>
      </c>
      <c r="H119" s="9" t="inlineStr">
        <is>
          <t xml:space="preserve">81716     </t>
        </is>
      </c>
      <c r="I119" s="9" t="inlineStr">
        <is>
          <t xml:space="preserve">Жаров Максим Владимирович </t>
        </is>
      </c>
      <c r="J119" s="9" t="inlineStr">
        <is>
          <t>доцент</t>
        </is>
      </c>
      <c r="K119" s="9" t="n"/>
      <c r="L119" s="9" t="inlineStr">
        <is>
          <t>по первым неделям</t>
        </is>
      </c>
      <c r="M119" s="12">
        <f>SUMIFS($E$2:$E$1130,$A$2:$A$1130,"осень",$I$2:$I$1130,I119)</f>
        <v/>
      </c>
      <c r="N119" s="13">
        <f>SUMIFS($E$2:$E$1130,$A$2:$A$1130,"весна",$I$2:$I$1130,I119)</f>
        <v/>
      </c>
      <c r="O119" s="14">
        <f>M119+N119</f>
        <v/>
      </c>
      <c r="P119" s="15">
        <f>O119/$P$1</f>
        <v/>
      </c>
    </row>
    <row r="120" ht="15.75" customHeight="1" s="2">
      <c r="A120" s="117" t="inlineStr">
        <is>
          <t>осень</t>
        </is>
      </c>
      <c r="B120" s="9" t="inlineStr">
        <is>
          <t>Основы автоматизации технологических процессов</t>
        </is>
      </c>
      <c r="C120" s="9" t="inlineStr">
        <is>
          <t>ПЗ</t>
        </is>
      </c>
      <c r="D120" s="9" t="inlineStr">
        <is>
          <t>Т11О-305Б-18</t>
        </is>
      </c>
      <c r="E120" s="10" t="n">
        <v>8</v>
      </c>
      <c r="F120" s="9" t="inlineStr">
        <is>
          <t>09898</t>
        </is>
      </c>
      <c r="G120" s="10" t="n">
        <v>8</v>
      </c>
      <c r="H120" s="9" t="inlineStr">
        <is>
          <t xml:space="preserve">81716     </t>
        </is>
      </c>
      <c r="I120" s="9" t="inlineStr">
        <is>
          <t xml:space="preserve">Жаров Максим Владимирович </t>
        </is>
      </c>
      <c r="J120" s="9" t="inlineStr">
        <is>
          <t>доцент</t>
        </is>
      </c>
      <c r="K120" s="9" t="n"/>
      <c r="L120" s="9" t="inlineStr">
        <is>
          <t>по первым неделям</t>
        </is>
      </c>
      <c r="M120" s="12">
        <f>SUMIFS($E$2:$E$1130,$A$2:$A$1130,"осень",$I$2:$I$1130,I120)</f>
        <v/>
      </c>
      <c r="N120" s="13">
        <f>SUMIFS($E$2:$E$1130,$A$2:$A$1130,"весна",$I$2:$I$1130,I120)</f>
        <v/>
      </c>
      <c r="O120" s="14">
        <f>M120+N120</f>
        <v/>
      </c>
      <c r="P120" s="15">
        <f>O120/$P$1</f>
        <v/>
      </c>
    </row>
    <row r="121" ht="15.75" customHeight="1" s="2">
      <c r="A121" s="117" t="inlineStr">
        <is>
          <t>осень</t>
        </is>
      </c>
      <c r="B121" s="9" t="inlineStr">
        <is>
          <t>Основы автоматизации технологических процессов</t>
        </is>
      </c>
      <c r="C121" s="9" t="inlineStr">
        <is>
          <t>ПЗ</t>
        </is>
      </c>
      <c r="D121" s="9" t="inlineStr">
        <is>
          <t>Т11О-308Б-18</t>
        </is>
      </c>
      <c r="E121" s="10" t="n">
        <v>8</v>
      </c>
      <c r="F121" s="9" t="inlineStr">
        <is>
          <t>09898</t>
        </is>
      </c>
      <c r="G121" s="10" t="n">
        <v>8</v>
      </c>
      <c r="H121" s="9" t="inlineStr">
        <is>
          <t xml:space="preserve">81716     </t>
        </is>
      </c>
      <c r="I121" s="9" t="inlineStr">
        <is>
          <t xml:space="preserve">Жаров Максим Владимирович </t>
        </is>
      </c>
      <c r="J121" s="9" t="inlineStr">
        <is>
          <t>доцент</t>
        </is>
      </c>
      <c r="K121" s="9" t="n"/>
      <c r="L121" s="9" t="inlineStr">
        <is>
          <t>по первым неделям</t>
        </is>
      </c>
      <c r="M121" s="12">
        <f>SUMIFS($E$2:$E$1130,$A$2:$A$1130,"осень",$I$2:$I$1130,I121)</f>
        <v/>
      </c>
      <c r="N121" s="13">
        <f>SUMIFS($E$2:$E$1130,$A$2:$A$1130,"весна",$I$2:$I$1130,I121)</f>
        <v/>
      </c>
      <c r="O121" s="14">
        <f>M121+N121</f>
        <v/>
      </c>
      <c r="P121" s="15">
        <f>O121/$P$1</f>
        <v/>
      </c>
    </row>
    <row r="122" ht="15.75" customHeight="1" s="2">
      <c r="A122" s="117" t="inlineStr">
        <is>
          <t>осень</t>
        </is>
      </c>
      <c r="B122" s="9" t="inlineStr">
        <is>
          <t>Основы автоматизации технологических процессов</t>
        </is>
      </c>
      <c r="C122" s="9" t="inlineStr">
        <is>
          <t>ПЗ</t>
        </is>
      </c>
      <c r="D122" s="9" t="inlineStr">
        <is>
          <t>Т11О-302Б-18</t>
        </is>
      </c>
      <c r="E122" s="10" t="n">
        <v>8</v>
      </c>
      <c r="F122" s="9" t="inlineStr">
        <is>
          <t>09898</t>
        </is>
      </c>
      <c r="G122" s="10" t="n">
        <v>8</v>
      </c>
      <c r="H122" s="9" t="inlineStr">
        <is>
          <t xml:space="preserve">81716     </t>
        </is>
      </c>
      <c r="I122" s="9" t="inlineStr">
        <is>
          <t xml:space="preserve">Жаров Максим Владимирович </t>
        </is>
      </c>
      <c r="J122" s="9" t="inlineStr">
        <is>
          <t>доцент</t>
        </is>
      </c>
      <c r="K122" s="9" t="n"/>
      <c r="L122" s="9" t="inlineStr">
        <is>
          <t>по первым неделям</t>
        </is>
      </c>
      <c r="M122" s="12">
        <f>SUMIFS($E$2:$E$1130,$A$2:$A$1130,"осень",$I$2:$I$1130,I122)</f>
        <v/>
      </c>
      <c r="N122" s="13">
        <f>SUMIFS($E$2:$E$1130,$A$2:$A$1130,"весна",$I$2:$I$1130,I122)</f>
        <v/>
      </c>
      <c r="O122" s="14">
        <f>M122+N122</f>
        <v/>
      </c>
      <c r="P122" s="15">
        <f>O122/$P$1</f>
        <v/>
      </c>
    </row>
    <row r="123" ht="15.75" customHeight="1" s="2">
      <c r="A123" s="117" t="inlineStr">
        <is>
          <t>осень</t>
        </is>
      </c>
      <c r="B123" s="9" t="inlineStr">
        <is>
          <t>Основы автоматизации технологических процессов</t>
        </is>
      </c>
      <c r="C123" s="9" t="inlineStr">
        <is>
          <t>ЛР</t>
        </is>
      </c>
      <c r="D123" s="9" t="inlineStr">
        <is>
          <t>Т11О-306Б-18</t>
        </is>
      </c>
      <c r="E123" s="10" t="n">
        <v>48</v>
      </c>
      <c r="F123" s="9" t="inlineStr">
        <is>
          <t>09898</t>
        </is>
      </c>
      <c r="G123" s="10" t="n">
        <v>24</v>
      </c>
      <c r="H123" s="9" t="inlineStr">
        <is>
          <t xml:space="preserve">81716     </t>
        </is>
      </c>
      <c r="I123" s="9" t="inlineStr">
        <is>
          <t xml:space="preserve">Жаров Максим Владимирович </t>
        </is>
      </c>
      <c r="J123" s="9" t="inlineStr">
        <is>
          <t>доцент</t>
        </is>
      </c>
      <c r="K123" s="9" t="n"/>
      <c r="L123" s="9" t="inlineStr">
        <is>
          <t>по первым неделям</t>
        </is>
      </c>
      <c r="M123" s="12">
        <f>SUMIFS($E$2:$E$1130,$A$2:$A$1130,"осень",$I$2:$I$1130,I123)</f>
        <v/>
      </c>
      <c r="N123" s="13">
        <f>SUMIFS($E$2:$E$1130,$A$2:$A$1130,"весна",$I$2:$I$1130,I123)</f>
        <v/>
      </c>
      <c r="O123" s="14">
        <f>M123+N123</f>
        <v/>
      </c>
      <c r="P123" s="15">
        <f>O123/$P$1</f>
        <v/>
      </c>
    </row>
    <row r="124" ht="15.75" customHeight="1" s="2">
      <c r="A124" s="117" t="inlineStr">
        <is>
          <t>осень</t>
        </is>
      </c>
      <c r="B124" s="9" t="inlineStr">
        <is>
          <t>Основы автоматизации технологических процессов</t>
        </is>
      </c>
      <c r="C124" s="9" t="inlineStr">
        <is>
          <t>ЛР</t>
        </is>
      </c>
      <c r="D124" s="9" t="inlineStr">
        <is>
          <t>Т11О-307Б-18</t>
        </is>
      </c>
      <c r="E124" s="10" t="n">
        <v>24</v>
      </c>
      <c r="F124" s="9" t="inlineStr">
        <is>
          <t>09898</t>
        </is>
      </c>
      <c r="G124" s="10" t="n">
        <v>24</v>
      </c>
      <c r="H124" s="9" t="inlineStr">
        <is>
          <t xml:space="preserve">81716     </t>
        </is>
      </c>
      <c r="I124" s="9" t="inlineStr">
        <is>
          <t xml:space="preserve">Жаров Максим Владимирович </t>
        </is>
      </c>
      <c r="J124" s="9" t="inlineStr">
        <is>
          <t>доцент</t>
        </is>
      </c>
      <c r="K124" s="9" t="n"/>
      <c r="L124" s="9" t="inlineStr">
        <is>
          <t>по первым неделям</t>
        </is>
      </c>
      <c r="M124" s="12">
        <f>SUMIFS($E$2:$E$1130,$A$2:$A$1130,"осень",$I$2:$I$1130,I124)</f>
        <v/>
      </c>
      <c r="N124" s="13">
        <f>SUMIFS($E$2:$E$1130,$A$2:$A$1130,"весна",$I$2:$I$1130,I124)</f>
        <v/>
      </c>
      <c r="O124" s="14">
        <f>M124+N124</f>
        <v/>
      </c>
      <c r="P124" s="15">
        <f>O124/$P$1</f>
        <v/>
      </c>
    </row>
    <row r="125" ht="15.75" customHeight="1" s="2">
      <c r="A125" s="117" t="inlineStr">
        <is>
          <t>осень</t>
        </is>
      </c>
      <c r="B125" s="9" t="inlineStr">
        <is>
          <t>Основы автоматизации технологических процессов</t>
        </is>
      </c>
      <c r="C125" s="9" t="inlineStr">
        <is>
          <t>ЛР</t>
        </is>
      </c>
      <c r="D125" s="9" t="inlineStr">
        <is>
          <t>Т11О-301Б-18</t>
        </is>
      </c>
      <c r="E125" s="10" t="n">
        <v>48</v>
      </c>
      <c r="F125" s="9" t="inlineStr">
        <is>
          <t>09898</t>
        </is>
      </c>
      <c r="G125" s="10" t="n">
        <v>24</v>
      </c>
      <c r="H125" s="9" t="inlineStr">
        <is>
          <t xml:space="preserve">93584     </t>
        </is>
      </c>
      <c r="I125" s="9" t="inlineStr">
        <is>
          <t xml:space="preserve">Комаров Роман Сергеевич </t>
        </is>
      </c>
      <c r="J125" s="9" t="n"/>
      <c r="K125" s="9" t="n"/>
      <c r="L125" s="9" t="n"/>
      <c r="M125" s="12">
        <f>SUMIFS($E$2:$E$1130,$A$2:$A$1130,"осень",$I$2:$I$1130,I125)</f>
        <v/>
      </c>
      <c r="N125" s="13">
        <f>SUMIFS($E$2:$E$1130,$A$2:$A$1130,"весна",$I$2:$I$1130,I125)</f>
        <v/>
      </c>
      <c r="O125" s="14">
        <f>M125+N125</f>
        <v/>
      </c>
      <c r="P125" s="15">
        <f>O125/$P$1</f>
        <v/>
      </c>
    </row>
    <row r="126" ht="15.75" customHeight="1" s="2">
      <c r="A126" s="117" t="inlineStr">
        <is>
          <t>осень</t>
        </is>
      </c>
      <c r="B126" s="9" t="inlineStr">
        <is>
          <t>Основы автоматизации технологических процессов</t>
        </is>
      </c>
      <c r="C126" s="9" t="inlineStr">
        <is>
          <t>ЛР</t>
        </is>
      </c>
      <c r="D126" s="9" t="inlineStr">
        <is>
          <t>Т11О-305Б-18</t>
        </is>
      </c>
      <c r="E126" s="10" t="n">
        <v>48</v>
      </c>
      <c r="F126" s="9" t="inlineStr">
        <is>
          <t>09898</t>
        </is>
      </c>
      <c r="G126" s="10" t="n">
        <v>24</v>
      </c>
      <c r="H126" s="9" t="inlineStr">
        <is>
          <t xml:space="preserve">81716     </t>
        </is>
      </c>
      <c r="I126" s="9" t="inlineStr">
        <is>
          <t xml:space="preserve">Жаров Максим Владимирович </t>
        </is>
      </c>
      <c r="J126" s="9" t="inlineStr">
        <is>
          <t>доцент</t>
        </is>
      </c>
      <c r="K126" s="9" t="n"/>
      <c r="L126" s="9" t="inlineStr">
        <is>
          <t>по первым неделям</t>
        </is>
      </c>
      <c r="M126" s="12">
        <f>SUMIFS($E$2:$E$1130,$A$2:$A$1130,"осень",$I$2:$I$1130,I126)</f>
        <v/>
      </c>
      <c r="N126" s="13">
        <f>SUMIFS($E$2:$E$1130,$A$2:$A$1130,"весна",$I$2:$I$1130,I126)</f>
        <v/>
      </c>
      <c r="O126" s="14">
        <f>M126+N126</f>
        <v/>
      </c>
      <c r="P126" s="15">
        <f>O126/$P$1</f>
        <v/>
      </c>
    </row>
    <row r="127" ht="15.75" customHeight="1" s="2">
      <c r="A127" s="117" t="inlineStr">
        <is>
          <t>осень</t>
        </is>
      </c>
      <c r="B127" s="9" t="inlineStr">
        <is>
          <t>Основы автоматизации технологических процессов</t>
        </is>
      </c>
      <c r="C127" s="9" t="inlineStr">
        <is>
          <t>ЛР</t>
        </is>
      </c>
      <c r="D127" s="9" t="inlineStr">
        <is>
          <t>Т11О-308Б-18</t>
        </is>
      </c>
      <c r="E127" s="10" t="n">
        <v>48</v>
      </c>
      <c r="F127" s="9" t="inlineStr">
        <is>
          <t>09898</t>
        </is>
      </c>
      <c r="G127" s="10" t="n">
        <v>24</v>
      </c>
      <c r="H127" s="9" t="inlineStr">
        <is>
          <t xml:space="preserve">81716     </t>
        </is>
      </c>
      <c r="I127" s="9" t="inlineStr">
        <is>
          <t xml:space="preserve">Жаров Максим Владимирович </t>
        </is>
      </c>
      <c r="J127" s="9" t="inlineStr">
        <is>
          <t>доцент</t>
        </is>
      </c>
      <c r="K127" s="9" t="n"/>
      <c r="L127" s="9" t="inlineStr">
        <is>
          <t>по первым неделям</t>
        </is>
      </c>
      <c r="M127" s="12">
        <f>SUMIFS($E$2:$E$1130,$A$2:$A$1130,"осень",$I$2:$I$1130,I127)</f>
        <v/>
      </c>
      <c r="N127" s="13">
        <f>SUMIFS($E$2:$E$1130,$A$2:$A$1130,"весна",$I$2:$I$1130,I127)</f>
        <v/>
      </c>
      <c r="O127" s="14">
        <f>M127+N127</f>
        <v/>
      </c>
      <c r="P127" s="15">
        <f>O127/$P$1</f>
        <v/>
      </c>
    </row>
    <row r="128" ht="15.75" customHeight="1" s="2">
      <c r="A128" s="117" t="inlineStr">
        <is>
          <t>осень</t>
        </is>
      </c>
      <c r="B128" s="9" t="inlineStr">
        <is>
          <t>Основы автоматизации технологических процессов</t>
        </is>
      </c>
      <c r="C128" s="9" t="inlineStr">
        <is>
          <t>ЛР</t>
        </is>
      </c>
      <c r="D128" s="9" t="inlineStr">
        <is>
          <t>Т11О-302Б-18</t>
        </is>
      </c>
      <c r="E128" s="10" t="n">
        <v>24</v>
      </c>
      <c r="F128" s="9" t="inlineStr">
        <is>
          <t>09898</t>
        </is>
      </c>
      <c r="G128" s="10" t="n">
        <v>24</v>
      </c>
      <c r="H128" s="9" t="inlineStr">
        <is>
          <t xml:space="preserve">81716     </t>
        </is>
      </c>
      <c r="I128" s="9" t="inlineStr">
        <is>
          <t xml:space="preserve">Жаров Максим Владимирович </t>
        </is>
      </c>
      <c r="J128" s="9" t="inlineStr">
        <is>
          <t>доцент</t>
        </is>
      </c>
      <c r="K128" s="9" t="n"/>
      <c r="L128" s="9" t="inlineStr">
        <is>
          <t>по первым неделям</t>
        </is>
      </c>
      <c r="M128" s="12">
        <f>SUMIFS($E$2:$E$1130,$A$2:$A$1130,"осень",$I$2:$I$1130,I128)</f>
        <v/>
      </c>
      <c r="N128" s="13">
        <f>SUMIFS($E$2:$E$1130,$A$2:$A$1130,"весна",$I$2:$I$1130,I128)</f>
        <v/>
      </c>
      <c r="O128" s="14">
        <f>M128+N128</f>
        <v/>
      </c>
      <c r="P128" s="15">
        <f>O128/$P$1</f>
        <v/>
      </c>
    </row>
    <row r="129" ht="15.75" customHeight="1" s="2">
      <c r="A129" s="117" t="inlineStr">
        <is>
          <t>осень</t>
        </is>
      </c>
      <c r="B129" s="9" t="inlineStr">
        <is>
          <t>Основы автоматизации технологических процессов</t>
        </is>
      </c>
      <c r="C129" s="9" t="inlineStr">
        <is>
          <t>Экзамен</t>
        </is>
      </c>
      <c r="D129" s="9" t="inlineStr">
        <is>
          <t>Т11О-306Б-18</t>
        </is>
      </c>
      <c r="E129" s="10" t="n">
        <v>10</v>
      </c>
      <c r="F129" s="9" t="inlineStr">
        <is>
          <t>09898</t>
        </is>
      </c>
      <c r="G129" s="11" t="n">
        <v>0</v>
      </c>
      <c r="H129" s="9" t="inlineStr">
        <is>
          <t xml:space="preserve">81716     </t>
        </is>
      </c>
      <c r="I129" s="9" t="inlineStr">
        <is>
          <t xml:space="preserve">Жаров Максим Владимирович </t>
        </is>
      </c>
      <c r="J129" s="9" t="inlineStr">
        <is>
          <t>доцент</t>
        </is>
      </c>
      <c r="K129" s="9" t="n"/>
      <c r="L129" s="9" t="inlineStr">
        <is>
          <t>по первым неделям</t>
        </is>
      </c>
      <c r="M129" s="12">
        <f>SUMIFS($E$2:$E$1130,$A$2:$A$1130,"осень",$I$2:$I$1130,I129)</f>
        <v/>
      </c>
      <c r="N129" s="13">
        <f>SUMIFS($E$2:$E$1130,$A$2:$A$1130,"весна",$I$2:$I$1130,I129)</f>
        <v/>
      </c>
      <c r="O129" s="14">
        <f>M129+N129</f>
        <v/>
      </c>
      <c r="P129" s="15">
        <f>O129/$P$1</f>
        <v/>
      </c>
    </row>
    <row r="130" ht="15.75" customHeight="1" s="2">
      <c r="A130" s="117" t="inlineStr">
        <is>
          <t>осень</t>
        </is>
      </c>
      <c r="B130" s="9" t="inlineStr">
        <is>
          <t>Основы автоматизации технологических процессов</t>
        </is>
      </c>
      <c r="C130" s="9" t="inlineStr">
        <is>
          <t>Экзамен</t>
        </is>
      </c>
      <c r="D130" s="9" t="inlineStr">
        <is>
          <t>Т11О-307Б-18</t>
        </is>
      </c>
      <c r="E130" s="10" t="n">
        <v>8</v>
      </c>
      <c r="F130" s="9" t="inlineStr">
        <is>
          <t>09898</t>
        </is>
      </c>
      <c r="G130" s="11" t="n">
        <v>0</v>
      </c>
      <c r="H130" s="9" t="inlineStr">
        <is>
          <t xml:space="preserve">81716     </t>
        </is>
      </c>
      <c r="I130" s="9" t="inlineStr">
        <is>
          <t xml:space="preserve">Жаров Максим Владимирович </t>
        </is>
      </c>
      <c r="J130" s="9" t="inlineStr">
        <is>
          <t>доцент</t>
        </is>
      </c>
      <c r="K130" s="9" t="n"/>
      <c r="L130" s="9" t="inlineStr">
        <is>
          <t>по первым неделям</t>
        </is>
      </c>
      <c r="M130" s="12">
        <f>SUMIFS($E$2:$E$1130,$A$2:$A$1130,"осень",$I$2:$I$1130,I130)</f>
        <v/>
      </c>
      <c r="N130" s="13">
        <f>SUMIFS($E$2:$E$1130,$A$2:$A$1130,"весна",$I$2:$I$1130,I130)</f>
        <v/>
      </c>
      <c r="O130" s="14">
        <f>M130+N130</f>
        <v/>
      </c>
      <c r="P130" s="15">
        <f>O130/$P$1</f>
        <v/>
      </c>
    </row>
    <row r="131" ht="15.75" customHeight="1" s="2">
      <c r="A131" s="117" t="inlineStr">
        <is>
          <t>осень</t>
        </is>
      </c>
      <c r="B131" s="9" t="inlineStr">
        <is>
          <t>Основы автоматизации технологических процессов</t>
        </is>
      </c>
      <c r="C131" s="9" t="inlineStr">
        <is>
          <t>Экзамен</t>
        </is>
      </c>
      <c r="D131" s="9" t="inlineStr">
        <is>
          <t>Т11О-305Б-18</t>
        </is>
      </c>
      <c r="E131" s="10" t="n">
        <v>9</v>
      </c>
      <c r="F131" s="9" t="inlineStr">
        <is>
          <t>09898</t>
        </is>
      </c>
      <c r="G131" s="11" t="n">
        <v>0</v>
      </c>
      <c r="H131" s="9" t="inlineStr">
        <is>
          <t xml:space="preserve">81716     </t>
        </is>
      </c>
      <c r="I131" s="9" t="inlineStr">
        <is>
          <t xml:space="preserve">Жаров Максим Владимирович </t>
        </is>
      </c>
      <c r="J131" s="9" t="inlineStr">
        <is>
          <t>доцент</t>
        </is>
      </c>
      <c r="K131" s="9" t="n"/>
      <c r="L131" s="9" t="inlineStr">
        <is>
          <t>по первым неделям</t>
        </is>
      </c>
      <c r="M131" s="12">
        <f>SUMIFS($E$2:$E$1130,$A$2:$A$1130,"осень",$I$2:$I$1130,I131)</f>
        <v/>
      </c>
      <c r="N131" s="13">
        <f>SUMIFS($E$2:$E$1130,$A$2:$A$1130,"весна",$I$2:$I$1130,I131)</f>
        <v/>
      </c>
      <c r="O131" s="14">
        <f>M131+N131</f>
        <v/>
      </c>
      <c r="P131" s="15">
        <f>O131/$P$1</f>
        <v/>
      </c>
    </row>
    <row r="132" ht="15.75" customHeight="1" s="2">
      <c r="A132" s="117" t="inlineStr">
        <is>
          <t>осень</t>
        </is>
      </c>
      <c r="B132" s="9" t="inlineStr">
        <is>
          <t>Основы автоматизации технологических процессов</t>
        </is>
      </c>
      <c r="C132" s="9" t="inlineStr">
        <is>
          <t>Экзамен</t>
        </is>
      </c>
      <c r="D132" s="9" t="inlineStr">
        <is>
          <t>Т11О-308Б-18</t>
        </is>
      </c>
      <c r="E132" s="10" t="n">
        <v>12</v>
      </c>
      <c r="F132" s="9" t="inlineStr">
        <is>
          <t>09898</t>
        </is>
      </c>
      <c r="G132" s="11" t="n">
        <v>0</v>
      </c>
      <c r="H132" s="9" t="inlineStr">
        <is>
          <t xml:space="preserve">81716     </t>
        </is>
      </c>
      <c r="I132" s="9" t="inlineStr">
        <is>
          <t xml:space="preserve">Жаров Максим Владимирович </t>
        </is>
      </c>
      <c r="J132" s="9" t="inlineStr">
        <is>
          <t>доцент</t>
        </is>
      </c>
      <c r="K132" s="9" t="n"/>
      <c r="L132" s="9" t="inlineStr">
        <is>
          <t>по первым неделям</t>
        </is>
      </c>
      <c r="M132" s="12">
        <f>SUMIFS($E$2:$E$1130,$A$2:$A$1130,"осень",$I$2:$I$1130,I132)</f>
        <v/>
      </c>
      <c r="N132" s="13">
        <f>SUMIFS($E$2:$E$1130,$A$2:$A$1130,"весна",$I$2:$I$1130,I132)</f>
        <v/>
      </c>
      <c r="O132" s="14">
        <f>M132+N132</f>
        <v/>
      </c>
      <c r="P132" s="15">
        <f>O132/$P$1</f>
        <v/>
      </c>
    </row>
    <row r="133" ht="15.75" customHeight="1" s="2">
      <c r="A133" s="117" t="inlineStr">
        <is>
          <t>осень</t>
        </is>
      </c>
      <c r="B133" s="9" t="inlineStr">
        <is>
          <t>Основы автоматизации технологических процессов</t>
        </is>
      </c>
      <c r="C133" s="9" t="inlineStr">
        <is>
          <t>Консультация</t>
        </is>
      </c>
      <c r="D133" s="9" t="inlineStr">
        <is>
          <t>Т11О-306Б-18</t>
        </is>
      </c>
      <c r="E133" s="10" t="n">
        <v>3</v>
      </c>
      <c r="F133" s="9" t="inlineStr">
        <is>
          <t>09898</t>
        </is>
      </c>
      <c r="G133" s="11" t="n">
        <v>0</v>
      </c>
      <c r="H133" s="9" t="inlineStr">
        <is>
          <t xml:space="preserve">81716     </t>
        </is>
      </c>
      <c r="I133" s="9" t="inlineStr">
        <is>
          <t xml:space="preserve">Жаров Максим Владимирович </t>
        </is>
      </c>
      <c r="J133" s="9" t="inlineStr">
        <is>
          <t>доцент</t>
        </is>
      </c>
      <c r="K133" s="9" t="n"/>
      <c r="L133" s="9" t="inlineStr">
        <is>
          <t>по первым неделям</t>
        </is>
      </c>
      <c r="M133" s="12">
        <f>SUMIFS($E$2:$E$1130,$A$2:$A$1130,"осень",$I$2:$I$1130,I133)</f>
        <v/>
      </c>
      <c r="N133" s="13">
        <f>SUMIFS($E$2:$E$1130,$A$2:$A$1130,"весна",$I$2:$I$1130,I133)</f>
        <v/>
      </c>
      <c r="O133" s="14">
        <f>M133+N133</f>
        <v/>
      </c>
      <c r="P133" s="15">
        <f>O133/$P$1</f>
        <v/>
      </c>
    </row>
    <row r="134" ht="15.75" customHeight="1" s="2">
      <c r="A134" s="117" t="inlineStr">
        <is>
          <t>осень</t>
        </is>
      </c>
      <c r="B134" s="9" t="inlineStr">
        <is>
          <t>Основы автоматизации технологических процессов</t>
        </is>
      </c>
      <c r="C134" s="9" t="inlineStr">
        <is>
          <t>Консультация</t>
        </is>
      </c>
      <c r="D134" s="9" t="inlineStr">
        <is>
          <t>Т11О-307Б-18</t>
        </is>
      </c>
      <c r="E134" s="10" t="n">
        <v>3</v>
      </c>
      <c r="F134" s="9" t="inlineStr">
        <is>
          <t>09898</t>
        </is>
      </c>
      <c r="G134" s="11" t="n">
        <v>0</v>
      </c>
      <c r="H134" s="9" t="inlineStr">
        <is>
          <t xml:space="preserve">81716     </t>
        </is>
      </c>
      <c r="I134" s="9" t="inlineStr">
        <is>
          <t xml:space="preserve">Жаров Максим Владимирович </t>
        </is>
      </c>
      <c r="J134" s="9" t="inlineStr">
        <is>
          <t>доцент</t>
        </is>
      </c>
      <c r="K134" s="9" t="n"/>
      <c r="L134" s="9" t="inlineStr">
        <is>
          <t>по первым неделям</t>
        </is>
      </c>
      <c r="M134" s="12">
        <f>SUMIFS($E$2:$E$1130,$A$2:$A$1130,"осень",$I$2:$I$1130,I134)</f>
        <v/>
      </c>
      <c r="N134" s="13">
        <f>SUMIFS($E$2:$E$1130,$A$2:$A$1130,"весна",$I$2:$I$1130,I134)</f>
        <v/>
      </c>
      <c r="O134" s="14">
        <f>M134+N134</f>
        <v/>
      </c>
      <c r="P134" s="15">
        <f>O134/$P$1</f>
        <v/>
      </c>
    </row>
    <row r="135" ht="15.75" customHeight="1" s="2">
      <c r="A135" s="117" t="inlineStr">
        <is>
          <t>осень</t>
        </is>
      </c>
      <c r="B135" s="9" t="inlineStr">
        <is>
          <t>Основы автоматизации технологических процессов</t>
        </is>
      </c>
      <c r="C135" s="9" t="inlineStr">
        <is>
          <t>Консультация</t>
        </is>
      </c>
      <c r="D135" s="9" t="inlineStr">
        <is>
          <t>Т11О-301Б-18</t>
        </is>
      </c>
      <c r="E135" s="10" t="n">
        <v>1</v>
      </c>
      <c r="F135" s="9" t="inlineStr">
        <is>
          <t>09898</t>
        </is>
      </c>
      <c r="G135" s="11" t="n">
        <v>0</v>
      </c>
      <c r="H135" s="9" t="inlineStr">
        <is>
          <t xml:space="preserve">81716     </t>
        </is>
      </c>
      <c r="I135" s="9" t="inlineStr">
        <is>
          <t xml:space="preserve">Жаров Максим Владимирович </t>
        </is>
      </c>
      <c r="J135" s="9" t="inlineStr">
        <is>
          <t>доцент</t>
        </is>
      </c>
      <c r="K135" s="9" t="n"/>
      <c r="L135" s="9" t="inlineStr">
        <is>
          <t>по первым неделям</t>
        </is>
      </c>
      <c r="M135" s="12">
        <f>SUMIFS($E$2:$E$1130,$A$2:$A$1130,"осень",$I$2:$I$1130,I135)</f>
        <v/>
      </c>
      <c r="N135" s="13">
        <f>SUMIFS($E$2:$E$1130,$A$2:$A$1130,"весна",$I$2:$I$1130,I135)</f>
        <v/>
      </c>
      <c r="O135" s="14">
        <f>M135+N135</f>
        <v/>
      </c>
      <c r="P135" s="15">
        <f>O135/$P$1</f>
        <v/>
      </c>
    </row>
    <row r="136" ht="15.75" customHeight="1" s="2">
      <c r="A136" s="117" t="inlineStr">
        <is>
          <t>осень</t>
        </is>
      </c>
      <c r="B136" s="9" t="inlineStr">
        <is>
          <t>Основы автоматизации технологических процессов</t>
        </is>
      </c>
      <c r="C136" s="9" t="inlineStr">
        <is>
          <t>Консультация</t>
        </is>
      </c>
      <c r="D136" s="9" t="inlineStr">
        <is>
          <t>Т11О-305Б-18</t>
        </is>
      </c>
      <c r="E136" s="10" t="n">
        <v>3</v>
      </c>
      <c r="F136" s="9" t="inlineStr">
        <is>
          <t>09898</t>
        </is>
      </c>
      <c r="G136" s="11" t="n">
        <v>0</v>
      </c>
      <c r="H136" s="9" t="inlineStr">
        <is>
          <t xml:space="preserve">81716     </t>
        </is>
      </c>
      <c r="I136" s="9" t="inlineStr">
        <is>
          <t xml:space="preserve">Жаров Максим Владимирович </t>
        </is>
      </c>
      <c r="J136" s="9" t="inlineStr">
        <is>
          <t>доцент</t>
        </is>
      </c>
      <c r="K136" s="9" t="n"/>
      <c r="L136" s="9" t="inlineStr">
        <is>
          <t>по первым неделям</t>
        </is>
      </c>
      <c r="M136" s="12">
        <f>SUMIFS($E$2:$E$1130,$A$2:$A$1130,"осень",$I$2:$I$1130,I136)</f>
        <v/>
      </c>
      <c r="N136" s="13">
        <f>SUMIFS($E$2:$E$1130,$A$2:$A$1130,"весна",$I$2:$I$1130,I136)</f>
        <v/>
      </c>
      <c r="O136" s="14">
        <f>M136+N136</f>
        <v/>
      </c>
      <c r="P136" s="15">
        <f>O136/$P$1</f>
        <v/>
      </c>
    </row>
    <row r="137" ht="15.75" customHeight="1" s="2">
      <c r="A137" s="117" t="inlineStr">
        <is>
          <t>осень</t>
        </is>
      </c>
      <c r="B137" s="9" t="inlineStr">
        <is>
          <t>Основы автоматизации технологических процессов</t>
        </is>
      </c>
      <c r="C137" s="9" t="inlineStr">
        <is>
          <t>Консультация</t>
        </is>
      </c>
      <c r="D137" s="9" t="inlineStr">
        <is>
          <t>Т11О-308Б-18</t>
        </is>
      </c>
      <c r="E137" s="10" t="n">
        <v>3</v>
      </c>
      <c r="F137" s="9" t="inlineStr">
        <is>
          <t>09898</t>
        </is>
      </c>
      <c r="G137" s="11" t="n">
        <v>0</v>
      </c>
      <c r="H137" s="9" t="inlineStr">
        <is>
          <t xml:space="preserve">81716     </t>
        </is>
      </c>
      <c r="I137" s="9" t="inlineStr">
        <is>
          <t xml:space="preserve">Жаров Максим Владимирович </t>
        </is>
      </c>
      <c r="J137" s="9" t="inlineStr">
        <is>
          <t>доцент</t>
        </is>
      </c>
      <c r="K137" s="9" t="n"/>
      <c r="L137" s="9" t="inlineStr">
        <is>
          <t>по первым неделям</t>
        </is>
      </c>
      <c r="M137" s="12">
        <f>SUMIFS($E$2:$E$1130,$A$2:$A$1130,"осень",$I$2:$I$1130,I137)</f>
        <v/>
      </c>
      <c r="N137" s="13">
        <f>SUMIFS($E$2:$E$1130,$A$2:$A$1130,"весна",$I$2:$I$1130,I137)</f>
        <v/>
      </c>
      <c r="O137" s="14">
        <f>M137+N137</f>
        <v/>
      </c>
      <c r="P137" s="15">
        <f>O137/$P$1</f>
        <v/>
      </c>
    </row>
    <row r="138" ht="15.75" customHeight="1" s="2">
      <c r="A138" s="117" t="inlineStr">
        <is>
          <t>осень</t>
        </is>
      </c>
      <c r="B138" s="9" t="inlineStr">
        <is>
          <t>Основы автоматизации технологических процессов</t>
        </is>
      </c>
      <c r="C138" s="9" t="inlineStr">
        <is>
          <t>Консультация</t>
        </is>
      </c>
      <c r="D138" s="9" t="inlineStr">
        <is>
          <t>Т11О-302Б-18</t>
        </is>
      </c>
      <c r="E138" s="10" t="n">
        <v>1</v>
      </c>
      <c r="F138" s="9" t="inlineStr">
        <is>
          <t>09898</t>
        </is>
      </c>
      <c r="G138" s="11" t="n">
        <v>0</v>
      </c>
      <c r="H138" s="9" t="inlineStr">
        <is>
          <t xml:space="preserve">81716     </t>
        </is>
      </c>
      <c r="I138" s="9" t="inlineStr">
        <is>
          <t xml:space="preserve">Жаров Максим Владимирович </t>
        </is>
      </c>
      <c r="J138" s="9" t="inlineStr">
        <is>
          <t>доцент</t>
        </is>
      </c>
      <c r="K138" s="9" t="n"/>
      <c r="L138" s="9" t="inlineStr">
        <is>
          <t>по первым неделям</t>
        </is>
      </c>
      <c r="M138" s="12">
        <f>SUMIFS($E$2:$E$1130,$A$2:$A$1130,"осень",$I$2:$I$1130,I138)</f>
        <v/>
      </c>
      <c r="N138" s="13">
        <f>SUMIFS($E$2:$E$1130,$A$2:$A$1130,"весна",$I$2:$I$1130,I138)</f>
        <v/>
      </c>
      <c r="O138" s="14">
        <f>M138+N138</f>
        <v/>
      </c>
      <c r="P138" s="15">
        <f>O138/$P$1</f>
        <v/>
      </c>
    </row>
    <row r="139" ht="15.75" customHeight="1" s="2">
      <c r="A139" s="117" t="inlineStr">
        <is>
          <t>осень</t>
        </is>
      </c>
      <c r="B139" s="9" t="inlineStr">
        <is>
          <t>Листовая штамповка</t>
        </is>
      </c>
      <c r="C139" s="9" t="inlineStr">
        <is>
          <t>ЛК</t>
        </is>
      </c>
      <c r="D139" s="9" t="inlineStr">
        <is>
          <t>Т1В-516Б-16</t>
        </is>
      </c>
      <c r="E139" s="10" t="n">
        <v>32</v>
      </c>
      <c r="F139" s="9" t="inlineStr">
        <is>
          <t>04644</t>
        </is>
      </c>
      <c r="G139" s="10" t="n">
        <v>32</v>
      </c>
      <c r="H139" s="9" t="inlineStr">
        <is>
          <t xml:space="preserve">81716     </t>
        </is>
      </c>
      <c r="I139" s="9" t="inlineStr">
        <is>
          <t xml:space="preserve">Жаров Максим Владимирович </t>
        </is>
      </c>
      <c r="J139" s="9" t="inlineStr">
        <is>
          <t>доцент</t>
        </is>
      </c>
      <c r="K139" s="9" t="n"/>
      <c r="L139" s="9" t="inlineStr">
        <is>
          <t>кроме понедельника и пятницы</t>
        </is>
      </c>
      <c r="M139" s="12">
        <f>SUMIFS($E$2:$E$1130,$A$2:$A$1130,"осень",$I$2:$I$1130,I139)</f>
        <v/>
      </c>
      <c r="N139" s="13">
        <f>SUMIFS($E$2:$E$1130,$A$2:$A$1130,"весна",$I$2:$I$1130,I139)</f>
        <v/>
      </c>
      <c r="O139" s="14">
        <f>M139+N139</f>
        <v/>
      </c>
      <c r="P139" s="15">
        <f>O139/$P$1</f>
        <v/>
      </c>
    </row>
    <row r="140" ht="15.75" customHeight="1" s="2">
      <c r="A140" s="117" t="inlineStr">
        <is>
          <t>осень</t>
        </is>
      </c>
      <c r="B140" s="9" t="inlineStr">
        <is>
          <t>Листовая штамповка</t>
        </is>
      </c>
      <c r="C140" s="9" t="inlineStr">
        <is>
          <t>ПЗ</t>
        </is>
      </c>
      <c r="D140" s="9" t="inlineStr">
        <is>
          <t>Т1В-516Б-16</t>
        </is>
      </c>
      <c r="E140" s="10" t="n">
        <v>24</v>
      </c>
      <c r="F140" s="9" t="inlineStr">
        <is>
          <t>04644</t>
        </is>
      </c>
      <c r="G140" s="10" t="n">
        <v>24</v>
      </c>
      <c r="H140" s="9" t="inlineStr">
        <is>
          <t xml:space="preserve">81716     </t>
        </is>
      </c>
      <c r="I140" s="9" t="inlineStr">
        <is>
          <t xml:space="preserve">Жаров Максим Владимирович </t>
        </is>
      </c>
      <c r="J140" s="9" t="inlineStr">
        <is>
          <t>доцент</t>
        </is>
      </c>
      <c r="K140" s="9" t="n"/>
      <c r="L140" s="9" t="inlineStr">
        <is>
          <t>кроме понедельника и пятницы</t>
        </is>
      </c>
      <c r="M140" s="12">
        <f>SUMIFS($E$2:$E$1130,$A$2:$A$1130,"осень",$I$2:$I$1130,I140)</f>
        <v/>
      </c>
      <c r="N140" s="13">
        <f>SUMIFS($E$2:$E$1130,$A$2:$A$1130,"весна",$I$2:$I$1130,I140)</f>
        <v/>
      </c>
      <c r="O140" s="14">
        <f>M140+N140</f>
        <v/>
      </c>
      <c r="P140" s="15">
        <f>O140/$P$1</f>
        <v/>
      </c>
    </row>
    <row r="141" ht="15.75" customHeight="1" s="2">
      <c r="A141" s="117" t="inlineStr">
        <is>
          <t>осень</t>
        </is>
      </c>
      <c r="B141" s="9" t="inlineStr">
        <is>
          <t>Листовая штамповка</t>
        </is>
      </c>
      <c r="C141" s="9" t="inlineStr">
        <is>
          <t>Экзамен</t>
        </is>
      </c>
      <c r="D141" s="9" t="inlineStr">
        <is>
          <t>Т1В-516Б-16</t>
        </is>
      </c>
      <c r="E141" s="10" t="n">
        <v>3</v>
      </c>
      <c r="F141" s="9" t="inlineStr">
        <is>
          <t>04644</t>
        </is>
      </c>
      <c r="G141" s="11" t="n">
        <v>0</v>
      </c>
      <c r="H141" s="9" t="inlineStr">
        <is>
          <t xml:space="preserve">81716     </t>
        </is>
      </c>
      <c r="I141" s="9" t="inlineStr">
        <is>
          <t xml:space="preserve">Жаров Максим Владимирович </t>
        </is>
      </c>
      <c r="J141" s="9" t="inlineStr">
        <is>
          <t>доцент</t>
        </is>
      </c>
      <c r="K141" s="9" t="n"/>
      <c r="L141" s="9" t="inlineStr">
        <is>
          <t>кроме понедельника и пятницы</t>
        </is>
      </c>
      <c r="M141" s="12">
        <f>SUMIFS($E$2:$E$1130,$A$2:$A$1130,"осень",$I$2:$I$1130,I141)</f>
        <v/>
      </c>
      <c r="N141" s="13">
        <f>SUMIFS($E$2:$E$1130,$A$2:$A$1130,"весна",$I$2:$I$1130,I141)</f>
        <v/>
      </c>
      <c r="O141" s="14">
        <f>M141+N141</f>
        <v/>
      </c>
      <c r="P141" s="15">
        <f>O141/$P$1</f>
        <v/>
      </c>
    </row>
    <row r="142" ht="15.75" customHeight="1" s="2">
      <c r="A142" s="117" t="inlineStr">
        <is>
          <t>осень</t>
        </is>
      </c>
      <c r="B142" s="9" t="inlineStr">
        <is>
          <t>Листовая штамповка</t>
        </is>
      </c>
      <c r="C142" s="9" t="inlineStr">
        <is>
          <t>КСР</t>
        </is>
      </c>
      <c r="D142" s="9" t="inlineStr">
        <is>
          <t>Т1В-516Б-16</t>
        </is>
      </c>
      <c r="E142" s="10" t="n">
        <v>24</v>
      </c>
      <c r="F142" s="9" t="inlineStr">
        <is>
          <t>04644</t>
        </is>
      </c>
      <c r="G142" s="10" t="n">
        <v>24</v>
      </c>
      <c r="H142" s="9" t="inlineStr">
        <is>
          <t xml:space="preserve">81716     </t>
        </is>
      </c>
      <c r="I142" s="9" t="inlineStr">
        <is>
          <t xml:space="preserve">Жаров Максим Владимирович </t>
        </is>
      </c>
      <c r="J142" s="9" t="inlineStr">
        <is>
          <t>доцент</t>
        </is>
      </c>
      <c r="K142" s="9" t="n"/>
      <c r="L142" s="9" t="inlineStr">
        <is>
          <t>кроме понедельника и пятницы</t>
        </is>
      </c>
      <c r="M142" s="12">
        <f>SUMIFS($E$2:$E$1130,$A$2:$A$1130,"осень",$I$2:$I$1130,I142)</f>
        <v/>
      </c>
      <c r="N142" s="13">
        <f>SUMIFS($E$2:$E$1130,$A$2:$A$1130,"весна",$I$2:$I$1130,I142)</f>
        <v/>
      </c>
      <c r="O142" s="14">
        <f>M142+N142</f>
        <v/>
      </c>
      <c r="P142" s="15">
        <f>O142/$P$1</f>
        <v/>
      </c>
    </row>
    <row r="143" ht="15.75" customHeight="1" s="2">
      <c r="A143" s="117" t="inlineStr">
        <is>
          <t>осень</t>
        </is>
      </c>
      <c r="B143" s="9" t="inlineStr">
        <is>
          <t>Листовая штамповка</t>
        </is>
      </c>
      <c r="C143" s="9" t="inlineStr">
        <is>
          <t>Консультация</t>
        </is>
      </c>
      <c r="D143" s="9" t="inlineStr">
        <is>
          <t>Т1В-516Б-16</t>
        </is>
      </c>
      <c r="E143" s="10" t="n">
        <v>5</v>
      </c>
      <c r="F143" s="9" t="inlineStr">
        <is>
          <t>04644</t>
        </is>
      </c>
      <c r="G143" s="11" t="n">
        <v>0</v>
      </c>
      <c r="H143" s="9" t="inlineStr">
        <is>
          <t xml:space="preserve">81716     </t>
        </is>
      </c>
      <c r="I143" s="9" t="inlineStr">
        <is>
          <t xml:space="preserve">Жаров Максим Владимирович </t>
        </is>
      </c>
      <c r="J143" s="9" t="inlineStr">
        <is>
          <t>доцент</t>
        </is>
      </c>
      <c r="K143" s="9" t="n"/>
      <c r="L143" s="9" t="inlineStr">
        <is>
          <t>кроме понедельника и пятницы</t>
        </is>
      </c>
      <c r="M143" s="12">
        <f>SUMIFS($E$2:$E$1130,$A$2:$A$1130,"осень",$I$2:$I$1130,I143)</f>
        <v/>
      </c>
      <c r="N143" s="13">
        <f>SUMIFS($E$2:$E$1130,$A$2:$A$1130,"весна",$I$2:$I$1130,I143)</f>
        <v/>
      </c>
      <c r="O143" s="14">
        <f>M143+N143</f>
        <v/>
      </c>
      <c r="P143" s="15">
        <f>O143/$P$1</f>
        <v/>
      </c>
    </row>
    <row r="144" ht="15.75" customHeight="1" s="2">
      <c r="A144" s="117" t="inlineStr">
        <is>
          <t>осень</t>
        </is>
      </c>
      <c r="B144" s="9" t="inlineStr">
        <is>
          <t>Основы математического и имитационного моделирования</t>
        </is>
      </c>
      <c r="C144" s="9" t="inlineStr">
        <is>
          <t>ЛК</t>
        </is>
      </c>
      <c r="D144" s="9" t="inlineStr">
        <is>
          <t>Т11О-304Б-18</t>
        </is>
      </c>
      <c r="E144" s="10" t="n">
        <v>16</v>
      </c>
      <c r="F144" s="9" t="inlineStr">
        <is>
          <t>08770</t>
        </is>
      </c>
      <c r="G144" s="10" t="n">
        <v>16</v>
      </c>
      <c r="H144" s="9" t="inlineStr">
        <is>
          <t xml:space="preserve">81728     </t>
        </is>
      </c>
      <c r="I144" s="9" t="inlineStr">
        <is>
          <t xml:space="preserve">Галкин Виктор Иванович </t>
        </is>
      </c>
      <c r="J144" s="9" t="inlineStr">
        <is>
          <t>профессор</t>
        </is>
      </c>
      <c r="K144" s="9" t="n"/>
      <c r="L144" s="9" t="inlineStr">
        <is>
          <t>кроме среды и первой пары понедельника (525 А)</t>
        </is>
      </c>
      <c r="M144" s="12">
        <f>SUMIFS($E$2:$E$1130,$A$2:$A$1130,"осень",$I$2:$I$1130,I144)</f>
        <v/>
      </c>
      <c r="N144" s="13">
        <f>SUMIFS($E$2:$E$1130,$A$2:$A$1130,"весна",$I$2:$I$1130,I144)</f>
        <v/>
      </c>
      <c r="O144" s="14">
        <f>M144+N144</f>
        <v/>
      </c>
      <c r="P144" s="15">
        <f>O144/$P$1</f>
        <v/>
      </c>
    </row>
    <row r="145" ht="15.75" customHeight="1" s="2">
      <c r="A145" s="117" t="inlineStr">
        <is>
          <t>осень</t>
        </is>
      </c>
      <c r="B145" s="9" t="inlineStr">
        <is>
          <t>Основы математического и имитационного моделирования</t>
        </is>
      </c>
      <c r="C145" s="9" t="inlineStr">
        <is>
          <t>Зачет с оценкой</t>
        </is>
      </c>
      <c r="D145" s="9" t="inlineStr">
        <is>
          <t>Т11О-304Б-18</t>
        </is>
      </c>
      <c r="E145" s="10" t="n">
        <v>6</v>
      </c>
      <c r="F145" s="9" t="inlineStr">
        <is>
          <t>08770</t>
        </is>
      </c>
      <c r="G145" s="11" t="n">
        <v>0</v>
      </c>
      <c r="H145" s="9" t="inlineStr">
        <is>
          <t xml:space="preserve">81728     </t>
        </is>
      </c>
      <c r="I145" s="9" t="inlineStr">
        <is>
          <t xml:space="preserve">Галкин Виктор Иванович </t>
        </is>
      </c>
      <c r="J145" s="9" t="inlineStr">
        <is>
          <t>профессор</t>
        </is>
      </c>
      <c r="K145" s="9" t="n"/>
      <c r="L145" s="9" t="inlineStr">
        <is>
          <t>кроме среды и первой пары понедельника (525 А)</t>
        </is>
      </c>
      <c r="M145" s="12">
        <f>SUMIFS($E$2:$E$1130,$A$2:$A$1130,"осень",$I$2:$I$1130,I145)</f>
        <v/>
      </c>
      <c r="N145" s="13">
        <f>SUMIFS($E$2:$E$1130,$A$2:$A$1130,"весна",$I$2:$I$1130,I145)</f>
        <v/>
      </c>
      <c r="O145" s="14">
        <f>M145+N145</f>
        <v/>
      </c>
      <c r="P145" s="15">
        <f>O145/$P$1</f>
        <v/>
      </c>
    </row>
    <row r="146" ht="15.75" customHeight="1" s="2">
      <c r="A146" s="117" t="inlineStr">
        <is>
          <t>осень</t>
        </is>
      </c>
      <c r="B146" s="9" t="inlineStr">
        <is>
          <t>Основы математического и имитационного моделирования</t>
        </is>
      </c>
      <c r="C146" s="9" t="inlineStr">
        <is>
          <t>ПЗ</t>
        </is>
      </c>
      <c r="D146" s="9" t="inlineStr">
        <is>
          <t>Т11О-304Б-18</t>
        </is>
      </c>
      <c r="E146" s="10" t="n">
        <v>24</v>
      </c>
      <c r="F146" s="9" t="inlineStr">
        <is>
          <t>08770</t>
        </is>
      </c>
      <c r="G146" s="10" t="n">
        <v>24</v>
      </c>
      <c r="H146" s="9" t="inlineStr">
        <is>
          <t xml:space="preserve">81728     </t>
        </is>
      </c>
      <c r="I146" s="9" t="inlineStr">
        <is>
          <t xml:space="preserve">Галкин Виктор Иванович </t>
        </is>
      </c>
      <c r="J146" s="9" t="inlineStr">
        <is>
          <t>профессор</t>
        </is>
      </c>
      <c r="K146" s="9" t="n"/>
      <c r="L146" s="9" t="inlineStr">
        <is>
          <t>кроме среды и первой пары понедельника (525 А)</t>
        </is>
      </c>
      <c r="M146" s="12">
        <f>SUMIFS($E$2:$E$1130,$A$2:$A$1130,"осень",$I$2:$I$1130,I146)</f>
        <v/>
      </c>
      <c r="N146" s="13">
        <f>SUMIFS($E$2:$E$1130,$A$2:$A$1130,"весна",$I$2:$I$1130,I146)</f>
        <v/>
      </c>
      <c r="O146" s="14">
        <f>M146+N146</f>
        <v/>
      </c>
      <c r="P146" s="15">
        <f>O146/$P$1</f>
        <v/>
      </c>
    </row>
    <row r="147" ht="15.75" customHeight="1" s="2">
      <c r="A147" s="117" t="inlineStr">
        <is>
          <t>осень</t>
        </is>
      </c>
      <c r="B147" s="9" t="inlineStr">
        <is>
          <t>Основы математического и имитационного моделирования</t>
        </is>
      </c>
      <c r="C147" s="9" t="inlineStr">
        <is>
          <t>Консультация</t>
        </is>
      </c>
      <c r="D147" s="9" t="inlineStr">
        <is>
          <t>Т11О-304Б-18</t>
        </is>
      </c>
      <c r="E147" s="10" t="n">
        <v>1</v>
      </c>
      <c r="F147" s="9" t="inlineStr">
        <is>
          <t>08770</t>
        </is>
      </c>
      <c r="G147" s="11" t="n">
        <v>0</v>
      </c>
      <c r="H147" s="9" t="inlineStr">
        <is>
          <t xml:space="preserve">81728     </t>
        </is>
      </c>
      <c r="I147" s="9" t="inlineStr">
        <is>
          <t xml:space="preserve">Галкин Виктор Иванович </t>
        </is>
      </c>
      <c r="J147" s="9" t="inlineStr">
        <is>
          <t>профессор</t>
        </is>
      </c>
      <c r="K147" s="9" t="n"/>
      <c r="L147" s="9" t="inlineStr">
        <is>
          <t>кроме среды и первой пары понедельника (525 А)</t>
        </is>
      </c>
      <c r="M147" s="12">
        <f>SUMIFS($E$2:$E$1130,$A$2:$A$1130,"осень",$I$2:$I$1130,I147)</f>
        <v/>
      </c>
      <c r="N147" s="13">
        <f>SUMIFS($E$2:$E$1130,$A$2:$A$1130,"весна",$I$2:$I$1130,I147)</f>
        <v/>
      </c>
      <c r="O147" s="14">
        <f>M147+N147</f>
        <v/>
      </c>
      <c r="P147" s="15">
        <f>O147/$P$1</f>
        <v/>
      </c>
    </row>
    <row r="148" ht="15.75" customHeight="1" s="2">
      <c r="A148" s="117" t="inlineStr">
        <is>
          <t>осень</t>
        </is>
      </c>
      <c r="B148" s="9" t="inlineStr">
        <is>
          <t>Оборудование цехов ОМД</t>
        </is>
      </c>
      <c r="C148" s="9" t="inlineStr">
        <is>
          <t>ЛК</t>
        </is>
      </c>
      <c r="D148" s="9" t="inlineStr">
        <is>
          <t>Т1В-516Б-16</t>
        </is>
      </c>
      <c r="E148" s="10" t="n">
        <v>4</v>
      </c>
      <c r="F148" s="9" t="inlineStr">
        <is>
          <t>04644</t>
        </is>
      </c>
      <c r="G148" s="10" t="n">
        <v>4</v>
      </c>
      <c r="H148" s="9" t="inlineStr">
        <is>
          <t xml:space="preserve">81716     </t>
        </is>
      </c>
      <c r="I148" s="9" t="inlineStr">
        <is>
          <t xml:space="preserve">Жаров Максим Владимирович </t>
        </is>
      </c>
      <c r="J148" s="9" t="inlineStr">
        <is>
          <t>доцент</t>
        </is>
      </c>
      <c r="K148" s="9" t="n"/>
      <c r="L148" s="9" t="inlineStr">
        <is>
          <t>кроме пятницы</t>
        </is>
      </c>
      <c r="M148" s="12">
        <f>SUMIFS($E$2:$E$1130,$A$2:$A$1130,"осень",$I$2:$I$1130,I148)</f>
        <v/>
      </c>
      <c r="N148" s="13">
        <f>SUMIFS($E$2:$E$1130,$A$2:$A$1130,"весна",$I$2:$I$1130,I148)</f>
        <v/>
      </c>
      <c r="O148" s="14">
        <f>M148+N148</f>
        <v/>
      </c>
      <c r="P148" s="15">
        <f>O148/$P$1</f>
        <v/>
      </c>
    </row>
    <row r="149" ht="15.75" customHeight="1" s="2">
      <c r="A149" s="117" t="inlineStr">
        <is>
          <t>осень</t>
        </is>
      </c>
      <c r="B149" s="9" t="inlineStr">
        <is>
          <t>Оборудование цехов ОМД</t>
        </is>
      </c>
      <c r="C149" s="9" t="inlineStr">
        <is>
          <t>ПЗ</t>
        </is>
      </c>
      <c r="D149" s="9" t="inlineStr">
        <is>
          <t>Т1В-516Б-16</t>
        </is>
      </c>
      <c r="E149" s="10" t="n">
        <v>8</v>
      </c>
      <c r="F149" s="9" t="inlineStr">
        <is>
          <t>04644</t>
        </is>
      </c>
      <c r="G149" s="10" t="n">
        <v>8</v>
      </c>
      <c r="H149" s="9" t="inlineStr">
        <is>
          <t xml:space="preserve">81716     </t>
        </is>
      </c>
      <c r="I149" s="9" t="inlineStr">
        <is>
          <t xml:space="preserve">Жаров Максим Владимирович </t>
        </is>
      </c>
      <c r="J149" s="9" t="inlineStr">
        <is>
          <t>доцент</t>
        </is>
      </c>
      <c r="K149" s="9" t="n"/>
      <c r="L149" s="9" t="inlineStr">
        <is>
          <t>кроме пятницы</t>
        </is>
      </c>
      <c r="M149" s="12">
        <f>SUMIFS($E$2:$E$1130,$A$2:$A$1130,"осень",$I$2:$I$1130,I149)</f>
        <v/>
      </c>
      <c r="N149" s="13">
        <f>SUMIFS($E$2:$E$1130,$A$2:$A$1130,"весна",$I$2:$I$1130,I149)</f>
        <v/>
      </c>
      <c r="O149" s="14">
        <f>M149+N149</f>
        <v/>
      </c>
      <c r="P149" s="15">
        <f>O149/$P$1</f>
        <v/>
      </c>
    </row>
    <row r="150" ht="15.75" customHeight="1" s="2">
      <c r="A150" s="117" t="inlineStr">
        <is>
          <t>осень</t>
        </is>
      </c>
      <c r="B150" s="9" t="inlineStr">
        <is>
          <t>Оборудование цехов ОМД</t>
        </is>
      </c>
      <c r="C150" s="9" t="inlineStr">
        <is>
          <t>Экзамен</t>
        </is>
      </c>
      <c r="D150" s="9" t="inlineStr">
        <is>
          <t>Т1В-516Б-16</t>
        </is>
      </c>
      <c r="E150" s="10" t="n">
        <v>3</v>
      </c>
      <c r="F150" s="9" t="inlineStr">
        <is>
          <t>04644</t>
        </is>
      </c>
      <c r="G150" s="11" t="n">
        <v>0</v>
      </c>
      <c r="H150" s="9" t="inlineStr">
        <is>
          <t xml:space="preserve">81716     </t>
        </is>
      </c>
      <c r="I150" s="9" t="inlineStr">
        <is>
          <t xml:space="preserve">Жаров Максим Владимирович </t>
        </is>
      </c>
      <c r="J150" s="9" t="inlineStr">
        <is>
          <t>доцент</t>
        </is>
      </c>
      <c r="K150" s="9" t="n"/>
      <c r="L150" s="9" t="inlineStr">
        <is>
          <t>кроме пятницы</t>
        </is>
      </c>
      <c r="M150" s="12">
        <f>SUMIFS($E$2:$E$1130,$A$2:$A$1130,"осень",$I$2:$I$1130,I150)</f>
        <v/>
      </c>
      <c r="N150" s="13">
        <f>SUMIFS($E$2:$E$1130,$A$2:$A$1130,"весна",$I$2:$I$1130,I150)</f>
        <v/>
      </c>
      <c r="O150" s="14">
        <f>M150+N150</f>
        <v/>
      </c>
      <c r="P150" s="15">
        <f>O150/$P$1</f>
        <v/>
      </c>
    </row>
    <row r="151" ht="15.75" customHeight="1" s="2">
      <c r="A151" s="117" t="inlineStr">
        <is>
          <t>осень</t>
        </is>
      </c>
      <c r="B151" s="9" t="inlineStr">
        <is>
          <t>Оборудование цехов ОМД</t>
        </is>
      </c>
      <c r="C151" s="9" t="inlineStr">
        <is>
          <t>КСР</t>
        </is>
      </c>
      <c r="D151" s="9" t="inlineStr">
        <is>
          <t>Т1В-516Б-16</t>
        </is>
      </c>
      <c r="E151" s="10" t="n">
        <v>4</v>
      </c>
      <c r="F151" s="9" t="inlineStr">
        <is>
          <t>04644</t>
        </is>
      </c>
      <c r="G151" s="10" t="n">
        <v>4</v>
      </c>
      <c r="H151" s="9" t="inlineStr">
        <is>
          <t xml:space="preserve">81716     </t>
        </is>
      </c>
      <c r="I151" s="9" t="inlineStr">
        <is>
          <t xml:space="preserve">Жаров Максим Владимирович </t>
        </is>
      </c>
      <c r="J151" s="9" t="inlineStr">
        <is>
          <t>доцент</t>
        </is>
      </c>
      <c r="K151" s="9" t="n"/>
      <c r="L151" s="9" t="inlineStr">
        <is>
          <t>кроме пятницы</t>
        </is>
      </c>
      <c r="M151" s="12">
        <f>SUMIFS($E$2:$E$1130,$A$2:$A$1130,"осень",$I$2:$I$1130,I151)</f>
        <v/>
      </c>
      <c r="N151" s="13">
        <f>SUMIFS($E$2:$E$1130,$A$2:$A$1130,"весна",$I$2:$I$1130,I151)</f>
        <v/>
      </c>
      <c r="O151" s="14">
        <f>M151+N151</f>
        <v/>
      </c>
      <c r="P151" s="15">
        <f>O151/$P$1</f>
        <v/>
      </c>
    </row>
    <row r="152" ht="15.75" customHeight="1" s="2">
      <c r="A152" s="117" t="inlineStr">
        <is>
          <t>осень</t>
        </is>
      </c>
      <c r="B152" s="9" t="inlineStr">
        <is>
          <t>Оборудование цехов ОМД</t>
        </is>
      </c>
      <c r="C152" s="9" t="inlineStr">
        <is>
          <t>Консультация</t>
        </is>
      </c>
      <c r="D152" s="9" t="inlineStr">
        <is>
          <t>Т1В-516Б-16</t>
        </is>
      </c>
      <c r="E152" s="10" t="n">
        <v>2</v>
      </c>
      <c r="F152" s="9" t="inlineStr">
        <is>
          <t>04644</t>
        </is>
      </c>
      <c r="G152" s="11" t="n">
        <v>0</v>
      </c>
      <c r="H152" s="9" t="inlineStr">
        <is>
          <t xml:space="preserve">81716     </t>
        </is>
      </c>
      <c r="I152" s="9" t="inlineStr">
        <is>
          <t xml:space="preserve">Жаров Максим Владимирович </t>
        </is>
      </c>
      <c r="J152" s="9" t="inlineStr">
        <is>
          <t>доцент</t>
        </is>
      </c>
      <c r="K152" s="9" t="n"/>
      <c r="L152" s="9" t="inlineStr">
        <is>
          <t>кроме пятницы</t>
        </is>
      </c>
      <c r="M152" s="12">
        <f>SUMIFS($E$2:$E$1130,$A$2:$A$1130,"осень",$I$2:$I$1130,I152)</f>
        <v/>
      </c>
      <c r="N152" s="13">
        <f>SUMIFS($E$2:$E$1130,$A$2:$A$1130,"весна",$I$2:$I$1130,I152)</f>
        <v/>
      </c>
      <c r="O152" s="14">
        <f>M152+N152</f>
        <v/>
      </c>
      <c r="P152" s="15">
        <f>O152/$P$1</f>
        <v/>
      </c>
    </row>
    <row r="153" ht="15.75" customHeight="1" s="2">
      <c r="A153" s="117" t="inlineStr">
        <is>
          <t>осень</t>
        </is>
      </c>
      <c r="B153" s="9" t="inlineStr">
        <is>
          <t>CALS-технологии в производстве продукции</t>
        </is>
      </c>
      <c r="C153" s="9" t="inlineStr">
        <is>
          <t>ЛК</t>
        </is>
      </c>
      <c r="D153" s="9" t="inlineStr">
        <is>
          <t>Т1О-404Б-17</t>
        </is>
      </c>
      <c r="E153" s="10" t="n">
        <v>24</v>
      </c>
      <c r="F153" s="9" t="inlineStr">
        <is>
          <t>08770</t>
        </is>
      </c>
      <c r="G153" s="10" t="n">
        <v>24</v>
      </c>
      <c r="H153" s="9" t="inlineStr">
        <is>
          <t xml:space="preserve">81724     </t>
        </is>
      </c>
      <c r="I153" s="9" t="inlineStr">
        <is>
          <t xml:space="preserve">Галкин Евгений Владимирович </t>
        </is>
      </c>
      <c r="J153" s="9" t="inlineStr">
        <is>
          <t>доцент</t>
        </is>
      </c>
      <c r="K153" s="9" t="n"/>
      <c r="L153" s="9" t="inlineStr">
        <is>
          <t>кроме пятницы (525 А)</t>
        </is>
      </c>
      <c r="M153" s="12">
        <f>SUMIFS($E$2:$E$1130,$A$2:$A$1130,"осень",$I$2:$I$1130,I153)</f>
        <v/>
      </c>
      <c r="N153" s="13">
        <f>SUMIFS($E$2:$E$1130,$A$2:$A$1130,"весна",$I$2:$I$1130,I153)</f>
        <v/>
      </c>
      <c r="O153" s="14">
        <f>M153+N153</f>
        <v/>
      </c>
      <c r="P153" s="15">
        <f>O153/$P$1</f>
        <v/>
      </c>
    </row>
    <row r="154" ht="15.75" customHeight="1" s="2">
      <c r="A154" s="117" t="inlineStr">
        <is>
          <t>осень</t>
        </is>
      </c>
      <c r="B154" s="9" t="inlineStr">
        <is>
          <t>CALS-технологии в производстве продукции</t>
        </is>
      </c>
      <c r="C154" s="9" t="inlineStr">
        <is>
          <t>ПЗ</t>
        </is>
      </c>
      <c r="D154" s="9" t="inlineStr">
        <is>
          <t>Т1О-404Б-17</t>
        </is>
      </c>
      <c r="E154" s="10" t="n">
        <v>40</v>
      </c>
      <c r="F154" s="9" t="inlineStr">
        <is>
          <t>08770</t>
        </is>
      </c>
      <c r="G154" s="10" t="n">
        <v>40</v>
      </c>
      <c r="H154" s="9" t="inlineStr">
        <is>
          <t xml:space="preserve">81724     </t>
        </is>
      </c>
      <c r="I154" s="9" t="inlineStr">
        <is>
          <t xml:space="preserve">Галкин Евгений Владимирович </t>
        </is>
      </c>
      <c r="J154" s="9" t="inlineStr">
        <is>
          <t>доцент</t>
        </is>
      </c>
      <c r="K154" s="9" t="n"/>
      <c r="L154" s="9" t="inlineStr">
        <is>
          <t>кроме пятницы (525 А)</t>
        </is>
      </c>
      <c r="M154" s="12">
        <f>SUMIFS($E$2:$E$1130,$A$2:$A$1130,"осень",$I$2:$I$1130,I154)</f>
        <v/>
      </c>
      <c r="N154" s="13">
        <f>SUMIFS($E$2:$E$1130,$A$2:$A$1130,"весна",$I$2:$I$1130,I154)</f>
        <v/>
      </c>
      <c r="O154" s="14">
        <f>M154+N154</f>
        <v/>
      </c>
      <c r="P154" s="15">
        <f>O154/$P$1</f>
        <v/>
      </c>
    </row>
    <row r="155" ht="15.75" customHeight="1" s="2">
      <c r="A155" s="117" t="inlineStr">
        <is>
          <t>осень</t>
        </is>
      </c>
      <c r="B155" s="9" t="inlineStr">
        <is>
          <t>CALS-технологии в производстве продукции</t>
        </is>
      </c>
      <c r="C155" s="9" t="inlineStr">
        <is>
          <t>Экзамен</t>
        </is>
      </c>
      <c r="D155" s="9" t="inlineStr">
        <is>
          <t>Т1О-404Б-17</t>
        </is>
      </c>
      <c r="E155" s="10" t="n">
        <v>12</v>
      </c>
      <c r="F155" s="9" t="inlineStr">
        <is>
          <t>08770</t>
        </is>
      </c>
      <c r="G155" s="11" t="n">
        <v>0</v>
      </c>
      <c r="H155" s="9" t="inlineStr">
        <is>
          <t xml:space="preserve">81724     </t>
        </is>
      </c>
      <c r="I155" s="9" t="inlineStr">
        <is>
          <t xml:space="preserve">Галкин Евгений Владимирович </t>
        </is>
      </c>
      <c r="J155" s="9" t="inlineStr">
        <is>
          <t>доцент</t>
        </is>
      </c>
      <c r="K155" s="9" t="n"/>
      <c r="L155" s="9" t="inlineStr">
        <is>
          <t>кроме пятницы (525 А)</t>
        </is>
      </c>
      <c r="M155" s="12">
        <f>SUMIFS($E$2:$E$1130,$A$2:$A$1130,"осень",$I$2:$I$1130,I155)</f>
        <v/>
      </c>
      <c r="N155" s="13">
        <f>SUMIFS($E$2:$E$1130,$A$2:$A$1130,"весна",$I$2:$I$1130,I155)</f>
        <v/>
      </c>
      <c r="O155" s="14">
        <f>M155+N155</f>
        <v/>
      </c>
      <c r="P155" s="15">
        <f>O155/$P$1</f>
        <v/>
      </c>
    </row>
    <row r="156" ht="15.75" customHeight="1" s="2">
      <c r="A156" s="117" t="inlineStr">
        <is>
          <t>осень</t>
        </is>
      </c>
      <c r="B156" s="9" t="inlineStr">
        <is>
          <t>CALS-технологии в производстве продукции</t>
        </is>
      </c>
      <c r="C156" s="9" t="inlineStr">
        <is>
          <t>Консультация</t>
        </is>
      </c>
      <c r="D156" s="9" t="inlineStr">
        <is>
          <t>Т1О-404Б-17</t>
        </is>
      </c>
      <c r="E156" s="10" t="n">
        <v>3</v>
      </c>
      <c r="F156" s="9" t="inlineStr">
        <is>
          <t>08770</t>
        </is>
      </c>
      <c r="G156" s="11" t="n">
        <v>0</v>
      </c>
      <c r="H156" s="9" t="inlineStr">
        <is>
          <t xml:space="preserve">81724     </t>
        </is>
      </c>
      <c r="I156" s="9" t="inlineStr">
        <is>
          <t xml:space="preserve">Галкин Евгений Владимирович </t>
        </is>
      </c>
      <c r="J156" s="9" t="inlineStr">
        <is>
          <t>доцент</t>
        </is>
      </c>
      <c r="K156" s="9" t="n"/>
      <c r="L156" s="9" t="inlineStr">
        <is>
          <t>кроме пятницы (525 А)</t>
        </is>
      </c>
      <c r="M156" s="12">
        <f>SUMIFS($E$2:$E$1130,$A$2:$A$1130,"осень",$I$2:$I$1130,I156)</f>
        <v/>
      </c>
      <c r="N156" s="13">
        <f>SUMIFS($E$2:$E$1130,$A$2:$A$1130,"весна",$I$2:$I$1130,I156)</f>
        <v/>
      </c>
      <c r="O156" s="14">
        <f>M156+N156</f>
        <v/>
      </c>
      <c r="P156" s="15">
        <f>O156/$P$1</f>
        <v/>
      </c>
    </row>
    <row r="157" ht="15.75" customHeight="1" s="2">
      <c r="A157" s="117" t="inlineStr">
        <is>
          <t>осень</t>
        </is>
      </c>
      <c r="B157" s="9" t="inlineStr">
        <is>
          <t>Теория и технология композиционных материалов</t>
        </is>
      </c>
      <c r="C157" s="9" t="inlineStr">
        <is>
          <t>ЛК</t>
        </is>
      </c>
      <c r="D157" s="9" t="inlineStr">
        <is>
          <t>Т11О-101М-20</t>
        </is>
      </c>
      <c r="E157" s="10" t="n">
        <v>10</v>
      </c>
      <c r="F157" s="9" t="inlineStr">
        <is>
          <t>04489</t>
        </is>
      </c>
      <c r="G157" s="10" t="n">
        <v>10</v>
      </c>
      <c r="H157" s="9" t="inlineStr">
        <is>
          <t xml:space="preserve">81724     </t>
        </is>
      </c>
      <c r="I157" s="9" t="inlineStr">
        <is>
          <t xml:space="preserve">Галкин Евгений Владимирович </t>
        </is>
      </c>
      <c r="J157" s="9" t="inlineStr">
        <is>
          <t>доцент</t>
        </is>
      </c>
      <c r="K157" s="9" t="n"/>
      <c r="L157" s="9" t="inlineStr">
        <is>
          <t>кроме пятницы (525 А)</t>
        </is>
      </c>
      <c r="M157" s="12">
        <f>SUMIFS($E$2:$E$1130,$A$2:$A$1130,"осень",$I$2:$I$1130,I157)</f>
        <v/>
      </c>
      <c r="N157" s="13">
        <f>SUMIFS($E$2:$E$1130,$A$2:$A$1130,"весна",$I$2:$I$1130,I157)</f>
        <v/>
      </c>
      <c r="O157" s="14">
        <f>M157+N157</f>
        <v/>
      </c>
      <c r="P157" s="15">
        <f>O157/$P$1</f>
        <v/>
      </c>
    </row>
    <row r="158" ht="15.75" customHeight="1" s="2">
      <c r="A158" s="117" t="inlineStr">
        <is>
          <t>осень</t>
        </is>
      </c>
      <c r="B158" s="9" t="inlineStr">
        <is>
          <t>Теория и технология композиционных материалов</t>
        </is>
      </c>
      <c r="C158" s="9" t="inlineStr">
        <is>
          <t>ПЗ</t>
        </is>
      </c>
      <c r="D158" s="9" t="inlineStr">
        <is>
          <t>Т11О-101М-20</t>
        </is>
      </c>
      <c r="E158" s="10" t="n">
        <v>16</v>
      </c>
      <c r="F158" s="9" t="inlineStr">
        <is>
          <t>04489</t>
        </is>
      </c>
      <c r="G158" s="10" t="n">
        <v>16</v>
      </c>
      <c r="H158" s="9" t="inlineStr">
        <is>
          <t xml:space="preserve">81724     </t>
        </is>
      </c>
      <c r="I158" s="9" t="inlineStr">
        <is>
          <t xml:space="preserve">Галкин Евгений Владимирович </t>
        </is>
      </c>
      <c r="J158" s="9" t="inlineStr">
        <is>
          <t>доцент</t>
        </is>
      </c>
      <c r="K158" s="9" t="n"/>
      <c r="L158" s="9" t="inlineStr">
        <is>
          <t>кроме пятницы (525 А)</t>
        </is>
      </c>
      <c r="M158" s="12">
        <f>SUMIFS($E$2:$E$1130,$A$2:$A$1130,"осень",$I$2:$I$1130,I158)</f>
        <v/>
      </c>
      <c r="N158" s="13">
        <f>SUMIFS($E$2:$E$1130,$A$2:$A$1130,"весна",$I$2:$I$1130,I158)</f>
        <v/>
      </c>
      <c r="O158" s="14">
        <f>M158+N158</f>
        <v/>
      </c>
      <c r="P158" s="15">
        <f>O158/$P$1</f>
        <v/>
      </c>
    </row>
    <row r="159" ht="15.75" customHeight="1" s="2">
      <c r="A159" s="117" t="inlineStr">
        <is>
          <t>осень</t>
        </is>
      </c>
      <c r="B159" s="9" t="inlineStr">
        <is>
          <t>Теория и технология композиционных материалов</t>
        </is>
      </c>
      <c r="C159" s="9" t="inlineStr">
        <is>
          <t>Зачет</t>
        </is>
      </c>
      <c r="D159" s="9" t="inlineStr">
        <is>
          <t>Т11О-101М-20</t>
        </is>
      </c>
      <c r="E159" s="10" t="n">
        <v>2</v>
      </c>
      <c r="F159" s="9" t="inlineStr">
        <is>
          <t>04489</t>
        </is>
      </c>
      <c r="G159" s="11" t="n">
        <v>0</v>
      </c>
      <c r="H159" s="9" t="inlineStr">
        <is>
          <t xml:space="preserve">81724     </t>
        </is>
      </c>
      <c r="I159" s="9" t="inlineStr">
        <is>
          <t xml:space="preserve">Галкин Евгений Владимирович </t>
        </is>
      </c>
      <c r="J159" s="9" t="inlineStr">
        <is>
          <t>доцент</t>
        </is>
      </c>
      <c r="K159" s="9" t="n"/>
      <c r="L159" s="9" t="inlineStr">
        <is>
          <t>кроме пятницы (525 А)</t>
        </is>
      </c>
      <c r="M159" s="12">
        <f>SUMIFS($E$2:$E$1130,$A$2:$A$1130,"осень",$I$2:$I$1130,I159)</f>
        <v/>
      </c>
      <c r="N159" s="13">
        <f>SUMIFS($E$2:$E$1130,$A$2:$A$1130,"весна",$I$2:$I$1130,I159)</f>
        <v/>
      </c>
      <c r="O159" s="14">
        <f>M159+N159</f>
        <v/>
      </c>
      <c r="P159" s="15">
        <f>O159/$P$1</f>
        <v/>
      </c>
    </row>
    <row r="160" ht="15.75" customHeight="1" s="2">
      <c r="A160" s="117" t="inlineStr">
        <is>
          <t>осень</t>
        </is>
      </c>
      <c r="B160" s="9" t="inlineStr">
        <is>
          <t>Теория и технология композиционных материалов</t>
        </is>
      </c>
      <c r="C160" s="9" t="inlineStr">
        <is>
          <t>Консультация</t>
        </is>
      </c>
      <c r="D160" s="9" t="inlineStr">
        <is>
          <t>Т11О-101М-20</t>
        </is>
      </c>
      <c r="E160" s="10" t="n">
        <v>1</v>
      </c>
      <c r="F160" s="9" t="inlineStr">
        <is>
          <t>04489</t>
        </is>
      </c>
      <c r="G160" s="11" t="n">
        <v>0</v>
      </c>
      <c r="H160" s="9" t="inlineStr">
        <is>
          <t xml:space="preserve">81724     </t>
        </is>
      </c>
      <c r="I160" s="9" t="inlineStr">
        <is>
          <t xml:space="preserve">Галкин Евгений Владимирович </t>
        </is>
      </c>
      <c r="J160" s="9" t="inlineStr">
        <is>
          <t>доцент</t>
        </is>
      </c>
      <c r="K160" s="9" t="n"/>
      <c r="L160" s="9" t="inlineStr">
        <is>
          <t>кроме пятницы (525 А)</t>
        </is>
      </c>
      <c r="M160" s="12">
        <f>SUMIFS($E$2:$E$1130,$A$2:$A$1130,"осень",$I$2:$I$1130,I160)</f>
        <v/>
      </c>
      <c r="N160" s="13">
        <f>SUMIFS($E$2:$E$1130,$A$2:$A$1130,"весна",$I$2:$I$1130,I160)</f>
        <v/>
      </c>
      <c r="O160" s="14">
        <f>M160+N160</f>
        <v/>
      </c>
      <c r="P160" s="15">
        <f>O160/$P$1</f>
        <v/>
      </c>
    </row>
    <row r="161" ht="15.75" customHeight="1" s="2">
      <c r="A161" s="117" t="inlineStr">
        <is>
          <t>осень</t>
        </is>
      </c>
      <c r="B161" s="9" t="inlineStr">
        <is>
          <t>Технология прокатно-прессового производства</t>
        </is>
      </c>
      <c r="C161" s="9" t="inlineStr">
        <is>
          <t>КП</t>
        </is>
      </c>
      <c r="D161" s="9" t="inlineStr">
        <is>
          <t>Т1В-516Б-16</t>
        </is>
      </c>
      <c r="E161" s="10" t="n">
        <v>24</v>
      </c>
      <c r="F161" s="9" t="inlineStr">
        <is>
          <t>04644</t>
        </is>
      </c>
      <c r="G161" s="11" t="n">
        <v>0</v>
      </c>
      <c r="H161" s="9" t="inlineStr">
        <is>
          <t xml:space="preserve">81722     </t>
        </is>
      </c>
      <c r="I161" s="9" t="inlineStr">
        <is>
          <t xml:space="preserve">Шленский Алексей Геннадьевич </t>
        </is>
      </c>
      <c r="J161" s="9" t="inlineStr">
        <is>
          <t>доцент</t>
        </is>
      </c>
      <c r="K161" s="9" t="inlineStr">
        <is>
          <t>Орш. А-523</t>
        </is>
      </c>
      <c r="L161" s="9" t="inlineStr">
        <is>
          <t>кроме пятницы</t>
        </is>
      </c>
      <c r="M161" s="12">
        <f>SUMIFS($E$2:$E$1130,$A$2:$A$1130,"осень",$I$2:$I$1130,I161)</f>
        <v/>
      </c>
      <c r="N161" s="13">
        <f>SUMIFS($E$2:$E$1130,$A$2:$A$1130,"весна",$I$2:$I$1130,I161)</f>
        <v/>
      </c>
      <c r="O161" s="14">
        <f>M161+N161</f>
        <v/>
      </c>
      <c r="P161" s="15">
        <f>O161/$P$1</f>
        <v/>
      </c>
    </row>
    <row r="162" ht="15.75" customHeight="1" s="2">
      <c r="A162" s="117" t="inlineStr">
        <is>
          <t>осень</t>
        </is>
      </c>
      <c r="B162" s="9" t="inlineStr">
        <is>
          <t>Технология прокатно-прессового производства</t>
        </is>
      </c>
      <c r="C162" s="9" t="inlineStr">
        <is>
          <t>ЛК</t>
        </is>
      </c>
      <c r="D162" s="9" t="inlineStr">
        <is>
          <t>Т1В-516Б-16</t>
        </is>
      </c>
      <c r="E162" s="10" t="n">
        <v>20</v>
      </c>
      <c r="F162" s="9" t="inlineStr">
        <is>
          <t>04644</t>
        </is>
      </c>
      <c r="G162" s="10" t="n">
        <v>20</v>
      </c>
      <c r="H162" s="9" t="inlineStr">
        <is>
          <t xml:space="preserve">81722     </t>
        </is>
      </c>
      <c r="I162" s="9" t="inlineStr">
        <is>
          <t xml:space="preserve">Шленский Алексей Геннадьевич </t>
        </is>
      </c>
      <c r="J162" s="9" t="inlineStr">
        <is>
          <t>доцент</t>
        </is>
      </c>
      <c r="K162" s="9" t="inlineStr">
        <is>
          <t>Орш. А-523</t>
        </is>
      </c>
      <c r="L162" s="9" t="inlineStr">
        <is>
          <t>кроме пятницы</t>
        </is>
      </c>
      <c r="M162" s="12">
        <f>SUMIFS($E$2:$E$1130,$A$2:$A$1130,"осень",$I$2:$I$1130,I162)</f>
        <v/>
      </c>
      <c r="N162" s="13">
        <f>SUMIFS($E$2:$E$1130,$A$2:$A$1130,"весна",$I$2:$I$1130,I162)</f>
        <v/>
      </c>
      <c r="O162" s="14">
        <f>M162+N162</f>
        <v/>
      </c>
      <c r="P162" s="15">
        <f>O162/$P$1</f>
        <v/>
      </c>
    </row>
    <row r="163" ht="15.75" customHeight="1" s="2">
      <c r="A163" s="117" t="inlineStr">
        <is>
          <t>осень</t>
        </is>
      </c>
      <c r="B163" s="9" t="inlineStr">
        <is>
          <t>Технология прокатно-прессового производства</t>
        </is>
      </c>
      <c r="C163" s="9" t="inlineStr">
        <is>
          <t>ЛК</t>
        </is>
      </c>
      <c r="D163" s="9" t="inlineStr">
        <is>
          <t>Т1О-401Б-17</t>
        </is>
      </c>
      <c r="E163" s="10" t="n">
        <v>40</v>
      </c>
      <c r="F163" s="9" t="inlineStr">
        <is>
          <t>06256</t>
        </is>
      </c>
      <c r="G163" s="10" t="n">
        <v>40</v>
      </c>
      <c r="H163" s="9" t="inlineStr">
        <is>
          <t xml:space="preserve">81722     </t>
        </is>
      </c>
      <c r="I163" s="9" t="inlineStr">
        <is>
          <t xml:space="preserve">Шленский Алексей Геннадьевич </t>
        </is>
      </c>
      <c r="J163" s="9" t="inlineStr">
        <is>
          <t>доцент</t>
        </is>
      </c>
      <c r="K163" s="9" t="inlineStr">
        <is>
          <t>Орш. А-523</t>
        </is>
      </c>
      <c r="L163" s="9" t="inlineStr">
        <is>
          <t>кроме пятницы</t>
        </is>
      </c>
      <c r="M163" s="12">
        <f>SUMIFS($E$2:$E$1130,$A$2:$A$1130,"осень",$I$2:$I$1130,I163)</f>
        <v/>
      </c>
      <c r="N163" s="13">
        <f>SUMIFS($E$2:$E$1130,$A$2:$A$1130,"весна",$I$2:$I$1130,I163)</f>
        <v/>
      </c>
      <c r="O163" s="14">
        <f>M163+N163</f>
        <v/>
      </c>
      <c r="P163" s="15">
        <f>O163/$P$1</f>
        <v/>
      </c>
    </row>
    <row r="164" ht="15.75" customHeight="1" s="2">
      <c r="A164" s="117" t="inlineStr">
        <is>
          <t>осень</t>
        </is>
      </c>
      <c r="B164" s="9" t="inlineStr">
        <is>
          <t>Технология прокатно-прессового производства</t>
        </is>
      </c>
      <c r="C164" s="9" t="inlineStr">
        <is>
          <t>ПЗ</t>
        </is>
      </c>
      <c r="D164" s="9" t="inlineStr">
        <is>
          <t>Т1В-516Б-16</t>
        </is>
      </c>
      <c r="E164" s="10" t="n">
        <v>12</v>
      </c>
      <c r="F164" s="9" t="inlineStr">
        <is>
          <t>04644</t>
        </is>
      </c>
      <c r="G164" s="10" t="n">
        <v>12</v>
      </c>
      <c r="H164" s="9" t="inlineStr">
        <is>
          <t xml:space="preserve">81722     </t>
        </is>
      </c>
      <c r="I164" s="9" t="inlineStr">
        <is>
          <t xml:space="preserve">Шленский Алексей Геннадьевич </t>
        </is>
      </c>
      <c r="J164" s="9" t="inlineStr">
        <is>
          <t>доцент</t>
        </is>
      </c>
      <c r="K164" s="9" t="inlineStr">
        <is>
          <t>Орш. А-521</t>
        </is>
      </c>
      <c r="L164" s="9" t="inlineStr">
        <is>
          <t>кроме пятницы</t>
        </is>
      </c>
      <c r="M164" s="12">
        <f>SUMIFS($E$2:$E$1130,$A$2:$A$1130,"осень",$I$2:$I$1130,I164)</f>
        <v/>
      </c>
      <c r="N164" s="13">
        <f>SUMIFS($E$2:$E$1130,$A$2:$A$1130,"весна",$I$2:$I$1130,I164)</f>
        <v/>
      </c>
      <c r="O164" s="14">
        <f>M164+N164</f>
        <v/>
      </c>
      <c r="P164" s="15">
        <f>O164/$P$1</f>
        <v/>
      </c>
    </row>
    <row r="165" ht="15.75" customHeight="1" s="2">
      <c r="A165" s="117" t="inlineStr">
        <is>
          <t>осень</t>
        </is>
      </c>
      <c r="B165" s="9" t="inlineStr">
        <is>
          <t>Технология прокатно-прессового производства</t>
        </is>
      </c>
      <c r="C165" s="9" t="inlineStr">
        <is>
          <t>ПЗ</t>
        </is>
      </c>
      <c r="D165" s="9" t="inlineStr">
        <is>
          <t>Т1О-401Б-17</t>
        </is>
      </c>
      <c r="E165" s="10" t="n">
        <v>68</v>
      </c>
      <c r="F165" s="9" t="inlineStr">
        <is>
          <t>06256</t>
        </is>
      </c>
      <c r="G165" s="10" t="n">
        <v>68</v>
      </c>
      <c r="H165" s="9" t="inlineStr">
        <is>
          <t xml:space="preserve">81722     </t>
        </is>
      </c>
      <c r="I165" s="9" t="inlineStr">
        <is>
          <t xml:space="preserve">Шленский Алексей Геннадьевич </t>
        </is>
      </c>
      <c r="J165" s="9" t="inlineStr">
        <is>
          <t>доцент</t>
        </is>
      </c>
      <c r="K165" s="9" t="inlineStr">
        <is>
          <t>Орш. А-522</t>
        </is>
      </c>
      <c r="L165" s="9" t="inlineStr">
        <is>
          <t>кроме пятницы</t>
        </is>
      </c>
      <c r="M165" s="12">
        <f>SUMIFS($E$2:$E$1130,$A$2:$A$1130,"осень",$I$2:$I$1130,I165)</f>
        <v/>
      </c>
      <c r="N165" s="13">
        <f>SUMIFS($E$2:$E$1130,$A$2:$A$1130,"весна",$I$2:$I$1130,I165)</f>
        <v/>
      </c>
      <c r="O165" s="14">
        <f>M165+N165</f>
        <v/>
      </c>
      <c r="P165" s="15">
        <f>O165/$P$1</f>
        <v/>
      </c>
    </row>
    <row r="166" ht="15.75" customHeight="1" s="2">
      <c r="A166" s="117" t="inlineStr">
        <is>
          <t>осень</t>
        </is>
      </c>
      <c r="B166" s="9" t="inlineStr">
        <is>
          <t>Технология прокатно-прессового производства</t>
        </is>
      </c>
      <c r="C166" s="9" t="inlineStr">
        <is>
          <t>ЛР</t>
        </is>
      </c>
      <c r="D166" s="9" t="inlineStr">
        <is>
          <t>Т1В-516Б-16</t>
        </is>
      </c>
      <c r="E166" s="10" t="n">
        <v>16</v>
      </c>
      <c r="F166" s="9" t="inlineStr">
        <is>
          <t>04644</t>
        </is>
      </c>
      <c r="G166" s="10" t="n">
        <v>16</v>
      </c>
      <c r="H166" s="9" t="inlineStr">
        <is>
          <t xml:space="preserve">81722     </t>
        </is>
      </c>
      <c r="I166" s="9" t="inlineStr">
        <is>
          <t xml:space="preserve">Шленский Алексей Геннадьевич </t>
        </is>
      </c>
      <c r="J166" s="9" t="inlineStr">
        <is>
          <t>доцент</t>
        </is>
      </c>
      <c r="K166" s="9" t="inlineStr">
        <is>
          <t>Орш. А-522</t>
        </is>
      </c>
      <c r="L166" s="9" t="inlineStr">
        <is>
          <t>кроме пятницы</t>
        </is>
      </c>
      <c r="M166" s="12">
        <f>SUMIFS($E$2:$E$1130,$A$2:$A$1130,"осень",$I$2:$I$1130,I166)</f>
        <v/>
      </c>
      <c r="N166" s="13">
        <f>SUMIFS($E$2:$E$1130,$A$2:$A$1130,"весна",$I$2:$I$1130,I166)</f>
        <v/>
      </c>
      <c r="O166" s="14">
        <f>M166+N166</f>
        <v/>
      </c>
      <c r="P166" s="15">
        <f>O166/$P$1</f>
        <v/>
      </c>
    </row>
    <row r="167" ht="15.75" customHeight="1" s="2">
      <c r="A167" s="117" t="inlineStr">
        <is>
          <t>осень</t>
        </is>
      </c>
      <c r="B167" s="9" t="inlineStr">
        <is>
          <t>Технология прокатно-прессового производства</t>
        </is>
      </c>
      <c r="C167" s="9" t="inlineStr">
        <is>
          <t>Экзамен</t>
        </is>
      </c>
      <c r="D167" s="9" t="inlineStr">
        <is>
          <t>Т1В-516Б-16</t>
        </is>
      </c>
      <c r="E167" s="10" t="n">
        <v>3</v>
      </c>
      <c r="F167" s="9" t="inlineStr">
        <is>
          <t>04644</t>
        </is>
      </c>
      <c r="G167" s="11" t="n">
        <v>0</v>
      </c>
      <c r="H167" s="9" t="inlineStr">
        <is>
          <t xml:space="preserve">81722     </t>
        </is>
      </c>
      <c r="I167" s="9" t="inlineStr">
        <is>
          <t xml:space="preserve">Шленский Алексей Геннадьевич </t>
        </is>
      </c>
      <c r="J167" s="9" t="inlineStr">
        <is>
          <t>доцент</t>
        </is>
      </c>
      <c r="K167" s="9" t="n"/>
      <c r="L167" s="9" t="inlineStr">
        <is>
          <t>кроме пятницы</t>
        </is>
      </c>
      <c r="M167" s="12">
        <f>SUMIFS($E$2:$E$1130,$A$2:$A$1130,"осень",$I$2:$I$1130,I167)</f>
        <v/>
      </c>
      <c r="N167" s="13">
        <f>SUMIFS($E$2:$E$1130,$A$2:$A$1130,"весна",$I$2:$I$1130,I167)</f>
        <v/>
      </c>
      <c r="O167" s="14">
        <f>M167+N167</f>
        <v/>
      </c>
      <c r="P167" s="15">
        <f>O167/$P$1</f>
        <v/>
      </c>
    </row>
    <row r="168" ht="15.75" customHeight="1" s="2">
      <c r="A168" s="117" t="inlineStr">
        <is>
          <t>осень</t>
        </is>
      </c>
      <c r="B168" s="9" t="inlineStr">
        <is>
          <t>Технология прокатно-прессового производства</t>
        </is>
      </c>
      <c r="C168" s="9" t="inlineStr">
        <is>
          <t>Экзамен</t>
        </is>
      </c>
      <c r="D168" s="9" t="inlineStr">
        <is>
          <t>Т1О-401Б-17</t>
        </is>
      </c>
      <c r="E168" s="10" t="n">
        <v>8</v>
      </c>
      <c r="F168" s="9" t="inlineStr">
        <is>
          <t>06256</t>
        </is>
      </c>
      <c r="G168" s="11" t="n">
        <v>0</v>
      </c>
      <c r="H168" s="9" t="inlineStr">
        <is>
          <t xml:space="preserve">81722     </t>
        </is>
      </c>
      <c r="I168" s="9" t="inlineStr">
        <is>
          <t xml:space="preserve">Шленский Алексей Геннадьевич </t>
        </is>
      </c>
      <c r="J168" s="9" t="inlineStr">
        <is>
          <t>доцент</t>
        </is>
      </c>
      <c r="K168" s="9" t="n"/>
      <c r="L168" s="9" t="n"/>
      <c r="M168" s="12">
        <f>SUMIFS($E$2:$E$1130,$A$2:$A$1130,"осень",$I$2:$I$1130,I168)</f>
        <v/>
      </c>
      <c r="N168" s="13">
        <f>SUMIFS($E$2:$E$1130,$A$2:$A$1130,"весна",$I$2:$I$1130,I168)</f>
        <v/>
      </c>
      <c r="O168" s="14">
        <f>M168+N168</f>
        <v/>
      </c>
      <c r="P168" s="15">
        <f>O168/$P$1</f>
        <v/>
      </c>
    </row>
    <row r="169" ht="15.75" customHeight="1" s="2">
      <c r="A169" s="117" t="inlineStr">
        <is>
          <t>осень</t>
        </is>
      </c>
      <c r="B169" s="9" t="inlineStr">
        <is>
          <t>Технология прокатно-прессового производства</t>
        </is>
      </c>
      <c r="C169" s="9" t="inlineStr">
        <is>
          <t>КСР</t>
        </is>
      </c>
      <c r="D169" s="9" t="inlineStr">
        <is>
          <t>Т1В-516Б-16</t>
        </is>
      </c>
      <c r="E169" s="10" t="n">
        <v>32</v>
      </c>
      <c r="F169" s="9" t="inlineStr">
        <is>
          <t>04644</t>
        </is>
      </c>
      <c r="G169" s="10" t="n">
        <v>32</v>
      </c>
      <c r="H169" s="9" t="inlineStr">
        <is>
          <t xml:space="preserve">81722     </t>
        </is>
      </c>
      <c r="I169" s="9" t="inlineStr">
        <is>
          <t xml:space="preserve">Шленский Алексей Геннадьевич </t>
        </is>
      </c>
      <c r="J169" s="9" t="inlineStr">
        <is>
          <t>доцент</t>
        </is>
      </c>
      <c r="K169" s="9" t="n"/>
      <c r="L169" s="9" t="inlineStr">
        <is>
          <t>кроме пятницы</t>
        </is>
      </c>
      <c r="M169" s="12">
        <f>SUMIFS($E$2:$E$1130,$A$2:$A$1130,"осень",$I$2:$I$1130,I169)</f>
        <v/>
      </c>
      <c r="N169" s="13">
        <f>SUMIFS($E$2:$E$1130,$A$2:$A$1130,"весна",$I$2:$I$1130,I169)</f>
        <v/>
      </c>
      <c r="O169" s="14">
        <f>M169+N169</f>
        <v/>
      </c>
      <c r="P169" s="15">
        <f>O169/$P$1</f>
        <v/>
      </c>
    </row>
    <row r="170" ht="15.75" customHeight="1" s="2">
      <c r="A170" s="117" t="inlineStr">
        <is>
          <t>осень</t>
        </is>
      </c>
      <c r="B170" s="9" t="inlineStr">
        <is>
          <t>Технология прокатно-прессового производства</t>
        </is>
      </c>
      <c r="C170" s="9" t="inlineStr">
        <is>
          <t>Консультация</t>
        </is>
      </c>
      <c r="D170" s="9" t="inlineStr">
        <is>
          <t>Т1В-516Б-16</t>
        </is>
      </c>
      <c r="E170" s="10" t="n">
        <v>4</v>
      </c>
      <c r="F170" s="9" t="inlineStr">
        <is>
          <t>04644</t>
        </is>
      </c>
      <c r="G170" s="11" t="n">
        <v>0</v>
      </c>
      <c r="H170" s="9" t="inlineStr">
        <is>
          <t xml:space="preserve">81722     </t>
        </is>
      </c>
      <c r="I170" s="9" t="inlineStr">
        <is>
          <t xml:space="preserve">Шленский Алексей Геннадьевич </t>
        </is>
      </c>
      <c r="J170" s="9" t="inlineStr">
        <is>
          <t>доцент</t>
        </is>
      </c>
      <c r="K170" s="9" t="n"/>
      <c r="L170" s="9" t="inlineStr">
        <is>
          <t>кроме пятницы</t>
        </is>
      </c>
      <c r="M170" s="12">
        <f>SUMIFS($E$2:$E$1130,$A$2:$A$1130,"осень",$I$2:$I$1130,I170)</f>
        <v/>
      </c>
      <c r="N170" s="13">
        <f>SUMIFS($E$2:$E$1130,$A$2:$A$1130,"весна",$I$2:$I$1130,I170)</f>
        <v/>
      </c>
      <c r="O170" s="14">
        <f>M170+N170</f>
        <v/>
      </c>
      <c r="P170" s="15">
        <f>O170/$P$1</f>
        <v/>
      </c>
    </row>
    <row r="171" ht="15.75" customHeight="1" s="2">
      <c r="A171" s="117" t="inlineStr">
        <is>
          <t>осень</t>
        </is>
      </c>
      <c r="B171" s="9" t="inlineStr">
        <is>
          <t>Технология прокатно-прессового производства</t>
        </is>
      </c>
      <c r="C171" s="9" t="inlineStr">
        <is>
          <t>Консультация</t>
        </is>
      </c>
      <c r="D171" s="9" t="inlineStr">
        <is>
          <t>Т1О-401Б-17</t>
        </is>
      </c>
      <c r="E171" s="10" t="n">
        <v>4</v>
      </c>
      <c r="F171" s="9" t="inlineStr">
        <is>
          <t>06256</t>
        </is>
      </c>
      <c r="G171" s="11" t="n">
        <v>0</v>
      </c>
      <c r="H171" s="9" t="inlineStr">
        <is>
          <t xml:space="preserve">81722     </t>
        </is>
      </c>
      <c r="I171" s="9" t="inlineStr">
        <is>
          <t xml:space="preserve">Шленский Алексей Геннадьевич </t>
        </is>
      </c>
      <c r="J171" s="9" t="inlineStr">
        <is>
          <t>доцент</t>
        </is>
      </c>
      <c r="K171" s="9" t="n"/>
      <c r="L171" s="9" t="inlineStr">
        <is>
          <t>кроме пятницы</t>
        </is>
      </c>
      <c r="M171" s="12">
        <f>SUMIFS($E$2:$E$1130,$A$2:$A$1130,"осень",$I$2:$I$1130,I171)</f>
        <v/>
      </c>
      <c r="N171" s="13">
        <f>SUMIFS($E$2:$E$1130,$A$2:$A$1130,"весна",$I$2:$I$1130,I171)</f>
        <v/>
      </c>
      <c r="O171" s="14">
        <f>M171+N171</f>
        <v/>
      </c>
      <c r="P171" s="15">
        <f>O171/$P$1</f>
        <v/>
      </c>
    </row>
    <row r="172" ht="15.75" customHeight="1" s="2">
      <c r="A172" s="117" t="inlineStr">
        <is>
          <t>осень</t>
        </is>
      </c>
      <c r="B172" s="9" t="inlineStr">
        <is>
          <t>Методы прогнозирования в управлении жизненным циклом продукции</t>
        </is>
      </c>
      <c r="C172" s="9" t="inlineStr">
        <is>
          <t>ЛК</t>
        </is>
      </c>
      <c r="D172" s="9" t="inlineStr">
        <is>
          <t>Т11О-304Б-18</t>
        </is>
      </c>
      <c r="E172" s="10" t="n">
        <v>24</v>
      </c>
      <c r="F172" s="9" t="inlineStr">
        <is>
          <t>08770</t>
        </is>
      </c>
      <c r="G172" s="10" t="n">
        <v>24</v>
      </c>
      <c r="H172" s="9" t="inlineStr">
        <is>
          <t xml:space="preserve">81724     </t>
        </is>
      </c>
      <c r="I172" s="9" t="inlineStr">
        <is>
          <t xml:space="preserve">Галкин Евгений Владимирович </t>
        </is>
      </c>
      <c r="J172" s="9" t="inlineStr">
        <is>
          <t>доцент</t>
        </is>
      </c>
      <c r="K172" s="9" t="n"/>
      <c r="L172" s="9" t="inlineStr">
        <is>
          <t>кроме понедельника и пятницы</t>
        </is>
      </c>
      <c r="M172" s="12">
        <f>SUMIFS($E$2:$E$1130,$A$2:$A$1130,"осень",$I$2:$I$1130,I172)</f>
        <v/>
      </c>
      <c r="N172" s="13">
        <f>SUMIFS($E$2:$E$1130,$A$2:$A$1130,"весна",$I$2:$I$1130,I172)</f>
        <v/>
      </c>
      <c r="O172" s="14">
        <f>M172+N172</f>
        <v/>
      </c>
      <c r="P172" s="15">
        <f>O172/$P$1</f>
        <v/>
      </c>
    </row>
    <row r="173" ht="15.75" customHeight="1" s="2">
      <c r="A173" s="117" t="inlineStr">
        <is>
          <t>осень</t>
        </is>
      </c>
      <c r="B173" s="9" t="inlineStr">
        <is>
          <t>Методы прогнозирования в управлении жизненным циклом продукции</t>
        </is>
      </c>
      <c r="C173" s="9" t="inlineStr">
        <is>
          <t>ПЗ</t>
        </is>
      </c>
      <c r="D173" s="9" t="inlineStr">
        <is>
          <t>Т11О-304Б-18</t>
        </is>
      </c>
      <c r="E173" s="10" t="n">
        <v>40</v>
      </c>
      <c r="F173" s="9" t="inlineStr">
        <is>
          <t>08770</t>
        </is>
      </c>
      <c r="G173" s="10" t="n">
        <v>40</v>
      </c>
      <c r="H173" s="9" t="n"/>
      <c r="I173" s="9" t="inlineStr">
        <is>
          <t xml:space="preserve">Комаров Роман Сергеевич </t>
        </is>
      </c>
      <c r="J173" s="9" t="inlineStr">
        <is>
          <t>доцент</t>
        </is>
      </c>
      <c r="K173" s="9" t="n"/>
      <c r="L173" s="9" t="inlineStr">
        <is>
          <t>кроме понедельника и пятницы</t>
        </is>
      </c>
      <c r="M173" s="12">
        <f>SUMIFS($E$2:$E$1130,$A$2:$A$1130,"осень",$I$2:$I$1130,I173)</f>
        <v/>
      </c>
      <c r="N173" s="13">
        <f>SUMIFS($E$2:$E$1130,$A$2:$A$1130,"весна",$I$2:$I$1130,I173)</f>
        <v/>
      </c>
      <c r="O173" s="14">
        <f>M173+N173</f>
        <v/>
      </c>
      <c r="P173" s="15">
        <f>O173/$P$1</f>
        <v/>
      </c>
    </row>
    <row r="174" ht="15.75" customHeight="1" s="2">
      <c r="A174" s="117" t="inlineStr">
        <is>
          <t>осень</t>
        </is>
      </c>
      <c r="B174" s="9" t="inlineStr">
        <is>
          <t>Методы прогнозирования в управлении жизненным циклом продукции</t>
        </is>
      </c>
      <c r="C174" s="9" t="inlineStr">
        <is>
          <t>Экзамен</t>
        </is>
      </c>
      <c r="D174" s="9" t="inlineStr">
        <is>
          <t>Т11О-304Б-18</t>
        </is>
      </c>
      <c r="E174" s="10" t="n">
        <v>9</v>
      </c>
      <c r="F174" s="9" t="inlineStr">
        <is>
          <t>08770</t>
        </is>
      </c>
      <c r="G174" s="11" t="n">
        <v>0</v>
      </c>
      <c r="H174" s="9" t="inlineStr">
        <is>
          <t xml:space="preserve">81724     </t>
        </is>
      </c>
      <c r="I174" s="9" t="inlineStr">
        <is>
          <t xml:space="preserve">Галкин Евгений Владимирович </t>
        </is>
      </c>
      <c r="J174" s="9" t="inlineStr">
        <is>
          <t>доцент</t>
        </is>
      </c>
      <c r="K174" s="9" t="n"/>
      <c r="L174" s="9" t="inlineStr">
        <is>
          <t>кроме понедельника и пятницы</t>
        </is>
      </c>
      <c r="M174" s="12">
        <f>SUMIFS($E$2:$E$1130,$A$2:$A$1130,"осень",$I$2:$I$1130,I174)</f>
        <v/>
      </c>
      <c r="N174" s="13">
        <f>SUMIFS($E$2:$E$1130,$A$2:$A$1130,"весна",$I$2:$I$1130,I174)</f>
        <v/>
      </c>
      <c r="O174" s="14">
        <f>M174+N174</f>
        <v/>
      </c>
      <c r="P174" s="15">
        <f>O174/$P$1</f>
        <v/>
      </c>
    </row>
    <row r="175" ht="15.75" customHeight="1" s="2">
      <c r="A175" s="117" t="inlineStr">
        <is>
          <t>осень</t>
        </is>
      </c>
      <c r="B175" s="9" t="inlineStr">
        <is>
          <t>Методы прогнозирования в управлении жизненным циклом продукции</t>
        </is>
      </c>
      <c r="C175" s="9" t="inlineStr">
        <is>
          <t>Консультация</t>
        </is>
      </c>
      <c r="D175" s="9" t="inlineStr">
        <is>
          <t>Т11О-304Б-18</t>
        </is>
      </c>
      <c r="E175" s="10" t="n">
        <v>3</v>
      </c>
      <c r="F175" s="9" t="inlineStr">
        <is>
          <t>08770</t>
        </is>
      </c>
      <c r="G175" s="11" t="n">
        <v>0</v>
      </c>
      <c r="H175" s="9" t="inlineStr">
        <is>
          <t xml:space="preserve">81724     </t>
        </is>
      </c>
      <c r="I175" s="9" t="inlineStr">
        <is>
          <t xml:space="preserve">Галкин Евгений Владимирович </t>
        </is>
      </c>
      <c r="J175" s="9" t="inlineStr">
        <is>
          <t>доцент</t>
        </is>
      </c>
      <c r="K175" s="9" t="n"/>
      <c r="L175" s="9" t="inlineStr">
        <is>
          <t>кроме понедельника и пятницы</t>
        </is>
      </c>
      <c r="M175" s="12">
        <f>SUMIFS($E$2:$E$1130,$A$2:$A$1130,"осень",$I$2:$I$1130,I175)</f>
        <v/>
      </c>
      <c r="N175" s="13">
        <f>SUMIFS($E$2:$E$1130,$A$2:$A$1130,"весна",$I$2:$I$1130,I175)</f>
        <v/>
      </c>
      <c r="O175" s="14">
        <f>M175+N175</f>
        <v/>
      </c>
      <c r="P175" s="15">
        <f>O175/$P$1</f>
        <v/>
      </c>
    </row>
    <row r="176" ht="15.75" customHeight="1" s="2">
      <c r="A176" s="117" t="inlineStr">
        <is>
          <t>осень</t>
        </is>
      </c>
      <c r="B176" s="9" t="inlineStr">
        <is>
          <t>Средства автоматизации и управления</t>
        </is>
      </c>
      <c r="C176" s="9" t="inlineStr">
        <is>
          <t>ЛК</t>
        </is>
      </c>
      <c r="D176" s="9" t="inlineStr">
        <is>
          <t>Т1О-404Б-17</t>
        </is>
      </c>
      <c r="E176" s="10" t="n">
        <v>16</v>
      </c>
      <c r="F176" s="9" t="inlineStr">
        <is>
          <t>08770</t>
        </is>
      </c>
      <c r="G176" s="10" t="n">
        <v>16</v>
      </c>
      <c r="H176" s="9" t="inlineStr">
        <is>
          <t xml:space="preserve">81721     </t>
        </is>
      </c>
      <c r="I176" s="9" t="inlineStr">
        <is>
          <t xml:space="preserve">Преображенский Евгений Владимирович </t>
        </is>
      </c>
      <c r="J176" s="9" t="inlineStr">
        <is>
          <t>доцент</t>
        </is>
      </c>
      <c r="K176" s="9" t="n"/>
      <c r="L176" s="9" t="inlineStr">
        <is>
          <t>525 А</t>
        </is>
      </c>
      <c r="M176" s="12">
        <f>SUMIFS($E$2:$E$1130,$A$2:$A$1130,"осень",$I$2:$I$1130,I176)</f>
        <v/>
      </c>
      <c r="N176" s="13">
        <f>SUMIFS($E$2:$E$1130,$A$2:$A$1130,"весна",$I$2:$I$1130,I176)</f>
        <v/>
      </c>
      <c r="O176" s="14">
        <f>M176+N176</f>
        <v/>
      </c>
      <c r="P176" s="15">
        <f>O176/$P$1</f>
        <v/>
      </c>
    </row>
    <row r="177" ht="15.75" customHeight="1" s="2">
      <c r="A177" s="117" t="inlineStr">
        <is>
          <t>осень</t>
        </is>
      </c>
      <c r="B177" s="9" t="inlineStr">
        <is>
          <t>Средства автоматизации и управления</t>
        </is>
      </c>
      <c r="C177" s="9" t="inlineStr">
        <is>
          <t>ПЗ</t>
        </is>
      </c>
      <c r="D177" s="9" t="inlineStr">
        <is>
          <t>Т1О-404Б-17</t>
        </is>
      </c>
      <c r="E177" s="10" t="n">
        <v>16</v>
      </c>
      <c r="F177" s="9" t="inlineStr">
        <is>
          <t>08770</t>
        </is>
      </c>
      <c r="G177" s="10" t="n">
        <v>16</v>
      </c>
      <c r="H177" s="9" t="inlineStr">
        <is>
          <t xml:space="preserve">81721     </t>
        </is>
      </c>
      <c r="I177" s="9" t="inlineStr">
        <is>
          <t xml:space="preserve">Преображенский Евгений Владимирович </t>
        </is>
      </c>
      <c r="J177" s="9" t="inlineStr">
        <is>
          <t>доцент</t>
        </is>
      </c>
      <c r="K177" s="9" t="n"/>
      <c r="L177" s="9" t="inlineStr">
        <is>
          <t>525 А</t>
        </is>
      </c>
      <c r="M177" s="12">
        <f>SUMIFS($E$2:$E$1130,$A$2:$A$1130,"осень",$I$2:$I$1130,I177)</f>
        <v/>
      </c>
      <c r="N177" s="13">
        <f>SUMIFS($E$2:$E$1130,$A$2:$A$1130,"весна",$I$2:$I$1130,I177)</f>
        <v/>
      </c>
      <c r="O177" s="14">
        <f>M177+N177</f>
        <v/>
      </c>
      <c r="P177" s="15">
        <f>O177/$P$1</f>
        <v/>
      </c>
    </row>
    <row r="178" ht="15.75" customHeight="1" s="2">
      <c r="A178" s="117" t="inlineStr">
        <is>
          <t>осень</t>
        </is>
      </c>
      <c r="B178" s="9" t="inlineStr">
        <is>
          <t>Средства автоматизации и управления</t>
        </is>
      </c>
      <c r="C178" s="9" t="inlineStr">
        <is>
          <t>ЛР</t>
        </is>
      </c>
      <c r="D178" s="9" t="inlineStr">
        <is>
          <t>Т1О-404Б-17</t>
        </is>
      </c>
      <c r="E178" s="10" t="n">
        <v>16</v>
      </c>
      <c r="F178" s="9" t="inlineStr">
        <is>
          <t>08770</t>
        </is>
      </c>
      <c r="G178" s="10" t="n">
        <v>8</v>
      </c>
      <c r="H178" s="9" t="inlineStr">
        <is>
          <t xml:space="preserve">81721     </t>
        </is>
      </c>
      <c r="I178" s="9" t="inlineStr">
        <is>
          <t xml:space="preserve">Преображенский Евгений Владимирович </t>
        </is>
      </c>
      <c r="J178" s="9" t="inlineStr">
        <is>
          <t>доцент</t>
        </is>
      </c>
      <c r="K178" s="9" t="n"/>
      <c r="L178" s="9" t="inlineStr">
        <is>
          <t>525 А</t>
        </is>
      </c>
      <c r="M178" s="12">
        <f>SUMIFS($E$2:$E$1130,$A$2:$A$1130,"осень",$I$2:$I$1130,I178)</f>
        <v/>
      </c>
      <c r="N178" s="13">
        <f>SUMIFS($E$2:$E$1130,$A$2:$A$1130,"весна",$I$2:$I$1130,I178)</f>
        <v/>
      </c>
      <c r="O178" s="14">
        <f>M178+N178</f>
        <v/>
      </c>
      <c r="P178" s="15">
        <f>O178/$P$1</f>
        <v/>
      </c>
    </row>
    <row r="179" ht="15.75" customHeight="1" s="2">
      <c r="A179" s="117" t="inlineStr">
        <is>
          <t>осень</t>
        </is>
      </c>
      <c r="B179" s="9" t="inlineStr">
        <is>
          <t>Средства автоматизации и управления</t>
        </is>
      </c>
      <c r="C179" s="9" t="inlineStr">
        <is>
          <t>Зачет</t>
        </is>
      </c>
      <c r="D179" s="9" t="inlineStr">
        <is>
          <t>Т1О-404Б-17</t>
        </is>
      </c>
      <c r="E179" s="10" t="n">
        <v>8</v>
      </c>
      <c r="F179" s="9" t="inlineStr">
        <is>
          <t>08770</t>
        </is>
      </c>
      <c r="G179" s="11" t="n">
        <v>0</v>
      </c>
      <c r="H179" s="9" t="inlineStr">
        <is>
          <t xml:space="preserve">81721     </t>
        </is>
      </c>
      <c r="I179" s="9" t="inlineStr">
        <is>
          <t xml:space="preserve">Преображенский Евгений Владимирович </t>
        </is>
      </c>
      <c r="J179" s="9" t="inlineStr">
        <is>
          <t>доцент</t>
        </is>
      </c>
      <c r="K179" s="9" t="n"/>
      <c r="L179" s="9" t="inlineStr">
        <is>
          <t>525 А</t>
        </is>
      </c>
      <c r="M179" s="12">
        <f>SUMIFS($E$2:$E$1130,$A$2:$A$1130,"осень",$I$2:$I$1130,I179)</f>
        <v/>
      </c>
      <c r="N179" s="13">
        <f>SUMIFS($E$2:$E$1130,$A$2:$A$1130,"весна",$I$2:$I$1130,I179)</f>
        <v/>
      </c>
      <c r="O179" s="14">
        <f>M179+N179</f>
        <v/>
      </c>
      <c r="P179" s="15">
        <f>O179/$P$1</f>
        <v/>
      </c>
    </row>
    <row r="180" ht="15.75" customHeight="1" s="2">
      <c r="A180" s="117" t="inlineStr">
        <is>
          <t>осень</t>
        </is>
      </c>
      <c r="B180" s="9" t="inlineStr">
        <is>
          <t>Средства автоматизации и управления</t>
        </is>
      </c>
      <c r="C180" s="9" t="inlineStr">
        <is>
          <t>Консультация</t>
        </is>
      </c>
      <c r="D180" s="9" t="inlineStr">
        <is>
          <t>Т1О-404Б-17</t>
        </is>
      </c>
      <c r="E180" s="10" t="n">
        <v>1</v>
      </c>
      <c r="F180" s="9" t="inlineStr">
        <is>
          <t>08770</t>
        </is>
      </c>
      <c r="G180" s="11" t="n">
        <v>0</v>
      </c>
      <c r="H180" s="9" t="inlineStr">
        <is>
          <t xml:space="preserve">81721     </t>
        </is>
      </c>
      <c r="I180" s="9" t="inlineStr">
        <is>
          <t xml:space="preserve">Преображенский Евгений Владимирович </t>
        </is>
      </c>
      <c r="J180" s="9" t="inlineStr">
        <is>
          <t>доцент</t>
        </is>
      </c>
      <c r="K180" s="9" t="n"/>
      <c r="L180" s="9" t="inlineStr">
        <is>
          <t>525 А</t>
        </is>
      </c>
      <c r="M180" s="12">
        <f>SUMIFS($E$2:$E$1130,$A$2:$A$1130,"осень",$I$2:$I$1130,I180)</f>
        <v/>
      </c>
      <c r="N180" s="13">
        <f>SUMIFS($E$2:$E$1130,$A$2:$A$1130,"весна",$I$2:$I$1130,I180)</f>
        <v/>
      </c>
      <c r="O180" s="14">
        <f>M180+N180</f>
        <v/>
      </c>
      <c r="P180" s="15">
        <f>O180/$P$1</f>
        <v/>
      </c>
    </row>
    <row r="181" ht="15.75" customHeight="1" s="2">
      <c r="A181" s="117" t="inlineStr">
        <is>
          <t>осень</t>
        </is>
      </c>
      <c r="B181" s="9" t="inlineStr">
        <is>
          <t>Технологические процессы автоматизированных производств</t>
        </is>
      </c>
      <c r="C181" s="9" t="inlineStr">
        <is>
          <t>ЛК</t>
        </is>
      </c>
      <c r="D181" s="9" t="inlineStr">
        <is>
          <t>Т1О-404Б-17</t>
        </is>
      </c>
      <c r="E181" s="10" t="n">
        <v>16</v>
      </c>
      <c r="F181" s="9" t="inlineStr">
        <is>
          <t>08770</t>
        </is>
      </c>
      <c r="G181" s="10" t="n">
        <v>16</v>
      </c>
      <c r="H181" s="9" t="inlineStr">
        <is>
          <t xml:space="preserve">81721     </t>
        </is>
      </c>
      <c r="I181" s="9" t="inlineStr">
        <is>
          <t xml:space="preserve">Преображенский Евгений Владимирович </t>
        </is>
      </c>
      <c r="J181" s="9" t="inlineStr">
        <is>
          <t>доцент</t>
        </is>
      </c>
      <c r="K181" s="9" t="n"/>
      <c r="L181" s="9" t="inlineStr">
        <is>
          <t>кроме понедельника и пятницы</t>
        </is>
      </c>
      <c r="M181" s="12">
        <f>SUMIFS($E$2:$E$1130,$A$2:$A$1130,"осень",$I$2:$I$1130,I181)</f>
        <v/>
      </c>
      <c r="N181" s="13">
        <f>SUMIFS($E$2:$E$1130,$A$2:$A$1130,"весна",$I$2:$I$1130,I181)</f>
        <v/>
      </c>
      <c r="O181" s="14">
        <f>M181+N181</f>
        <v/>
      </c>
      <c r="P181" s="15">
        <f>O181/$P$1</f>
        <v/>
      </c>
    </row>
    <row r="182" ht="15.75" customHeight="1" s="2">
      <c r="A182" s="117" t="inlineStr">
        <is>
          <t>осень</t>
        </is>
      </c>
      <c r="B182" s="9" t="inlineStr">
        <is>
          <t>Технологические процессы автоматизированных производств</t>
        </is>
      </c>
      <c r="C182" s="9" t="inlineStr">
        <is>
          <t>Зачет с оценкой</t>
        </is>
      </c>
      <c r="D182" s="9" t="inlineStr">
        <is>
          <t>Т1О-404Б-17</t>
        </is>
      </c>
      <c r="E182" s="10" t="n">
        <v>8</v>
      </c>
      <c r="F182" s="9" t="inlineStr">
        <is>
          <t>08770</t>
        </is>
      </c>
      <c r="G182" s="11" t="n">
        <v>0</v>
      </c>
      <c r="H182" s="9" t="inlineStr">
        <is>
          <t xml:space="preserve">81721     </t>
        </is>
      </c>
      <c r="I182" s="9" t="inlineStr">
        <is>
          <t xml:space="preserve">Преображенский Евгений Владимирович </t>
        </is>
      </c>
      <c r="J182" s="9" t="inlineStr">
        <is>
          <t>доцент</t>
        </is>
      </c>
      <c r="K182" s="9" t="n"/>
      <c r="L182" s="9" t="inlineStr">
        <is>
          <t>кроме понедельника и пятницы</t>
        </is>
      </c>
      <c r="M182" s="12">
        <f>SUMIFS($E$2:$E$1130,$A$2:$A$1130,"осень",$I$2:$I$1130,I182)</f>
        <v/>
      </c>
      <c r="N182" s="13">
        <f>SUMIFS($E$2:$E$1130,$A$2:$A$1130,"весна",$I$2:$I$1130,I182)</f>
        <v/>
      </c>
      <c r="O182" s="14">
        <f>M182+N182</f>
        <v/>
      </c>
      <c r="P182" s="15">
        <f>O182/$P$1</f>
        <v/>
      </c>
    </row>
    <row r="183" ht="15.75" customHeight="1" s="2">
      <c r="A183" s="117" t="inlineStr">
        <is>
          <t>осень</t>
        </is>
      </c>
      <c r="B183" s="9" t="inlineStr">
        <is>
          <t>Технологические процессы автоматизированных производств</t>
        </is>
      </c>
      <c r="C183" s="9" t="inlineStr">
        <is>
          <t>ПЗ</t>
        </is>
      </c>
      <c r="D183" s="9" t="inlineStr">
        <is>
          <t>Т1О-404Б-17</t>
        </is>
      </c>
      <c r="E183" s="10" t="n">
        <v>32</v>
      </c>
      <c r="F183" s="9" t="inlineStr">
        <is>
          <t>08770</t>
        </is>
      </c>
      <c r="G183" s="10" t="n">
        <v>32</v>
      </c>
      <c r="H183" s="9" t="inlineStr">
        <is>
          <t xml:space="preserve">81721     </t>
        </is>
      </c>
      <c r="I183" s="9" t="inlineStr">
        <is>
          <t xml:space="preserve">Преображенский Евгений Владимирович </t>
        </is>
      </c>
      <c r="J183" s="9" t="inlineStr">
        <is>
          <t>доцент</t>
        </is>
      </c>
      <c r="K183" s="9" t="n"/>
      <c r="L183" s="9" t="inlineStr">
        <is>
          <t>кроме понедельника и пятницы</t>
        </is>
      </c>
      <c r="M183" s="12">
        <f>SUMIFS($E$2:$E$1130,$A$2:$A$1130,"осень",$I$2:$I$1130,I183)</f>
        <v/>
      </c>
      <c r="N183" s="13">
        <f>SUMIFS($E$2:$E$1130,$A$2:$A$1130,"весна",$I$2:$I$1130,I183)</f>
        <v/>
      </c>
      <c r="O183" s="14">
        <f>M183+N183</f>
        <v/>
      </c>
      <c r="P183" s="15">
        <f>O183/$P$1</f>
        <v/>
      </c>
    </row>
    <row r="184" ht="15.75" customHeight="1" s="2">
      <c r="A184" s="117" t="inlineStr">
        <is>
          <t>осень</t>
        </is>
      </c>
      <c r="B184" s="9" t="inlineStr">
        <is>
          <t>Технологические процессы автоматизированных производств</t>
        </is>
      </c>
      <c r="C184" s="9" t="inlineStr">
        <is>
          <t>ЛР</t>
        </is>
      </c>
      <c r="D184" s="9" t="inlineStr">
        <is>
          <t>Т1О-404Б-17</t>
        </is>
      </c>
      <c r="E184" s="10" t="n">
        <v>16</v>
      </c>
      <c r="F184" s="9" t="inlineStr">
        <is>
          <t>08770</t>
        </is>
      </c>
      <c r="G184" s="10" t="n">
        <v>8</v>
      </c>
      <c r="H184" s="9" t="inlineStr">
        <is>
          <t xml:space="preserve">81721     </t>
        </is>
      </c>
      <c r="I184" s="9" t="inlineStr">
        <is>
          <t xml:space="preserve">Преображенский Евгений Владимирович </t>
        </is>
      </c>
      <c r="J184" s="9" t="inlineStr">
        <is>
          <t>доцент</t>
        </is>
      </c>
      <c r="K184" s="9" t="n"/>
      <c r="L184" s="9" t="inlineStr">
        <is>
          <t>кроме понедельника и пятницы</t>
        </is>
      </c>
      <c r="M184" s="12">
        <f>SUMIFS($E$2:$E$1130,$A$2:$A$1130,"осень",$I$2:$I$1130,I184)</f>
        <v/>
      </c>
      <c r="N184" s="13">
        <f>SUMIFS($E$2:$E$1130,$A$2:$A$1130,"весна",$I$2:$I$1130,I184)</f>
        <v/>
      </c>
      <c r="O184" s="14">
        <f>M184+N184</f>
        <v/>
      </c>
      <c r="P184" s="15">
        <f>O184/$P$1</f>
        <v/>
      </c>
    </row>
    <row r="185" ht="15.75" customHeight="1" s="2">
      <c r="A185" s="117" t="inlineStr">
        <is>
          <t>осень</t>
        </is>
      </c>
      <c r="B185" s="9" t="inlineStr">
        <is>
          <t>Технологические процессы автоматизированных производств</t>
        </is>
      </c>
      <c r="C185" s="9" t="inlineStr">
        <is>
          <t>Консультация</t>
        </is>
      </c>
      <c r="D185" s="9" t="inlineStr">
        <is>
          <t>Т1О-404Б-17</t>
        </is>
      </c>
      <c r="E185" s="10" t="n">
        <v>1</v>
      </c>
      <c r="F185" s="9" t="inlineStr">
        <is>
          <t>08770</t>
        </is>
      </c>
      <c r="G185" s="11" t="n">
        <v>0</v>
      </c>
      <c r="H185" s="9" t="inlineStr">
        <is>
          <t xml:space="preserve">81721     </t>
        </is>
      </c>
      <c r="I185" s="9" t="inlineStr">
        <is>
          <t xml:space="preserve">Преображенский Евгений Владимирович </t>
        </is>
      </c>
      <c r="J185" s="9" t="inlineStr">
        <is>
          <t>доцент</t>
        </is>
      </c>
      <c r="K185" s="9" t="n"/>
      <c r="L185" s="9" t="inlineStr">
        <is>
          <t>кроме понедельника и пятницы</t>
        </is>
      </c>
      <c r="M185" s="12">
        <f>SUMIFS($E$2:$E$1130,$A$2:$A$1130,"осень",$I$2:$I$1130,I185)</f>
        <v/>
      </c>
      <c r="N185" s="13">
        <f>SUMIFS($E$2:$E$1130,$A$2:$A$1130,"весна",$I$2:$I$1130,I185)</f>
        <v/>
      </c>
      <c r="O185" s="14">
        <f>M185+N185</f>
        <v/>
      </c>
      <c r="P185" s="15">
        <f>O185/$P$1</f>
        <v/>
      </c>
    </row>
    <row r="186" ht="15.75" customHeight="1" s="2">
      <c r="A186" s="117" t="inlineStr">
        <is>
          <t>осень</t>
        </is>
      </c>
      <c r="B186" s="9" t="inlineStr">
        <is>
          <t>Основы технологии и организации получения продукции методами КШП</t>
        </is>
      </c>
      <c r="C186" s="9" t="inlineStr">
        <is>
          <t>ЛК</t>
        </is>
      </c>
      <c r="D186" s="9" t="inlineStr">
        <is>
          <t>Т1О-404Б-17</t>
        </is>
      </c>
      <c r="E186" s="10" t="n">
        <v>24</v>
      </c>
      <c r="F186" s="9" t="inlineStr">
        <is>
          <t>08770</t>
        </is>
      </c>
      <c r="G186" s="10" t="n">
        <v>24</v>
      </c>
      <c r="H186" s="9" t="inlineStr">
        <is>
          <t xml:space="preserve">81729     </t>
        </is>
      </c>
      <c r="I186" s="9" t="inlineStr">
        <is>
          <t xml:space="preserve">Соколов Алексей Викторович </t>
        </is>
      </c>
      <c r="J186" s="9" t="inlineStr">
        <is>
          <t>доцент</t>
        </is>
      </c>
      <c r="K186" s="9" t="n"/>
      <c r="L186" s="9" t="inlineStr">
        <is>
          <t>кроме пятницы (523 А)</t>
        </is>
      </c>
      <c r="M186" s="12">
        <f>SUMIFS($E$2:$E$1130,$A$2:$A$1130,"осень",$I$2:$I$1130,I186)</f>
        <v/>
      </c>
      <c r="N186" s="13">
        <f>SUMIFS($E$2:$E$1130,$A$2:$A$1130,"весна",$I$2:$I$1130,I186)</f>
        <v/>
      </c>
      <c r="O186" s="14">
        <f>M186+N186</f>
        <v/>
      </c>
      <c r="P186" s="15">
        <f>O186/$P$1</f>
        <v/>
      </c>
    </row>
    <row r="187" ht="15.75" customHeight="1" s="2">
      <c r="A187" s="117" t="inlineStr">
        <is>
          <t>осень</t>
        </is>
      </c>
      <c r="B187" s="9" t="inlineStr">
        <is>
          <t>Основы технологии и организации получения продукции методами КШП</t>
        </is>
      </c>
      <c r="C187" s="9" t="inlineStr">
        <is>
          <t>Зачет с оценкой</t>
        </is>
      </c>
      <c r="D187" s="9" t="inlineStr">
        <is>
          <t>Т1О-404Б-17</t>
        </is>
      </c>
      <c r="E187" s="10" t="n">
        <v>8</v>
      </c>
      <c r="F187" s="9" t="inlineStr">
        <is>
          <t>08770</t>
        </is>
      </c>
      <c r="G187" s="11" t="n">
        <v>0</v>
      </c>
      <c r="H187" s="9" t="inlineStr">
        <is>
          <t xml:space="preserve">81729     </t>
        </is>
      </c>
      <c r="I187" s="9" t="inlineStr">
        <is>
          <t xml:space="preserve">Соколов Алексей Викторович </t>
        </is>
      </c>
      <c r="J187" s="9" t="inlineStr">
        <is>
          <t>доцент</t>
        </is>
      </c>
      <c r="K187" s="9" t="n"/>
      <c r="L187" s="9" t="inlineStr">
        <is>
          <t>кроме пятницы</t>
        </is>
      </c>
      <c r="M187" s="12">
        <f>SUMIFS($E$2:$E$1130,$A$2:$A$1130,"осень",$I$2:$I$1130,I187)</f>
        <v/>
      </c>
      <c r="N187" s="13">
        <f>SUMIFS($E$2:$E$1130,$A$2:$A$1130,"весна",$I$2:$I$1130,I187)</f>
        <v/>
      </c>
      <c r="O187" s="14">
        <f>M187+N187</f>
        <v/>
      </c>
      <c r="P187" s="15">
        <f>O187/$P$1</f>
        <v/>
      </c>
    </row>
    <row r="188" ht="15.75" customHeight="1" s="2">
      <c r="A188" s="117" t="inlineStr">
        <is>
          <t>осень</t>
        </is>
      </c>
      <c r="B188" s="9" t="inlineStr">
        <is>
          <t>Основы технологии и организации получения продукции методами КШП</t>
        </is>
      </c>
      <c r="C188" s="9" t="inlineStr">
        <is>
          <t>ПЗ</t>
        </is>
      </c>
      <c r="D188" s="9" t="inlineStr">
        <is>
          <t>Т1О-404Б-17</t>
        </is>
      </c>
      <c r="E188" s="10" t="n">
        <v>40</v>
      </c>
      <c r="F188" s="9" t="inlineStr">
        <is>
          <t>08770</t>
        </is>
      </c>
      <c r="G188" s="10" t="n">
        <v>40</v>
      </c>
      <c r="H188" s="9" t="inlineStr">
        <is>
          <t xml:space="preserve">81729     </t>
        </is>
      </c>
      <c r="I188" s="9" t="inlineStr">
        <is>
          <t xml:space="preserve">Соколов Алексей Викторович </t>
        </is>
      </c>
      <c r="J188" s="9" t="inlineStr">
        <is>
          <t>доцент</t>
        </is>
      </c>
      <c r="K188" s="9" t="n"/>
      <c r="L188" s="9" t="inlineStr">
        <is>
          <t>кроме пятницы (521А, 522А)</t>
        </is>
      </c>
      <c r="M188" s="12">
        <f>SUMIFS($E$2:$E$1130,$A$2:$A$1130,"осень",$I$2:$I$1130,I188)</f>
        <v/>
      </c>
      <c r="N188" s="13">
        <f>SUMIFS($E$2:$E$1130,$A$2:$A$1130,"весна",$I$2:$I$1130,I188)</f>
        <v/>
      </c>
      <c r="O188" s="14">
        <f>M188+N188</f>
        <v/>
      </c>
      <c r="P188" s="15">
        <f>O188/$P$1</f>
        <v/>
      </c>
    </row>
    <row r="189" ht="15.75" customHeight="1" s="2">
      <c r="A189" s="117" t="inlineStr">
        <is>
          <t>осень</t>
        </is>
      </c>
      <c r="B189" s="9" t="inlineStr">
        <is>
          <t>Основы технологии и организации получения продукции методами КШП</t>
        </is>
      </c>
      <c r="C189" s="9" t="inlineStr">
        <is>
          <t>Консультация</t>
        </is>
      </c>
      <c r="D189" s="9" t="inlineStr">
        <is>
          <t>Т1О-404Б-17</t>
        </is>
      </c>
      <c r="E189" s="10" t="n">
        <v>1</v>
      </c>
      <c r="F189" s="9" t="inlineStr">
        <is>
          <t>08770</t>
        </is>
      </c>
      <c r="G189" s="11" t="n">
        <v>0</v>
      </c>
      <c r="H189" s="9" t="inlineStr">
        <is>
          <t xml:space="preserve">81729     </t>
        </is>
      </c>
      <c r="I189" s="9" t="inlineStr">
        <is>
          <t xml:space="preserve">Соколов Алексей Викторович </t>
        </is>
      </c>
      <c r="J189" s="9" t="inlineStr">
        <is>
          <t>доцент</t>
        </is>
      </c>
      <c r="K189" s="9" t="n"/>
      <c r="L189" s="9" t="inlineStr">
        <is>
          <t>кроме пятницы</t>
        </is>
      </c>
      <c r="M189" s="12">
        <f>SUMIFS($E$2:$E$1130,$A$2:$A$1130,"осень",$I$2:$I$1130,I189)</f>
        <v/>
      </c>
      <c r="N189" s="13">
        <f>SUMIFS($E$2:$E$1130,$A$2:$A$1130,"весна",$I$2:$I$1130,I189)</f>
        <v/>
      </c>
      <c r="O189" s="14">
        <f>M189+N189</f>
        <v/>
      </c>
      <c r="P189" s="15">
        <f>O189/$P$1</f>
        <v/>
      </c>
    </row>
    <row r="190" ht="15.75" customHeight="1" s="2">
      <c r="A190" s="117" t="inlineStr">
        <is>
          <t>осень</t>
        </is>
      </c>
      <c r="B190" s="9" t="inlineStr">
        <is>
          <t>Основы технологии и организации получения продукции методами листовой штамповки</t>
        </is>
      </c>
      <c r="C190" s="9" t="inlineStr">
        <is>
          <t>ЛК</t>
        </is>
      </c>
      <c r="D190" s="9" t="inlineStr">
        <is>
          <t>Т11О-304Б-18</t>
        </is>
      </c>
      <c r="E190" s="10" t="n">
        <v>40</v>
      </c>
      <c r="F190" s="9" t="inlineStr">
        <is>
          <t>08770</t>
        </is>
      </c>
      <c r="G190" s="10" t="n">
        <v>40</v>
      </c>
      <c r="H190" s="9" t="inlineStr">
        <is>
          <t xml:space="preserve">81728     </t>
        </is>
      </c>
      <c r="I190" s="9" t="inlineStr">
        <is>
          <t xml:space="preserve">Галкин Виктор Иванович </t>
        </is>
      </c>
      <c r="J190" s="9" t="inlineStr">
        <is>
          <t>профессор</t>
        </is>
      </c>
      <c r="K190" s="9" t="n"/>
      <c r="L190" s="9" t="inlineStr">
        <is>
          <t>кроме понедельника и пятницы</t>
        </is>
      </c>
      <c r="M190" s="12">
        <f>SUMIFS($E$2:$E$1130,$A$2:$A$1130,"осень",$I$2:$I$1130,I190)</f>
        <v/>
      </c>
      <c r="N190" s="13">
        <f>SUMIFS($E$2:$E$1130,$A$2:$A$1130,"весна",$I$2:$I$1130,I190)</f>
        <v/>
      </c>
      <c r="O190" s="14">
        <f>M190+N190</f>
        <v/>
      </c>
      <c r="P190" s="15">
        <f>O190/$P$1</f>
        <v/>
      </c>
    </row>
    <row r="191" ht="15.75" customHeight="1" s="2">
      <c r="A191" s="117" t="inlineStr">
        <is>
          <t>осень</t>
        </is>
      </c>
      <c r="B191" s="9" t="inlineStr">
        <is>
          <t>Основы технологии и организации получения продукции методами листовой штамповки</t>
        </is>
      </c>
      <c r="C191" s="9" t="inlineStr">
        <is>
          <t>Зачет с оценкой</t>
        </is>
      </c>
      <c r="D191" s="9" t="inlineStr">
        <is>
          <t>Т11О-304Б-18</t>
        </is>
      </c>
      <c r="E191" s="10" t="n">
        <v>6</v>
      </c>
      <c r="F191" s="9" t="inlineStr">
        <is>
          <t>08770</t>
        </is>
      </c>
      <c r="G191" s="11" t="n">
        <v>0</v>
      </c>
      <c r="H191" s="9" t="inlineStr">
        <is>
          <t xml:space="preserve">81728     </t>
        </is>
      </c>
      <c r="I191" s="9" t="inlineStr">
        <is>
          <t xml:space="preserve">Галкин Виктор Иванович </t>
        </is>
      </c>
      <c r="J191" s="9" t="inlineStr">
        <is>
          <t>профессор</t>
        </is>
      </c>
      <c r="K191" s="9" t="n"/>
      <c r="L191" s="9" t="inlineStr">
        <is>
          <t>кроме понедельника и пятницы</t>
        </is>
      </c>
      <c r="M191" s="12">
        <f>SUMIFS($E$2:$E$1130,$A$2:$A$1130,"осень",$I$2:$I$1130,I191)</f>
        <v/>
      </c>
      <c r="N191" s="13">
        <f>SUMIFS($E$2:$E$1130,$A$2:$A$1130,"весна",$I$2:$I$1130,I191)</f>
        <v/>
      </c>
      <c r="O191" s="14">
        <f>M191+N191</f>
        <v/>
      </c>
      <c r="P191" s="15">
        <f>O191/$P$1</f>
        <v/>
      </c>
    </row>
    <row r="192" ht="15.75" customHeight="1" s="2">
      <c r="A192" s="117" t="inlineStr">
        <is>
          <t>осень</t>
        </is>
      </c>
      <c r="B192" s="9" t="inlineStr">
        <is>
          <t>Основы технологии и организации получения продукции методами листовой штамповки</t>
        </is>
      </c>
      <c r="C192" s="9" t="inlineStr">
        <is>
          <t>ПЗ</t>
        </is>
      </c>
      <c r="D192" s="9" t="inlineStr">
        <is>
          <t>Т11О-304Б-18</t>
        </is>
      </c>
      <c r="E192" s="10" t="n">
        <v>32</v>
      </c>
      <c r="F192" s="9" t="inlineStr">
        <is>
          <t>08770</t>
        </is>
      </c>
      <c r="G192" s="10" t="n">
        <v>32</v>
      </c>
      <c r="H192" s="9" t="inlineStr">
        <is>
          <t xml:space="preserve">81728     </t>
        </is>
      </c>
      <c r="I192" s="9" t="inlineStr">
        <is>
          <t xml:space="preserve">Галкин Виктор Иванович </t>
        </is>
      </c>
      <c r="J192" s="9" t="inlineStr">
        <is>
          <t>профессор</t>
        </is>
      </c>
      <c r="K192" s="9" t="n"/>
      <c r="L192" s="9" t="inlineStr">
        <is>
          <t>кроме понедельника и пятницы</t>
        </is>
      </c>
      <c r="M192" s="12">
        <f>SUMIFS($E$2:$E$1130,$A$2:$A$1130,"осень",$I$2:$I$1130,I192)</f>
        <v/>
      </c>
      <c r="N192" s="13">
        <f>SUMIFS($E$2:$E$1130,$A$2:$A$1130,"весна",$I$2:$I$1130,I192)</f>
        <v/>
      </c>
      <c r="O192" s="14">
        <f>M192+N192</f>
        <v/>
      </c>
      <c r="P192" s="15">
        <f>O192/$P$1</f>
        <v/>
      </c>
    </row>
    <row r="193" ht="15.75" customHeight="1" s="2">
      <c r="A193" s="117" t="inlineStr">
        <is>
          <t>осень</t>
        </is>
      </c>
      <c r="B193" s="9" t="inlineStr">
        <is>
          <t>Основы технологии и организации получения продукции методами листовой штамповки</t>
        </is>
      </c>
      <c r="C193" s="9" t="inlineStr">
        <is>
          <t>Консультация</t>
        </is>
      </c>
      <c r="D193" s="9" t="inlineStr">
        <is>
          <t>Т11О-304Б-18</t>
        </is>
      </c>
      <c r="E193" s="10" t="n">
        <v>2</v>
      </c>
      <c r="F193" s="9" t="inlineStr">
        <is>
          <t>08770</t>
        </is>
      </c>
      <c r="G193" s="11" t="n">
        <v>0</v>
      </c>
      <c r="H193" s="9" t="inlineStr">
        <is>
          <t xml:space="preserve">81728     </t>
        </is>
      </c>
      <c r="I193" s="9" t="inlineStr">
        <is>
          <t xml:space="preserve">Галкин Виктор Иванович </t>
        </is>
      </c>
      <c r="J193" s="9" t="inlineStr">
        <is>
          <t>профессор</t>
        </is>
      </c>
      <c r="K193" s="9" t="n"/>
      <c r="L193" s="9" t="inlineStr">
        <is>
          <t>кроме понедельника и пятницы</t>
        </is>
      </c>
      <c r="M193" s="12">
        <f>SUMIFS($E$2:$E$1130,$A$2:$A$1130,"осень",$I$2:$I$1130,I193)</f>
        <v/>
      </c>
      <c r="N193" s="13">
        <f>SUMIFS($E$2:$E$1130,$A$2:$A$1130,"весна",$I$2:$I$1130,I193)</f>
        <v/>
      </c>
      <c r="O193" s="14">
        <f>M193+N193</f>
        <v/>
      </c>
      <c r="P193" s="15">
        <f>O193/$P$1</f>
        <v/>
      </c>
    </row>
    <row r="194" ht="15.75" customHeight="1" s="2">
      <c r="A194" s="117" t="inlineStr">
        <is>
          <t>осень</t>
        </is>
      </c>
      <c r="B194" s="9" t="inlineStr">
        <is>
          <t>Методы управления информационными и материальными потоками</t>
        </is>
      </c>
      <c r="C194" s="9" t="inlineStr">
        <is>
          <t>ЛК</t>
        </is>
      </c>
      <c r="D194" s="9" t="inlineStr">
        <is>
          <t>Т1О-404Б-17</t>
        </is>
      </c>
      <c r="E194" s="10" t="n">
        <v>32</v>
      </c>
      <c r="F194" s="9" t="inlineStr">
        <is>
          <t>08770</t>
        </is>
      </c>
      <c r="G194" s="10" t="n">
        <v>32</v>
      </c>
      <c r="H194" s="9" t="inlineStr">
        <is>
          <t xml:space="preserve">81716     </t>
        </is>
      </c>
      <c r="I194" s="9" t="inlineStr">
        <is>
          <t xml:space="preserve">Жаров Максим Владимирович </t>
        </is>
      </c>
      <c r="J194" s="9" t="inlineStr">
        <is>
          <t>доцент</t>
        </is>
      </c>
      <c r="K194" s="9" t="n"/>
      <c r="L194" s="9" t="inlineStr">
        <is>
          <t>по первым неделям</t>
        </is>
      </c>
      <c r="M194" s="12">
        <f>SUMIFS($E$2:$E$1130,$A$2:$A$1130,"осень",$I$2:$I$1130,I194)</f>
        <v/>
      </c>
      <c r="N194" s="13">
        <f>SUMIFS($E$2:$E$1130,$A$2:$A$1130,"весна",$I$2:$I$1130,I194)</f>
        <v/>
      </c>
      <c r="O194" s="14">
        <f>M194+N194</f>
        <v/>
      </c>
      <c r="P194" s="15">
        <f>O194/$P$1</f>
        <v/>
      </c>
    </row>
    <row r="195" ht="15.75" customHeight="1" s="2">
      <c r="A195" s="117" t="inlineStr">
        <is>
          <t>осень</t>
        </is>
      </c>
      <c r="B195" s="9" t="inlineStr">
        <is>
          <t>Методы управления информационными и материальными потоками</t>
        </is>
      </c>
      <c r="C195" s="9" t="inlineStr">
        <is>
          <t>ПЗ</t>
        </is>
      </c>
      <c r="D195" s="9" t="inlineStr">
        <is>
          <t>Т1О-404Б-17</t>
        </is>
      </c>
      <c r="E195" s="10" t="n">
        <v>32</v>
      </c>
      <c r="F195" s="9" t="inlineStr">
        <is>
          <t>08770</t>
        </is>
      </c>
      <c r="G195" s="10" t="n">
        <v>32</v>
      </c>
      <c r="H195" s="9" t="inlineStr">
        <is>
          <t xml:space="preserve">81716     </t>
        </is>
      </c>
      <c r="I195" s="9" t="inlineStr">
        <is>
          <t xml:space="preserve">Жаров Максим Владимирович </t>
        </is>
      </c>
      <c r="J195" s="9" t="inlineStr">
        <is>
          <t>доцент</t>
        </is>
      </c>
      <c r="K195" s="9" t="n"/>
      <c r="L195" s="9" t="inlineStr">
        <is>
          <t>по первым неделям</t>
        </is>
      </c>
      <c r="M195" s="12">
        <f>SUMIFS($E$2:$E$1130,$A$2:$A$1130,"осень",$I$2:$I$1130,I195)</f>
        <v/>
      </c>
      <c r="N195" s="13">
        <f>SUMIFS($E$2:$E$1130,$A$2:$A$1130,"весна",$I$2:$I$1130,I195)</f>
        <v/>
      </c>
      <c r="O195" s="14">
        <f>M195+N195</f>
        <v/>
      </c>
      <c r="P195" s="15">
        <f>O195/$P$1</f>
        <v/>
      </c>
    </row>
    <row r="196" ht="15.75" customHeight="1" s="2">
      <c r="A196" s="117" t="inlineStr">
        <is>
          <t>осень</t>
        </is>
      </c>
      <c r="B196" s="9" t="inlineStr">
        <is>
          <t>Методы управления информационными и материальными потоками</t>
        </is>
      </c>
      <c r="C196" s="9" t="inlineStr">
        <is>
          <t>Экзамен</t>
        </is>
      </c>
      <c r="D196" s="9" t="inlineStr">
        <is>
          <t>Т1О-404Б-17</t>
        </is>
      </c>
      <c r="E196" s="10" t="n">
        <v>12</v>
      </c>
      <c r="F196" s="9" t="inlineStr">
        <is>
          <t>08770</t>
        </is>
      </c>
      <c r="G196" s="11" t="n">
        <v>0</v>
      </c>
      <c r="H196" s="9" t="inlineStr">
        <is>
          <t xml:space="preserve">81716     </t>
        </is>
      </c>
      <c r="I196" s="9" t="inlineStr">
        <is>
          <t xml:space="preserve">Жаров Максим Владимирович </t>
        </is>
      </c>
      <c r="J196" s="9" t="inlineStr">
        <is>
          <t>доцент</t>
        </is>
      </c>
      <c r="K196" s="9" t="n"/>
      <c r="L196" s="9" t="inlineStr">
        <is>
          <t>по первым неделям</t>
        </is>
      </c>
      <c r="M196" s="12">
        <f>SUMIFS($E$2:$E$1130,$A$2:$A$1130,"осень",$I$2:$I$1130,I196)</f>
        <v/>
      </c>
      <c r="N196" s="13">
        <f>SUMIFS($E$2:$E$1130,$A$2:$A$1130,"весна",$I$2:$I$1130,I196)</f>
        <v/>
      </c>
      <c r="O196" s="14">
        <f>M196+N196</f>
        <v/>
      </c>
      <c r="P196" s="15">
        <f>O196/$P$1</f>
        <v/>
      </c>
    </row>
    <row r="197" ht="15.75" customHeight="1" s="2">
      <c r="A197" s="117" t="inlineStr">
        <is>
          <t>осень</t>
        </is>
      </c>
      <c r="B197" s="9" t="inlineStr">
        <is>
          <t>Методы управления информационными и материальными потоками</t>
        </is>
      </c>
      <c r="C197" s="9" t="inlineStr">
        <is>
          <t>Консультация</t>
        </is>
      </c>
      <c r="D197" s="9" t="inlineStr">
        <is>
          <t>Т1О-404Б-17</t>
        </is>
      </c>
      <c r="E197" s="10" t="n">
        <v>4</v>
      </c>
      <c r="F197" s="9" t="inlineStr">
        <is>
          <t>08770</t>
        </is>
      </c>
      <c r="G197" s="11" t="n">
        <v>0</v>
      </c>
      <c r="H197" s="9" t="inlineStr">
        <is>
          <t xml:space="preserve">81716     </t>
        </is>
      </c>
      <c r="I197" s="9" t="inlineStr">
        <is>
          <t xml:space="preserve">Жаров Максим Владимирович </t>
        </is>
      </c>
      <c r="J197" s="9" t="inlineStr">
        <is>
          <t>доцент</t>
        </is>
      </c>
      <c r="K197" s="9" t="n"/>
      <c r="L197" s="9" t="inlineStr">
        <is>
          <t>по первым неделям</t>
        </is>
      </c>
      <c r="M197" s="12">
        <f>SUMIFS($E$2:$E$1130,$A$2:$A$1130,"осень",$I$2:$I$1130,I197)</f>
        <v/>
      </c>
      <c r="N197" s="13">
        <f>SUMIFS($E$2:$E$1130,$A$2:$A$1130,"весна",$I$2:$I$1130,I197)</f>
        <v/>
      </c>
      <c r="O197" s="14">
        <f>M197+N197</f>
        <v/>
      </c>
      <c r="P197" s="15">
        <f>O197/$P$1</f>
        <v/>
      </c>
    </row>
    <row r="198" ht="15.75" customHeight="1" s="2">
      <c r="A198" s="117" t="inlineStr">
        <is>
          <t>осень</t>
        </is>
      </c>
      <c r="B198" s="9" t="inlineStr">
        <is>
          <t>TPS-технологии</t>
        </is>
      </c>
      <c r="C198" s="9" t="inlineStr">
        <is>
          <t>ЛК</t>
        </is>
      </c>
      <c r="D198" s="9" t="inlineStr">
        <is>
          <t>Т1О-404Б-17</t>
        </is>
      </c>
      <c r="E198" s="10" t="n">
        <v>24</v>
      </c>
      <c r="F198" s="9" t="inlineStr">
        <is>
          <t>08770</t>
        </is>
      </c>
      <c r="G198" s="10" t="n">
        <v>24</v>
      </c>
      <c r="H198" s="9" t="inlineStr">
        <is>
          <t xml:space="preserve">81728     </t>
        </is>
      </c>
      <c r="I198" s="9" t="inlineStr">
        <is>
          <t xml:space="preserve">Галкин Виктор Иванович </t>
        </is>
      </c>
      <c r="J198" s="9" t="inlineStr">
        <is>
          <t>профессор</t>
        </is>
      </c>
      <c r="K198" s="9" t="n"/>
      <c r="L198" s="9" t="inlineStr">
        <is>
          <t>кроме среды и первой пары понедельника (525 А)</t>
        </is>
      </c>
      <c r="M198" s="12">
        <f>SUMIFS($E$2:$E$1130,$A$2:$A$1130,"осень",$I$2:$I$1130,I198)</f>
        <v/>
      </c>
      <c r="N198" s="13">
        <f>SUMIFS($E$2:$E$1130,$A$2:$A$1130,"весна",$I$2:$I$1130,I198)</f>
        <v/>
      </c>
      <c r="O198" s="14">
        <f>M198+N198</f>
        <v/>
      </c>
      <c r="P198" s="15">
        <f>O198/$P$1</f>
        <v/>
      </c>
    </row>
    <row r="199" ht="15.75" customHeight="1" s="2">
      <c r="A199" s="117" t="inlineStr">
        <is>
          <t>осень</t>
        </is>
      </c>
      <c r="B199" s="9" t="inlineStr">
        <is>
          <t>TPS-технологии</t>
        </is>
      </c>
      <c r="C199" s="9" t="inlineStr">
        <is>
          <t>ПЗ</t>
        </is>
      </c>
      <c r="D199" s="9" t="inlineStr">
        <is>
          <t>Т1О-404Б-17</t>
        </is>
      </c>
      <c r="E199" s="10" t="n">
        <v>40</v>
      </c>
      <c r="F199" s="9" t="inlineStr">
        <is>
          <t>08770</t>
        </is>
      </c>
      <c r="G199" s="10" t="n">
        <v>40</v>
      </c>
      <c r="H199" s="9" t="inlineStr">
        <is>
          <t xml:space="preserve">81728     </t>
        </is>
      </c>
      <c r="I199" s="9" t="inlineStr">
        <is>
          <t xml:space="preserve">Галкин Виктор Иванович </t>
        </is>
      </c>
      <c r="J199" s="9" t="inlineStr">
        <is>
          <t>профессор</t>
        </is>
      </c>
      <c r="K199" s="9" t="n"/>
      <c r="L199" s="9" t="inlineStr">
        <is>
          <t>кроме среды и первой пары понедельника (525 А)</t>
        </is>
      </c>
      <c r="M199" s="12">
        <f>SUMIFS($E$2:$E$1130,$A$2:$A$1130,"осень",$I$2:$I$1130,I199)</f>
        <v/>
      </c>
      <c r="N199" s="13">
        <f>SUMIFS($E$2:$E$1130,$A$2:$A$1130,"весна",$I$2:$I$1130,I199)</f>
        <v/>
      </c>
      <c r="O199" s="14">
        <f>M199+N199</f>
        <v/>
      </c>
      <c r="P199" s="15">
        <f>O199/$P$1</f>
        <v/>
      </c>
    </row>
    <row r="200" ht="15.75" customHeight="1" s="2">
      <c r="A200" s="117" t="inlineStr">
        <is>
          <t>осень</t>
        </is>
      </c>
      <c r="B200" s="9" t="inlineStr">
        <is>
          <t>TPS-технологии</t>
        </is>
      </c>
      <c r="C200" s="9" t="inlineStr">
        <is>
          <t>ЛР</t>
        </is>
      </c>
      <c r="D200" s="9" t="inlineStr">
        <is>
          <t>Т1О-404Б-17</t>
        </is>
      </c>
      <c r="E200" s="10" t="n">
        <v>16</v>
      </c>
      <c r="F200" s="9" t="inlineStr">
        <is>
          <t>08770</t>
        </is>
      </c>
      <c r="G200" s="10" t="n">
        <v>8</v>
      </c>
      <c r="H200" s="9" t="inlineStr">
        <is>
          <t xml:space="preserve">81728     </t>
        </is>
      </c>
      <c r="I200" s="9" t="inlineStr">
        <is>
          <t xml:space="preserve">Галкин Виктор Иванович </t>
        </is>
      </c>
      <c r="J200" s="9" t="inlineStr">
        <is>
          <t>профессор</t>
        </is>
      </c>
      <c r="K200" s="9" t="n"/>
      <c r="L200" s="9" t="inlineStr">
        <is>
          <t>кроме среды и первой пары понедельника (525 А)</t>
        </is>
      </c>
      <c r="M200" s="12">
        <f>SUMIFS($E$2:$E$1130,$A$2:$A$1130,"осень",$I$2:$I$1130,I200)</f>
        <v/>
      </c>
      <c r="N200" s="13">
        <f>SUMIFS($E$2:$E$1130,$A$2:$A$1130,"весна",$I$2:$I$1130,I200)</f>
        <v/>
      </c>
      <c r="O200" s="14">
        <f>M200+N200</f>
        <v/>
      </c>
      <c r="P200" s="15">
        <f>O200/$P$1</f>
        <v/>
      </c>
    </row>
    <row r="201" ht="15.75" customHeight="1" s="2">
      <c r="A201" s="117" t="inlineStr">
        <is>
          <t>осень</t>
        </is>
      </c>
      <c r="B201" s="9" t="inlineStr">
        <is>
          <t>TPS-технологии</t>
        </is>
      </c>
      <c r="C201" s="9" t="inlineStr">
        <is>
          <t>Экзамен</t>
        </is>
      </c>
      <c r="D201" s="9" t="inlineStr">
        <is>
          <t>Т1О-404Б-17</t>
        </is>
      </c>
      <c r="E201" s="10" t="n">
        <v>12</v>
      </c>
      <c r="F201" s="9" t="inlineStr">
        <is>
          <t>08770</t>
        </is>
      </c>
      <c r="G201" s="11" t="n">
        <v>0</v>
      </c>
      <c r="H201" s="9" t="inlineStr">
        <is>
          <t xml:space="preserve">81728     </t>
        </is>
      </c>
      <c r="I201" s="9" t="inlineStr">
        <is>
          <t xml:space="preserve">Галкин Виктор Иванович </t>
        </is>
      </c>
      <c r="J201" s="9" t="inlineStr">
        <is>
          <t>профессор</t>
        </is>
      </c>
      <c r="K201" s="9" t="n"/>
      <c r="L201" s="9" t="inlineStr">
        <is>
          <t>кроме среды и первой пары понедельника (525 А)</t>
        </is>
      </c>
      <c r="M201" s="12">
        <f>SUMIFS($E$2:$E$1130,$A$2:$A$1130,"осень",$I$2:$I$1130,I201)</f>
        <v/>
      </c>
      <c r="N201" s="13">
        <f>SUMIFS($E$2:$E$1130,$A$2:$A$1130,"весна",$I$2:$I$1130,I201)</f>
        <v/>
      </c>
      <c r="O201" s="14">
        <f>M201+N201</f>
        <v/>
      </c>
      <c r="P201" s="15">
        <f>O201/$P$1</f>
        <v/>
      </c>
    </row>
    <row r="202" ht="15.75" customHeight="1" s="2">
      <c r="A202" s="117" t="inlineStr">
        <is>
          <t>осень</t>
        </is>
      </c>
      <c r="B202" s="9" t="inlineStr">
        <is>
          <t>TPS-технологии</t>
        </is>
      </c>
      <c r="C202" s="9" t="inlineStr">
        <is>
          <t>Консультация</t>
        </is>
      </c>
      <c r="D202" s="9" t="inlineStr">
        <is>
          <t>Т1О-404Б-17</t>
        </is>
      </c>
      <c r="E202" s="10" t="n">
        <v>3</v>
      </c>
      <c r="F202" s="9" t="inlineStr">
        <is>
          <t>08770</t>
        </is>
      </c>
      <c r="G202" s="11" t="n">
        <v>0</v>
      </c>
      <c r="H202" s="9" t="inlineStr">
        <is>
          <t xml:space="preserve">81728     </t>
        </is>
      </c>
      <c r="I202" s="9" t="inlineStr">
        <is>
          <t xml:space="preserve">Галкин Виктор Иванович </t>
        </is>
      </c>
      <c r="J202" s="9" t="inlineStr">
        <is>
          <t>профессор</t>
        </is>
      </c>
      <c r="K202" s="9" t="n"/>
      <c r="L202" s="9" t="inlineStr">
        <is>
          <t>кроме среды и первой пары понедельника (525 А)</t>
        </is>
      </c>
      <c r="M202" s="12">
        <f>SUMIFS($E$2:$E$1130,$A$2:$A$1130,"осень",$I$2:$I$1130,I202)</f>
        <v/>
      </c>
      <c r="N202" s="13">
        <f>SUMIFS($E$2:$E$1130,$A$2:$A$1130,"весна",$I$2:$I$1130,I202)</f>
        <v/>
      </c>
      <c r="O202" s="14">
        <f>M202+N202</f>
        <v/>
      </c>
      <c r="P202" s="15">
        <f>O202/$P$1</f>
        <v/>
      </c>
    </row>
    <row r="203" ht="15.75" customHeight="1" s="2">
      <c r="A203" s="117" t="inlineStr">
        <is>
          <t>осень</t>
        </is>
      </c>
      <c r="B203" s="9" t="inlineStr">
        <is>
          <t>Применение вычислительной техники в инженерной деятельности</t>
        </is>
      </c>
      <c r="C203" s="9" t="inlineStr">
        <is>
          <t>ЛК</t>
        </is>
      </c>
      <c r="D203" s="9" t="inlineStr">
        <is>
          <t>Т1О-401Б-17</t>
        </is>
      </c>
      <c r="E203" s="10" t="n">
        <v>24</v>
      </c>
      <c r="F203" s="9" t="inlineStr">
        <is>
          <t>06256</t>
        </is>
      </c>
      <c r="G203" s="10" t="n">
        <v>24</v>
      </c>
      <c r="H203" s="9" t="inlineStr">
        <is>
          <t xml:space="preserve">81724     </t>
        </is>
      </c>
      <c r="I203" s="9" t="inlineStr">
        <is>
          <t xml:space="preserve">Галкин Евгений Владимирович </t>
        </is>
      </c>
      <c r="J203" s="9" t="inlineStr">
        <is>
          <t>доцент</t>
        </is>
      </c>
      <c r="K203" s="9" t="n"/>
      <c r="L203" s="9" t="inlineStr">
        <is>
          <t>кроме пятницы (525 А)</t>
        </is>
      </c>
      <c r="M203" s="12">
        <f>SUMIFS($E$2:$E$1130,$A$2:$A$1130,"осень",$I$2:$I$1130,I203)</f>
        <v/>
      </c>
      <c r="N203" s="13">
        <f>SUMIFS($E$2:$E$1130,$A$2:$A$1130,"весна",$I$2:$I$1130,I203)</f>
        <v/>
      </c>
      <c r="O203" s="14">
        <f>M203+N203</f>
        <v/>
      </c>
      <c r="P203" s="15">
        <f>O203/$P$1</f>
        <v/>
      </c>
    </row>
    <row r="204" ht="15.75" customHeight="1" s="2">
      <c r="A204" s="117" t="inlineStr">
        <is>
          <t>осень</t>
        </is>
      </c>
      <c r="B204" s="9" t="inlineStr">
        <is>
          <t>Применение вычислительной техники в инженерной деятельности</t>
        </is>
      </c>
      <c r="C204" s="9" t="inlineStr">
        <is>
          <t>ЛР</t>
        </is>
      </c>
      <c r="D204" s="9" t="inlineStr">
        <is>
          <t>Т1О-401Б-17</t>
        </is>
      </c>
      <c r="E204" s="10" t="n">
        <v>72</v>
      </c>
      <c r="F204" s="9" t="inlineStr">
        <is>
          <t>06256</t>
        </is>
      </c>
      <c r="G204" s="10" t="n">
        <v>36</v>
      </c>
      <c r="H204" s="9" t="inlineStr">
        <is>
          <t xml:space="preserve">81724     </t>
        </is>
      </c>
      <c r="I204" s="9" t="inlineStr">
        <is>
          <t xml:space="preserve">Галкин Евгений Владимирович </t>
        </is>
      </c>
      <c r="J204" s="9" t="inlineStr">
        <is>
          <t>доцент</t>
        </is>
      </c>
      <c r="K204" s="9" t="n"/>
      <c r="L204" s="9" t="inlineStr">
        <is>
          <t>кроме пятницы (525 А)</t>
        </is>
      </c>
      <c r="M204" s="12">
        <f>SUMIFS($E$2:$E$1130,$A$2:$A$1130,"осень",$I$2:$I$1130,I204)</f>
        <v/>
      </c>
      <c r="N204" s="13">
        <f>SUMIFS($E$2:$E$1130,$A$2:$A$1130,"весна",$I$2:$I$1130,I204)</f>
        <v/>
      </c>
      <c r="O204" s="14">
        <f>M204+N204</f>
        <v/>
      </c>
      <c r="P204" s="15">
        <f>O204/$P$1</f>
        <v/>
      </c>
    </row>
    <row r="205" ht="15.75" customHeight="1" s="2">
      <c r="A205" s="117" t="inlineStr">
        <is>
          <t>осень</t>
        </is>
      </c>
      <c r="B205" s="9" t="inlineStr">
        <is>
          <t>Применение вычислительной техники в инженерной деятельности</t>
        </is>
      </c>
      <c r="C205" s="9" t="inlineStr">
        <is>
          <t>Зачет</t>
        </is>
      </c>
      <c r="D205" s="9" t="inlineStr">
        <is>
          <t>Т1О-401Б-17</t>
        </is>
      </c>
      <c r="E205" s="10" t="n">
        <v>6</v>
      </c>
      <c r="F205" s="9" t="inlineStr">
        <is>
          <t>06256</t>
        </is>
      </c>
      <c r="G205" s="11" t="n">
        <v>0</v>
      </c>
      <c r="H205" s="9" t="inlineStr">
        <is>
          <t xml:space="preserve">81724     </t>
        </is>
      </c>
      <c r="I205" s="9" t="inlineStr">
        <is>
          <t xml:space="preserve">Галкин Евгений Владимирович </t>
        </is>
      </c>
      <c r="J205" s="9" t="inlineStr">
        <is>
          <t>доцент</t>
        </is>
      </c>
      <c r="K205" s="9" t="n"/>
      <c r="L205" s="9" t="inlineStr">
        <is>
          <t>кроме пятницы (525 А)</t>
        </is>
      </c>
      <c r="M205" s="12">
        <f>SUMIFS($E$2:$E$1130,$A$2:$A$1130,"осень",$I$2:$I$1130,I205)</f>
        <v/>
      </c>
      <c r="N205" s="13">
        <f>SUMIFS($E$2:$E$1130,$A$2:$A$1130,"весна",$I$2:$I$1130,I205)</f>
        <v/>
      </c>
      <c r="O205" s="14">
        <f>M205+N205</f>
        <v/>
      </c>
      <c r="P205" s="15">
        <f>O205/$P$1</f>
        <v/>
      </c>
    </row>
    <row r="206" ht="15.75" customHeight="1" s="2">
      <c r="A206" s="117" t="inlineStr">
        <is>
          <t>осень</t>
        </is>
      </c>
      <c r="B206" s="9" t="inlineStr">
        <is>
          <t>Применение вычислительной техники в инженерной деятельности</t>
        </is>
      </c>
      <c r="C206" s="9" t="inlineStr">
        <is>
          <t>Консультация</t>
        </is>
      </c>
      <c r="D206" s="9" t="inlineStr">
        <is>
          <t>Т1О-401Б-17</t>
        </is>
      </c>
      <c r="E206" s="10" t="n">
        <v>1</v>
      </c>
      <c r="F206" s="9" t="inlineStr">
        <is>
          <t>06256</t>
        </is>
      </c>
      <c r="G206" s="11" t="n">
        <v>0</v>
      </c>
      <c r="H206" s="9" t="inlineStr">
        <is>
          <t xml:space="preserve">81724     </t>
        </is>
      </c>
      <c r="I206" s="9" t="inlineStr">
        <is>
          <t xml:space="preserve">Галкин Евгений Владимирович </t>
        </is>
      </c>
      <c r="J206" s="9" t="inlineStr">
        <is>
          <t>доцент</t>
        </is>
      </c>
      <c r="K206" s="9" t="n"/>
      <c r="L206" s="9" t="inlineStr">
        <is>
          <t>кроме пятницы (525 А)</t>
        </is>
      </c>
      <c r="M206" s="12">
        <f>SUMIFS($E$2:$E$1130,$A$2:$A$1130,"осень",$I$2:$I$1130,I206)</f>
        <v/>
      </c>
      <c r="N206" s="13">
        <f>SUMIFS($E$2:$E$1130,$A$2:$A$1130,"весна",$I$2:$I$1130,I206)</f>
        <v/>
      </c>
      <c r="O206" s="14">
        <f>M206+N206</f>
        <v/>
      </c>
      <c r="P206" s="15">
        <f>O206/$P$1</f>
        <v/>
      </c>
    </row>
    <row r="207" ht="15.75" customHeight="1" s="2">
      <c r="A207" s="117" t="inlineStr">
        <is>
          <t>осень</t>
        </is>
      </c>
      <c r="B207" s="9" t="inlineStr">
        <is>
          <t>Теория процессов прокатно-прессового производства</t>
        </is>
      </c>
      <c r="C207" s="9" t="inlineStr">
        <is>
          <t>ЛК</t>
        </is>
      </c>
      <c r="D207" s="9" t="inlineStr">
        <is>
          <t>Т1В-412Б-17</t>
        </is>
      </c>
      <c r="E207" s="10" t="n">
        <v>12</v>
      </c>
      <c r="F207" s="9" t="inlineStr">
        <is>
          <t>08769</t>
        </is>
      </c>
      <c r="G207" s="10" t="n">
        <v>12</v>
      </c>
      <c r="H207" s="9" t="inlineStr">
        <is>
          <t xml:space="preserve">81725     </t>
        </is>
      </c>
      <c r="I207" s="9" t="inlineStr">
        <is>
          <t xml:space="preserve">Еремеев Николай Владимирович </t>
        </is>
      </c>
      <c r="J207" s="9" t="inlineStr">
        <is>
          <t>доцент</t>
        </is>
      </c>
      <c r="K207" s="9" t="n"/>
      <c r="L207" s="9" t="n"/>
      <c r="M207" s="12">
        <f>SUMIFS($E$2:$E$1130,$A$2:$A$1130,"осень",$I$2:$I$1130,I207)</f>
        <v/>
      </c>
      <c r="N207" s="13">
        <f>SUMIFS($E$2:$E$1130,$A$2:$A$1130,"весна",$I$2:$I$1130,I207)</f>
        <v/>
      </c>
      <c r="O207" s="14">
        <f>M207+N207</f>
        <v/>
      </c>
      <c r="P207" s="15">
        <f>O207/$P$1</f>
        <v/>
      </c>
    </row>
    <row r="208" ht="15.75" customHeight="1" s="2">
      <c r="A208" s="117" t="inlineStr">
        <is>
          <t>осень</t>
        </is>
      </c>
      <c r="B208" s="9" t="inlineStr">
        <is>
          <t>Теория процессов прокатно-прессового производства</t>
        </is>
      </c>
      <c r="C208" s="9" t="inlineStr">
        <is>
          <t>ПЗ</t>
        </is>
      </c>
      <c r="D208" s="9" t="inlineStr">
        <is>
          <t>Т1В-412Б-17</t>
        </is>
      </c>
      <c r="E208" s="10" t="n">
        <v>24</v>
      </c>
      <c r="F208" s="9" t="inlineStr">
        <is>
          <t>08769</t>
        </is>
      </c>
      <c r="G208" s="10" t="n">
        <v>24</v>
      </c>
      <c r="H208" s="9" t="inlineStr">
        <is>
          <t xml:space="preserve">81725     </t>
        </is>
      </c>
      <c r="I208" s="9" t="inlineStr">
        <is>
          <t xml:space="preserve">Еремеев Николай Владимирович </t>
        </is>
      </c>
      <c r="J208" s="9" t="inlineStr">
        <is>
          <t>доцент</t>
        </is>
      </c>
      <c r="K208" s="9" t="n"/>
      <c r="L208" s="9" t="n"/>
      <c r="M208" s="12">
        <f>SUMIFS($E$2:$E$1130,$A$2:$A$1130,"осень",$I$2:$I$1130,I208)</f>
        <v/>
      </c>
      <c r="N208" s="13">
        <f>SUMIFS($E$2:$E$1130,$A$2:$A$1130,"весна",$I$2:$I$1130,I208)</f>
        <v/>
      </c>
      <c r="O208" s="14">
        <f>M208+N208</f>
        <v/>
      </c>
      <c r="P208" s="15">
        <f>O208/$P$1</f>
        <v/>
      </c>
    </row>
    <row r="209" ht="15.75" customHeight="1" s="2">
      <c r="A209" s="117" t="inlineStr">
        <is>
          <t>осень</t>
        </is>
      </c>
      <c r="B209" s="9" t="inlineStr">
        <is>
          <t>Теория процессов прокатно-прессового производства</t>
        </is>
      </c>
      <c r="C209" s="9" t="inlineStr">
        <is>
          <t>Зачет</t>
        </is>
      </c>
      <c r="D209" s="9" t="inlineStr">
        <is>
          <t>Т1В-412Б-17</t>
        </is>
      </c>
      <c r="E209" s="10" t="n">
        <v>4</v>
      </c>
      <c r="F209" s="9" t="inlineStr">
        <is>
          <t>08769</t>
        </is>
      </c>
      <c r="G209" s="11" t="n">
        <v>0</v>
      </c>
      <c r="H209" s="9" t="inlineStr">
        <is>
          <t xml:space="preserve">81725     </t>
        </is>
      </c>
      <c r="I209" s="9" t="inlineStr">
        <is>
          <t xml:space="preserve">Еремеев Николай Владимирович </t>
        </is>
      </c>
      <c r="J209" s="9" t="inlineStr">
        <is>
          <t>доцент</t>
        </is>
      </c>
      <c r="K209" s="9" t="n"/>
      <c r="L209" s="9" t="n"/>
      <c r="M209" s="12">
        <f>SUMIFS($E$2:$E$1130,$A$2:$A$1130,"осень",$I$2:$I$1130,I209)</f>
        <v/>
      </c>
      <c r="N209" s="13">
        <f>SUMIFS($E$2:$E$1130,$A$2:$A$1130,"весна",$I$2:$I$1130,I209)</f>
        <v/>
      </c>
      <c r="O209" s="14">
        <f>M209+N209</f>
        <v/>
      </c>
      <c r="P209" s="15">
        <f>O209/$P$1</f>
        <v/>
      </c>
    </row>
    <row r="210" ht="15.75" customHeight="1" s="2">
      <c r="A210" s="117" t="inlineStr">
        <is>
          <t>осень</t>
        </is>
      </c>
      <c r="B210" s="9" t="inlineStr">
        <is>
          <t>Теория процессов прокатно-прессового производства</t>
        </is>
      </c>
      <c r="C210" s="9" t="inlineStr">
        <is>
          <t>Консультация</t>
        </is>
      </c>
      <c r="D210" s="9" t="inlineStr">
        <is>
          <t>Т1В-412Б-17</t>
        </is>
      </c>
      <c r="E210" s="10" t="n">
        <v>1</v>
      </c>
      <c r="F210" s="9" t="inlineStr">
        <is>
          <t>08769</t>
        </is>
      </c>
      <c r="G210" s="11" t="n">
        <v>0</v>
      </c>
      <c r="H210" s="9" t="inlineStr">
        <is>
          <t xml:space="preserve">81725     </t>
        </is>
      </c>
      <c r="I210" s="9" t="inlineStr">
        <is>
          <t xml:space="preserve">Еремеев Николай Владимирович </t>
        </is>
      </c>
      <c r="J210" s="9" t="inlineStr">
        <is>
          <t>доцент</t>
        </is>
      </c>
      <c r="K210" s="9" t="n"/>
      <c r="L210" s="9" t="n"/>
      <c r="M210" s="12">
        <f>SUMIFS($E$2:$E$1130,$A$2:$A$1130,"осень",$I$2:$I$1130,I210)</f>
        <v/>
      </c>
      <c r="N210" s="13">
        <f>SUMIFS($E$2:$E$1130,$A$2:$A$1130,"весна",$I$2:$I$1130,I210)</f>
        <v/>
      </c>
      <c r="O210" s="14">
        <f>M210+N210</f>
        <v/>
      </c>
      <c r="P210" s="15">
        <f>O210/$P$1</f>
        <v/>
      </c>
    </row>
    <row r="211" ht="15.75" customHeight="1" s="2">
      <c r="A211" s="117" t="inlineStr">
        <is>
          <t>осень</t>
        </is>
      </c>
      <c r="B211" s="9" t="inlineStr">
        <is>
          <t>Технология кузнечно-штамповочного производства</t>
        </is>
      </c>
      <c r="C211" s="9" t="inlineStr">
        <is>
          <t>ЛК</t>
        </is>
      </c>
      <c r="D211" s="9" t="inlineStr">
        <is>
          <t>Т1В-516Б-16</t>
        </is>
      </c>
      <c r="E211" s="10" t="n">
        <v>18</v>
      </c>
      <c r="F211" s="9" t="inlineStr">
        <is>
          <t>04644</t>
        </is>
      </c>
      <c r="G211" s="10" t="n">
        <v>18</v>
      </c>
      <c r="H211" s="9" t="inlineStr">
        <is>
          <t xml:space="preserve">81729     </t>
        </is>
      </c>
      <c r="I211" s="9" t="inlineStr">
        <is>
          <t xml:space="preserve">Соколов Алексей Викторович </t>
        </is>
      </c>
      <c r="J211" s="9" t="inlineStr">
        <is>
          <t>доцент</t>
        </is>
      </c>
      <c r="K211" s="9" t="n"/>
      <c r="L211" s="9" t="inlineStr">
        <is>
          <t>кроме пятницы (523 А)</t>
        </is>
      </c>
      <c r="M211" s="12">
        <f>SUMIFS($E$2:$E$1130,$A$2:$A$1130,"осень",$I$2:$I$1130,I211)</f>
        <v/>
      </c>
      <c r="N211" s="13">
        <f>SUMIFS($E$2:$E$1130,$A$2:$A$1130,"весна",$I$2:$I$1130,I211)</f>
        <v/>
      </c>
      <c r="O211" s="14">
        <f>M211+N211</f>
        <v/>
      </c>
      <c r="P211" s="15">
        <f>O211/$P$1</f>
        <v/>
      </c>
    </row>
    <row r="212" ht="15.75" customHeight="1" s="2">
      <c r="A212" s="117" t="inlineStr">
        <is>
          <t>осень</t>
        </is>
      </c>
      <c r="B212" s="9" t="inlineStr">
        <is>
          <t>Технология кузнечно-штамповочного производства</t>
        </is>
      </c>
      <c r="C212" s="9" t="inlineStr">
        <is>
          <t>ЛК</t>
        </is>
      </c>
      <c r="D212" s="9" t="inlineStr">
        <is>
          <t>Т1О-401Б-17</t>
        </is>
      </c>
      <c r="E212" s="10" t="n">
        <v>20</v>
      </c>
      <c r="F212" s="9" t="inlineStr">
        <is>
          <t>06256</t>
        </is>
      </c>
      <c r="G212" s="10" t="n">
        <v>20</v>
      </c>
      <c r="H212" s="9" t="inlineStr">
        <is>
          <t xml:space="preserve">81729     </t>
        </is>
      </c>
      <c r="I212" s="9" t="inlineStr">
        <is>
          <t xml:space="preserve">Соколов Алексей Викторович </t>
        </is>
      </c>
      <c r="J212" s="9" t="inlineStr">
        <is>
          <t>доцент</t>
        </is>
      </c>
      <c r="K212" s="9" t="n"/>
      <c r="L212" s="9" t="inlineStr">
        <is>
          <t>523Акроме пятницы</t>
        </is>
      </c>
      <c r="M212" s="12">
        <f>SUMIFS($E$2:$E$1130,$A$2:$A$1130,"осень",$I$2:$I$1130,I212)</f>
        <v/>
      </c>
      <c r="N212" s="13">
        <f>SUMIFS($E$2:$E$1130,$A$2:$A$1130,"весна",$I$2:$I$1130,I212)</f>
        <v/>
      </c>
      <c r="O212" s="14">
        <f>M212+N212</f>
        <v/>
      </c>
      <c r="P212" s="15">
        <f>O212/$P$1</f>
        <v/>
      </c>
    </row>
    <row r="213" ht="15.75" customHeight="1" s="2">
      <c r="A213" s="117" t="inlineStr">
        <is>
          <t>осень</t>
        </is>
      </c>
      <c r="B213" s="9" t="inlineStr">
        <is>
          <t>Технология кузнечно-штамповочного производства</t>
        </is>
      </c>
      <c r="C213" s="9" t="inlineStr">
        <is>
          <t>ПЗ</t>
        </is>
      </c>
      <c r="D213" s="9" t="inlineStr">
        <is>
          <t>Т1В-516Б-16</t>
        </is>
      </c>
      <c r="E213" s="10" t="n">
        <v>38</v>
      </c>
      <c r="F213" s="9" t="inlineStr">
        <is>
          <t>04644</t>
        </is>
      </c>
      <c r="G213" s="10" t="n">
        <v>38</v>
      </c>
      <c r="H213" s="9" t="inlineStr">
        <is>
          <t xml:space="preserve">81729     </t>
        </is>
      </c>
      <c r="I213" s="9" t="inlineStr">
        <is>
          <t xml:space="preserve">Соколов Алексей Викторович </t>
        </is>
      </c>
      <c r="J213" s="9" t="inlineStr">
        <is>
          <t>доцент</t>
        </is>
      </c>
      <c r="K213" s="9" t="n"/>
      <c r="L213" s="9" t="inlineStr">
        <is>
          <t>кроме пятницы (521А, 522А)</t>
        </is>
      </c>
      <c r="M213" s="12">
        <f>SUMIFS($E$2:$E$1130,$A$2:$A$1130,"осень",$I$2:$I$1130,I213)</f>
        <v/>
      </c>
      <c r="N213" s="13">
        <f>SUMIFS($E$2:$E$1130,$A$2:$A$1130,"весна",$I$2:$I$1130,I213)</f>
        <v/>
      </c>
      <c r="O213" s="14">
        <f>M213+N213</f>
        <v/>
      </c>
      <c r="P213" s="15">
        <f>O213/$P$1</f>
        <v/>
      </c>
    </row>
    <row r="214" ht="15.75" customHeight="1" s="2">
      <c r="A214" s="117" t="inlineStr">
        <is>
          <t>осень</t>
        </is>
      </c>
      <c r="B214" s="9" t="inlineStr">
        <is>
          <t>Технология кузнечно-штамповочного производства</t>
        </is>
      </c>
      <c r="C214" s="9" t="inlineStr">
        <is>
          <t>ПЗ</t>
        </is>
      </c>
      <c r="D214" s="9" t="inlineStr">
        <is>
          <t>Т1О-401Б-17</t>
        </is>
      </c>
      <c r="E214" s="10" t="n">
        <v>30</v>
      </c>
      <c r="F214" s="9" t="inlineStr">
        <is>
          <t>06256</t>
        </is>
      </c>
      <c r="G214" s="10" t="n">
        <v>30</v>
      </c>
      <c r="H214" s="9" t="inlineStr">
        <is>
          <t xml:space="preserve">81729     </t>
        </is>
      </c>
      <c r="I214" s="9" t="inlineStr">
        <is>
          <t xml:space="preserve">Соколов Алексей Викторович </t>
        </is>
      </c>
      <c r="J214" s="9" t="inlineStr">
        <is>
          <t>доцент</t>
        </is>
      </c>
      <c r="K214" s="9" t="n"/>
      <c r="L214" s="9" t="inlineStr">
        <is>
          <t>521А, 522Акроме пятницы</t>
        </is>
      </c>
      <c r="M214" s="12">
        <f>SUMIFS($E$2:$E$1130,$A$2:$A$1130,"осень",$I$2:$I$1130,I214)</f>
        <v/>
      </c>
      <c r="N214" s="13">
        <f>SUMIFS($E$2:$E$1130,$A$2:$A$1130,"весна",$I$2:$I$1130,I214)</f>
        <v/>
      </c>
      <c r="O214" s="14">
        <f>M214+N214</f>
        <v/>
      </c>
      <c r="P214" s="15">
        <f>O214/$P$1</f>
        <v/>
      </c>
    </row>
    <row r="215" ht="15.75" customHeight="1" s="2">
      <c r="A215" s="117" t="inlineStr">
        <is>
          <t>осень</t>
        </is>
      </c>
      <c r="B215" s="9" t="inlineStr">
        <is>
          <t>Технология кузнечно-штамповочного производства</t>
        </is>
      </c>
      <c r="C215" s="9" t="inlineStr">
        <is>
          <t>Экзамен</t>
        </is>
      </c>
      <c r="D215" s="9" t="inlineStr">
        <is>
          <t>Т1В-516Б-16</t>
        </is>
      </c>
      <c r="E215" s="10" t="n">
        <v>3</v>
      </c>
      <c r="F215" s="9" t="inlineStr">
        <is>
          <t>04644</t>
        </is>
      </c>
      <c r="G215" s="11" t="n">
        <v>0</v>
      </c>
      <c r="H215" s="9" t="inlineStr">
        <is>
          <t xml:space="preserve">81729     </t>
        </is>
      </c>
      <c r="I215" s="9" t="inlineStr">
        <is>
          <t xml:space="preserve">Соколов Алексей Викторович </t>
        </is>
      </c>
      <c r="J215" s="9" t="inlineStr">
        <is>
          <t>доцент</t>
        </is>
      </c>
      <c r="K215" s="9" t="n"/>
      <c r="L215" s="9" t="inlineStr">
        <is>
          <t>кроме пятницы</t>
        </is>
      </c>
      <c r="M215" s="12">
        <f>SUMIFS($E$2:$E$1130,$A$2:$A$1130,"осень",$I$2:$I$1130,I215)</f>
        <v/>
      </c>
      <c r="N215" s="13">
        <f>SUMIFS($E$2:$E$1130,$A$2:$A$1130,"весна",$I$2:$I$1130,I215)</f>
        <v/>
      </c>
      <c r="O215" s="14">
        <f>M215+N215</f>
        <v/>
      </c>
      <c r="P215" s="15">
        <f>O215/$P$1</f>
        <v/>
      </c>
    </row>
    <row r="216" ht="15.75" customHeight="1" s="2">
      <c r="A216" s="117" t="inlineStr">
        <is>
          <t>осень</t>
        </is>
      </c>
      <c r="B216" s="9" t="inlineStr">
        <is>
          <t>Технология кузнечно-штамповочного производства</t>
        </is>
      </c>
      <c r="C216" s="9" t="inlineStr">
        <is>
          <t>КСР</t>
        </is>
      </c>
      <c r="D216" s="9" t="inlineStr">
        <is>
          <t>Т1В-516Б-16</t>
        </is>
      </c>
      <c r="E216" s="10" t="n">
        <v>16</v>
      </c>
      <c r="F216" s="9" t="inlineStr">
        <is>
          <t>04644</t>
        </is>
      </c>
      <c r="G216" s="10" t="n">
        <v>16</v>
      </c>
      <c r="H216" s="9" t="inlineStr">
        <is>
          <t xml:space="preserve">81729     </t>
        </is>
      </c>
      <c r="I216" s="9" t="inlineStr">
        <is>
          <t xml:space="preserve">Соколов Алексей Викторович </t>
        </is>
      </c>
      <c r="J216" s="9" t="inlineStr">
        <is>
          <t>доцент</t>
        </is>
      </c>
      <c r="K216" s="9" t="n"/>
      <c r="L216" s="9" t="inlineStr">
        <is>
          <t>кроме пятницы</t>
        </is>
      </c>
      <c r="M216" s="12">
        <f>SUMIFS($E$2:$E$1130,$A$2:$A$1130,"осень",$I$2:$I$1130,I216)</f>
        <v/>
      </c>
      <c r="N216" s="13">
        <f>SUMIFS($E$2:$E$1130,$A$2:$A$1130,"весна",$I$2:$I$1130,I216)</f>
        <v/>
      </c>
      <c r="O216" s="14">
        <f>M216+N216</f>
        <v/>
      </c>
      <c r="P216" s="15">
        <f>O216/$P$1</f>
        <v/>
      </c>
    </row>
    <row r="217" ht="15.75" customHeight="1" s="2">
      <c r="A217" s="117" t="inlineStr">
        <is>
          <t>осень</t>
        </is>
      </c>
      <c r="B217" s="9" t="inlineStr">
        <is>
          <t>Технология кузнечно-штамповочного производства</t>
        </is>
      </c>
      <c r="C217" s="9" t="inlineStr">
        <is>
          <t>Зачет</t>
        </is>
      </c>
      <c r="D217" s="9" t="inlineStr">
        <is>
          <t>Т1О-401Б-17</t>
        </is>
      </c>
      <c r="E217" s="10" t="n">
        <v>6</v>
      </c>
      <c r="F217" s="9" t="inlineStr">
        <is>
          <t>06256</t>
        </is>
      </c>
      <c r="G217" s="11" t="n">
        <v>0</v>
      </c>
      <c r="H217" s="9" t="inlineStr">
        <is>
          <t xml:space="preserve">81729     </t>
        </is>
      </c>
      <c r="I217" s="9" t="inlineStr">
        <is>
          <t xml:space="preserve">Соколов Алексей Викторович </t>
        </is>
      </c>
      <c r="J217" s="9" t="inlineStr">
        <is>
          <t>доцент</t>
        </is>
      </c>
      <c r="K217" s="9" t="n"/>
      <c r="L217" s="9" t="inlineStr">
        <is>
          <t>кроме пятницы</t>
        </is>
      </c>
      <c r="M217" s="12">
        <f>SUMIFS($E$2:$E$1130,$A$2:$A$1130,"осень",$I$2:$I$1130,I217)</f>
        <v/>
      </c>
      <c r="N217" s="13">
        <f>SUMIFS($E$2:$E$1130,$A$2:$A$1130,"весна",$I$2:$I$1130,I217)</f>
        <v/>
      </c>
      <c r="O217" s="14">
        <f>M217+N217</f>
        <v/>
      </c>
      <c r="P217" s="15">
        <f>O217/$P$1</f>
        <v/>
      </c>
    </row>
    <row r="218" ht="15.75" customHeight="1" s="2">
      <c r="A218" s="117" t="inlineStr">
        <is>
          <t>осень</t>
        </is>
      </c>
      <c r="B218" s="9" t="inlineStr">
        <is>
          <t>Технология кузнечно-штамповочного производства</t>
        </is>
      </c>
      <c r="C218" s="9" t="inlineStr">
        <is>
          <t>Консультация</t>
        </is>
      </c>
      <c r="D218" s="9" t="inlineStr">
        <is>
          <t>Т1В-516Б-16</t>
        </is>
      </c>
      <c r="E218" s="10" t="n">
        <v>4</v>
      </c>
      <c r="F218" s="9" t="inlineStr">
        <is>
          <t>04644</t>
        </is>
      </c>
      <c r="G218" s="11" t="n">
        <v>0</v>
      </c>
      <c r="H218" s="9" t="inlineStr">
        <is>
          <t xml:space="preserve">81729     </t>
        </is>
      </c>
      <c r="I218" s="9" t="inlineStr">
        <is>
          <t xml:space="preserve">Соколов Алексей Викторович </t>
        </is>
      </c>
      <c r="J218" s="9" t="inlineStr">
        <is>
          <t>доцент</t>
        </is>
      </c>
      <c r="K218" s="9" t="n"/>
      <c r="L218" s="9" t="inlineStr">
        <is>
          <t>кроме пятницы</t>
        </is>
      </c>
      <c r="M218" s="12">
        <f>SUMIFS($E$2:$E$1130,$A$2:$A$1130,"осень",$I$2:$I$1130,I218)</f>
        <v/>
      </c>
      <c r="N218" s="13">
        <f>SUMIFS($E$2:$E$1130,$A$2:$A$1130,"весна",$I$2:$I$1130,I218)</f>
        <v/>
      </c>
      <c r="O218" s="14">
        <f>M218+N218</f>
        <v/>
      </c>
      <c r="P218" s="15">
        <f>O218/$P$1</f>
        <v/>
      </c>
    </row>
    <row r="219" ht="15.75" customHeight="1" s="2">
      <c r="A219" s="117" t="inlineStr">
        <is>
          <t>осень</t>
        </is>
      </c>
      <c r="B219" s="9" t="inlineStr">
        <is>
          <t>Технология кузнечно-штамповочного производства</t>
        </is>
      </c>
      <c r="C219" s="9" t="inlineStr">
        <is>
          <t>Консультация</t>
        </is>
      </c>
      <c r="D219" s="9" t="inlineStr">
        <is>
          <t>Т1О-401Б-17</t>
        </is>
      </c>
      <c r="E219" s="10" t="n">
        <v>1</v>
      </c>
      <c r="F219" s="9" t="inlineStr">
        <is>
          <t>06256</t>
        </is>
      </c>
      <c r="G219" s="11" t="n">
        <v>0</v>
      </c>
      <c r="H219" s="9" t="inlineStr">
        <is>
          <t xml:space="preserve">81729     </t>
        </is>
      </c>
      <c r="I219" s="9" t="inlineStr">
        <is>
          <t xml:space="preserve">Соколов Алексей Викторович </t>
        </is>
      </c>
      <c r="J219" s="9" t="inlineStr">
        <is>
          <t>доцент</t>
        </is>
      </c>
      <c r="K219" s="9" t="n"/>
      <c r="L219" s="9" t="inlineStr">
        <is>
          <t>кроме пятницы</t>
        </is>
      </c>
      <c r="M219" s="12">
        <f>SUMIFS($E$2:$E$1130,$A$2:$A$1130,"осень",$I$2:$I$1130,I219)</f>
        <v/>
      </c>
      <c r="N219" s="13">
        <f>SUMIFS($E$2:$E$1130,$A$2:$A$1130,"весна",$I$2:$I$1130,I219)</f>
        <v/>
      </c>
      <c r="O219" s="14">
        <f>M219+N219</f>
        <v/>
      </c>
      <c r="P219" s="15">
        <f>O219/$P$1</f>
        <v/>
      </c>
    </row>
    <row r="220" ht="15.75" customHeight="1" s="2">
      <c r="A220" s="117" t="inlineStr">
        <is>
          <t>осень</t>
        </is>
      </c>
      <c r="B220" s="9" t="inlineStr">
        <is>
          <t>Информационные системы и базы данных</t>
        </is>
      </c>
      <c r="C220" s="9" t="inlineStr">
        <is>
          <t>ЛК</t>
        </is>
      </c>
      <c r="D220" s="9" t="inlineStr">
        <is>
          <t>Т1В-412Б-17</t>
        </is>
      </c>
      <c r="E220" s="10" t="n">
        <v>26</v>
      </c>
      <c r="F220" s="9" t="inlineStr">
        <is>
          <t>08769</t>
        </is>
      </c>
      <c r="G220" s="10" t="n">
        <v>26</v>
      </c>
      <c r="H220" s="9" t="inlineStr">
        <is>
          <t xml:space="preserve">81722     </t>
        </is>
      </c>
      <c r="I220" s="9" t="inlineStr">
        <is>
          <t xml:space="preserve">Шленский Алексей Геннадьевич </t>
        </is>
      </c>
      <c r="J220" s="9" t="inlineStr">
        <is>
          <t>доцент</t>
        </is>
      </c>
      <c r="K220" s="9" t="inlineStr">
        <is>
          <t>Орш. А-523</t>
        </is>
      </c>
      <c r="L220" s="9" t="inlineStr">
        <is>
          <t>кроме пятницы</t>
        </is>
      </c>
      <c r="M220" s="12">
        <f>SUMIFS($E$2:$E$1130,$A$2:$A$1130,"осень",$I$2:$I$1130,I220)</f>
        <v/>
      </c>
      <c r="N220" s="13">
        <f>SUMIFS($E$2:$E$1130,$A$2:$A$1130,"весна",$I$2:$I$1130,I220)</f>
        <v/>
      </c>
      <c r="O220" s="14">
        <f>M220+N220</f>
        <v/>
      </c>
      <c r="P220" s="15">
        <f>O220/$P$1</f>
        <v/>
      </c>
    </row>
    <row r="221" ht="15.75" customHeight="1" s="2">
      <c r="A221" s="117" t="inlineStr">
        <is>
          <t>осень</t>
        </is>
      </c>
      <c r="B221" s="9" t="inlineStr">
        <is>
          <t>Информационные системы и базы данных</t>
        </is>
      </c>
      <c r="C221" s="9" t="inlineStr">
        <is>
          <t>КР</t>
        </is>
      </c>
      <c r="D221" s="9" t="inlineStr">
        <is>
          <t>Т1В-412Б-17</t>
        </is>
      </c>
      <c r="E221" s="10" t="n">
        <v>33</v>
      </c>
      <c r="F221" s="9" t="inlineStr">
        <is>
          <t>08769</t>
        </is>
      </c>
      <c r="G221" s="11" t="n">
        <v>0</v>
      </c>
      <c r="H221" s="9" t="inlineStr">
        <is>
          <t xml:space="preserve">81722     </t>
        </is>
      </c>
      <c r="I221" s="9" t="inlineStr">
        <is>
          <t xml:space="preserve">Шленский Алексей Геннадьевич </t>
        </is>
      </c>
      <c r="J221" s="9" t="inlineStr">
        <is>
          <t>доцент</t>
        </is>
      </c>
      <c r="K221" s="9" t="n"/>
      <c r="L221" s="9" t="inlineStr">
        <is>
          <t>кроме пятницы</t>
        </is>
      </c>
      <c r="M221" s="12">
        <f>SUMIFS($E$2:$E$1130,$A$2:$A$1130,"осень",$I$2:$I$1130,I221)</f>
        <v/>
      </c>
      <c r="N221" s="13">
        <f>SUMIFS($E$2:$E$1130,$A$2:$A$1130,"весна",$I$2:$I$1130,I221)</f>
        <v/>
      </c>
      <c r="O221" s="14">
        <f>M221+N221</f>
        <v/>
      </c>
      <c r="P221" s="15">
        <f>O221/$P$1</f>
        <v/>
      </c>
    </row>
    <row r="222" ht="15.75" customHeight="1" s="2">
      <c r="A222" s="117" t="inlineStr">
        <is>
          <t>осень</t>
        </is>
      </c>
      <c r="B222" s="9" t="inlineStr">
        <is>
          <t>Информационные системы и базы данных</t>
        </is>
      </c>
      <c r="C222" s="9" t="inlineStr">
        <is>
          <t>ЛР</t>
        </is>
      </c>
      <c r="D222" s="9" t="inlineStr">
        <is>
          <t>Т1В-412Б-17</t>
        </is>
      </c>
      <c r="E222" s="10" t="n">
        <v>36</v>
      </c>
      <c r="F222" s="9" t="inlineStr">
        <is>
          <t>08769</t>
        </is>
      </c>
      <c r="G222" s="10" t="n">
        <v>36</v>
      </c>
      <c r="H222" s="9" t="inlineStr">
        <is>
          <t xml:space="preserve">81722     </t>
        </is>
      </c>
      <c r="I222" s="9" t="inlineStr">
        <is>
          <t xml:space="preserve">Шленский Алексей Геннадьевич </t>
        </is>
      </c>
      <c r="J222" s="9" t="inlineStr">
        <is>
          <t>доцент</t>
        </is>
      </c>
      <c r="K222" s="9" t="inlineStr">
        <is>
          <t>Орш. А-521</t>
        </is>
      </c>
      <c r="L222" s="9" t="inlineStr">
        <is>
          <t>кроме пятницы</t>
        </is>
      </c>
      <c r="M222" s="12">
        <f>SUMIFS($E$2:$E$1130,$A$2:$A$1130,"осень",$I$2:$I$1130,I222)</f>
        <v/>
      </c>
      <c r="N222" s="13">
        <f>SUMIFS($E$2:$E$1130,$A$2:$A$1130,"весна",$I$2:$I$1130,I222)</f>
        <v/>
      </c>
      <c r="O222" s="14">
        <f>M222+N222</f>
        <v/>
      </c>
      <c r="P222" s="15">
        <f>O222/$P$1</f>
        <v/>
      </c>
    </row>
    <row r="223" ht="15.75" customHeight="1" s="2">
      <c r="A223" s="117" t="inlineStr">
        <is>
          <t>осень</t>
        </is>
      </c>
      <c r="B223" s="9" t="inlineStr">
        <is>
          <t>Информационные системы и базы данных</t>
        </is>
      </c>
      <c r="C223" s="9" t="inlineStr">
        <is>
          <t>Экзамен</t>
        </is>
      </c>
      <c r="D223" s="9" t="inlineStr">
        <is>
          <t>Т1В-412Б-17</t>
        </is>
      </c>
      <c r="E223" s="10" t="n">
        <v>6</v>
      </c>
      <c r="F223" s="9" t="inlineStr">
        <is>
          <t>08769</t>
        </is>
      </c>
      <c r="G223" s="11" t="n">
        <v>0</v>
      </c>
      <c r="H223" s="9" t="inlineStr">
        <is>
          <t xml:space="preserve">81722     </t>
        </is>
      </c>
      <c r="I223" s="9" t="inlineStr">
        <is>
          <t xml:space="preserve">Шленский Алексей Геннадьевич </t>
        </is>
      </c>
      <c r="J223" s="9" t="inlineStr">
        <is>
          <t>доцент</t>
        </is>
      </c>
      <c r="K223" s="9" t="n"/>
      <c r="L223" s="9" t="inlineStr">
        <is>
          <t>кроме пятницы</t>
        </is>
      </c>
      <c r="M223" s="12">
        <f>SUMIFS($E$2:$E$1130,$A$2:$A$1130,"осень",$I$2:$I$1130,I223)</f>
        <v/>
      </c>
      <c r="N223" s="13">
        <f>SUMIFS($E$2:$E$1130,$A$2:$A$1130,"весна",$I$2:$I$1130,I223)</f>
        <v/>
      </c>
      <c r="O223" s="14">
        <f>M223+N223</f>
        <v/>
      </c>
      <c r="P223" s="15">
        <f>O223/$P$1</f>
        <v/>
      </c>
    </row>
    <row r="224" ht="15.75" customHeight="1" s="2">
      <c r="A224" s="117" t="inlineStr">
        <is>
          <t>осень</t>
        </is>
      </c>
      <c r="B224" s="9" t="inlineStr">
        <is>
          <t>Информационные системы и базы данных</t>
        </is>
      </c>
      <c r="C224" s="9" t="inlineStr">
        <is>
          <t>Консультация</t>
        </is>
      </c>
      <c r="D224" s="9" t="inlineStr">
        <is>
          <t>Т1В-412Б-17</t>
        </is>
      </c>
      <c r="E224" s="10" t="n">
        <v>5</v>
      </c>
      <c r="F224" s="9" t="inlineStr">
        <is>
          <t>08769</t>
        </is>
      </c>
      <c r="G224" s="11" t="n">
        <v>0</v>
      </c>
      <c r="H224" s="9" t="inlineStr">
        <is>
          <t xml:space="preserve">81722     </t>
        </is>
      </c>
      <c r="I224" s="9" t="inlineStr">
        <is>
          <t xml:space="preserve">Шленский Алексей Геннадьевич </t>
        </is>
      </c>
      <c r="J224" s="9" t="inlineStr">
        <is>
          <t>доцент</t>
        </is>
      </c>
      <c r="K224" s="9" t="n"/>
      <c r="L224" s="9" t="inlineStr">
        <is>
          <t>кроме пятницы</t>
        </is>
      </c>
      <c r="M224" s="12">
        <f>SUMIFS($E$2:$E$1130,$A$2:$A$1130,"осень",$I$2:$I$1130,I224)</f>
        <v/>
      </c>
      <c r="N224" s="13">
        <f>SUMIFS($E$2:$E$1130,$A$2:$A$1130,"весна",$I$2:$I$1130,I224)</f>
        <v/>
      </c>
      <c r="O224" s="14">
        <f>M224+N224</f>
        <v/>
      </c>
      <c r="P224" s="15">
        <f>O224/$P$1</f>
        <v/>
      </c>
    </row>
    <row r="225" ht="15.75" customHeight="1" s="2">
      <c r="A225" s="117" t="inlineStr">
        <is>
          <t>осень</t>
        </is>
      </c>
      <c r="B225" s="9" t="inlineStr">
        <is>
          <t>Организация и математическое планирование эксперимента</t>
        </is>
      </c>
      <c r="C225" s="9" t="inlineStr">
        <is>
          <t>ЛК</t>
        </is>
      </c>
      <c r="D225" s="9" t="inlineStr">
        <is>
          <t>Т11О-101М-20</t>
        </is>
      </c>
      <c r="E225" s="10" t="n">
        <v>12</v>
      </c>
      <c r="F225" s="9" t="inlineStr">
        <is>
          <t>04489</t>
        </is>
      </c>
      <c r="G225" s="10" t="n">
        <v>12</v>
      </c>
      <c r="H225" s="9" t="inlineStr">
        <is>
          <t xml:space="preserve">81728     </t>
        </is>
      </c>
      <c r="I225" s="9" t="inlineStr">
        <is>
          <t xml:space="preserve">Галкин Виктор Иванович </t>
        </is>
      </c>
      <c r="J225" s="9" t="inlineStr">
        <is>
          <t>профессор</t>
        </is>
      </c>
      <c r="K225" s="9" t="n"/>
      <c r="L225" s="9" t="inlineStr">
        <is>
          <t>кроме среды и первой пары понедельника (525 А)</t>
        </is>
      </c>
      <c r="M225" s="12">
        <f>SUMIFS($E$2:$E$1130,$A$2:$A$1130,"осень",$I$2:$I$1130,I225)</f>
        <v/>
      </c>
      <c r="N225" s="13">
        <f>SUMIFS($E$2:$E$1130,$A$2:$A$1130,"весна",$I$2:$I$1130,I225)</f>
        <v/>
      </c>
      <c r="O225" s="14">
        <f>M225+N225</f>
        <v/>
      </c>
      <c r="P225" s="15">
        <f>O225/$P$1</f>
        <v/>
      </c>
    </row>
    <row r="226" ht="15.75" customHeight="1" s="2">
      <c r="A226" s="117" t="inlineStr">
        <is>
          <t>осень</t>
        </is>
      </c>
      <c r="B226" s="9" t="inlineStr">
        <is>
          <t>Организация и математическое планирование эксперимента</t>
        </is>
      </c>
      <c r="C226" s="9" t="inlineStr">
        <is>
          <t>ПЗ</t>
        </is>
      </c>
      <c r="D226" s="9" t="inlineStr">
        <is>
          <t>Т11О-101М-20</t>
        </is>
      </c>
      <c r="E226" s="10" t="n">
        <v>24</v>
      </c>
      <c r="F226" s="9" t="inlineStr">
        <is>
          <t>04489</t>
        </is>
      </c>
      <c r="G226" s="10" t="n">
        <v>24</v>
      </c>
      <c r="H226" s="9" t="inlineStr">
        <is>
          <t xml:space="preserve">81728     </t>
        </is>
      </c>
      <c r="I226" s="9" t="inlineStr">
        <is>
          <t xml:space="preserve">Галкин Виктор Иванович </t>
        </is>
      </c>
      <c r="J226" s="9" t="inlineStr">
        <is>
          <t>профессор</t>
        </is>
      </c>
      <c r="K226" s="9" t="n"/>
      <c r="L226" s="9" t="inlineStr">
        <is>
          <t>кроме среды и первой пары понедельника (525 А)</t>
        </is>
      </c>
      <c r="M226" s="12">
        <f>SUMIFS($E$2:$E$1130,$A$2:$A$1130,"осень",$I$2:$I$1130,I226)</f>
        <v/>
      </c>
      <c r="N226" s="13">
        <f>SUMIFS($E$2:$E$1130,$A$2:$A$1130,"весна",$I$2:$I$1130,I226)</f>
        <v/>
      </c>
      <c r="O226" s="14">
        <f>M226+N226</f>
        <v/>
      </c>
      <c r="P226" s="15">
        <f>O226/$P$1</f>
        <v/>
      </c>
    </row>
    <row r="227" ht="15.75" customHeight="1" s="2">
      <c r="A227" s="117" t="inlineStr">
        <is>
          <t>осень</t>
        </is>
      </c>
      <c r="B227" s="9" t="inlineStr">
        <is>
          <t>Организация и математическое планирование эксперимента</t>
        </is>
      </c>
      <c r="C227" s="9" t="inlineStr">
        <is>
          <t>Зачет</t>
        </is>
      </c>
      <c r="D227" s="9" t="inlineStr">
        <is>
          <t>Т11О-101М-20</t>
        </is>
      </c>
      <c r="E227" s="10" t="n">
        <v>2</v>
      </c>
      <c r="F227" s="9" t="inlineStr">
        <is>
          <t>04489</t>
        </is>
      </c>
      <c r="G227" s="11" t="n">
        <v>0</v>
      </c>
      <c r="H227" s="9" t="inlineStr">
        <is>
          <t xml:space="preserve">81728     </t>
        </is>
      </c>
      <c r="I227" s="9" t="inlineStr">
        <is>
          <t xml:space="preserve">Галкин Виктор Иванович </t>
        </is>
      </c>
      <c r="J227" s="9" t="inlineStr">
        <is>
          <t>профессор</t>
        </is>
      </c>
      <c r="K227" s="9" t="n"/>
      <c r="L227" s="9" t="inlineStr">
        <is>
          <t>кроме среды и первой пары понедельника (525 А)</t>
        </is>
      </c>
      <c r="M227" s="12">
        <f>SUMIFS($E$2:$E$1130,$A$2:$A$1130,"осень",$I$2:$I$1130,I227)</f>
        <v/>
      </c>
      <c r="N227" s="13">
        <f>SUMIFS($E$2:$E$1130,$A$2:$A$1130,"весна",$I$2:$I$1130,I227)</f>
        <v/>
      </c>
      <c r="O227" s="14">
        <f>M227+N227</f>
        <v/>
      </c>
      <c r="P227" s="15">
        <f>O227/$P$1</f>
        <v/>
      </c>
    </row>
    <row r="228" ht="15.75" customHeight="1" s="2">
      <c r="A228" s="117" t="inlineStr">
        <is>
          <t>осень</t>
        </is>
      </c>
      <c r="B228" s="9" t="inlineStr">
        <is>
          <t>Организация и математическое планирование эксперимента</t>
        </is>
      </c>
      <c r="C228" s="9" t="inlineStr">
        <is>
          <t>Консультация</t>
        </is>
      </c>
      <c r="D228" s="9" t="inlineStr">
        <is>
          <t>Т11О-101М-20</t>
        </is>
      </c>
      <c r="E228" s="10" t="n">
        <v>1</v>
      </c>
      <c r="F228" s="9" t="inlineStr">
        <is>
          <t>04489</t>
        </is>
      </c>
      <c r="G228" s="11" t="n">
        <v>0</v>
      </c>
      <c r="H228" s="9" t="inlineStr">
        <is>
          <t xml:space="preserve">81728     </t>
        </is>
      </c>
      <c r="I228" s="9" t="inlineStr">
        <is>
          <t xml:space="preserve">Галкин Виктор Иванович </t>
        </is>
      </c>
      <c r="J228" s="9" t="inlineStr">
        <is>
          <t>профессор</t>
        </is>
      </c>
      <c r="K228" s="9" t="n"/>
      <c r="L228" s="9" t="inlineStr">
        <is>
          <t>кроме среды и первой пары понедельника (525 А)</t>
        </is>
      </c>
      <c r="M228" s="12">
        <f>SUMIFS($E$2:$E$1130,$A$2:$A$1130,"осень",$I$2:$I$1130,I228)</f>
        <v/>
      </c>
      <c r="N228" s="13">
        <f>SUMIFS($E$2:$E$1130,$A$2:$A$1130,"весна",$I$2:$I$1130,I228)</f>
        <v/>
      </c>
      <c r="O228" s="14">
        <f>M228+N228</f>
        <v/>
      </c>
      <c r="P228" s="15">
        <f>O228/$P$1</f>
        <v/>
      </c>
    </row>
    <row r="229" ht="15.75" customHeight="1" s="2">
      <c r="A229" s="117" t="inlineStr">
        <is>
          <t>осень</t>
        </is>
      </c>
      <c r="B229" s="9" t="inlineStr">
        <is>
          <t>Технология прессования  легких сплавов</t>
        </is>
      </c>
      <c r="C229" s="9" t="inlineStr">
        <is>
          <t>КП</t>
        </is>
      </c>
      <c r="D229" s="9" t="inlineStr">
        <is>
          <t>Т11О-101М-20</t>
        </is>
      </c>
      <c r="E229" s="10" t="n">
        <v>24</v>
      </c>
      <c r="F229" s="9" t="inlineStr">
        <is>
          <t>04489</t>
        </is>
      </c>
      <c r="G229" s="11" t="n">
        <v>0</v>
      </c>
      <c r="H229" s="9" t="inlineStr">
        <is>
          <t xml:space="preserve">81731     </t>
        </is>
      </c>
      <c r="I229" s="9" t="inlineStr">
        <is>
          <t xml:space="preserve">Беспалов Александр Владимирович </t>
        </is>
      </c>
      <c r="J229" s="9" t="inlineStr">
        <is>
          <t>доцент</t>
        </is>
      </c>
      <c r="K229" s="9" t="n"/>
      <c r="L229" s="9" t="inlineStr">
        <is>
          <t>вторник, среда</t>
        </is>
      </c>
      <c r="M229" s="12">
        <f>SUMIFS($E$2:$E$1130,$A$2:$A$1130,"осень",$I$2:$I$1130,I229)</f>
        <v/>
      </c>
      <c r="N229" s="13">
        <f>SUMIFS($E$2:$E$1130,$A$2:$A$1130,"весна",$I$2:$I$1130,I229)</f>
        <v/>
      </c>
      <c r="O229" s="14">
        <f>M229+N229</f>
        <v/>
      </c>
      <c r="P229" s="15">
        <f>O229/$P$1</f>
        <v/>
      </c>
    </row>
    <row r="230" ht="15.75" customHeight="1" s="2">
      <c r="A230" s="117" t="inlineStr">
        <is>
          <t>осень</t>
        </is>
      </c>
      <c r="B230" s="9" t="inlineStr">
        <is>
          <t>Технология прессования  легких сплавов</t>
        </is>
      </c>
      <c r="C230" s="9" t="inlineStr">
        <is>
          <t>ЛК</t>
        </is>
      </c>
      <c r="D230" s="9" t="inlineStr">
        <is>
          <t>Т11О-101М-20</t>
        </is>
      </c>
      <c r="E230" s="10" t="n">
        <v>16</v>
      </c>
      <c r="F230" s="9" t="inlineStr">
        <is>
          <t>04489</t>
        </is>
      </c>
      <c r="G230" s="10" t="n">
        <v>16</v>
      </c>
      <c r="H230" s="9" t="inlineStr">
        <is>
          <t xml:space="preserve">81731     </t>
        </is>
      </c>
      <c r="I230" s="9" t="inlineStr">
        <is>
          <t xml:space="preserve">Беспалов Александр Владимирович </t>
        </is>
      </c>
      <c r="J230" s="9" t="inlineStr">
        <is>
          <t>доцент</t>
        </is>
      </c>
      <c r="K230" s="9" t="n"/>
      <c r="L230" s="9" t="inlineStr">
        <is>
          <t>вторник, среда</t>
        </is>
      </c>
      <c r="M230" s="12">
        <f>SUMIFS($E$2:$E$1130,$A$2:$A$1130,"осень",$I$2:$I$1130,I230)</f>
        <v/>
      </c>
      <c r="N230" s="13">
        <f>SUMIFS($E$2:$E$1130,$A$2:$A$1130,"весна",$I$2:$I$1130,I230)</f>
        <v/>
      </c>
      <c r="O230" s="14">
        <f>M230+N230</f>
        <v/>
      </c>
      <c r="P230" s="15">
        <f>O230/$P$1</f>
        <v/>
      </c>
    </row>
    <row r="231" ht="15.75" customHeight="1" s="2">
      <c r="A231" s="117" t="inlineStr">
        <is>
          <t>осень</t>
        </is>
      </c>
      <c r="B231" s="9" t="inlineStr">
        <is>
          <t>Технология прессования  легких сплавов</t>
        </is>
      </c>
      <c r="C231" s="9" t="inlineStr">
        <is>
          <t>Зачет с оценкой</t>
        </is>
      </c>
      <c r="D231" s="9" t="inlineStr">
        <is>
          <t>Т11О-101М-20</t>
        </is>
      </c>
      <c r="E231" s="10" t="n">
        <v>2</v>
      </c>
      <c r="F231" s="9" t="inlineStr">
        <is>
          <t>04489</t>
        </is>
      </c>
      <c r="G231" s="11" t="n">
        <v>0</v>
      </c>
      <c r="H231" s="9" t="inlineStr">
        <is>
          <t xml:space="preserve">81731     </t>
        </is>
      </c>
      <c r="I231" s="9" t="inlineStr">
        <is>
          <t xml:space="preserve">Беспалов Александр Владимирович </t>
        </is>
      </c>
      <c r="J231" s="9" t="inlineStr">
        <is>
          <t>доцент</t>
        </is>
      </c>
      <c r="K231" s="9" t="n"/>
      <c r="L231" s="9" t="inlineStr">
        <is>
          <t>вторник, среда</t>
        </is>
      </c>
      <c r="M231" s="12">
        <f>SUMIFS($E$2:$E$1130,$A$2:$A$1130,"осень",$I$2:$I$1130,I231)</f>
        <v/>
      </c>
      <c r="N231" s="13">
        <f>SUMIFS($E$2:$E$1130,$A$2:$A$1130,"весна",$I$2:$I$1130,I231)</f>
        <v/>
      </c>
      <c r="O231" s="14">
        <f>M231+N231</f>
        <v/>
      </c>
      <c r="P231" s="15">
        <f>O231/$P$1</f>
        <v/>
      </c>
    </row>
    <row r="232" ht="15.75" customHeight="1" s="2">
      <c r="A232" s="117" t="inlineStr">
        <is>
          <t>осень</t>
        </is>
      </c>
      <c r="B232" s="9" t="inlineStr">
        <is>
          <t>Технология прессования  легких сплавов</t>
        </is>
      </c>
      <c r="C232" s="9" t="inlineStr">
        <is>
          <t>ПЗ</t>
        </is>
      </c>
      <c r="D232" s="9" t="inlineStr">
        <is>
          <t>Т11О-101М-20</t>
        </is>
      </c>
      <c r="E232" s="10" t="n">
        <v>28</v>
      </c>
      <c r="F232" s="9" t="inlineStr">
        <is>
          <t>04489</t>
        </is>
      </c>
      <c r="G232" s="10" t="n">
        <v>28</v>
      </c>
      <c r="H232" s="9" t="inlineStr">
        <is>
          <t xml:space="preserve">81731     </t>
        </is>
      </c>
      <c r="I232" s="9" t="inlineStr">
        <is>
          <t xml:space="preserve">Беспалов Александр Владимирович </t>
        </is>
      </c>
      <c r="J232" s="9" t="inlineStr">
        <is>
          <t>доцент</t>
        </is>
      </c>
      <c r="K232" s="9" t="n"/>
      <c r="L232" s="9" t="inlineStr">
        <is>
          <t>вторник, среда</t>
        </is>
      </c>
      <c r="M232" s="12">
        <f>SUMIFS($E$2:$E$1130,$A$2:$A$1130,"осень",$I$2:$I$1130,I232)</f>
        <v/>
      </c>
      <c r="N232" s="13">
        <f>SUMIFS($E$2:$E$1130,$A$2:$A$1130,"весна",$I$2:$I$1130,I232)</f>
        <v/>
      </c>
      <c r="O232" s="14">
        <f>M232+N232</f>
        <v/>
      </c>
      <c r="P232" s="15">
        <f>O232/$P$1</f>
        <v/>
      </c>
    </row>
    <row r="233" ht="15.75" customHeight="1" s="2">
      <c r="A233" s="117" t="inlineStr">
        <is>
          <t>осень</t>
        </is>
      </c>
      <c r="B233" s="9" t="inlineStr">
        <is>
          <t>Технология прессования  легких сплавов</t>
        </is>
      </c>
      <c r="C233" s="9" t="inlineStr">
        <is>
          <t>Консультация</t>
        </is>
      </c>
      <c r="D233" s="9" t="inlineStr">
        <is>
          <t>Т11О-101М-20</t>
        </is>
      </c>
      <c r="E233" s="10" t="n">
        <v>1</v>
      </c>
      <c r="F233" s="9" t="inlineStr">
        <is>
          <t>04489</t>
        </is>
      </c>
      <c r="G233" s="11" t="n">
        <v>0</v>
      </c>
      <c r="H233" s="9" t="inlineStr">
        <is>
          <t xml:space="preserve">81731     </t>
        </is>
      </c>
      <c r="I233" s="9" t="inlineStr">
        <is>
          <t xml:space="preserve">Беспалов Александр Владимирович </t>
        </is>
      </c>
      <c r="J233" s="9" t="inlineStr">
        <is>
          <t>доцент</t>
        </is>
      </c>
      <c r="K233" s="9" t="n"/>
      <c r="L233" s="9" t="inlineStr">
        <is>
          <t>вторник, среда</t>
        </is>
      </c>
      <c r="M233" s="12">
        <f>SUMIFS($E$2:$E$1130,$A$2:$A$1130,"осень",$I$2:$I$1130,I233)</f>
        <v/>
      </c>
      <c r="N233" s="13">
        <f>SUMIFS($E$2:$E$1130,$A$2:$A$1130,"весна",$I$2:$I$1130,I233)</f>
        <v/>
      </c>
      <c r="O233" s="14">
        <f>M233+N233</f>
        <v/>
      </c>
      <c r="P233" s="15">
        <f>O233/$P$1</f>
        <v/>
      </c>
    </row>
    <row r="234" ht="15.75" customHeight="1" s="2">
      <c r="A234" s="117" t="inlineStr">
        <is>
          <t>осень</t>
        </is>
      </c>
      <c r="B234" s="9" t="inlineStr">
        <is>
          <t>Прикладная термодинамика и кинетика</t>
        </is>
      </c>
      <c r="C234" s="9" t="inlineStr">
        <is>
          <t>ЛК</t>
        </is>
      </c>
      <c r="D234" s="9" t="inlineStr">
        <is>
          <t>Т11О-102М-20, Т11О-103М-20</t>
        </is>
      </c>
      <c r="E234" s="10" t="n">
        <v>14</v>
      </c>
      <c r="F234" s="9" t="inlineStr">
        <is>
          <t>07996</t>
        </is>
      </c>
      <c r="G234" s="10" t="n">
        <v>14</v>
      </c>
      <c r="H234" s="9" t="inlineStr">
        <is>
          <t xml:space="preserve">82018     </t>
        </is>
      </c>
      <c r="I234" s="9" t="inlineStr">
        <is>
          <t>Бережной Дмитрий Васильевич</t>
        </is>
      </c>
      <c r="J234" s="9" t="inlineStr">
        <is>
          <t>доцент</t>
        </is>
      </c>
      <c r="K234" s="9" t="n"/>
      <c r="L234" s="9" t="inlineStr">
        <is>
          <t>кроме одного любого дня и субботы</t>
        </is>
      </c>
      <c r="M234" s="12">
        <f>SUMIFS($E$2:$E$1130,$A$2:$A$1130,"осень",$I$2:$I$1130,I234)</f>
        <v/>
      </c>
      <c r="N234" s="13">
        <f>SUMIFS($E$2:$E$1130,$A$2:$A$1130,"весна",$I$2:$I$1130,I234)</f>
        <v/>
      </c>
      <c r="O234" s="14">
        <f>M234+N234</f>
        <v/>
      </c>
      <c r="P234" s="15">
        <f>O234/$P$1</f>
        <v/>
      </c>
    </row>
    <row r="235" ht="15.75" customHeight="1" s="2">
      <c r="A235" s="117" t="inlineStr">
        <is>
          <t>осень</t>
        </is>
      </c>
      <c r="B235" s="9" t="inlineStr">
        <is>
          <t>Прикладная термодинамика и кинетика</t>
        </is>
      </c>
      <c r="C235" s="9" t="inlineStr">
        <is>
          <t>Зачет с оценкой</t>
        </is>
      </c>
      <c r="D235" s="9" t="inlineStr">
        <is>
          <t>Т11О-103М-20</t>
        </is>
      </c>
      <c r="E235" s="10" t="n">
        <v>2</v>
      </c>
      <c r="F235" s="9" t="inlineStr">
        <is>
          <t>07996</t>
        </is>
      </c>
      <c r="G235" s="11" t="n">
        <v>0</v>
      </c>
      <c r="H235" s="9" t="inlineStr">
        <is>
          <t xml:space="preserve">82018     </t>
        </is>
      </c>
      <c r="I235" s="9" t="inlineStr">
        <is>
          <t>Бережной Дмитрий Васильевич</t>
        </is>
      </c>
      <c r="J235" s="9" t="inlineStr">
        <is>
          <t>доцент</t>
        </is>
      </c>
      <c r="K235" s="9" t="n"/>
      <c r="L235" s="9" t="inlineStr">
        <is>
          <t>кроме одного любого дня и субботы</t>
        </is>
      </c>
      <c r="M235" s="12">
        <f>SUMIFS($E$2:$E$1130,$A$2:$A$1130,"осень",$I$2:$I$1130,I235)</f>
        <v/>
      </c>
      <c r="N235" s="13">
        <f>SUMIFS($E$2:$E$1130,$A$2:$A$1130,"весна",$I$2:$I$1130,I235)</f>
        <v/>
      </c>
      <c r="O235" s="14">
        <f>M235+N235</f>
        <v/>
      </c>
      <c r="P235" s="15">
        <f>O235/$P$1</f>
        <v/>
      </c>
    </row>
    <row r="236" ht="15.75" customHeight="1" s="2">
      <c r="A236" s="117" t="inlineStr">
        <is>
          <t>осень</t>
        </is>
      </c>
      <c r="B236" s="9" t="inlineStr">
        <is>
          <t>Прикладная термодинамика и кинетика</t>
        </is>
      </c>
      <c r="C236" s="9" t="inlineStr">
        <is>
          <t>ПЗ</t>
        </is>
      </c>
      <c r="D236" s="9" t="inlineStr">
        <is>
          <t>Т11О-102М-20</t>
        </is>
      </c>
      <c r="E236" s="10" t="n">
        <v>36</v>
      </c>
      <c r="F236" s="9" t="inlineStr">
        <is>
          <t>07996</t>
        </is>
      </c>
      <c r="G236" s="10" t="n">
        <v>36</v>
      </c>
      <c r="H236" s="9" t="inlineStr">
        <is>
          <t xml:space="preserve">82018     </t>
        </is>
      </c>
      <c r="I236" s="9" t="inlineStr">
        <is>
          <t>Бережной Дмитрий Васильевич</t>
        </is>
      </c>
      <c r="J236" s="9" t="inlineStr">
        <is>
          <t>доцент</t>
        </is>
      </c>
      <c r="K236" s="9" t="n"/>
      <c r="L236" s="9" t="inlineStr">
        <is>
          <t>кроме одного любого дня и субботы</t>
        </is>
      </c>
      <c r="M236" s="12">
        <f>SUMIFS($E$2:$E$1130,$A$2:$A$1130,"осень",$I$2:$I$1130,I236)</f>
        <v/>
      </c>
      <c r="N236" s="13">
        <f>SUMIFS($E$2:$E$1130,$A$2:$A$1130,"весна",$I$2:$I$1130,I236)</f>
        <v/>
      </c>
      <c r="O236" s="14">
        <f>M236+N236</f>
        <v/>
      </c>
      <c r="P236" s="15">
        <f>O236/$P$1</f>
        <v/>
      </c>
    </row>
    <row r="237" ht="15.75" customHeight="1" s="2">
      <c r="A237" s="117" t="inlineStr">
        <is>
          <t>осень</t>
        </is>
      </c>
      <c r="B237" s="9" t="inlineStr">
        <is>
          <t>Прикладная термодинамика и кинетика</t>
        </is>
      </c>
      <c r="C237" s="9" t="inlineStr">
        <is>
          <t>ПЗ</t>
        </is>
      </c>
      <c r="D237" s="9" t="inlineStr">
        <is>
          <t>Т11О-103М-20</t>
        </is>
      </c>
      <c r="E237" s="10" t="n">
        <v>36</v>
      </c>
      <c r="F237" s="9" t="inlineStr">
        <is>
          <t>07996</t>
        </is>
      </c>
      <c r="G237" s="10" t="n">
        <v>36</v>
      </c>
      <c r="H237" s="9" t="inlineStr">
        <is>
          <t xml:space="preserve">82018     </t>
        </is>
      </c>
      <c r="I237" s="9" t="inlineStr">
        <is>
          <t>Бережной Дмитрий Васильевич</t>
        </is>
      </c>
      <c r="J237" s="9" t="inlineStr">
        <is>
          <t>доцент</t>
        </is>
      </c>
      <c r="K237" s="9" t="n"/>
      <c r="L237" s="9" t="inlineStr">
        <is>
          <t>кроме одного любого дня и субботы</t>
        </is>
      </c>
      <c r="M237" s="12">
        <f>SUMIFS($E$2:$E$1130,$A$2:$A$1130,"осень",$I$2:$I$1130,I237)</f>
        <v/>
      </c>
      <c r="N237" s="13">
        <f>SUMIFS($E$2:$E$1130,$A$2:$A$1130,"весна",$I$2:$I$1130,I237)</f>
        <v/>
      </c>
      <c r="O237" s="14">
        <f>M237+N237</f>
        <v/>
      </c>
      <c r="P237" s="15">
        <f>O237/$P$1</f>
        <v/>
      </c>
    </row>
    <row r="238" ht="15.75" customHeight="1" s="2">
      <c r="A238" s="117" t="inlineStr">
        <is>
          <t>осень</t>
        </is>
      </c>
      <c r="B238" s="9" t="inlineStr">
        <is>
          <t>Прикладная термодинамика и кинетика</t>
        </is>
      </c>
      <c r="C238" s="9" t="inlineStr">
        <is>
          <t>Экзамен</t>
        </is>
      </c>
      <c r="D238" s="9" t="inlineStr">
        <is>
          <t>Т11О-102М-20</t>
        </is>
      </c>
      <c r="E238" s="10" t="n">
        <v>3</v>
      </c>
      <c r="F238" s="9" t="inlineStr">
        <is>
          <t>07996</t>
        </is>
      </c>
      <c r="G238" s="11" t="n">
        <v>0</v>
      </c>
      <c r="H238" s="9" t="inlineStr">
        <is>
          <t xml:space="preserve">82018     </t>
        </is>
      </c>
      <c r="I238" s="9" t="inlineStr">
        <is>
          <t>Бережной Дмитрий Васильевич</t>
        </is>
      </c>
      <c r="J238" s="9" t="inlineStr">
        <is>
          <t>доцент</t>
        </is>
      </c>
      <c r="K238" s="9" t="n"/>
      <c r="L238" s="9" t="inlineStr">
        <is>
          <t>кроме одного любого дня и субботы</t>
        </is>
      </c>
      <c r="M238" s="12">
        <f>SUMIFS($E$2:$E$1130,$A$2:$A$1130,"осень",$I$2:$I$1130,I238)</f>
        <v/>
      </c>
      <c r="N238" s="13">
        <f>SUMIFS($E$2:$E$1130,$A$2:$A$1130,"весна",$I$2:$I$1130,I238)</f>
        <v/>
      </c>
      <c r="O238" s="14">
        <f>M238+N238</f>
        <v/>
      </c>
      <c r="P238" s="15">
        <f>O238/$P$1</f>
        <v/>
      </c>
    </row>
    <row r="239" ht="15.75" customHeight="1" s="2">
      <c r="A239" s="117" t="inlineStr">
        <is>
          <t>осень</t>
        </is>
      </c>
      <c r="B239" s="9" t="inlineStr">
        <is>
          <t>Прикладная термодинамика и кинетика</t>
        </is>
      </c>
      <c r="C239" s="9" t="inlineStr">
        <is>
          <t>Консультация</t>
        </is>
      </c>
      <c r="D239" s="9" t="inlineStr">
        <is>
          <t>Т11О-102М-20</t>
        </is>
      </c>
      <c r="E239" s="10" t="n">
        <v>3</v>
      </c>
      <c r="F239" s="9" t="inlineStr">
        <is>
          <t>07996</t>
        </is>
      </c>
      <c r="G239" s="11" t="n">
        <v>0</v>
      </c>
      <c r="H239" s="9" t="inlineStr">
        <is>
          <t xml:space="preserve">82018     </t>
        </is>
      </c>
      <c r="I239" s="9" t="inlineStr">
        <is>
          <t>Бережной Дмитрий Васильевич</t>
        </is>
      </c>
      <c r="J239" s="9" t="inlineStr">
        <is>
          <t>доцент</t>
        </is>
      </c>
      <c r="K239" s="9" t="n"/>
      <c r="L239" s="9" t="inlineStr">
        <is>
          <t>кроме одного любого дня и субботы</t>
        </is>
      </c>
      <c r="M239" s="12">
        <f>SUMIFS($E$2:$E$1130,$A$2:$A$1130,"осень",$I$2:$I$1130,I239)</f>
        <v/>
      </c>
      <c r="N239" s="13">
        <f>SUMIFS($E$2:$E$1130,$A$2:$A$1130,"весна",$I$2:$I$1130,I239)</f>
        <v/>
      </c>
      <c r="O239" s="14">
        <f>M239+N239</f>
        <v/>
      </c>
      <c r="P239" s="15">
        <f>O239/$P$1</f>
        <v/>
      </c>
    </row>
    <row r="240" ht="15.75" customHeight="1" s="2">
      <c r="A240" s="117" t="inlineStr">
        <is>
          <t>осень</t>
        </is>
      </c>
      <c r="B240" s="9" t="inlineStr">
        <is>
          <t>Прикладная термодинамика и кинетика</t>
        </is>
      </c>
      <c r="C240" s="9" t="inlineStr">
        <is>
          <t>Консультация</t>
        </is>
      </c>
      <c r="D240" s="9" t="inlineStr">
        <is>
          <t>Т11О-103М-20</t>
        </is>
      </c>
      <c r="E240" s="10" t="n">
        <v>1</v>
      </c>
      <c r="F240" s="9" t="inlineStr">
        <is>
          <t>07996</t>
        </is>
      </c>
      <c r="G240" s="11" t="n">
        <v>0</v>
      </c>
      <c r="H240" s="9" t="inlineStr">
        <is>
          <t xml:space="preserve">82018     </t>
        </is>
      </c>
      <c r="I240" s="9" t="inlineStr">
        <is>
          <t>Бережной Дмитрий Васильевич</t>
        </is>
      </c>
      <c r="J240" s="9" t="inlineStr">
        <is>
          <t>доцент</t>
        </is>
      </c>
      <c r="K240" s="9" t="n"/>
      <c r="L240" s="9" t="inlineStr">
        <is>
          <t>кроме одного любого дня и субботы</t>
        </is>
      </c>
      <c r="M240" s="12">
        <f>SUMIFS($E$2:$E$1130,$A$2:$A$1130,"осень",$I$2:$I$1130,I240)</f>
        <v/>
      </c>
      <c r="N240" s="13">
        <f>SUMIFS($E$2:$E$1130,$A$2:$A$1130,"весна",$I$2:$I$1130,I240)</f>
        <v/>
      </c>
      <c r="O240" s="14">
        <f>M240+N240</f>
        <v/>
      </c>
      <c r="P240" s="15">
        <f>O240/$P$1</f>
        <v/>
      </c>
    </row>
    <row r="241" ht="15.75" customHeight="1" s="2">
      <c r="A241" s="117" t="inlineStr">
        <is>
          <t>осень</t>
        </is>
      </c>
      <c r="B241" s="9" t="inlineStr">
        <is>
          <t>Производство отливок из легких сплавов</t>
        </is>
      </c>
      <c r="C241" s="9" t="inlineStr">
        <is>
          <t>ЛК</t>
        </is>
      </c>
      <c r="D241" s="9" t="inlineStr">
        <is>
          <t>Т11О-202М-19</t>
        </is>
      </c>
      <c r="E241" s="10" t="n">
        <v>20</v>
      </c>
      <c r="F241" s="9" t="inlineStr">
        <is>
          <t>06201</t>
        </is>
      </c>
      <c r="G241" s="10" t="n">
        <v>20</v>
      </c>
      <c r="H241" s="9" t="inlineStr">
        <is>
          <t xml:space="preserve">82061     </t>
        </is>
      </c>
      <c r="I241" s="9" t="inlineStr">
        <is>
          <t xml:space="preserve">Моисеев Виктор Сергеевич </t>
        </is>
      </c>
      <c r="J241" s="9" t="n"/>
      <c r="K241" s="9" t="n"/>
      <c r="L241" s="9" t="n"/>
      <c r="M241" s="12">
        <f>SUMIFS($E$2:$E$1130,$A$2:$A$1130,"осень",$I$2:$I$1130,I241)</f>
        <v/>
      </c>
      <c r="N241" s="13">
        <f>SUMIFS($E$2:$E$1130,$A$2:$A$1130,"весна",$I$2:$I$1130,I241)</f>
        <v/>
      </c>
      <c r="O241" s="14">
        <f>M241+N241</f>
        <v/>
      </c>
      <c r="P241" s="15">
        <f>O241/$P$1</f>
        <v/>
      </c>
    </row>
    <row r="242" ht="15.75" customHeight="1" s="2">
      <c r="A242" s="117" t="inlineStr">
        <is>
          <t>осень</t>
        </is>
      </c>
      <c r="B242" s="9" t="inlineStr">
        <is>
          <t>Производство отливок из легких сплавов</t>
        </is>
      </c>
      <c r="C242" s="9" t="inlineStr">
        <is>
          <t>КР</t>
        </is>
      </c>
      <c r="D242" s="9" t="inlineStr">
        <is>
          <t>Т11О-202М-19</t>
        </is>
      </c>
      <c r="E242" s="10" t="n">
        <v>18</v>
      </c>
      <c r="F242" s="9" t="inlineStr">
        <is>
          <t>06201</t>
        </is>
      </c>
      <c r="G242" s="11" t="n">
        <v>0</v>
      </c>
      <c r="H242" s="9" t="inlineStr">
        <is>
          <t xml:space="preserve">82061     </t>
        </is>
      </c>
      <c r="I242" s="9" t="inlineStr">
        <is>
          <t xml:space="preserve">Моисеев Виктор Сергеевич </t>
        </is>
      </c>
      <c r="J242" s="9" t="n"/>
      <c r="K242" s="9" t="n"/>
      <c r="L242" s="9" t="n"/>
      <c r="M242" s="12">
        <f>SUMIFS($E$2:$E$1130,$A$2:$A$1130,"осень",$I$2:$I$1130,I242)</f>
        <v/>
      </c>
      <c r="N242" s="13">
        <f>SUMIFS($E$2:$E$1130,$A$2:$A$1130,"весна",$I$2:$I$1130,I242)</f>
        <v/>
      </c>
      <c r="O242" s="14">
        <f>M242+N242</f>
        <v/>
      </c>
      <c r="P242" s="15">
        <f>O242/$P$1</f>
        <v/>
      </c>
    </row>
    <row r="243" ht="15.75" customHeight="1" s="2">
      <c r="A243" s="117" t="inlineStr">
        <is>
          <t>осень</t>
        </is>
      </c>
      <c r="B243" s="9" t="inlineStr">
        <is>
          <t>Производство отливок из легких сплавов</t>
        </is>
      </c>
      <c r="C243" s="9" t="inlineStr">
        <is>
          <t>Зачет с оценкой</t>
        </is>
      </c>
      <c r="D243" s="9" t="inlineStr">
        <is>
          <t>Т11О-202М-19</t>
        </is>
      </c>
      <c r="E243" s="10" t="n">
        <v>2</v>
      </c>
      <c r="F243" s="9" t="inlineStr">
        <is>
          <t>06201</t>
        </is>
      </c>
      <c r="G243" s="11" t="n">
        <v>0</v>
      </c>
      <c r="H243" s="9" t="inlineStr">
        <is>
          <t xml:space="preserve">82061     </t>
        </is>
      </c>
      <c r="I243" s="9" t="inlineStr">
        <is>
          <t xml:space="preserve">Моисеев Виктор Сергеевич </t>
        </is>
      </c>
      <c r="J243" s="9" t="n"/>
      <c r="K243" s="9" t="n"/>
      <c r="L243" s="9" t="n"/>
      <c r="M243" s="12">
        <f>SUMIFS($E$2:$E$1130,$A$2:$A$1130,"осень",$I$2:$I$1130,I243)</f>
        <v/>
      </c>
      <c r="N243" s="13">
        <f>SUMIFS($E$2:$E$1130,$A$2:$A$1130,"весна",$I$2:$I$1130,I243)</f>
        <v/>
      </c>
      <c r="O243" s="14">
        <f>M243+N243</f>
        <v/>
      </c>
      <c r="P243" s="15">
        <f>O243/$P$1</f>
        <v/>
      </c>
    </row>
    <row r="244" ht="15.75" customHeight="1" s="2">
      <c r="A244" s="117" t="inlineStr">
        <is>
          <t>осень</t>
        </is>
      </c>
      <c r="B244" s="9" t="inlineStr">
        <is>
          <t>Производство отливок из легких сплавов</t>
        </is>
      </c>
      <c r="C244" s="9" t="inlineStr">
        <is>
          <t>ПЗ</t>
        </is>
      </c>
      <c r="D244" s="9" t="inlineStr">
        <is>
          <t>Т11О-202М-19</t>
        </is>
      </c>
      <c r="E244" s="10" t="n">
        <v>12</v>
      </c>
      <c r="F244" s="9" t="inlineStr">
        <is>
          <t>06201</t>
        </is>
      </c>
      <c r="G244" s="10" t="n">
        <v>12</v>
      </c>
      <c r="H244" s="9" t="inlineStr">
        <is>
          <t xml:space="preserve">82061     </t>
        </is>
      </c>
      <c r="I244" s="9" t="inlineStr">
        <is>
          <t xml:space="preserve">Моисеев Виктор Сергеевич </t>
        </is>
      </c>
      <c r="J244" s="9" t="n"/>
      <c r="K244" s="9" t="n"/>
      <c r="L244" s="9" t="n"/>
      <c r="M244" s="12">
        <f>SUMIFS($E$2:$E$1130,$A$2:$A$1130,"осень",$I$2:$I$1130,I244)</f>
        <v/>
      </c>
      <c r="N244" s="13">
        <f>SUMIFS($E$2:$E$1130,$A$2:$A$1130,"весна",$I$2:$I$1130,I244)</f>
        <v/>
      </c>
      <c r="O244" s="14">
        <f>M244+N244</f>
        <v/>
      </c>
      <c r="P244" s="15">
        <f>O244/$P$1</f>
        <v/>
      </c>
    </row>
    <row r="245" ht="15.75" customHeight="1" s="2">
      <c r="A245" s="117" t="inlineStr">
        <is>
          <t>осень</t>
        </is>
      </c>
      <c r="B245" s="9" t="inlineStr">
        <is>
          <t>Производство отливок из легких сплавов</t>
        </is>
      </c>
      <c r="C245" s="9" t="inlineStr">
        <is>
          <t>ЛР</t>
        </is>
      </c>
      <c r="D245" s="9" t="inlineStr">
        <is>
          <t>Т11О-202М-19</t>
        </is>
      </c>
      <c r="E245" s="10" t="n">
        <v>24</v>
      </c>
      <c r="F245" s="9" t="inlineStr">
        <is>
          <t>06201</t>
        </is>
      </c>
      <c r="G245" s="10" t="n">
        <v>24</v>
      </c>
      <c r="H245" s="9" t="inlineStr">
        <is>
          <t xml:space="preserve">82061     </t>
        </is>
      </c>
      <c r="I245" s="9" t="inlineStr">
        <is>
          <t xml:space="preserve">Моисеев Виктор Сергеевич </t>
        </is>
      </c>
      <c r="J245" s="9" t="n"/>
      <c r="K245" s="9" t="n"/>
      <c r="L245" s="9" t="n"/>
      <c r="M245" s="12">
        <f>SUMIFS($E$2:$E$1130,$A$2:$A$1130,"осень",$I$2:$I$1130,I245)</f>
        <v/>
      </c>
      <c r="N245" s="13">
        <f>SUMIFS($E$2:$E$1130,$A$2:$A$1130,"весна",$I$2:$I$1130,I245)</f>
        <v/>
      </c>
      <c r="O245" s="14">
        <f>M245+N245</f>
        <v/>
      </c>
      <c r="P245" s="15">
        <f>O245/$P$1</f>
        <v/>
      </c>
    </row>
    <row r="246" ht="15.75" customHeight="1" s="2">
      <c r="A246" s="117" t="inlineStr">
        <is>
          <t>осень</t>
        </is>
      </c>
      <c r="B246" s="9" t="inlineStr">
        <is>
          <t>Производство отливок из легких сплавов</t>
        </is>
      </c>
      <c r="C246" s="9" t="inlineStr">
        <is>
          <t>Консультация</t>
        </is>
      </c>
      <c r="D246" s="9" t="inlineStr">
        <is>
          <t>Т11О-202М-19</t>
        </is>
      </c>
      <c r="E246" s="10" t="n">
        <v>1</v>
      </c>
      <c r="F246" s="9" t="inlineStr">
        <is>
          <t>06201</t>
        </is>
      </c>
      <c r="G246" s="11" t="n">
        <v>0</v>
      </c>
      <c r="H246" s="9" t="inlineStr">
        <is>
          <t xml:space="preserve">82061     </t>
        </is>
      </c>
      <c r="I246" s="9" t="inlineStr">
        <is>
          <t xml:space="preserve">Моисеев Виктор Сергеевич </t>
        </is>
      </c>
      <c r="J246" s="9" t="n"/>
      <c r="K246" s="9" t="n"/>
      <c r="L246" s="9" t="n"/>
      <c r="M246" s="12">
        <f>SUMIFS($E$2:$E$1130,$A$2:$A$1130,"осень",$I$2:$I$1130,I246)</f>
        <v/>
      </c>
      <c r="N246" s="13">
        <f>SUMIFS($E$2:$E$1130,$A$2:$A$1130,"весна",$I$2:$I$1130,I246)</f>
        <v/>
      </c>
      <c r="O246" s="14">
        <f>M246+N246</f>
        <v/>
      </c>
      <c r="P246" s="15">
        <f>O246/$P$1</f>
        <v/>
      </c>
    </row>
    <row r="247" ht="15.75" customHeight="1" s="2">
      <c r="A247" s="117" t="inlineStr">
        <is>
          <t>осень</t>
        </is>
      </c>
      <c r="B247" s="9" t="inlineStr">
        <is>
          <t>Системный и численный анализ в САПР ТП литья</t>
        </is>
      </c>
      <c r="C247" s="9" t="inlineStr">
        <is>
          <t>ЛК</t>
        </is>
      </c>
      <c r="D247" s="9" t="inlineStr">
        <is>
          <t>Т11О-102М-20</t>
        </is>
      </c>
      <c r="E247" s="10" t="n">
        <v>10</v>
      </c>
      <c r="F247" s="9" t="inlineStr">
        <is>
          <t>06201</t>
        </is>
      </c>
      <c r="G247" s="10" t="n">
        <v>10</v>
      </c>
      <c r="H247" s="9" t="inlineStr">
        <is>
          <t xml:space="preserve">82061     </t>
        </is>
      </c>
      <c r="I247" s="9" t="inlineStr">
        <is>
          <t xml:space="preserve">Моисеев Виктор Сергеевич </t>
        </is>
      </c>
      <c r="J247" s="9" t="n"/>
      <c r="K247" s="9" t="n"/>
      <c r="L247" s="9" t="n"/>
      <c r="M247" s="12">
        <f>SUMIFS($E$2:$E$1130,$A$2:$A$1130,"осень",$I$2:$I$1130,I247)</f>
        <v/>
      </c>
      <c r="N247" s="13">
        <f>SUMIFS($E$2:$E$1130,$A$2:$A$1130,"весна",$I$2:$I$1130,I247)</f>
        <v/>
      </c>
      <c r="O247" s="14">
        <f>M247+N247</f>
        <v/>
      </c>
      <c r="P247" s="15">
        <f>O247/$P$1</f>
        <v/>
      </c>
    </row>
    <row r="248" ht="15.75" customHeight="1" s="2">
      <c r="A248" s="117" t="inlineStr">
        <is>
          <t>осень</t>
        </is>
      </c>
      <c r="B248" s="9" t="inlineStr">
        <is>
          <t>Системный и численный анализ в САПР ТП литья</t>
        </is>
      </c>
      <c r="C248" s="9" t="inlineStr">
        <is>
          <t>КР</t>
        </is>
      </c>
      <c r="D248" s="9" t="inlineStr">
        <is>
          <t>Т11О-102М-20</t>
        </is>
      </c>
      <c r="E248" s="10" t="n">
        <v>15</v>
      </c>
      <c r="F248" s="9" t="inlineStr">
        <is>
          <t>06201</t>
        </is>
      </c>
      <c r="G248" s="11" t="n">
        <v>0</v>
      </c>
      <c r="H248" s="9" t="inlineStr">
        <is>
          <t xml:space="preserve">82061     </t>
        </is>
      </c>
      <c r="I248" s="9" t="inlineStr">
        <is>
          <t xml:space="preserve">Моисеев Виктор Сергеевич </t>
        </is>
      </c>
      <c r="J248" s="9" t="n"/>
      <c r="K248" s="9" t="n"/>
      <c r="L248" s="9" t="n"/>
      <c r="M248" s="12">
        <f>SUMIFS($E$2:$E$1130,$A$2:$A$1130,"осень",$I$2:$I$1130,I248)</f>
        <v/>
      </c>
      <c r="N248" s="13">
        <f>SUMIFS($E$2:$E$1130,$A$2:$A$1130,"весна",$I$2:$I$1130,I248)</f>
        <v/>
      </c>
      <c r="O248" s="14">
        <f>M248+N248</f>
        <v/>
      </c>
      <c r="P248" s="15">
        <f>O248/$P$1</f>
        <v/>
      </c>
    </row>
    <row r="249" ht="15.75" customHeight="1" s="2">
      <c r="A249" s="117" t="inlineStr">
        <is>
          <t>осень</t>
        </is>
      </c>
      <c r="B249" s="9" t="inlineStr">
        <is>
          <t>Системный и численный анализ в САПР ТП литья</t>
        </is>
      </c>
      <c r="C249" s="9" t="inlineStr">
        <is>
          <t>Зачет с оценкой</t>
        </is>
      </c>
      <c r="D249" s="9" t="inlineStr">
        <is>
          <t>Т11О-102М-20</t>
        </is>
      </c>
      <c r="E249" s="10" t="n">
        <v>2</v>
      </c>
      <c r="F249" s="9" t="inlineStr">
        <is>
          <t>06201</t>
        </is>
      </c>
      <c r="G249" s="11" t="n">
        <v>0</v>
      </c>
      <c r="H249" s="9" t="inlineStr">
        <is>
          <t xml:space="preserve">82061     </t>
        </is>
      </c>
      <c r="I249" s="9" t="inlineStr">
        <is>
          <t xml:space="preserve">Моисеев Виктор Сергеевич </t>
        </is>
      </c>
      <c r="J249" s="9" t="n"/>
      <c r="K249" s="9" t="n"/>
      <c r="L249" s="9" t="n"/>
      <c r="M249" s="12">
        <f>SUMIFS($E$2:$E$1130,$A$2:$A$1130,"осень",$I$2:$I$1130,I249)</f>
        <v/>
      </c>
      <c r="N249" s="13">
        <f>SUMIFS($E$2:$E$1130,$A$2:$A$1130,"весна",$I$2:$I$1130,I249)</f>
        <v/>
      </c>
      <c r="O249" s="14">
        <f>M249+N249</f>
        <v/>
      </c>
      <c r="P249" s="15">
        <f>O249/$P$1</f>
        <v/>
      </c>
    </row>
    <row r="250" ht="15.75" customHeight="1" s="2">
      <c r="A250" s="117" t="inlineStr">
        <is>
          <t>осень</t>
        </is>
      </c>
      <c r="B250" s="9" t="inlineStr">
        <is>
          <t>Системный и численный анализ в САПР ТП литья</t>
        </is>
      </c>
      <c r="C250" s="9" t="inlineStr">
        <is>
          <t>ПЗ</t>
        </is>
      </c>
      <c r="D250" s="9" t="inlineStr">
        <is>
          <t>Т11О-102М-20</t>
        </is>
      </c>
      <c r="E250" s="10" t="n">
        <v>26</v>
      </c>
      <c r="F250" s="9" t="inlineStr">
        <is>
          <t>06201</t>
        </is>
      </c>
      <c r="G250" s="10" t="n">
        <v>26</v>
      </c>
      <c r="H250" s="9" t="inlineStr">
        <is>
          <t xml:space="preserve">82061     </t>
        </is>
      </c>
      <c r="I250" s="9" t="inlineStr">
        <is>
          <t xml:space="preserve">Моисеев Виктор Сергеевич </t>
        </is>
      </c>
      <c r="J250" s="9" t="n"/>
      <c r="K250" s="9" t="n"/>
      <c r="L250" s="9" t="n"/>
      <c r="M250" s="12">
        <f>SUMIFS($E$2:$E$1130,$A$2:$A$1130,"осень",$I$2:$I$1130,I250)</f>
        <v/>
      </c>
      <c r="N250" s="13">
        <f>SUMIFS($E$2:$E$1130,$A$2:$A$1130,"весна",$I$2:$I$1130,I250)</f>
        <v/>
      </c>
      <c r="O250" s="14">
        <f>M250+N250</f>
        <v/>
      </c>
      <c r="P250" s="15">
        <f>O250/$P$1</f>
        <v/>
      </c>
    </row>
    <row r="251" ht="15.75" customHeight="1" s="2">
      <c r="A251" s="117" t="inlineStr">
        <is>
          <t>осень</t>
        </is>
      </c>
      <c r="B251" s="9" t="inlineStr">
        <is>
          <t>Системный и численный анализ в САПР ТП литья</t>
        </is>
      </c>
      <c r="C251" s="9" t="inlineStr">
        <is>
          <t>Консультация</t>
        </is>
      </c>
      <c r="D251" s="9" t="inlineStr">
        <is>
          <t>Т11О-102М-20</t>
        </is>
      </c>
      <c r="E251" s="10" t="n">
        <v>1</v>
      </c>
      <c r="F251" s="9" t="inlineStr">
        <is>
          <t>06201</t>
        </is>
      </c>
      <c r="G251" s="11" t="n">
        <v>0</v>
      </c>
      <c r="H251" s="9" t="inlineStr">
        <is>
          <t xml:space="preserve">82061     </t>
        </is>
      </c>
      <c r="I251" s="9" t="inlineStr">
        <is>
          <t xml:space="preserve">Моисеев Виктор Сергеевич </t>
        </is>
      </c>
      <c r="J251" s="9" t="n"/>
      <c r="K251" s="9" t="n"/>
      <c r="L251" s="9" t="n"/>
      <c r="M251" s="12">
        <f>SUMIFS($E$2:$E$1130,$A$2:$A$1130,"осень",$I$2:$I$1130,I251)</f>
        <v/>
      </c>
      <c r="N251" s="13">
        <f>SUMIFS($E$2:$E$1130,$A$2:$A$1130,"весна",$I$2:$I$1130,I251)</f>
        <v/>
      </c>
      <c r="O251" s="14">
        <f>M251+N251</f>
        <v/>
      </c>
      <c r="P251" s="15">
        <f>O251/$P$1</f>
        <v/>
      </c>
    </row>
    <row r="252" ht="15.75" customHeight="1" s="2">
      <c r="A252" s="117" t="inlineStr">
        <is>
          <t>осень</t>
        </is>
      </c>
      <c r="B252" s="9" t="inlineStr">
        <is>
          <t>САПР технологических процессов в литейном производстве</t>
        </is>
      </c>
      <c r="C252" s="9" t="inlineStr">
        <is>
          <t>ЛК</t>
        </is>
      </c>
      <c r="D252" s="9" t="inlineStr">
        <is>
          <t>Т11О-202М-19</t>
        </is>
      </c>
      <c r="E252" s="10" t="n">
        <v>14</v>
      </c>
      <c r="F252" s="9" t="inlineStr">
        <is>
          <t>06201</t>
        </is>
      </c>
      <c r="G252" s="10" t="n">
        <v>14</v>
      </c>
      <c r="H252" s="9" t="inlineStr">
        <is>
          <t xml:space="preserve">82061     </t>
        </is>
      </c>
      <c r="I252" s="9" t="inlineStr">
        <is>
          <t xml:space="preserve">Моисеев Виктор Сергеевич </t>
        </is>
      </c>
      <c r="J252" s="9" t="n"/>
      <c r="K252" s="9" t="n"/>
      <c r="L252" s="9" t="n"/>
      <c r="M252" s="12">
        <f>SUMIFS($E$2:$E$1130,$A$2:$A$1130,"осень",$I$2:$I$1130,I252)</f>
        <v/>
      </c>
      <c r="N252" s="13">
        <f>SUMIFS($E$2:$E$1130,$A$2:$A$1130,"весна",$I$2:$I$1130,I252)</f>
        <v/>
      </c>
      <c r="O252" s="14">
        <f>M252+N252</f>
        <v/>
      </c>
      <c r="P252" s="15">
        <f>O252/$P$1</f>
        <v/>
      </c>
    </row>
    <row r="253" ht="15.75" customHeight="1" s="2">
      <c r="A253" s="117" t="inlineStr">
        <is>
          <t>осень</t>
        </is>
      </c>
      <c r="B253" s="9" t="inlineStr">
        <is>
          <t>САПР технологических процессов в литейном производстве</t>
        </is>
      </c>
      <c r="C253" s="9" t="inlineStr">
        <is>
          <t>КР</t>
        </is>
      </c>
      <c r="D253" s="9" t="inlineStr">
        <is>
          <t>Т11О-202М-19</t>
        </is>
      </c>
      <c r="E253" s="10" t="n">
        <v>18</v>
      </c>
      <c r="F253" s="9" t="inlineStr">
        <is>
          <t>06201</t>
        </is>
      </c>
      <c r="G253" s="11" t="n">
        <v>0</v>
      </c>
      <c r="H253" s="9" t="inlineStr">
        <is>
          <t xml:space="preserve">82061     </t>
        </is>
      </c>
      <c r="I253" s="9" t="inlineStr">
        <is>
          <t xml:space="preserve">Моисеев Виктор Сергеевич </t>
        </is>
      </c>
      <c r="J253" s="9" t="n"/>
      <c r="K253" s="9" t="n"/>
      <c r="L253" s="9" t="n"/>
      <c r="M253" s="12">
        <f>SUMIFS($E$2:$E$1130,$A$2:$A$1130,"осень",$I$2:$I$1130,I253)</f>
        <v/>
      </c>
      <c r="N253" s="13">
        <f>SUMIFS($E$2:$E$1130,$A$2:$A$1130,"весна",$I$2:$I$1130,I253)</f>
        <v/>
      </c>
      <c r="O253" s="14">
        <f>M253+N253</f>
        <v/>
      </c>
      <c r="P253" s="15">
        <f>O253/$P$1</f>
        <v/>
      </c>
    </row>
    <row r="254" ht="15.75" customHeight="1" s="2">
      <c r="A254" s="117" t="inlineStr">
        <is>
          <t>осень</t>
        </is>
      </c>
      <c r="B254" s="9" t="inlineStr">
        <is>
          <t>САПР технологических процессов в литейном производстве</t>
        </is>
      </c>
      <c r="C254" s="9" t="inlineStr">
        <is>
          <t>ПЗ</t>
        </is>
      </c>
      <c r="D254" s="9" t="inlineStr">
        <is>
          <t>Т11О-202М-19</t>
        </is>
      </c>
      <c r="E254" s="10" t="n">
        <v>40</v>
      </c>
      <c r="F254" s="9" t="inlineStr">
        <is>
          <t>06201</t>
        </is>
      </c>
      <c r="G254" s="10" t="n">
        <v>40</v>
      </c>
      <c r="H254" s="9" t="inlineStr">
        <is>
          <t xml:space="preserve">82061     </t>
        </is>
      </c>
      <c r="I254" s="9" t="inlineStr">
        <is>
          <t xml:space="preserve">Моисеев Виктор Сергеевич </t>
        </is>
      </c>
      <c r="J254" s="9" t="n"/>
      <c r="K254" s="9" t="n"/>
      <c r="L254" s="9" t="n"/>
      <c r="M254" s="12">
        <f>SUMIFS($E$2:$E$1130,$A$2:$A$1130,"осень",$I$2:$I$1130,I254)</f>
        <v/>
      </c>
      <c r="N254" s="13">
        <f>SUMIFS($E$2:$E$1130,$A$2:$A$1130,"весна",$I$2:$I$1130,I254)</f>
        <v/>
      </c>
      <c r="O254" s="14">
        <f>M254+N254</f>
        <v/>
      </c>
      <c r="P254" s="15">
        <f>O254/$P$1</f>
        <v/>
      </c>
    </row>
    <row r="255" ht="15.75" customHeight="1" s="2">
      <c r="A255" s="117" t="inlineStr">
        <is>
          <t>осень</t>
        </is>
      </c>
      <c r="B255" s="9" t="inlineStr">
        <is>
          <t>САПР технологических процессов в литейном производстве</t>
        </is>
      </c>
      <c r="C255" s="9" t="inlineStr">
        <is>
          <t>Экзамен</t>
        </is>
      </c>
      <c r="D255" s="9" t="inlineStr">
        <is>
          <t>Т11О-202М-19</t>
        </is>
      </c>
      <c r="E255" s="10" t="n">
        <v>3</v>
      </c>
      <c r="F255" s="9" t="inlineStr">
        <is>
          <t>06201</t>
        </is>
      </c>
      <c r="G255" s="11" t="n">
        <v>0</v>
      </c>
      <c r="H255" s="9" t="inlineStr">
        <is>
          <t xml:space="preserve">82061     </t>
        </is>
      </c>
      <c r="I255" s="9" t="inlineStr">
        <is>
          <t xml:space="preserve">Моисеев Виктор Сергеевич </t>
        </is>
      </c>
      <c r="J255" s="9" t="n"/>
      <c r="K255" s="9" t="n"/>
      <c r="L255" s="9" t="n"/>
      <c r="M255" s="12">
        <f>SUMIFS($E$2:$E$1130,$A$2:$A$1130,"осень",$I$2:$I$1130,I255)</f>
        <v/>
      </c>
      <c r="N255" s="13">
        <f>SUMIFS($E$2:$E$1130,$A$2:$A$1130,"весна",$I$2:$I$1130,I255)</f>
        <v/>
      </c>
      <c r="O255" s="14">
        <f>M255+N255</f>
        <v/>
      </c>
      <c r="P255" s="15">
        <f>O255/$P$1</f>
        <v/>
      </c>
    </row>
    <row r="256" ht="15.75" customHeight="1" s="2">
      <c r="A256" s="117" t="inlineStr">
        <is>
          <t>осень</t>
        </is>
      </c>
      <c r="B256" s="9" t="inlineStr">
        <is>
          <t>САПР технологических процессов в литейном производстве</t>
        </is>
      </c>
      <c r="C256" s="9" t="inlineStr">
        <is>
          <t>Консультация</t>
        </is>
      </c>
      <c r="D256" s="9" t="inlineStr">
        <is>
          <t>Т11О-202М-19</t>
        </is>
      </c>
      <c r="E256" s="10" t="n">
        <v>3</v>
      </c>
      <c r="F256" s="9" t="inlineStr">
        <is>
          <t>06201</t>
        </is>
      </c>
      <c r="G256" s="11" t="n">
        <v>0</v>
      </c>
      <c r="H256" s="9" t="inlineStr">
        <is>
          <t xml:space="preserve">82061     </t>
        </is>
      </c>
      <c r="I256" s="9" t="inlineStr">
        <is>
          <t xml:space="preserve">Моисеев Виктор Сергеевич </t>
        </is>
      </c>
      <c r="J256" s="9" t="n"/>
      <c r="K256" s="9" t="n"/>
      <c r="L256" s="9" t="n"/>
      <c r="M256" s="12">
        <f>SUMIFS($E$2:$E$1130,$A$2:$A$1130,"осень",$I$2:$I$1130,I256)</f>
        <v/>
      </c>
      <c r="N256" s="13">
        <f>SUMIFS($E$2:$E$1130,$A$2:$A$1130,"весна",$I$2:$I$1130,I256)</f>
        <v/>
      </c>
      <c r="O256" s="14">
        <f>M256+N256</f>
        <v/>
      </c>
      <c r="P256" s="15">
        <f>O256/$P$1</f>
        <v/>
      </c>
    </row>
    <row r="257" ht="15.75" customHeight="1" s="2">
      <c r="A257" s="117" t="inlineStr">
        <is>
          <t>осень</t>
        </is>
      </c>
      <c r="B257" s="9" t="inlineStr">
        <is>
          <t>Специальные методы литья</t>
        </is>
      </c>
      <c r="C257" s="9" t="inlineStr">
        <is>
          <t>КП</t>
        </is>
      </c>
      <c r="D257" s="9" t="inlineStr">
        <is>
          <t>Т11О-102М-20</t>
        </is>
      </c>
      <c r="E257" s="10" t="n">
        <v>20</v>
      </c>
      <c r="F257" s="9" t="inlineStr">
        <is>
          <t>06201</t>
        </is>
      </c>
      <c r="G257" s="11" t="n">
        <v>0</v>
      </c>
      <c r="H257" s="9" t="inlineStr">
        <is>
          <t xml:space="preserve">82020     </t>
        </is>
      </c>
      <c r="I257" s="9" t="inlineStr">
        <is>
          <t xml:space="preserve">Варфоломеев Максим Сергеевич </t>
        </is>
      </c>
      <c r="J257" s="9" t="inlineStr">
        <is>
          <t>доцент</t>
        </is>
      </c>
      <c r="K257" s="9" t="n"/>
      <c r="L257" s="9" t="n"/>
      <c r="M257" s="12">
        <f>SUMIFS($E$2:$E$1130,$A$2:$A$1130,"осень",$I$2:$I$1130,I257)</f>
        <v/>
      </c>
      <c r="N257" s="13">
        <f>SUMIFS($E$2:$E$1130,$A$2:$A$1130,"весна",$I$2:$I$1130,I257)</f>
        <v/>
      </c>
      <c r="O257" s="14">
        <f>M257+N257</f>
        <v/>
      </c>
      <c r="P257" s="15">
        <f>O257/$P$1</f>
        <v/>
      </c>
    </row>
    <row r="258" ht="15.75" customHeight="1" s="2">
      <c r="A258" s="117" t="inlineStr">
        <is>
          <t>осень</t>
        </is>
      </c>
      <c r="B258" s="9" t="inlineStr">
        <is>
          <t>Специальные методы литья</t>
        </is>
      </c>
      <c r="C258" s="9" t="inlineStr">
        <is>
          <t>ЛК</t>
        </is>
      </c>
      <c r="D258" s="9" t="inlineStr">
        <is>
          <t>Т11О-102М-20</t>
        </is>
      </c>
      <c r="E258" s="10" t="n">
        <v>30</v>
      </c>
      <c r="F258" s="9" t="inlineStr">
        <is>
          <t>06201</t>
        </is>
      </c>
      <c r="G258" s="10" t="n">
        <v>30</v>
      </c>
      <c r="H258" s="9" t="inlineStr">
        <is>
          <t xml:space="preserve">82020     </t>
        </is>
      </c>
      <c r="I258" s="9" t="inlineStr">
        <is>
          <t xml:space="preserve">Варфоломеев Максим Сергеевич </t>
        </is>
      </c>
      <c r="J258" s="9" t="inlineStr">
        <is>
          <t>доцент</t>
        </is>
      </c>
      <c r="K258" s="9" t="n"/>
      <c r="L258" s="9" t="n"/>
      <c r="M258" s="12">
        <f>SUMIFS($E$2:$E$1130,$A$2:$A$1130,"осень",$I$2:$I$1130,I258)</f>
        <v/>
      </c>
      <c r="N258" s="13">
        <f>SUMIFS($E$2:$E$1130,$A$2:$A$1130,"весна",$I$2:$I$1130,I258)</f>
        <v/>
      </c>
      <c r="O258" s="14">
        <f>M258+N258</f>
        <v/>
      </c>
      <c r="P258" s="15">
        <f>O258/$P$1</f>
        <v/>
      </c>
    </row>
    <row r="259" ht="15.75" customHeight="1" s="2">
      <c r="A259" s="117" t="inlineStr">
        <is>
          <t>осень</t>
        </is>
      </c>
      <c r="B259" s="9" t="inlineStr">
        <is>
          <t>Специальные методы литья</t>
        </is>
      </c>
      <c r="C259" s="9" t="inlineStr">
        <is>
          <t>ПЗ</t>
        </is>
      </c>
      <c r="D259" s="9" t="inlineStr">
        <is>
          <t>Т11О-102М-20</t>
        </is>
      </c>
      <c r="E259" s="10" t="n">
        <v>34</v>
      </c>
      <c r="F259" s="9" t="inlineStr">
        <is>
          <t>06201</t>
        </is>
      </c>
      <c r="G259" s="10" t="n">
        <v>34</v>
      </c>
      <c r="H259" s="9" t="inlineStr">
        <is>
          <t xml:space="preserve">82020     </t>
        </is>
      </c>
      <c r="I259" s="9" t="inlineStr">
        <is>
          <t xml:space="preserve">Варфоломеев Максим Сергеевич </t>
        </is>
      </c>
      <c r="J259" s="9" t="inlineStr">
        <is>
          <t>доцент</t>
        </is>
      </c>
      <c r="K259" s="9" t="n"/>
      <c r="L259" s="9" t="n"/>
      <c r="M259" s="12">
        <f>SUMIFS($E$2:$E$1130,$A$2:$A$1130,"осень",$I$2:$I$1130,I259)</f>
        <v/>
      </c>
      <c r="N259" s="13">
        <f>SUMIFS($E$2:$E$1130,$A$2:$A$1130,"весна",$I$2:$I$1130,I259)</f>
        <v/>
      </c>
      <c r="O259" s="14">
        <f>M259+N259</f>
        <v/>
      </c>
      <c r="P259" s="15">
        <f>O259/$P$1</f>
        <v/>
      </c>
    </row>
    <row r="260" ht="15.75" customHeight="1" s="2">
      <c r="A260" s="117" t="inlineStr">
        <is>
          <t>осень</t>
        </is>
      </c>
      <c r="B260" s="9" t="inlineStr">
        <is>
          <t>Специальные методы литья</t>
        </is>
      </c>
      <c r="C260" s="9" t="inlineStr">
        <is>
          <t>ЛР</t>
        </is>
      </c>
      <c r="D260" s="9" t="inlineStr">
        <is>
          <t>Т11О-102М-20</t>
        </is>
      </c>
      <c r="E260" s="10" t="n">
        <v>16</v>
      </c>
      <c r="F260" s="9" t="inlineStr">
        <is>
          <t>06201</t>
        </is>
      </c>
      <c r="G260" s="10" t="n">
        <v>16</v>
      </c>
      <c r="H260" s="9" t="inlineStr">
        <is>
          <t xml:space="preserve">82020     </t>
        </is>
      </c>
      <c r="I260" s="9" t="inlineStr">
        <is>
          <t xml:space="preserve">Варфоломеев Максим Сергеевич </t>
        </is>
      </c>
      <c r="J260" s="9" t="inlineStr">
        <is>
          <t>доцент</t>
        </is>
      </c>
      <c r="K260" s="9" t="n"/>
      <c r="L260" s="9" t="n"/>
      <c r="M260" s="12">
        <f>SUMIFS($E$2:$E$1130,$A$2:$A$1130,"осень",$I$2:$I$1130,I260)</f>
        <v/>
      </c>
      <c r="N260" s="13">
        <f>SUMIFS($E$2:$E$1130,$A$2:$A$1130,"весна",$I$2:$I$1130,I260)</f>
        <v/>
      </c>
      <c r="O260" s="14">
        <f>M260+N260</f>
        <v/>
      </c>
      <c r="P260" s="15">
        <f>O260/$P$1</f>
        <v/>
      </c>
    </row>
    <row r="261" ht="15.75" customHeight="1" s="2">
      <c r="A261" s="117" t="inlineStr">
        <is>
          <t>осень</t>
        </is>
      </c>
      <c r="B261" s="9" t="inlineStr">
        <is>
          <t>Специальные методы литья</t>
        </is>
      </c>
      <c r="C261" s="9" t="inlineStr">
        <is>
          <t>Экзамен</t>
        </is>
      </c>
      <c r="D261" s="9" t="inlineStr">
        <is>
          <t>Т11О-102М-20</t>
        </is>
      </c>
      <c r="E261" s="10" t="n">
        <v>3</v>
      </c>
      <c r="F261" s="9" t="inlineStr">
        <is>
          <t>06201</t>
        </is>
      </c>
      <c r="G261" s="11" t="n">
        <v>0</v>
      </c>
      <c r="H261" s="9" t="inlineStr">
        <is>
          <t xml:space="preserve">82020     </t>
        </is>
      </c>
      <c r="I261" s="9" t="inlineStr">
        <is>
          <t xml:space="preserve">Варфоломеев Максим Сергеевич </t>
        </is>
      </c>
      <c r="J261" s="9" t="inlineStr">
        <is>
          <t>доцент</t>
        </is>
      </c>
      <c r="K261" s="9" t="n"/>
      <c r="L261" s="9" t="n"/>
      <c r="M261" s="12">
        <f>SUMIFS($E$2:$E$1130,$A$2:$A$1130,"осень",$I$2:$I$1130,I261)</f>
        <v/>
      </c>
      <c r="N261" s="13">
        <f>SUMIFS($E$2:$E$1130,$A$2:$A$1130,"весна",$I$2:$I$1130,I261)</f>
        <v/>
      </c>
      <c r="O261" s="14">
        <f>M261+N261</f>
        <v/>
      </c>
      <c r="P261" s="15">
        <f>O261/$P$1</f>
        <v/>
      </c>
    </row>
    <row r="262" ht="15.75" customHeight="1" s="2">
      <c r="A262" s="117" t="inlineStr">
        <is>
          <t>осень</t>
        </is>
      </c>
      <c r="B262" s="9" t="inlineStr">
        <is>
          <t>Специальные методы литья</t>
        </is>
      </c>
      <c r="C262" s="9" t="inlineStr">
        <is>
          <t>Консультация</t>
        </is>
      </c>
      <c r="D262" s="9" t="inlineStr">
        <is>
          <t>Т11О-102М-20</t>
        </is>
      </c>
      <c r="E262" s="10" t="n">
        <v>4</v>
      </c>
      <c r="F262" s="9" t="inlineStr">
        <is>
          <t>06201</t>
        </is>
      </c>
      <c r="G262" s="11" t="n">
        <v>0</v>
      </c>
      <c r="H262" s="9" t="inlineStr">
        <is>
          <t xml:space="preserve">82020     </t>
        </is>
      </c>
      <c r="I262" s="9" t="inlineStr">
        <is>
          <t xml:space="preserve">Варфоломеев Максим Сергеевич </t>
        </is>
      </c>
      <c r="J262" s="9" t="inlineStr">
        <is>
          <t>доцент</t>
        </is>
      </c>
      <c r="K262" s="9" t="n"/>
      <c r="L262" s="9" t="n"/>
      <c r="M262" s="12">
        <f>SUMIFS($E$2:$E$1130,$A$2:$A$1130,"осень",$I$2:$I$1130,I262)</f>
        <v/>
      </c>
      <c r="N262" s="13">
        <f>SUMIFS($E$2:$E$1130,$A$2:$A$1130,"весна",$I$2:$I$1130,I262)</f>
        <v/>
      </c>
      <c r="O262" s="14">
        <f>M262+N262</f>
        <v/>
      </c>
      <c r="P262" s="15">
        <f>O262/$P$1</f>
        <v/>
      </c>
    </row>
    <row r="263" ht="15.75" customHeight="1" s="2">
      <c r="A263" s="117" t="inlineStr">
        <is>
          <t>осень</t>
        </is>
      </c>
      <c r="B263" s="9" t="inlineStr">
        <is>
          <t>Методы планирования и обработки результатов эксперимента 2</t>
        </is>
      </c>
      <c r="C263" s="9" t="inlineStr">
        <is>
          <t>ЛК</t>
        </is>
      </c>
      <c r="D263" s="9" t="inlineStr">
        <is>
          <t>Т11О-204М-19</t>
        </is>
      </c>
      <c r="E263" s="10" t="n">
        <v>18</v>
      </c>
      <c r="F263" s="9" t="inlineStr">
        <is>
          <t>04595</t>
        </is>
      </c>
      <c r="G263" s="10" t="n">
        <v>18</v>
      </c>
      <c r="H263" s="9" t="inlineStr">
        <is>
          <t xml:space="preserve">82056     </t>
        </is>
      </c>
      <c r="I263" s="9" t="inlineStr">
        <is>
          <t xml:space="preserve">Никитина Елена Владимировна </t>
        </is>
      </c>
      <c r="J263" s="9" t="n"/>
      <c r="K263" s="9" t="n"/>
      <c r="L263" s="9" t="inlineStr">
        <is>
          <t>пн-пт с 13:00 (509 А)</t>
        </is>
      </c>
      <c r="M263" s="12">
        <f>SUMIFS($E$2:$E$1130,$A$2:$A$1130,"осень",$I$2:$I$1130,I263)</f>
        <v/>
      </c>
      <c r="N263" s="13">
        <f>SUMIFS($E$2:$E$1130,$A$2:$A$1130,"весна",$I$2:$I$1130,I263)</f>
        <v/>
      </c>
      <c r="O263" s="14">
        <f>M263+N263</f>
        <v/>
      </c>
      <c r="P263" s="15">
        <f>O263/$P$1</f>
        <v/>
      </c>
    </row>
    <row r="264" ht="15.75" customHeight="1" s="2">
      <c r="A264" s="117" t="inlineStr">
        <is>
          <t>осень</t>
        </is>
      </c>
      <c r="B264" s="9" t="inlineStr">
        <is>
          <t>Методы планирования и обработки результатов эксперимента 2</t>
        </is>
      </c>
      <c r="C264" s="9" t="inlineStr">
        <is>
          <t>КР</t>
        </is>
      </c>
      <c r="D264" s="9" t="inlineStr">
        <is>
          <t>Т11О-204М-19</t>
        </is>
      </c>
      <c r="E264" s="10" t="n">
        <v>27</v>
      </c>
      <c r="F264" s="9" t="inlineStr">
        <is>
          <t>04595</t>
        </is>
      </c>
      <c r="G264" s="11" t="n">
        <v>0</v>
      </c>
      <c r="H264" s="9" t="inlineStr">
        <is>
          <t xml:space="preserve">82056     </t>
        </is>
      </c>
      <c r="I264" s="9" t="inlineStr">
        <is>
          <t xml:space="preserve">Никитина Елена Владимировна </t>
        </is>
      </c>
      <c r="J264" s="9" t="n"/>
      <c r="K264" s="9" t="n"/>
      <c r="L264" s="9" t="inlineStr">
        <is>
          <t>пн-пт с 13:00 (509 А)</t>
        </is>
      </c>
      <c r="M264" s="12">
        <f>SUMIFS($E$2:$E$1130,$A$2:$A$1130,"осень",$I$2:$I$1130,I264)</f>
        <v/>
      </c>
      <c r="N264" s="13">
        <f>SUMIFS($E$2:$E$1130,$A$2:$A$1130,"весна",$I$2:$I$1130,I264)</f>
        <v/>
      </c>
      <c r="O264" s="14">
        <f>M264+N264</f>
        <v/>
      </c>
      <c r="P264" s="15">
        <f>O264/$P$1</f>
        <v/>
      </c>
    </row>
    <row r="265" ht="15.75" customHeight="1" s="2">
      <c r="A265" s="117" t="inlineStr">
        <is>
          <t>осень</t>
        </is>
      </c>
      <c r="B265" s="9" t="inlineStr">
        <is>
          <t>Методы планирования и обработки результатов эксперимента 2</t>
        </is>
      </c>
      <c r="C265" s="9" t="inlineStr">
        <is>
          <t>Зачет с оценкой</t>
        </is>
      </c>
      <c r="D265" s="9" t="inlineStr">
        <is>
          <t>Т11О-204М-19</t>
        </is>
      </c>
      <c r="E265" s="10" t="n">
        <v>3</v>
      </c>
      <c r="F265" s="9" t="inlineStr">
        <is>
          <t>04595</t>
        </is>
      </c>
      <c r="G265" s="11" t="n">
        <v>0</v>
      </c>
      <c r="H265" s="9" t="inlineStr">
        <is>
          <t xml:space="preserve">82056     </t>
        </is>
      </c>
      <c r="I265" s="9" t="inlineStr">
        <is>
          <t xml:space="preserve">Никитина Елена Владимировна </t>
        </is>
      </c>
      <c r="J265" s="9" t="n"/>
      <c r="K265" s="9" t="n"/>
      <c r="L265" s="9" t="inlineStr">
        <is>
          <t>пн-пт с 13:00 (509 А)</t>
        </is>
      </c>
      <c r="M265" s="12">
        <f>SUMIFS($E$2:$E$1130,$A$2:$A$1130,"осень",$I$2:$I$1130,I265)</f>
        <v/>
      </c>
      <c r="N265" s="13">
        <f>SUMIFS($E$2:$E$1130,$A$2:$A$1130,"весна",$I$2:$I$1130,I265)</f>
        <v/>
      </c>
      <c r="O265" s="14">
        <f>M265+N265</f>
        <v/>
      </c>
      <c r="P265" s="15">
        <f>O265/$P$1</f>
        <v/>
      </c>
    </row>
    <row r="266" ht="15.75" customHeight="1" s="2">
      <c r="A266" s="117" t="inlineStr">
        <is>
          <t>осень</t>
        </is>
      </c>
      <c r="B266" s="9" t="inlineStr">
        <is>
          <t>Методы планирования и обработки результатов эксперимента 2</t>
        </is>
      </c>
      <c r="C266" s="9" t="inlineStr">
        <is>
          <t>ПЗ</t>
        </is>
      </c>
      <c r="D266" s="9" t="inlineStr">
        <is>
          <t>Т11О-204М-19</t>
        </is>
      </c>
      <c r="E266" s="10" t="n">
        <v>58</v>
      </c>
      <c r="F266" s="9" t="inlineStr">
        <is>
          <t>04595</t>
        </is>
      </c>
      <c r="G266" s="10" t="n">
        <v>58</v>
      </c>
      <c r="H266" s="9" t="inlineStr">
        <is>
          <t xml:space="preserve">82056     </t>
        </is>
      </c>
      <c r="I266" s="9" t="inlineStr">
        <is>
          <t xml:space="preserve">Никитина Елена Владимировна </t>
        </is>
      </c>
      <c r="J266" s="9" t="n"/>
      <c r="K266" s="9" t="n"/>
      <c r="L266" s="9" t="inlineStr">
        <is>
          <t>пн-пт с 13:00 (509 А)</t>
        </is>
      </c>
      <c r="M266" s="12">
        <f>SUMIFS($E$2:$E$1130,$A$2:$A$1130,"осень",$I$2:$I$1130,I266)</f>
        <v/>
      </c>
      <c r="N266" s="13">
        <f>SUMIFS($E$2:$E$1130,$A$2:$A$1130,"весна",$I$2:$I$1130,I266)</f>
        <v/>
      </c>
      <c r="O266" s="14">
        <f>M266+N266</f>
        <v/>
      </c>
      <c r="P266" s="15">
        <f>O266/$P$1</f>
        <v/>
      </c>
    </row>
    <row r="267" ht="15.75" customHeight="1" s="2">
      <c r="A267" s="117" t="inlineStr">
        <is>
          <t>осень</t>
        </is>
      </c>
      <c r="B267" s="9" t="inlineStr">
        <is>
          <t>Методы планирования и обработки результатов эксперимента 2</t>
        </is>
      </c>
      <c r="C267" s="9" t="inlineStr">
        <is>
          <t>Консультация</t>
        </is>
      </c>
      <c r="D267" s="9" t="inlineStr">
        <is>
          <t>Т11О-204М-19</t>
        </is>
      </c>
      <c r="E267" s="10" t="n">
        <v>1</v>
      </c>
      <c r="F267" s="9" t="inlineStr">
        <is>
          <t>04595</t>
        </is>
      </c>
      <c r="G267" s="11" t="n">
        <v>0</v>
      </c>
      <c r="H267" s="9" t="inlineStr">
        <is>
          <t xml:space="preserve">82056     </t>
        </is>
      </c>
      <c r="I267" s="9" t="inlineStr">
        <is>
          <t xml:space="preserve">Никитина Елена Владимировна </t>
        </is>
      </c>
      <c r="J267" s="9" t="n"/>
      <c r="K267" s="9" t="n"/>
      <c r="L267" s="9" t="inlineStr">
        <is>
          <t>пн-пт с 13:00 (509 А)</t>
        </is>
      </c>
      <c r="M267" s="12">
        <f>SUMIFS($E$2:$E$1130,$A$2:$A$1130,"осень",$I$2:$I$1130,I267)</f>
        <v/>
      </c>
      <c r="N267" s="13">
        <f>SUMIFS($E$2:$E$1130,$A$2:$A$1130,"весна",$I$2:$I$1130,I267)</f>
        <v/>
      </c>
      <c r="O267" s="14">
        <f>M267+N267</f>
        <v/>
      </c>
      <c r="P267" s="15">
        <f>O267/$P$1</f>
        <v/>
      </c>
    </row>
    <row r="268" ht="15.75" customHeight="1" s="2">
      <c r="A268" s="117" t="inlineStr">
        <is>
          <t>осень</t>
        </is>
      </c>
      <c r="B268" s="9" t="inlineStr">
        <is>
          <t>Техника измерений</t>
        </is>
      </c>
      <c r="C268" s="9" t="inlineStr">
        <is>
          <t>ЛК</t>
        </is>
      </c>
      <c r="D268" s="9" t="inlineStr">
        <is>
          <t>Т11О-104М-20</t>
        </is>
      </c>
      <c r="E268" s="10" t="n">
        <v>8</v>
      </c>
      <c r="F268" s="9" t="inlineStr">
        <is>
          <t>04595</t>
        </is>
      </c>
      <c r="G268" s="10" t="n">
        <v>8</v>
      </c>
      <c r="H268" s="9" t="inlineStr">
        <is>
          <t xml:space="preserve">82023     </t>
        </is>
      </c>
      <c r="I268" s="9" t="inlineStr">
        <is>
          <t xml:space="preserve">Федоров Сергей Александрович </t>
        </is>
      </c>
      <c r="J268" s="9" t="n"/>
      <c r="K268" s="9" t="n"/>
      <c r="L268" s="9" t="inlineStr">
        <is>
          <t>пн-пт по 2 пары с 14-45</t>
        </is>
      </c>
      <c r="M268" s="12">
        <f>SUMIFS($E$2:$E$1130,$A$2:$A$1130,"осень",$I$2:$I$1130,I268)</f>
        <v/>
      </c>
      <c r="N268" s="13">
        <f>SUMIFS($E$2:$E$1130,$A$2:$A$1130,"весна",$I$2:$I$1130,I268)</f>
        <v/>
      </c>
      <c r="O268" s="14">
        <f>M268+N268</f>
        <v/>
      </c>
      <c r="P268" s="15">
        <f>O268/$P$1</f>
        <v/>
      </c>
    </row>
    <row r="269" ht="15.75" customHeight="1" s="2">
      <c r="A269" s="117" t="inlineStr">
        <is>
          <t>осень</t>
        </is>
      </c>
      <c r="B269" s="9" t="inlineStr">
        <is>
          <t>Техника измерений</t>
        </is>
      </c>
      <c r="C269" s="9" t="inlineStr">
        <is>
          <t>ПЗ</t>
        </is>
      </c>
      <c r="D269" s="9" t="inlineStr">
        <is>
          <t>Т11О-104М-20</t>
        </is>
      </c>
      <c r="E269" s="10" t="n">
        <v>28</v>
      </c>
      <c r="F269" s="9" t="inlineStr">
        <is>
          <t>04595</t>
        </is>
      </c>
      <c r="G269" s="10" t="n">
        <v>28</v>
      </c>
      <c r="H269" s="9" t="inlineStr">
        <is>
          <t xml:space="preserve">82023     </t>
        </is>
      </c>
      <c r="I269" s="9" t="inlineStr">
        <is>
          <t xml:space="preserve">Федоров Сергей Александрович </t>
        </is>
      </c>
      <c r="J269" s="9" t="n"/>
      <c r="K269" s="9" t="n"/>
      <c r="L269" s="9" t="inlineStr">
        <is>
          <t>пн-пт по 2 пары с 14-45</t>
        </is>
      </c>
      <c r="M269" s="12">
        <f>SUMIFS($E$2:$E$1130,$A$2:$A$1130,"осень",$I$2:$I$1130,I269)</f>
        <v/>
      </c>
      <c r="N269" s="13">
        <f>SUMIFS($E$2:$E$1130,$A$2:$A$1130,"весна",$I$2:$I$1130,I269)</f>
        <v/>
      </c>
      <c r="O269" s="14">
        <f>M269+N269</f>
        <v/>
      </c>
      <c r="P269" s="15">
        <f>O269/$P$1</f>
        <v/>
      </c>
    </row>
    <row r="270" ht="15.75" customHeight="1" s="2">
      <c r="A270" s="117" t="inlineStr">
        <is>
          <t>осень</t>
        </is>
      </c>
      <c r="B270" s="9" t="inlineStr">
        <is>
          <t>Техника измерений</t>
        </is>
      </c>
      <c r="C270" s="9" t="inlineStr">
        <is>
          <t>Экзамен</t>
        </is>
      </c>
      <c r="D270" s="9" t="inlineStr">
        <is>
          <t>Т11О-104М-20</t>
        </is>
      </c>
      <c r="E270" s="10" t="n">
        <v>3</v>
      </c>
      <c r="F270" s="9" t="inlineStr">
        <is>
          <t>04595</t>
        </is>
      </c>
      <c r="G270" s="11" t="n">
        <v>0</v>
      </c>
      <c r="H270" s="9" t="inlineStr">
        <is>
          <t xml:space="preserve">82023     </t>
        </is>
      </c>
      <c r="I270" s="9" t="inlineStr">
        <is>
          <t xml:space="preserve">Федоров Сергей Александрович </t>
        </is>
      </c>
      <c r="J270" s="9" t="n"/>
      <c r="K270" s="9" t="n"/>
      <c r="L270" s="9" t="inlineStr">
        <is>
          <t>пн-пт по 2 пары с 14-45</t>
        </is>
      </c>
      <c r="M270" s="12">
        <f>SUMIFS($E$2:$E$1130,$A$2:$A$1130,"осень",$I$2:$I$1130,I270)</f>
        <v/>
      </c>
      <c r="N270" s="13">
        <f>SUMIFS($E$2:$E$1130,$A$2:$A$1130,"весна",$I$2:$I$1130,I270)</f>
        <v/>
      </c>
      <c r="O270" s="14">
        <f>M270+N270</f>
        <v/>
      </c>
      <c r="P270" s="15">
        <f>O270/$P$1</f>
        <v/>
      </c>
    </row>
    <row r="271" ht="15.75" customHeight="1" s="2">
      <c r="A271" s="117" t="inlineStr">
        <is>
          <t>осень</t>
        </is>
      </c>
      <c r="B271" s="9" t="inlineStr">
        <is>
          <t>Техника измерений</t>
        </is>
      </c>
      <c r="C271" s="9" t="inlineStr">
        <is>
          <t>Консультация</t>
        </is>
      </c>
      <c r="D271" s="9" t="inlineStr">
        <is>
          <t>Т11О-104М-20</t>
        </is>
      </c>
      <c r="E271" s="10" t="n">
        <v>2</v>
      </c>
      <c r="F271" s="9" t="inlineStr">
        <is>
          <t>04595</t>
        </is>
      </c>
      <c r="G271" s="11" t="n">
        <v>0</v>
      </c>
      <c r="H271" s="9" t="inlineStr">
        <is>
          <t xml:space="preserve">82023     </t>
        </is>
      </c>
      <c r="I271" s="9" t="inlineStr">
        <is>
          <t xml:space="preserve">Федоров Сергей Александрович </t>
        </is>
      </c>
      <c r="J271" s="9" t="n"/>
      <c r="K271" s="9" t="n"/>
      <c r="L271" s="9" t="inlineStr">
        <is>
          <t>пн-пт по 2 пары с 14-45</t>
        </is>
      </c>
      <c r="M271" s="12">
        <f>SUMIFS($E$2:$E$1130,$A$2:$A$1130,"осень",$I$2:$I$1130,I271)</f>
        <v/>
      </c>
      <c r="N271" s="13">
        <f>SUMIFS($E$2:$E$1130,$A$2:$A$1130,"весна",$I$2:$I$1130,I271)</f>
        <v/>
      </c>
      <c r="O271" s="14">
        <f>M271+N271</f>
        <v/>
      </c>
      <c r="P271" s="15">
        <f>O271/$P$1</f>
        <v/>
      </c>
    </row>
    <row r="272" ht="15.75" customHeight="1" s="2">
      <c r="A272" s="117" t="inlineStr">
        <is>
          <t>осень</t>
        </is>
      </c>
      <c r="B272" s="9" t="inlineStr">
        <is>
          <t>Материалы сварных и паянных конструкций, проблемы свариваемости и паяемости</t>
        </is>
      </c>
      <c r="C272" s="9" t="inlineStr">
        <is>
          <t>ЛК</t>
        </is>
      </c>
      <c r="D272" s="9" t="inlineStr">
        <is>
          <t>Т11О-104М-20</t>
        </is>
      </c>
      <c r="E272" s="10" t="n">
        <v>12</v>
      </c>
      <c r="F272" s="9" t="inlineStr">
        <is>
          <t>04595</t>
        </is>
      </c>
      <c r="G272" s="10" t="n">
        <v>12</v>
      </c>
      <c r="H272" s="9" t="inlineStr">
        <is>
          <t xml:space="preserve">87438     </t>
        </is>
      </c>
      <c r="I272" s="9" t="inlineStr">
        <is>
          <t xml:space="preserve">Конкевич Валентин Юрьевич </t>
        </is>
      </c>
      <c r="J272" s="9" t="n"/>
      <c r="K272" s="9" t="n"/>
      <c r="L272" s="9" t="n"/>
      <c r="M272" s="12">
        <f>SUMIFS($E$2:$E$1130,$A$2:$A$1130,"осень",$I$2:$I$1130,I272)</f>
        <v/>
      </c>
      <c r="N272" s="13">
        <f>SUMIFS($E$2:$E$1130,$A$2:$A$1130,"весна",$I$2:$I$1130,I272)</f>
        <v/>
      </c>
      <c r="O272" s="14">
        <f>M272+N272</f>
        <v/>
      </c>
      <c r="P272" s="15">
        <f>O272/$P$1</f>
        <v/>
      </c>
    </row>
    <row r="273" ht="15.75" customHeight="1" s="2">
      <c r="A273" s="117" t="inlineStr">
        <is>
          <t>осень</t>
        </is>
      </c>
      <c r="B273" s="9" t="inlineStr">
        <is>
          <t>Материалы сварных и паянных конструкций, проблемы свариваемости и паяемости</t>
        </is>
      </c>
      <c r="C273" s="9" t="inlineStr">
        <is>
          <t>ПЗ</t>
        </is>
      </c>
      <c r="D273" s="9" t="inlineStr">
        <is>
          <t>Т11О-104М-20</t>
        </is>
      </c>
      <c r="E273" s="10" t="n">
        <v>44</v>
      </c>
      <c r="F273" s="9" t="inlineStr">
        <is>
          <t>04595</t>
        </is>
      </c>
      <c r="G273" s="10" t="n">
        <v>44</v>
      </c>
      <c r="H273" s="9" t="inlineStr">
        <is>
          <t xml:space="preserve">87438     </t>
        </is>
      </c>
      <c r="I273" s="9" t="inlineStr">
        <is>
          <t xml:space="preserve">Конкевич Валентин Юрьевич </t>
        </is>
      </c>
      <c r="J273" s="9" t="n"/>
      <c r="K273" s="9" t="n"/>
      <c r="L273" s="9" t="n"/>
      <c r="M273" s="12">
        <f>SUMIFS($E$2:$E$1130,$A$2:$A$1130,"осень",$I$2:$I$1130,I273)</f>
        <v/>
      </c>
      <c r="N273" s="13">
        <f>SUMIFS($E$2:$E$1130,$A$2:$A$1130,"весна",$I$2:$I$1130,I273)</f>
        <v/>
      </c>
      <c r="O273" s="14">
        <f>M273+N273</f>
        <v/>
      </c>
      <c r="P273" s="15">
        <f>O273/$P$1</f>
        <v/>
      </c>
    </row>
    <row r="274" ht="15.75" customHeight="1" s="2">
      <c r="A274" s="117" t="inlineStr">
        <is>
          <t>осень</t>
        </is>
      </c>
      <c r="B274" s="9" t="inlineStr">
        <is>
          <t>Материалы сварных и паянных конструкций, проблемы свариваемости и паяемости</t>
        </is>
      </c>
      <c r="C274" s="9" t="inlineStr">
        <is>
          <t>Экзамен</t>
        </is>
      </c>
      <c r="D274" s="9" t="inlineStr">
        <is>
          <t>Т11О-104М-20</t>
        </is>
      </c>
      <c r="E274" s="10" t="n">
        <v>3</v>
      </c>
      <c r="F274" s="9" t="inlineStr">
        <is>
          <t>04595</t>
        </is>
      </c>
      <c r="G274" s="11" t="n">
        <v>0</v>
      </c>
      <c r="H274" s="9" t="inlineStr">
        <is>
          <t xml:space="preserve">87438     </t>
        </is>
      </c>
      <c r="I274" s="9" t="inlineStr">
        <is>
          <t xml:space="preserve">Конкевич Валентин Юрьевич </t>
        </is>
      </c>
      <c r="J274" s="9" t="n"/>
      <c r="K274" s="9" t="n"/>
      <c r="L274" s="9" t="n"/>
      <c r="M274" s="12">
        <f>SUMIFS($E$2:$E$1130,$A$2:$A$1130,"осень",$I$2:$I$1130,I274)</f>
        <v/>
      </c>
      <c r="N274" s="13">
        <f>SUMIFS($E$2:$E$1130,$A$2:$A$1130,"весна",$I$2:$I$1130,I274)</f>
        <v/>
      </c>
      <c r="O274" s="14">
        <f>M274+N274</f>
        <v/>
      </c>
      <c r="P274" s="15">
        <f>O274/$P$1</f>
        <v/>
      </c>
    </row>
    <row r="275" ht="15.75" customHeight="1" s="2">
      <c r="A275" s="117" t="inlineStr">
        <is>
          <t>осень</t>
        </is>
      </c>
      <c r="B275" s="9" t="inlineStr">
        <is>
          <t>Материалы сварных и паянных конструкций, проблемы свариваемости и паяемости</t>
        </is>
      </c>
      <c r="C275" s="9" t="inlineStr">
        <is>
          <t>Консультация</t>
        </is>
      </c>
      <c r="D275" s="9" t="inlineStr">
        <is>
          <t>Т11О-104М-20</t>
        </is>
      </c>
      <c r="E275" s="10" t="n">
        <v>3</v>
      </c>
      <c r="F275" s="9" t="inlineStr">
        <is>
          <t>04595</t>
        </is>
      </c>
      <c r="G275" s="11" t="n">
        <v>0</v>
      </c>
      <c r="H275" s="9" t="inlineStr">
        <is>
          <t xml:space="preserve">87438     </t>
        </is>
      </c>
      <c r="I275" s="9" t="inlineStr">
        <is>
          <t xml:space="preserve">Конкевич Валентин Юрьевич </t>
        </is>
      </c>
      <c r="J275" s="9" t="n"/>
      <c r="K275" s="9" t="n"/>
      <c r="L275" s="9" t="n"/>
      <c r="M275" s="12">
        <f>SUMIFS($E$2:$E$1130,$A$2:$A$1130,"осень",$I$2:$I$1130,I275)</f>
        <v/>
      </c>
      <c r="N275" s="13">
        <f>SUMIFS($E$2:$E$1130,$A$2:$A$1130,"весна",$I$2:$I$1130,I275)</f>
        <v/>
      </c>
      <c r="O275" s="14">
        <f>M275+N275</f>
        <v/>
      </c>
      <c r="P275" s="15">
        <f>O275/$P$1</f>
        <v/>
      </c>
    </row>
    <row r="276" ht="15.75" customHeight="1" s="2">
      <c r="A276" s="117" t="inlineStr">
        <is>
          <t>осень</t>
        </is>
      </c>
      <c r="B276" s="9" t="inlineStr">
        <is>
          <t>Основы кристаллографии</t>
        </is>
      </c>
      <c r="C276" s="9" t="inlineStr">
        <is>
          <t>ЛК</t>
        </is>
      </c>
      <c r="D276" s="9" t="inlineStr">
        <is>
          <t>Т11О-103М-20</t>
        </is>
      </c>
      <c r="E276" s="10" t="n">
        <v>18</v>
      </c>
      <c r="F276" s="9" t="inlineStr">
        <is>
          <t>06203</t>
        </is>
      </c>
      <c r="G276" s="10" t="n">
        <v>18</v>
      </c>
      <c r="H276" s="9" t="inlineStr">
        <is>
          <t xml:space="preserve">93685     </t>
        </is>
      </c>
      <c r="I276" s="9" t="inlineStr">
        <is>
          <t xml:space="preserve">Банишев Александр Федорович </t>
        </is>
      </c>
      <c r="J276" s="9" t="n"/>
      <c r="K276" s="9" t="n"/>
      <c r="L276" s="9" t="inlineStr">
        <is>
          <t>Понедельник</t>
        </is>
      </c>
      <c r="M276" s="12">
        <f>SUMIFS($E$2:$E$1130,$A$2:$A$1130,"осень",$I$2:$I$1130,I276)</f>
        <v/>
      </c>
      <c r="N276" s="13">
        <f>SUMIFS($E$2:$E$1130,$A$2:$A$1130,"весна",$I$2:$I$1130,I276)</f>
        <v/>
      </c>
      <c r="O276" s="14">
        <f>M276+N276</f>
        <v/>
      </c>
      <c r="P276" s="15">
        <f>O276/$P$1</f>
        <v/>
      </c>
    </row>
    <row r="277" ht="15.75" customHeight="1" s="2">
      <c r="A277" s="117" t="inlineStr">
        <is>
          <t>осень</t>
        </is>
      </c>
      <c r="B277" s="9" t="inlineStr">
        <is>
          <t>Основы кристаллографии</t>
        </is>
      </c>
      <c r="C277" s="9" t="inlineStr">
        <is>
          <t>ПЗ</t>
        </is>
      </c>
      <c r="D277" s="9" t="inlineStr">
        <is>
          <t>Т11О-103М-20</t>
        </is>
      </c>
      <c r="E277" s="10" t="n">
        <v>32</v>
      </c>
      <c r="F277" s="9" t="inlineStr">
        <is>
          <t>06203</t>
        </is>
      </c>
      <c r="G277" s="10" t="n">
        <v>32</v>
      </c>
      <c r="H277" s="9" t="inlineStr">
        <is>
          <t xml:space="preserve">93685     </t>
        </is>
      </c>
      <c r="I277" s="9" t="inlineStr">
        <is>
          <t xml:space="preserve">Банишев Александр Федорович </t>
        </is>
      </c>
      <c r="J277" s="9" t="n"/>
      <c r="K277" s="9" t="n"/>
      <c r="L277" s="9" t="inlineStr">
        <is>
          <t>Понедельник</t>
        </is>
      </c>
      <c r="M277" s="12">
        <f>SUMIFS($E$2:$E$1130,$A$2:$A$1130,"осень",$I$2:$I$1130,I277)</f>
        <v/>
      </c>
      <c r="N277" s="13">
        <f>SUMIFS($E$2:$E$1130,$A$2:$A$1130,"весна",$I$2:$I$1130,I277)</f>
        <v/>
      </c>
      <c r="O277" s="14">
        <f>M277+N277</f>
        <v/>
      </c>
      <c r="P277" s="15">
        <f>O277/$P$1</f>
        <v/>
      </c>
    </row>
    <row r="278" ht="15.75" customHeight="1" s="2">
      <c r="A278" s="117" t="inlineStr">
        <is>
          <t>осень</t>
        </is>
      </c>
      <c r="B278" s="9" t="inlineStr">
        <is>
          <t>Основы кристаллографии</t>
        </is>
      </c>
      <c r="C278" s="9" t="inlineStr">
        <is>
          <t>Зачет</t>
        </is>
      </c>
      <c r="D278" s="9" t="inlineStr">
        <is>
          <t>Т11О-103М-20</t>
        </is>
      </c>
      <c r="E278" s="10" t="n">
        <v>2</v>
      </c>
      <c r="F278" s="9" t="inlineStr">
        <is>
          <t>06203</t>
        </is>
      </c>
      <c r="G278" s="11" t="n">
        <v>0</v>
      </c>
      <c r="H278" s="9" t="inlineStr">
        <is>
          <t xml:space="preserve">93685     </t>
        </is>
      </c>
      <c r="I278" s="9" t="inlineStr">
        <is>
          <t xml:space="preserve">Банишев Александр Федорович </t>
        </is>
      </c>
      <c r="J278" s="9" t="n"/>
      <c r="K278" s="9" t="n"/>
      <c r="L278" s="9" t="inlineStr">
        <is>
          <t>Понедельник</t>
        </is>
      </c>
      <c r="M278" s="12">
        <f>SUMIFS($E$2:$E$1130,$A$2:$A$1130,"осень",$I$2:$I$1130,I278)</f>
        <v/>
      </c>
      <c r="N278" s="13">
        <f>SUMIFS($E$2:$E$1130,$A$2:$A$1130,"весна",$I$2:$I$1130,I278)</f>
        <v/>
      </c>
      <c r="O278" s="14">
        <f>M278+N278</f>
        <v/>
      </c>
      <c r="P278" s="15">
        <f>O278/$P$1</f>
        <v/>
      </c>
    </row>
    <row r="279" ht="15.75" customHeight="1" s="2">
      <c r="A279" s="117" t="inlineStr">
        <is>
          <t>осень</t>
        </is>
      </c>
      <c r="B279" s="9" t="inlineStr">
        <is>
          <t>Основы кристаллографии</t>
        </is>
      </c>
      <c r="C279" s="9" t="inlineStr">
        <is>
          <t>Консультация</t>
        </is>
      </c>
      <c r="D279" s="9" t="inlineStr">
        <is>
          <t>Т11О-103М-20</t>
        </is>
      </c>
      <c r="E279" s="10" t="n">
        <v>1</v>
      </c>
      <c r="F279" s="9" t="inlineStr">
        <is>
          <t>06203</t>
        </is>
      </c>
      <c r="G279" s="11" t="n">
        <v>0</v>
      </c>
      <c r="H279" s="9" t="inlineStr">
        <is>
          <t xml:space="preserve">93685     </t>
        </is>
      </c>
      <c r="I279" s="9" t="inlineStr">
        <is>
          <t xml:space="preserve">Банишев Александр Федорович </t>
        </is>
      </c>
      <c r="J279" s="9" t="n"/>
      <c r="K279" s="9" t="n"/>
      <c r="L279" s="9" t="inlineStr">
        <is>
          <t>Понедельник</t>
        </is>
      </c>
      <c r="M279" s="12">
        <f>SUMIFS($E$2:$E$1130,$A$2:$A$1130,"осень",$I$2:$I$1130,I279)</f>
        <v/>
      </c>
      <c r="N279" s="13">
        <f>SUMIFS($E$2:$E$1130,$A$2:$A$1130,"весна",$I$2:$I$1130,I279)</f>
        <v/>
      </c>
      <c r="O279" s="14">
        <f>M279+N279</f>
        <v/>
      </c>
      <c r="P279" s="15">
        <f>O279/$P$1</f>
        <v/>
      </c>
    </row>
    <row r="280" ht="15.75" customHeight="1" s="2">
      <c r="A280" s="117" t="inlineStr">
        <is>
          <t>осень</t>
        </is>
      </c>
      <c r="B280" s="9" t="inlineStr">
        <is>
          <t>Моделирование процессов и объектов в порошковой металлургии и нанесении покрытий</t>
        </is>
      </c>
      <c r="C280" s="9" t="inlineStr">
        <is>
          <t>ЛК</t>
        </is>
      </c>
      <c r="D280" s="9" t="inlineStr">
        <is>
          <t>Т11О-103М-20</t>
        </is>
      </c>
      <c r="E280" s="10" t="n">
        <v>16</v>
      </c>
      <c r="F280" s="9" t="inlineStr">
        <is>
          <t>06203</t>
        </is>
      </c>
      <c r="G280" s="10" t="n">
        <v>16</v>
      </c>
      <c r="H280" s="9" t="inlineStr">
        <is>
          <t xml:space="preserve">82026     </t>
        </is>
      </c>
      <c r="I280" s="9" t="inlineStr">
        <is>
          <t xml:space="preserve">Александрова Светлана Сергеевна </t>
        </is>
      </c>
      <c r="J280" s="9" t="inlineStr">
        <is>
          <t>доцент</t>
        </is>
      </c>
      <c r="K280" s="9" t="n"/>
      <c r="L280" s="9" t="inlineStr">
        <is>
          <t>кроме чт и сб (509)</t>
        </is>
      </c>
      <c r="M280" s="12">
        <f>SUMIFS($E$2:$E$1130,$A$2:$A$1130,"осень",$I$2:$I$1130,I280)</f>
        <v/>
      </c>
      <c r="N280" s="13">
        <f>SUMIFS($E$2:$E$1130,$A$2:$A$1130,"весна",$I$2:$I$1130,I280)</f>
        <v/>
      </c>
      <c r="O280" s="14">
        <f>M280+N280</f>
        <v/>
      </c>
      <c r="P280" s="15">
        <f>O280/$P$1</f>
        <v/>
      </c>
    </row>
    <row r="281" ht="15.75" customHeight="1" s="2">
      <c r="A281" s="117" t="inlineStr">
        <is>
          <t>осень</t>
        </is>
      </c>
      <c r="B281" s="9" t="inlineStr">
        <is>
          <t>Моделирование процессов и объектов в порошковой металлургии и нанесении покрытий</t>
        </is>
      </c>
      <c r="C281" s="9" t="inlineStr">
        <is>
          <t>КР</t>
        </is>
      </c>
      <c r="D281" s="9" t="inlineStr">
        <is>
          <t>Т11О-103М-20</t>
        </is>
      </c>
      <c r="E281" s="10" t="n">
        <v>15</v>
      </c>
      <c r="F281" s="9" t="inlineStr">
        <is>
          <t>06203</t>
        </is>
      </c>
      <c r="G281" s="11" t="n">
        <v>0</v>
      </c>
      <c r="H281" s="9" t="inlineStr">
        <is>
          <t xml:space="preserve">82026     </t>
        </is>
      </c>
      <c r="I281" s="9" t="inlineStr">
        <is>
          <t xml:space="preserve">Александрова Светлана Сергеевна </t>
        </is>
      </c>
      <c r="J281" s="9" t="inlineStr">
        <is>
          <t>доцент</t>
        </is>
      </c>
      <c r="K281" s="9" t="n"/>
      <c r="L281" s="9" t="inlineStr">
        <is>
          <t>кроме чт и сб (509)</t>
        </is>
      </c>
      <c r="M281" s="12">
        <f>SUMIFS($E$2:$E$1130,$A$2:$A$1130,"осень",$I$2:$I$1130,I281)</f>
        <v/>
      </c>
      <c r="N281" s="13">
        <f>SUMIFS($E$2:$E$1130,$A$2:$A$1130,"весна",$I$2:$I$1130,I281)</f>
        <v/>
      </c>
      <c r="O281" s="14">
        <f>M281+N281</f>
        <v/>
      </c>
      <c r="P281" s="15">
        <f>O281/$P$1</f>
        <v/>
      </c>
    </row>
    <row r="282" ht="15.75" customHeight="1" s="2">
      <c r="A282" s="117" t="inlineStr">
        <is>
          <t>осень</t>
        </is>
      </c>
      <c r="B282" s="9" t="inlineStr">
        <is>
          <t>Моделирование процессов и объектов в порошковой металлургии и нанесении покрытий</t>
        </is>
      </c>
      <c r="C282" s="9" t="inlineStr">
        <is>
          <t>Зачет с оценкой</t>
        </is>
      </c>
      <c r="D282" s="9" t="inlineStr">
        <is>
          <t>Т11О-103М-20</t>
        </is>
      </c>
      <c r="E282" s="10" t="n">
        <v>2</v>
      </c>
      <c r="F282" s="9" t="inlineStr">
        <is>
          <t>06203</t>
        </is>
      </c>
      <c r="G282" s="11" t="n">
        <v>0</v>
      </c>
      <c r="H282" s="9" t="inlineStr">
        <is>
          <t xml:space="preserve">82026     </t>
        </is>
      </c>
      <c r="I282" s="9" t="inlineStr">
        <is>
          <t xml:space="preserve">Александрова Светлана Сергеевна </t>
        </is>
      </c>
      <c r="J282" s="9" t="inlineStr">
        <is>
          <t>доцент</t>
        </is>
      </c>
      <c r="K282" s="9" t="n"/>
      <c r="L282" s="9" t="inlineStr">
        <is>
          <t>кроме чт и сб (509)</t>
        </is>
      </c>
      <c r="M282" s="12">
        <f>SUMIFS($E$2:$E$1130,$A$2:$A$1130,"осень",$I$2:$I$1130,I282)</f>
        <v/>
      </c>
      <c r="N282" s="13">
        <f>SUMIFS($E$2:$E$1130,$A$2:$A$1130,"весна",$I$2:$I$1130,I282)</f>
        <v/>
      </c>
      <c r="O282" s="14">
        <f>M282+N282</f>
        <v/>
      </c>
      <c r="P282" s="15">
        <f>O282/$P$1</f>
        <v/>
      </c>
    </row>
    <row r="283" ht="15.75" customHeight="1" s="2">
      <c r="A283" s="117" t="inlineStr">
        <is>
          <t>осень</t>
        </is>
      </c>
      <c r="B283" s="9" t="inlineStr">
        <is>
          <t>Моделирование процессов и объектов в порошковой металлургии и нанесении покрытий</t>
        </is>
      </c>
      <c r="C283" s="9" t="inlineStr">
        <is>
          <t>ПЗ</t>
        </is>
      </c>
      <c r="D283" s="9" t="inlineStr">
        <is>
          <t>Т11О-103М-20</t>
        </is>
      </c>
      <c r="E283" s="10" t="n">
        <v>50</v>
      </c>
      <c r="F283" s="9" t="inlineStr">
        <is>
          <t>06203</t>
        </is>
      </c>
      <c r="G283" s="10" t="n">
        <v>50</v>
      </c>
      <c r="H283" s="9" t="inlineStr">
        <is>
          <t xml:space="preserve">82026     </t>
        </is>
      </c>
      <c r="I283" s="9" t="inlineStr">
        <is>
          <t xml:space="preserve">Александрова Светлана Сергеевна </t>
        </is>
      </c>
      <c r="J283" s="9" t="inlineStr">
        <is>
          <t>доцент</t>
        </is>
      </c>
      <c r="K283" s="9" t="n"/>
      <c r="L283" s="9" t="inlineStr">
        <is>
          <t>кроме чт и сб (509)</t>
        </is>
      </c>
      <c r="M283" s="12">
        <f>SUMIFS($E$2:$E$1130,$A$2:$A$1130,"осень",$I$2:$I$1130,I283)</f>
        <v/>
      </c>
      <c r="N283" s="13">
        <f>SUMIFS($E$2:$E$1130,$A$2:$A$1130,"весна",$I$2:$I$1130,I283)</f>
        <v/>
      </c>
      <c r="O283" s="14">
        <f>M283+N283</f>
        <v/>
      </c>
      <c r="P283" s="15">
        <f>O283/$P$1</f>
        <v/>
      </c>
    </row>
    <row r="284" ht="15.75" customHeight="1" s="2">
      <c r="A284" s="117" t="inlineStr">
        <is>
          <t>осень</t>
        </is>
      </c>
      <c r="B284" s="9" t="inlineStr">
        <is>
          <t>Моделирование процессов и объектов в порошковой металлургии и нанесении покрытий</t>
        </is>
      </c>
      <c r="C284" s="9" t="inlineStr">
        <is>
          <t>Консультация</t>
        </is>
      </c>
      <c r="D284" s="9" t="inlineStr">
        <is>
          <t>Т11О-103М-20</t>
        </is>
      </c>
      <c r="E284" s="10" t="n">
        <v>1</v>
      </c>
      <c r="F284" s="9" t="inlineStr">
        <is>
          <t>06203</t>
        </is>
      </c>
      <c r="G284" s="11" t="n">
        <v>0</v>
      </c>
      <c r="H284" s="9" t="inlineStr">
        <is>
          <t xml:space="preserve">82026     </t>
        </is>
      </c>
      <c r="I284" s="9" t="inlineStr">
        <is>
          <t xml:space="preserve">Александрова Светлана Сергеевна </t>
        </is>
      </c>
      <c r="J284" s="9" t="inlineStr">
        <is>
          <t>доцент</t>
        </is>
      </c>
      <c r="K284" s="9" t="n"/>
      <c r="L284" s="9" t="inlineStr">
        <is>
          <t>кроме чт и сб (509)</t>
        </is>
      </c>
      <c r="M284" s="12">
        <f>SUMIFS($E$2:$E$1130,$A$2:$A$1130,"осень",$I$2:$I$1130,I284)</f>
        <v/>
      </c>
      <c r="N284" s="13">
        <f>SUMIFS($E$2:$E$1130,$A$2:$A$1130,"весна",$I$2:$I$1130,I284)</f>
        <v/>
      </c>
      <c r="O284" s="14">
        <f>M284+N284</f>
        <v/>
      </c>
      <c r="P284" s="15">
        <f>O284/$P$1</f>
        <v/>
      </c>
    </row>
    <row r="285" ht="15.75" customHeight="1" s="2">
      <c r="A285" s="117" t="inlineStr">
        <is>
          <t>осень</t>
        </is>
      </c>
      <c r="B285" s="9" t="inlineStr">
        <is>
          <t>Разработка технологических процессов производства материалов с микрокристаллической структурой</t>
        </is>
      </c>
      <c r="C285" s="9" t="inlineStr">
        <is>
          <t>ЛК</t>
        </is>
      </c>
      <c r="D285" s="9" t="inlineStr">
        <is>
          <t>Т11О-203М-19</t>
        </is>
      </c>
      <c r="E285" s="10" t="n">
        <v>18</v>
      </c>
      <c r="F285" s="9" t="inlineStr">
        <is>
          <t>06203</t>
        </is>
      </c>
      <c r="G285" s="10" t="n">
        <v>18</v>
      </c>
      <c r="H285" s="9" t="inlineStr">
        <is>
          <t xml:space="preserve">82066     </t>
        </is>
      </c>
      <c r="I285" s="9" t="inlineStr">
        <is>
          <t xml:space="preserve">Серов Михаил Михайлович </t>
        </is>
      </c>
      <c r="J285" s="9" t="inlineStr">
        <is>
          <t>профессор</t>
        </is>
      </c>
      <c r="K285" s="9" t="n"/>
      <c r="L285" s="9" t="n"/>
      <c r="M285" s="12">
        <f>SUMIFS($E$2:$E$1130,$A$2:$A$1130,"осень",$I$2:$I$1130,I285)</f>
        <v/>
      </c>
      <c r="N285" s="13">
        <f>SUMIFS($E$2:$E$1130,$A$2:$A$1130,"весна",$I$2:$I$1130,I285)</f>
        <v/>
      </c>
      <c r="O285" s="14">
        <f>M285+N285</f>
        <v/>
      </c>
      <c r="P285" s="15">
        <f>O285/$P$1</f>
        <v/>
      </c>
    </row>
    <row r="286" ht="15.75" customHeight="1" s="2">
      <c r="A286" s="117" t="inlineStr">
        <is>
          <t>осень</t>
        </is>
      </c>
      <c r="B286" s="9" t="inlineStr">
        <is>
          <t>Разработка технологических процессов производства материалов с микрокристаллической структурой</t>
        </is>
      </c>
      <c r="C286" s="9" t="inlineStr">
        <is>
          <t>КР</t>
        </is>
      </c>
      <c r="D286" s="9" t="inlineStr">
        <is>
          <t>Т11О-203М-19</t>
        </is>
      </c>
      <c r="E286" s="10" t="n">
        <v>21</v>
      </c>
      <c r="F286" s="9" t="inlineStr">
        <is>
          <t>06203</t>
        </is>
      </c>
      <c r="G286" s="11" t="n">
        <v>0</v>
      </c>
      <c r="H286" s="9" t="inlineStr">
        <is>
          <t xml:space="preserve">82066     </t>
        </is>
      </c>
      <c r="I286" s="9" t="inlineStr">
        <is>
          <t xml:space="preserve">Серов Михаил Михайлович </t>
        </is>
      </c>
      <c r="J286" s="9" t="inlineStr">
        <is>
          <t>профессор</t>
        </is>
      </c>
      <c r="K286" s="9" t="n"/>
      <c r="L286" s="9" t="n"/>
      <c r="M286" s="12">
        <f>SUMIFS($E$2:$E$1130,$A$2:$A$1130,"осень",$I$2:$I$1130,I286)</f>
        <v/>
      </c>
      <c r="N286" s="13">
        <f>SUMIFS($E$2:$E$1130,$A$2:$A$1130,"весна",$I$2:$I$1130,I286)</f>
        <v/>
      </c>
      <c r="O286" s="14">
        <f>M286+N286</f>
        <v/>
      </c>
      <c r="P286" s="15">
        <f>O286/$P$1</f>
        <v/>
      </c>
    </row>
    <row r="287" ht="15.75" customHeight="1" s="2">
      <c r="A287" s="117" t="inlineStr">
        <is>
          <t>осень</t>
        </is>
      </c>
      <c r="B287" s="9" t="inlineStr">
        <is>
          <t>Разработка технологических процессов производства материалов с микрокристаллической структурой</t>
        </is>
      </c>
      <c r="C287" s="9" t="inlineStr">
        <is>
          <t>ПЗ</t>
        </is>
      </c>
      <c r="D287" s="9" t="inlineStr">
        <is>
          <t>Т11О-203М-19</t>
        </is>
      </c>
      <c r="E287" s="10" t="n">
        <v>44</v>
      </c>
      <c r="F287" s="9" t="inlineStr">
        <is>
          <t>06203</t>
        </is>
      </c>
      <c r="G287" s="10" t="n">
        <v>44</v>
      </c>
      <c r="H287" s="9" t="inlineStr">
        <is>
          <t xml:space="preserve">82066     </t>
        </is>
      </c>
      <c r="I287" s="9" t="inlineStr">
        <is>
          <t xml:space="preserve">Серов Михаил Михайлович </t>
        </is>
      </c>
      <c r="J287" s="9" t="inlineStr">
        <is>
          <t>профессор</t>
        </is>
      </c>
      <c r="K287" s="9" t="n"/>
      <c r="L287" s="9" t="n"/>
      <c r="M287" s="12">
        <f>SUMIFS($E$2:$E$1130,$A$2:$A$1130,"осень",$I$2:$I$1130,I287)</f>
        <v/>
      </c>
      <c r="N287" s="13">
        <f>SUMIFS($E$2:$E$1130,$A$2:$A$1130,"весна",$I$2:$I$1130,I287)</f>
        <v/>
      </c>
      <c r="O287" s="14">
        <f>M287+N287</f>
        <v/>
      </c>
      <c r="P287" s="15">
        <f>O287/$P$1</f>
        <v/>
      </c>
    </row>
    <row r="288" ht="15.75" customHeight="1" s="2">
      <c r="A288" s="117" t="inlineStr">
        <is>
          <t>осень</t>
        </is>
      </c>
      <c r="B288" s="9" t="inlineStr">
        <is>
          <t>Разработка технологических процессов производства материалов с микрокристаллической структурой</t>
        </is>
      </c>
      <c r="C288" s="9" t="inlineStr">
        <is>
          <t>ЛР</t>
        </is>
      </c>
      <c r="D288" s="9" t="inlineStr">
        <is>
          <t>Т11О-203М-19</t>
        </is>
      </c>
      <c r="E288" s="10" t="n">
        <v>4</v>
      </c>
      <c r="F288" s="9" t="inlineStr">
        <is>
          <t>06203</t>
        </is>
      </c>
      <c r="G288" s="10" t="n">
        <v>4</v>
      </c>
      <c r="H288" s="9" t="inlineStr">
        <is>
          <t xml:space="preserve">82066     </t>
        </is>
      </c>
      <c r="I288" s="9" t="inlineStr">
        <is>
          <t xml:space="preserve">Серов Михаил Михайлович </t>
        </is>
      </c>
      <c r="J288" s="9" t="inlineStr">
        <is>
          <t>профессор</t>
        </is>
      </c>
      <c r="K288" s="9" t="n"/>
      <c r="L288" s="9" t="n"/>
      <c r="M288" s="12">
        <f>SUMIFS($E$2:$E$1130,$A$2:$A$1130,"осень",$I$2:$I$1130,I288)</f>
        <v/>
      </c>
      <c r="N288" s="13">
        <f>SUMIFS($E$2:$E$1130,$A$2:$A$1130,"весна",$I$2:$I$1130,I288)</f>
        <v/>
      </c>
      <c r="O288" s="14">
        <f>M288+N288</f>
        <v/>
      </c>
      <c r="P288" s="15">
        <f>O288/$P$1</f>
        <v/>
      </c>
    </row>
    <row r="289" ht="15.75" customHeight="1" s="2">
      <c r="A289" s="117" t="inlineStr">
        <is>
          <t>осень</t>
        </is>
      </c>
      <c r="B289" s="9" t="inlineStr">
        <is>
          <t>Разработка технологических процессов производства материалов с микрокристаллической структурой</t>
        </is>
      </c>
      <c r="C289" s="9" t="inlineStr">
        <is>
          <t>Экзамен</t>
        </is>
      </c>
      <c r="D289" s="9" t="inlineStr">
        <is>
          <t>Т11О-203М-19</t>
        </is>
      </c>
      <c r="E289" s="10" t="n">
        <v>4</v>
      </c>
      <c r="F289" s="9" t="inlineStr">
        <is>
          <t>06203</t>
        </is>
      </c>
      <c r="G289" s="11" t="n">
        <v>0</v>
      </c>
      <c r="H289" s="9" t="inlineStr">
        <is>
          <t xml:space="preserve">82066     </t>
        </is>
      </c>
      <c r="I289" s="9" t="inlineStr">
        <is>
          <t xml:space="preserve">Серов Михаил Михайлович </t>
        </is>
      </c>
      <c r="J289" s="9" t="inlineStr">
        <is>
          <t>профессор</t>
        </is>
      </c>
      <c r="K289" s="9" t="n"/>
      <c r="L289" s="9" t="n"/>
      <c r="M289" s="12">
        <f>SUMIFS($E$2:$E$1130,$A$2:$A$1130,"осень",$I$2:$I$1130,I289)</f>
        <v/>
      </c>
      <c r="N289" s="13">
        <f>SUMIFS($E$2:$E$1130,$A$2:$A$1130,"весна",$I$2:$I$1130,I289)</f>
        <v/>
      </c>
      <c r="O289" s="14">
        <f>M289+N289</f>
        <v/>
      </c>
      <c r="P289" s="15">
        <f>O289/$P$1</f>
        <v/>
      </c>
    </row>
    <row r="290" ht="15.75" customHeight="1" s="2">
      <c r="A290" s="117" t="inlineStr">
        <is>
          <t>осень</t>
        </is>
      </c>
      <c r="B290" s="9" t="inlineStr">
        <is>
          <t>Разработка технологических процессов производства материалов с микрокристаллической структурой</t>
        </is>
      </c>
      <c r="C290" s="9" t="inlineStr">
        <is>
          <t>Консультация</t>
        </is>
      </c>
      <c r="D290" s="9" t="inlineStr">
        <is>
          <t>Т11О-203М-19</t>
        </is>
      </c>
      <c r="E290" s="10" t="n">
        <v>3</v>
      </c>
      <c r="F290" s="9" t="inlineStr">
        <is>
          <t>06203</t>
        </is>
      </c>
      <c r="G290" s="11" t="n">
        <v>0</v>
      </c>
      <c r="H290" s="9" t="inlineStr">
        <is>
          <t xml:space="preserve">82066     </t>
        </is>
      </c>
      <c r="I290" s="9" t="inlineStr">
        <is>
          <t xml:space="preserve">Серов Михаил Михайлович </t>
        </is>
      </c>
      <c r="J290" s="9" t="inlineStr">
        <is>
          <t>профессор</t>
        </is>
      </c>
      <c r="K290" s="9" t="n"/>
      <c r="L290" s="9" t="n"/>
      <c r="M290" s="12">
        <f>SUMIFS($E$2:$E$1130,$A$2:$A$1130,"осень",$I$2:$I$1130,I290)</f>
        <v/>
      </c>
      <c r="N290" s="13">
        <f>SUMIFS($E$2:$E$1130,$A$2:$A$1130,"весна",$I$2:$I$1130,I290)</f>
        <v/>
      </c>
      <c r="O290" s="14">
        <f>M290+N290</f>
        <v/>
      </c>
      <c r="P290" s="15">
        <f>O290/$P$1</f>
        <v/>
      </c>
    </row>
    <row r="291" ht="15.75" customHeight="1" s="2">
      <c r="A291" s="117" t="inlineStr">
        <is>
          <t>осень</t>
        </is>
      </c>
      <c r="B291" s="9" t="inlineStr">
        <is>
          <t>Технологии создания наноструктурных материалов</t>
        </is>
      </c>
      <c r="C291" s="9" t="inlineStr">
        <is>
          <t>ЛК</t>
        </is>
      </c>
      <c r="D291" s="9" t="inlineStr">
        <is>
          <t>Т11О-203М-19</t>
        </is>
      </c>
      <c r="E291" s="10" t="n">
        <v>18</v>
      </c>
      <c r="F291" s="9" t="inlineStr">
        <is>
          <t>06203</t>
        </is>
      </c>
      <c r="G291" s="10" t="n">
        <v>18</v>
      </c>
      <c r="H291" s="9" t="inlineStr">
        <is>
          <t xml:space="preserve">82060     </t>
        </is>
      </c>
      <c r="I291" s="9" t="inlineStr">
        <is>
          <t xml:space="preserve">Лозован Александр Александрович </t>
        </is>
      </c>
      <c r="J291" s="9" t="inlineStr">
        <is>
          <t>профессор</t>
        </is>
      </c>
      <c r="K291" s="9" t="n"/>
      <c r="L291" s="9" t="n"/>
      <c r="M291" s="12">
        <f>SUMIFS($E$2:$E$1130,$A$2:$A$1130,"осень",$I$2:$I$1130,I291)</f>
        <v/>
      </c>
      <c r="N291" s="13">
        <f>SUMIFS($E$2:$E$1130,$A$2:$A$1130,"весна",$I$2:$I$1130,I291)</f>
        <v/>
      </c>
      <c r="O291" s="14">
        <f>M291+N291</f>
        <v/>
      </c>
      <c r="P291" s="15">
        <f>O291/$P$1</f>
        <v/>
      </c>
    </row>
    <row r="292" ht="15.75" customHeight="1" s="2">
      <c r="A292" s="117" t="inlineStr">
        <is>
          <t>осень</t>
        </is>
      </c>
      <c r="B292" s="9" t="inlineStr">
        <is>
          <t>Технологии создания наноструктурных материалов</t>
        </is>
      </c>
      <c r="C292" s="9" t="inlineStr">
        <is>
          <t>КР</t>
        </is>
      </c>
      <c r="D292" s="9" t="inlineStr">
        <is>
          <t>Т11О-203М-19</t>
        </is>
      </c>
      <c r="E292" s="10" t="n">
        <v>21</v>
      </c>
      <c r="F292" s="9" t="inlineStr">
        <is>
          <t>06203</t>
        </is>
      </c>
      <c r="G292" s="11" t="n">
        <v>0</v>
      </c>
      <c r="H292" s="9" t="inlineStr">
        <is>
          <t xml:space="preserve">82060     </t>
        </is>
      </c>
      <c r="I292" s="9" t="inlineStr">
        <is>
          <t xml:space="preserve">Лозован Александр Александрович </t>
        </is>
      </c>
      <c r="J292" s="9" t="inlineStr">
        <is>
          <t>профессор</t>
        </is>
      </c>
      <c r="K292" s="9" t="n"/>
      <c r="L292" s="9" t="n"/>
      <c r="M292" s="12">
        <f>SUMIFS($E$2:$E$1130,$A$2:$A$1130,"осень",$I$2:$I$1130,I292)</f>
        <v/>
      </c>
      <c r="N292" s="13">
        <f>SUMIFS($E$2:$E$1130,$A$2:$A$1130,"весна",$I$2:$I$1130,I292)</f>
        <v/>
      </c>
      <c r="O292" s="14">
        <f>M292+N292</f>
        <v/>
      </c>
      <c r="P292" s="15">
        <f>O292/$P$1</f>
        <v/>
      </c>
    </row>
    <row r="293" ht="15.75" customHeight="1" s="2">
      <c r="A293" s="117" t="inlineStr">
        <is>
          <t>осень</t>
        </is>
      </c>
      <c r="B293" s="9" t="inlineStr">
        <is>
          <t>Технологии создания наноструктурных материалов</t>
        </is>
      </c>
      <c r="C293" s="9" t="inlineStr">
        <is>
          <t>ПЗ</t>
        </is>
      </c>
      <c r="D293" s="9" t="inlineStr">
        <is>
          <t>Т11О-203М-19</t>
        </is>
      </c>
      <c r="E293" s="10" t="n">
        <v>32</v>
      </c>
      <c r="F293" s="9" t="inlineStr">
        <is>
          <t>06203</t>
        </is>
      </c>
      <c r="G293" s="10" t="n">
        <v>32</v>
      </c>
      <c r="H293" s="9" t="inlineStr">
        <is>
          <t xml:space="preserve">95460     </t>
        </is>
      </c>
      <c r="I293" s="9" t="inlineStr">
        <is>
          <t>Кубатина Екатерина Павловна</t>
        </is>
      </c>
      <c r="J293" s="9" t="n"/>
      <c r="K293" s="9" t="n"/>
      <c r="L293" s="9" t="n"/>
      <c r="M293" s="12">
        <f>SUMIFS($E$2:$E$1130,$A$2:$A$1130,"осень",$I$2:$I$1130,I293)</f>
        <v/>
      </c>
      <c r="N293" s="13">
        <f>SUMIFS($E$2:$E$1130,$A$2:$A$1130,"весна",$I$2:$I$1130,I293)</f>
        <v/>
      </c>
      <c r="O293" s="14">
        <f>M293+N293</f>
        <v/>
      </c>
      <c r="P293" s="15">
        <f>O293/$P$1</f>
        <v/>
      </c>
    </row>
    <row r="294" ht="15.75" customHeight="1" s="2">
      <c r="A294" s="117" t="inlineStr">
        <is>
          <t>осень</t>
        </is>
      </c>
      <c r="B294" s="9" t="inlineStr">
        <is>
          <t>Технологии создания наноструктурных материалов</t>
        </is>
      </c>
      <c r="C294" s="9" t="inlineStr">
        <is>
          <t>ЛР</t>
        </is>
      </c>
      <c r="D294" s="9" t="inlineStr">
        <is>
          <t>Т11О-203М-19</t>
        </is>
      </c>
      <c r="E294" s="10" t="n">
        <v>16</v>
      </c>
      <c r="F294" s="9" t="inlineStr">
        <is>
          <t>06203</t>
        </is>
      </c>
      <c r="G294" s="10" t="n">
        <v>16</v>
      </c>
      <c r="H294" s="9" t="inlineStr">
        <is>
          <t xml:space="preserve">82060     </t>
        </is>
      </c>
      <c r="I294" s="9" t="inlineStr">
        <is>
          <t xml:space="preserve">Лозован Александр Александрович </t>
        </is>
      </c>
      <c r="J294" s="9" t="inlineStr">
        <is>
          <t>профессор</t>
        </is>
      </c>
      <c r="K294" s="9" t="n"/>
      <c r="L294" s="9" t="n"/>
      <c r="M294" s="12">
        <f>SUMIFS($E$2:$E$1130,$A$2:$A$1130,"осень",$I$2:$I$1130,I294)</f>
        <v/>
      </c>
      <c r="N294" s="13">
        <f>SUMIFS($E$2:$E$1130,$A$2:$A$1130,"весна",$I$2:$I$1130,I294)</f>
        <v/>
      </c>
      <c r="O294" s="14">
        <f>M294+N294</f>
        <v/>
      </c>
      <c r="P294" s="15">
        <f>O294/$P$1</f>
        <v/>
      </c>
    </row>
    <row r="295" ht="15.75" customHeight="1" s="2">
      <c r="A295" s="117" t="inlineStr">
        <is>
          <t>осень</t>
        </is>
      </c>
      <c r="B295" s="9" t="inlineStr">
        <is>
          <t>Технологии создания наноструктурных материалов</t>
        </is>
      </c>
      <c r="C295" s="9" t="inlineStr">
        <is>
          <t>Экзамен</t>
        </is>
      </c>
      <c r="D295" s="9" t="inlineStr">
        <is>
          <t>Т11О-203М-19</t>
        </is>
      </c>
      <c r="E295" s="10" t="n">
        <v>4</v>
      </c>
      <c r="F295" s="9" t="inlineStr">
        <is>
          <t>06203</t>
        </is>
      </c>
      <c r="G295" s="11" t="n">
        <v>0</v>
      </c>
      <c r="H295" s="9" t="inlineStr">
        <is>
          <t xml:space="preserve">82060     </t>
        </is>
      </c>
      <c r="I295" s="9" t="inlineStr">
        <is>
          <t xml:space="preserve">Лозован Александр Александрович </t>
        </is>
      </c>
      <c r="J295" s="9" t="inlineStr">
        <is>
          <t>профессор</t>
        </is>
      </c>
      <c r="K295" s="9" t="n"/>
      <c r="L295" s="9" t="n"/>
      <c r="M295" s="12">
        <f>SUMIFS($E$2:$E$1130,$A$2:$A$1130,"осень",$I$2:$I$1130,I295)</f>
        <v/>
      </c>
      <c r="N295" s="13">
        <f>SUMIFS($E$2:$E$1130,$A$2:$A$1130,"весна",$I$2:$I$1130,I295)</f>
        <v/>
      </c>
      <c r="O295" s="14">
        <f>M295+N295</f>
        <v/>
      </c>
      <c r="P295" s="15">
        <f>O295/$P$1</f>
        <v/>
      </c>
    </row>
    <row r="296" ht="15.75" customHeight="1" s="2">
      <c r="A296" s="117" t="inlineStr">
        <is>
          <t>осень</t>
        </is>
      </c>
      <c r="B296" s="9" t="inlineStr">
        <is>
          <t>Технологии создания наноструктурных материалов</t>
        </is>
      </c>
      <c r="C296" s="9" t="inlineStr">
        <is>
          <t>Консультация</t>
        </is>
      </c>
      <c r="D296" s="9" t="inlineStr">
        <is>
          <t>Т11О-203М-19</t>
        </is>
      </c>
      <c r="E296" s="10" t="n">
        <v>3</v>
      </c>
      <c r="F296" s="9" t="inlineStr">
        <is>
          <t>06203</t>
        </is>
      </c>
      <c r="G296" s="11" t="n">
        <v>0</v>
      </c>
      <c r="H296" s="9" t="inlineStr">
        <is>
          <t xml:space="preserve">82060     </t>
        </is>
      </c>
      <c r="I296" s="9" t="inlineStr">
        <is>
          <t xml:space="preserve">Лозован Александр Александрович </t>
        </is>
      </c>
      <c r="J296" s="9" t="inlineStr">
        <is>
          <t>профессор</t>
        </is>
      </c>
      <c r="K296" s="9" t="n"/>
      <c r="L296" s="9" t="n"/>
      <c r="M296" s="12">
        <f>SUMIFS($E$2:$E$1130,$A$2:$A$1130,"осень",$I$2:$I$1130,I296)</f>
        <v/>
      </c>
      <c r="N296" s="13">
        <f>SUMIFS($E$2:$E$1130,$A$2:$A$1130,"весна",$I$2:$I$1130,I296)</f>
        <v/>
      </c>
      <c r="O296" s="14">
        <f>M296+N296</f>
        <v/>
      </c>
      <c r="P296" s="15">
        <f>O296/$P$1</f>
        <v/>
      </c>
    </row>
    <row r="297" ht="15.75" customHeight="1" s="2">
      <c r="A297" s="117" t="inlineStr">
        <is>
          <t>осень</t>
        </is>
      </c>
      <c r="B297" s="9" t="inlineStr">
        <is>
          <t>Физические основы и методы аддитивных технологий</t>
        </is>
      </c>
      <c r="C297" s="9" t="inlineStr">
        <is>
          <t>ЛК</t>
        </is>
      </c>
      <c r="D297" s="9" t="inlineStr">
        <is>
          <t>Т11О-101М-20, Т11О-102М-20, Т11О-103М-20, Т11О-104М-20</t>
        </is>
      </c>
      <c r="E297" s="10" t="n">
        <v>12</v>
      </c>
      <c r="F297" s="9" t="inlineStr">
        <is>
          <t>07987</t>
        </is>
      </c>
      <c r="G297" s="10" t="n">
        <v>12</v>
      </c>
      <c r="H297" s="9" t="inlineStr">
        <is>
          <t xml:space="preserve">82020     </t>
        </is>
      </c>
      <c r="I297" s="9" t="inlineStr">
        <is>
          <t xml:space="preserve">Варфоломеев Максим Сергеевич </t>
        </is>
      </c>
      <c r="J297" s="9" t="inlineStr">
        <is>
          <t>доцент</t>
        </is>
      </c>
      <c r="K297" s="9" t="n"/>
      <c r="L297" s="9" t="inlineStr">
        <is>
          <t>не более двух дней в неделю</t>
        </is>
      </c>
      <c r="M297" s="12">
        <f>SUMIFS($E$2:$E$1130,$A$2:$A$1130,"осень",$I$2:$I$1130,I297)</f>
        <v/>
      </c>
      <c r="N297" s="13">
        <f>SUMIFS($E$2:$E$1130,$A$2:$A$1130,"весна",$I$2:$I$1130,I297)</f>
        <v/>
      </c>
      <c r="O297" s="14">
        <f>M297+N297</f>
        <v/>
      </c>
      <c r="P297" s="15">
        <f>O297/$P$1</f>
        <v/>
      </c>
    </row>
    <row r="298" ht="15.75" customHeight="1" s="2">
      <c r="A298" s="117" t="inlineStr">
        <is>
          <t>осень</t>
        </is>
      </c>
      <c r="B298" s="9" t="inlineStr">
        <is>
          <t>Физические основы и методы аддитивных технологий</t>
        </is>
      </c>
      <c r="C298" s="9" t="inlineStr">
        <is>
          <t>Зачет с оценкой</t>
        </is>
      </c>
      <c r="D298" s="9" t="inlineStr">
        <is>
          <t>Т11О-101М-20</t>
        </is>
      </c>
      <c r="E298" s="10" t="n">
        <v>2</v>
      </c>
      <c r="F298" s="9" t="inlineStr">
        <is>
          <t>07987</t>
        </is>
      </c>
      <c r="G298" s="11" t="n">
        <v>0</v>
      </c>
      <c r="H298" s="9" t="inlineStr">
        <is>
          <t xml:space="preserve">82020     </t>
        </is>
      </c>
      <c r="I298" s="9" t="inlineStr">
        <is>
          <t xml:space="preserve">Варфоломеев Максим Сергеевич </t>
        </is>
      </c>
      <c r="J298" s="9" t="inlineStr">
        <is>
          <t>доцент</t>
        </is>
      </c>
      <c r="K298" s="9" t="n"/>
      <c r="L298" s="9" t="inlineStr">
        <is>
          <t>не более двух дней в неделю</t>
        </is>
      </c>
      <c r="M298" s="12">
        <f>SUMIFS($E$2:$E$1130,$A$2:$A$1130,"осень",$I$2:$I$1130,I298)</f>
        <v/>
      </c>
      <c r="N298" s="13">
        <f>SUMIFS($E$2:$E$1130,$A$2:$A$1130,"весна",$I$2:$I$1130,I298)</f>
        <v/>
      </c>
      <c r="O298" s="14">
        <f>M298+N298</f>
        <v/>
      </c>
      <c r="P298" s="15">
        <f>O298/$P$1</f>
        <v/>
      </c>
    </row>
    <row r="299" ht="15.75" customHeight="1" s="2">
      <c r="A299" s="117" t="inlineStr">
        <is>
          <t>осень</t>
        </is>
      </c>
      <c r="B299" s="9" t="inlineStr">
        <is>
          <t>Физические основы и методы аддитивных технологий</t>
        </is>
      </c>
      <c r="C299" s="9" t="inlineStr">
        <is>
          <t>Зачет с оценкой</t>
        </is>
      </c>
      <c r="D299" s="9" t="inlineStr">
        <is>
          <t>Т11О-102М-20</t>
        </is>
      </c>
      <c r="E299" s="10" t="n">
        <v>2</v>
      </c>
      <c r="F299" s="9" t="inlineStr">
        <is>
          <t>07987</t>
        </is>
      </c>
      <c r="G299" s="11" t="n">
        <v>0</v>
      </c>
      <c r="H299" s="9" t="inlineStr">
        <is>
          <t xml:space="preserve">82020     </t>
        </is>
      </c>
      <c r="I299" s="9" t="inlineStr">
        <is>
          <t xml:space="preserve">Варфоломеев Максим Сергеевич </t>
        </is>
      </c>
      <c r="J299" s="9" t="inlineStr">
        <is>
          <t>доцент</t>
        </is>
      </c>
      <c r="K299" s="9" t="n"/>
      <c r="L299" s="9" t="inlineStr">
        <is>
          <t>не более двух дней в неделю</t>
        </is>
      </c>
      <c r="M299" s="12">
        <f>SUMIFS($E$2:$E$1130,$A$2:$A$1130,"осень",$I$2:$I$1130,I299)</f>
        <v/>
      </c>
      <c r="N299" s="13">
        <f>SUMIFS($E$2:$E$1130,$A$2:$A$1130,"весна",$I$2:$I$1130,I299)</f>
        <v/>
      </c>
      <c r="O299" s="14">
        <f>M299+N299</f>
        <v/>
      </c>
      <c r="P299" s="15">
        <f>O299/$P$1</f>
        <v/>
      </c>
    </row>
    <row r="300" ht="15.75" customHeight="1" s="2">
      <c r="A300" s="117" t="inlineStr">
        <is>
          <t>осень</t>
        </is>
      </c>
      <c r="B300" s="9" t="inlineStr">
        <is>
          <t>Физические основы и методы аддитивных технологий</t>
        </is>
      </c>
      <c r="C300" s="9" t="inlineStr">
        <is>
          <t>Зачет с оценкой</t>
        </is>
      </c>
      <c r="D300" s="9" t="inlineStr">
        <is>
          <t>Т11О-103М-20</t>
        </is>
      </c>
      <c r="E300" s="10" t="n">
        <v>2</v>
      </c>
      <c r="F300" s="9" t="inlineStr">
        <is>
          <t>07987</t>
        </is>
      </c>
      <c r="G300" s="11" t="n">
        <v>0</v>
      </c>
      <c r="H300" s="9" t="inlineStr">
        <is>
          <t xml:space="preserve">82020     </t>
        </is>
      </c>
      <c r="I300" s="9" t="inlineStr">
        <is>
          <t xml:space="preserve">Варфоломеев Максим Сергеевич </t>
        </is>
      </c>
      <c r="J300" s="9" t="inlineStr">
        <is>
          <t>доцент</t>
        </is>
      </c>
      <c r="K300" s="9" t="n"/>
      <c r="L300" s="9" t="inlineStr">
        <is>
          <t>не более двух дней в неделю</t>
        </is>
      </c>
      <c r="M300" s="12">
        <f>SUMIFS($E$2:$E$1130,$A$2:$A$1130,"осень",$I$2:$I$1130,I300)</f>
        <v/>
      </c>
      <c r="N300" s="13">
        <f>SUMIFS($E$2:$E$1130,$A$2:$A$1130,"весна",$I$2:$I$1130,I300)</f>
        <v/>
      </c>
      <c r="O300" s="14">
        <f>M300+N300</f>
        <v/>
      </c>
      <c r="P300" s="15">
        <f>O300/$P$1</f>
        <v/>
      </c>
    </row>
    <row r="301" ht="15.75" customHeight="1" s="2">
      <c r="A301" s="117" t="inlineStr">
        <is>
          <t>осень</t>
        </is>
      </c>
      <c r="B301" s="9" t="inlineStr">
        <is>
          <t>Физические основы и методы аддитивных технологий</t>
        </is>
      </c>
      <c r="C301" s="9" t="inlineStr">
        <is>
          <t>Зачет с оценкой</t>
        </is>
      </c>
      <c r="D301" s="9" t="inlineStr">
        <is>
          <t>Т11О-104М-20</t>
        </is>
      </c>
      <c r="E301" s="10" t="n">
        <v>2</v>
      </c>
      <c r="F301" s="9" t="inlineStr">
        <is>
          <t>07987</t>
        </is>
      </c>
      <c r="G301" s="11" t="n">
        <v>0</v>
      </c>
      <c r="H301" s="9" t="inlineStr">
        <is>
          <t xml:space="preserve">82020     </t>
        </is>
      </c>
      <c r="I301" s="9" t="inlineStr">
        <is>
          <t xml:space="preserve">Варфоломеев Максим Сергеевич </t>
        </is>
      </c>
      <c r="J301" s="9" t="inlineStr">
        <is>
          <t>доцент</t>
        </is>
      </c>
      <c r="K301" s="9" t="n"/>
      <c r="L301" s="9" t="inlineStr">
        <is>
          <t>не более двух дней в неделю</t>
        </is>
      </c>
      <c r="M301" s="12">
        <f>SUMIFS($E$2:$E$1130,$A$2:$A$1130,"осень",$I$2:$I$1130,I301)</f>
        <v/>
      </c>
      <c r="N301" s="13">
        <f>SUMIFS($E$2:$E$1130,$A$2:$A$1130,"весна",$I$2:$I$1130,I301)</f>
        <v/>
      </c>
      <c r="O301" s="14">
        <f>M301+N301</f>
        <v/>
      </c>
      <c r="P301" s="15">
        <f>O301/$P$1</f>
        <v/>
      </c>
    </row>
    <row r="302" ht="15.75" customHeight="1" s="2">
      <c r="A302" s="117" t="inlineStr">
        <is>
          <t>осень</t>
        </is>
      </c>
      <c r="B302" s="9" t="inlineStr">
        <is>
          <t>Физические основы и методы аддитивных технологий</t>
        </is>
      </c>
      <c r="C302" s="9" t="inlineStr">
        <is>
          <t>ПЗ</t>
        </is>
      </c>
      <c r="D302" s="9" t="inlineStr">
        <is>
          <t>Т11О-101М-20</t>
        </is>
      </c>
      <c r="E302" s="10" t="n">
        <v>40</v>
      </c>
      <c r="F302" s="9" t="inlineStr">
        <is>
          <t>07987</t>
        </is>
      </c>
      <c r="G302" s="10" t="n">
        <v>40</v>
      </c>
      <c r="H302" s="9" t="inlineStr">
        <is>
          <t xml:space="preserve">89068     </t>
        </is>
      </c>
      <c r="I302" s="9" t="inlineStr">
        <is>
          <t xml:space="preserve">Петров Игорь Алексеевич </t>
        </is>
      </c>
      <c r="J302" s="9" t="inlineStr">
        <is>
          <t>доцент</t>
        </is>
      </c>
      <c r="K302" s="9" t="n"/>
      <c r="L302" s="9" t="n"/>
      <c r="M302" s="12">
        <f>SUMIFS($E$2:$E$1130,$A$2:$A$1130,"осень",$I$2:$I$1130,I302)</f>
        <v/>
      </c>
      <c r="N302" s="13">
        <f>SUMIFS($E$2:$E$1130,$A$2:$A$1130,"весна",$I$2:$I$1130,I302)</f>
        <v/>
      </c>
      <c r="O302" s="14">
        <f>M302+N302</f>
        <v/>
      </c>
      <c r="P302" s="15">
        <f>O302/$P$1</f>
        <v/>
      </c>
    </row>
    <row r="303" ht="15.75" customHeight="1" s="2">
      <c r="A303" s="117" t="inlineStr">
        <is>
          <t>осень</t>
        </is>
      </c>
      <c r="B303" s="9" t="inlineStr">
        <is>
          <t>Физические основы и методы аддитивных технологий</t>
        </is>
      </c>
      <c r="C303" s="9" t="inlineStr">
        <is>
          <t>ПЗ</t>
        </is>
      </c>
      <c r="D303" s="9" t="inlineStr">
        <is>
          <t>Т11О-102М-20</t>
        </is>
      </c>
      <c r="E303" s="10" t="n">
        <v>40</v>
      </c>
      <c r="F303" s="9" t="inlineStr">
        <is>
          <t>07987</t>
        </is>
      </c>
      <c r="G303" s="10" t="n">
        <v>40</v>
      </c>
      <c r="H303" s="9" t="inlineStr">
        <is>
          <t xml:space="preserve">89068     </t>
        </is>
      </c>
      <c r="I303" s="9" t="inlineStr">
        <is>
          <t xml:space="preserve">Петров Игорь Алексеевич </t>
        </is>
      </c>
      <c r="J303" s="9" t="inlineStr">
        <is>
          <t>доцент</t>
        </is>
      </c>
      <c r="K303" s="9" t="n"/>
      <c r="L303" s="9" t="n"/>
      <c r="M303" s="12">
        <f>SUMIFS($E$2:$E$1130,$A$2:$A$1130,"осень",$I$2:$I$1130,I303)</f>
        <v/>
      </c>
      <c r="N303" s="13">
        <f>SUMIFS($E$2:$E$1130,$A$2:$A$1130,"весна",$I$2:$I$1130,I303)</f>
        <v/>
      </c>
      <c r="O303" s="14">
        <f>M303+N303</f>
        <v/>
      </c>
      <c r="P303" s="15">
        <f>O303/$P$1</f>
        <v/>
      </c>
    </row>
    <row r="304" ht="15.75" customHeight="1" s="2">
      <c r="A304" s="117" t="inlineStr">
        <is>
          <t>осень</t>
        </is>
      </c>
      <c r="B304" s="9" t="inlineStr">
        <is>
          <t>Физические основы и методы аддитивных технологий</t>
        </is>
      </c>
      <c r="C304" s="9" t="inlineStr">
        <is>
          <t>ПЗ</t>
        </is>
      </c>
      <c r="D304" s="9" t="inlineStr">
        <is>
          <t>Т11О-103М-20</t>
        </is>
      </c>
      <c r="E304" s="10" t="n">
        <v>40</v>
      </c>
      <c r="F304" s="9" t="inlineStr">
        <is>
          <t>07987</t>
        </is>
      </c>
      <c r="G304" s="10" t="n">
        <v>40</v>
      </c>
      <c r="H304" s="9" t="inlineStr">
        <is>
          <t xml:space="preserve">89068     </t>
        </is>
      </c>
      <c r="I304" s="9" t="inlineStr">
        <is>
          <t xml:space="preserve">Петров Игорь Алексеевич </t>
        </is>
      </c>
      <c r="J304" s="9" t="inlineStr">
        <is>
          <t>доцент</t>
        </is>
      </c>
      <c r="K304" s="9" t="n"/>
      <c r="L304" s="9" t="n"/>
      <c r="M304" s="12">
        <f>SUMIFS($E$2:$E$1130,$A$2:$A$1130,"осень",$I$2:$I$1130,I304)</f>
        <v/>
      </c>
      <c r="N304" s="13">
        <f>SUMIFS($E$2:$E$1130,$A$2:$A$1130,"весна",$I$2:$I$1130,I304)</f>
        <v/>
      </c>
      <c r="O304" s="14">
        <f>M304+N304</f>
        <v/>
      </c>
      <c r="P304" s="15">
        <f>O304/$P$1</f>
        <v/>
      </c>
    </row>
    <row r="305" ht="15.75" customHeight="1" s="2">
      <c r="A305" s="117" t="inlineStr">
        <is>
          <t>осень</t>
        </is>
      </c>
      <c r="B305" s="9" t="inlineStr">
        <is>
          <t>Физические основы и методы аддитивных технологий</t>
        </is>
      </c>
      <c r="C305" s="9" t="inlineStr">
        <is>
          <t>ПЗ</t>
        </is>
      </c>
      <c r="D305" s="9" t="inlineStr">
        <is>
          <t>Т11О-104М-20</t>
        </is>
      </c>
      <c r="E305" s="10" t="n">
        <v>40</v>
      </c>
      <c r="F305" s="9" t="inlineStr">
        <is>
          <t>07987</t>
        </is>
      </c>
      <c r="G305" s="10" t="n">
        <v>40</v>
      </c>
      <c r="H305" s="9" t="inlineStr">
        <is>
          <t xml:space="preserve">89068     </t>
        </is>
      </c>
      <c r="I305" s="9" t="inlineStr">
        <is>
          <t xml:space="preserve">Петров Игорь Алексеевич </t>
        </is>
      </c>
      <c r="J305" s="9" t="inlineStr">
        <is>
          <t>доцент</t>
        </is>
      </c>
      <c r="K305" s="9" t="n"/>
      <c r="L305" s="9" t="n"/>
      <c r="M305" s="12">
        <f>SUMIFS($E$2:$E$1130,$A$2:$A$1130,"осень",$I$2:$I$1130,I305)</f>
        <v/>
      </c>
      <c r="N305" s="13">
        <f>SUMIFS($E$2:$E$1130,$A$2:$A$1130,"весна",$I$2:$I$1130,I305)</f>
        <v/>
      </c>
      <c r="O305" s="14">
        <f>M305+N305</f>
        <v/>
      </c>
      <c r="P305" s="15">
        <f>O305/$P$1</f>
        <v/>
      </c>
    </row>
    <row r="306" ht="15.75" customHeight="1" s="2">
      <c r="A306" s="117" t="inlineStr">
        <is>
          <t>осень</t>
        </is>
      </c>
      <c r="B306" s="9" t="inlineStr">
        <is>
          <t>Физические основы и методы аддитивных технологий</t>
        </is>
      </c>
      <c r="C306" s="9" t="inlineStr">
        <is>
          <t>Консультация</t>
        </is>
      </c>
      <c r="D306" s="9" t="inlineStr">
        <is>
          <t>Т11О-101М-20</t>
        </is>
      </c>
      <c r="E306" s="10" t="n">
        <v>1</v>
      </c>
      <c r="F306" s="9" t="inlineStr">
        <is>
          <t>07987</t>
        </is>
      </c>
      <c r="G306" s="11" t="n">
        <v>0</v>
      </c>
      <c r="H306" s="9" t="inlineStr">
        <is>
          <t xml:space="preserve">82020     </t>
        </is>
      </c>
      <c r="I306" s="9" t="inlineStr">
        <is>
          <t xml:space="preserve">Варфоломеев Максим Сергеевич </t>
        </is>
      </c>
      <c r="J306" s="9" t="inlineStr">
        <is>
          <t>доцент</t>
        </is>
      </c>
      <c r="K306" s="9" t="n"/>
      <c r="L306" s="9" t="inlineStr">
        <is>
          <t>не более двух дней в неделю</t>
        </is>
      </c>
      <c r="M306" s="12">
        <f>SUMIFS($E$2:$E$1130,$A$2:$A$1130,"осень",$I$2:$I$1130,I306)</f>
        <v/>
      </c>
      <c r="N306" s="13">
        <f>SUMIFS($E$2:$E$1130,$A$2:$A$1130,"весна",$I$2:$I$1130,I306)</f>
        <v/>
      </c>
      <c r="O306" s="14">
        <f>M306+N306</f>
        <v/>
      </c>
      <c r="P306" s="15">
        <f>O306/$P$1</f>
        <v/>
      </c>
    </row>
    <row r="307" ht="15.75" customHeight="1" s="2">
      <c r="A307" s="117" t="inlineStr">
        <is>
          <t>осень</t>
        </is>
      </c>
      <c r="B307" s="9" t="inlineStr">
        <is>
          <t>Физические основы и методы аддитивных технологий</t>
        </is>
      </c>
      <c r="C307" s="9" t="inlineStr">
        <is>
          <t>Консультация</t>
        </is>
      </c>
      <c r="D307" s="9" t="inlineStr">
        <is>
          <t>Т11О-102М-20</t>
        </is>
      </c>
      <c r="E307" s="10" t="n">
        <v>1</v>
      </c>
      <c r="F307" s="9" t="inlineStr">
        <is>
          <t>07987</t>
        </is>
      </c>
      <c r="G307" s="11" t="n">
        <v>0</v>
      </c>
      <c r="H307" s="9" t="inlineStr">
        <is>
          <t xml:space="preserve">82020     </t>
        </is>
      </c>
      <c r="I307" s="9" t="inlineStr">
        <is>
          <t xml:space="preserve">Варфоломеев Максим Сергеевич </t>
        </is>
      </c>
      <c r="J307" s="9" t="inlineStr">
        <is>
          <t>доцент</t>
        </is>
      </c>
      <c r="K307" s="9" t="n"/>
      <c r="L307" s="9" t="inlineStr">
        <is>
          <t>не более двух дней в неделю</t>
        </is>
      </c>
      <c r="M307" s="12">
        <f>SUMIFS($E$2:$E$1130,$A$2:$A$1130,"осень",$I$2:$I$1130,I307)</f>
        <v/>
      </c>
      <c r="N307" s="13">
        <f>SUMIFS($E$2:$E$1130,$A$2:$A$1130,"весна",$I$2:$I$1130,I307)</f>
        <v/>
      </c>
      <c r="O307" s="14">
        <f>M307+N307</f>
        <v/>
      </c>
      <c r="P307" s="15">
        <f>O307/$P$1</f>
        <v/>
      </c>
    </row>
    <row r="308" ht="15.75" customHeight="1" s="2">
      <c r="A308" s="117" t="inlineStr">
        <is>
          <t>осень</t>
        </is>
      </c>
      <c r="B308" s="9" t="inlineStr">
        <is>
          <t>Физические основы и методы аддитивных технологий</t>
        </is>
      </c>
      <c r="C308" s="9" t="inlineStr">
        <is>
          <t>Консультация</t>
        </is>
      </c>
      <c r="D308" s="9" t="inlineStr">
        <is>
          <t>Т11О-103М-20</t>
        </is>
      </c>
      <c r="E308" s="10" t="n">
        <v>1</v>
      </c>
      <c r="F308" s="9" t="inlineStr">
        <is>
          <t>07987</t>
        </is>
      </c>
      <c r="G308" s="11" t="n">
        <v>0</v>
      </c>
      <c r="H308" s="9" t="inlineStr">
        <is>
          <t xml:space="preserve">82020     </t>
        </is>
      </c>
      <c r="I308" s="9" t="inlineStr">
        <is>
          <t xml:space="preserve">Варфоломеев Максим Сергеевич </t>
        </is>
      </c>
      <c r="J308" s="9" t="inlineStr">
        <is>
          <t>доцент</t>
        </is>
      </c>
      <c r="K308" s="9" t="n"/>
      <c r="L308" s="9" t="inlineStr">
        <is>
          <t>не более двух дней в неделю</t>
        </is>
      </c>
      <c r="M308" s="12">
        <f>SUMIFS($E$2:$E$1130,$A$2:$A$1130,"осень",$I$2:$I$1130,I308)</f>
        <v/>
      </c>
      <c r="N308" s="13">
        <f>SUMIFS($E$2:$E$1130,$A$2:$A$1130,"весна",$I$2:$I$1130,I308)</f>
        <v/>
      </c>
      <c r="O308" s="14">
        <f>M308+N308</f>
        <v/>
      </c>
      <c r="P308" s="15">
        <f>O308/$P$1</f>
        <v/>
      </c>
    </row>
    <row r="309" ht="15.75" customHeight="1" s="2">
      <c r="A309" s="117" t="inlineStr">
        <is>
          <t>осень</t>
        </is>
      </c>
      <c r="B309" s="9" t="inlineStr">
        <is>
          <t>Физические основы и методы аддитивных технологий</t>
        </is>
      </c>
      <c r="C309" s="9" t="inlineStr">
        <is>
          <t>Консультация</t>
        </is>
      </c>
      <c r="D309" s="9" t="inlineStr">
        <is>
          <t>Т11О-104М-20</t>
        </is>
      </c>
      <c r="E309" s="10" t="n">
        <v>1</v>
      </c>
      <c r="F309" s="9" t="inlineStr">
        <is>
          <t>07987</t>
        </is>
      </c>
      <c r="G309" s="11" t="n">
        <v>0</v>
      </c>
      <c r="H309" s="9" t="inlineStr">
        <is>
          <t xml:space="preserve">82020     </t>
        </is>
      </c>
      <c r="I309" s="9" t="inlineStr">
        <is>
          <t xml:space="preserve">Варфоломеев Максим Сергеевич </t>
        </is>
      </c>
      <c r="J309" s="9" t="inlineStr">
        <is>
          <t>доцент</t>
        </is>
      </c>
      <c r="K309" s="9" t="n"/>
      <c r="L309" s="9" t="inlineStr">
        <is>
          <t>не более двух дней в неделю</t>
        </is>
      </c>
      <c r="M309" s="12">
        <f>SUMIFS($E$2:$E$1130,$A$2:$A$1130,"осень",$I$2:$I$1130,I309)</f>
        <v/>
      </c>
      <c r="N309" s="13">
        <f>SUMIFS($E$2:$E$1130,$A$2:$A$1130,"весна",$I$2:$I$1130,I309)</f>
        <v/>
      </c>
      <c r="O309" s="14">
        <f>M309+N309</f>
        <v/>
      </c>
      <c r="P309" s="15">
        <f>O309/$P$1</f>
        <v/>
      </c>
    </row>
    <row r="310" ht="15.75" customHeight="1" s="2">
      <c r="A310" s="117" t="inlineStr">
        <is>
          <t>осень</t>
        </is>
      </c>
      <c r="B310" s="9" t="inlineStr">
        <is>
          <t>Проектирование сварных и паяных конструкций</t>
        </is>
      </c>
      <c r="C310" s="9" t="inlineStr">
        <is>
          <t>ЛК</t>
        </is>
      </c>
      <c r="D310" s="9" t="inlineStr">
        <is>
          <t>Т1О-401Б-17</t>
        </is>
      </c>
      <c r="E310" s="10" t="n">
        <v>34</v>
      </c>
      <c r="F310" s="9" t="inlineStr">
        <is>
          <t>06256</t>
        </is>
      </c>
      <c r="G310" s="10" t="n">
        <v>34</v>
      </c>
      <c r="H310" s="9" t="inlineStr">
        <is>
          <t xml:space="preserve">82023     </t>
        </is>
      </c>
      <c r="I310" s="9" t="inlineStr">
        <is>
          <t xml:space="preserve">Федоров Сергей Александрович </t>
        </is>
      </c>
      <c r="J310" s="9" t="n"/>
      <c r="K310" s="9" t="n"/>
      <c r="L310" s="9" t="inlineStr">
        <is>
          <t>пн-пт по 2 пары с 14-45</t>
        </is>
      </c>
      <c r="M310" s="12">
        <f>SUMIFS($E$2:$E$1130,$A$2:$A$1130,"осень",$I$2:$I$1130,I310)</f>
        <v/>
      </c>
      <c r="N310" s="13">
        <f>SUMIFS($E$2:$E$1130,$A$2:$A$1130,"весна",$I$2:$I$1130,I310)</f>
        <v/>
      </c>
      <c r="O310" s="14">
        <f>M310+N310</f>
        <v/>
      </c>
      <c r="P310" s="15">
        <f>O310/$P$1</f>
        <v/>
      </c>
    </row>
    <row r="311" ht="15.75" customHeight="1" s="2">
      <c r="A311" s="117" t="inlineStr">
        <is>
          <t>осень</t>
        </is>
      </c>
      <c r="B311" s="9" t="inlineStr">
        <is>
          <t>Проектирование сварных и паяных конструкций</t>
        </is>
      </c>
      <c r="C311" s="9" t="inlineStr">
        <is>
          <t>Зачет с оценкой</t>
        </is>
      </c>
      <c r="D311" s="9" t="inlineStr">
        <is>
          <t>Т1О-401Б-17</t>
        </is>
      </c>
      <c r="E311" s="10" t="n">
        <v>6</v>
      </c>
      <c r="F311" s="9" t="inlineStr">
        <is>
          <t>06256</t>
        </is>
      </c>
      <c r="G311" s="11" t="n">
        <v>0</v>
      </c>
      <c r="H311" s="9" t="inlineStr">
        <is>
          <t xml:space="preserve">82023     </t>
        </is>
      </c>
      <c r="I311" s="9" t="inlineStr">
        <is>
          <t xml:space="preserve">Федоров Сергей Александрович </t>
        </is>
      </c>
      <c r="J311" s="9" t="n"/>
      <c r="K311" s="9" t="n"/>
      <c r="L311" s="9" t="inlineStr">
        <is>
          <t>пн-пт по 2 пары с 14-45</t>
        </is>
      </c>
      <c r="M311" s="12">
        <f>SUMIFS($E$2:$E$1130,$A$2:$A$1130,"осень",$I$2:$I$1130,I311)</f>
        <v/>
      </c>
      <c r="N311" s="13">
        <f>SUMIFS($E$2:$E$1130,$A$2:$A$1130,"весна",$I$2:$I$1130,I311)</f>
        <v/>
      </c>
      <c r="O311" s="14">
        <f>M311+N311</f>
        <v/>
      </c>
      <c r="P311" s="15">
        <f>O311/$P$1</f>
        <v/>
      </c>
    </row>
    <row r="312" ht="15.75" customHeight="1" s="2">
      <c r="A312" s="117" t="inlineStr">
        <is>
          <t>осень</t>
        </is>
      </c>
      <c r="B312" s="9" t="inlineStr">
        <is>
          <t>Проектирование сварных и паяных конструкций</t>
        </is>
      </c>
      <c r="C312" s="9" t="inlineStr">
        <is>
          <t>ПЗ</t>
        </is>
      </c>
      <c r="D312" s="9" t="inlineStr">
        <is>
          <t>Т1О-401Б-17</t>
        </is>
      </c>
      <c r="E312" s="10" t="n">
        <v>40</v>
      </c>
      <c r="F312" s="9" t="inlineStr">
        <is>
          <t>06256</t>
        </is>
      </c>
      <c r="G312" s="10" t="n">
        <v>40</v>
      </c>
      <c r="H312" s="9" t="inlineStr">
        <is>
          <t xml:space="preserve">82023     </t>
        </is>
      </c>
      <c r="I312" s="9" t="inlineStr">
        <is>
          <t xml:space="preserve">Федоров Сергей Александрович </t>
        </is>
      </c>
      <c r="J312" s="9" t="n"/>
      <c r="K312" s="9" t="n"/>
      <c r="L312" s="9" t="inlineStr">
        <is>
          <t>пн-пт по 2 пары с 14-45</t>
        </is>
      </c>
      <c r="M312" s="12">
        <f>SUMIFS($E$2:$E$1130,$A$2:$A$1130,"осень",$I$2:$I$1130,I312)</f>
        <v/>
      </c>
      <c r="N312" s="13">
        <f>SUMIFS($E$2:$E$1130,$A$2:$A$1130,"весна",$I$2:$I$1130,I312)</f>
        <v/>
      </c>
      <c r="O312" s="14">
        <f>M312+N312</f>
        <v/>
      </c>
      <c r="P312" s="15">
        <f>O312/$P$1</f>
        <v/>
      </c>
    </row>
    <row r="313" ht="15.75" customHeight="1" s="2">
      <c r="A313" s="117" t="inlineStr">
        <is>
          <t>осень</t>
        </is>
      </c>
      <c r="B313" s="9" t="inlineStr">
        <is>
          <t>Проектирование сварных и паяных конструкций</t>
        </is>
      </c>
      <c r="C313" s="9" t="inlineStr">
        <is>
          <t>ЛР</t>
        </is>
      </c>
      <c r="D313" s="9" t="inlineStr">
        <is>
          <t>Т1О-401Б-17</t>
        </is>
      </c>
      <c r="E313" s="10" t="n">
        <v>32</v>
      </c>
      <c r="F313" s="9" t="inlineStr">
        <is>
          <t>06256</t>
        </is>
      </c>
      <c r="G313" s="10" t="n">
        <v>16</v>
      </c>
      <c r="H313" s="9" t="inlineStr">
        <is>
          <t xml:space="preserve">82023     </t>
        </is>
      </c>
      <c r="I313" s="9" t="inlineStr">
        <is>
          <t xml:space="preserve">Федоров Сергей Александрович </t>
        </is>
      </c>
      <c r="J313" s="9" t="n"/>
      <c r="K313" s="9" t="n"/>
      <c r="L313" s="9" t="inlineStr">
        <is>
          <t>пн-пт по 2 пары с 14-45</t>
        </is>
      </c>
      <c r="M313" s="12">
        <f>SUMIFS($E$2:$E$1130,$A$2:$A$1130,"осень",$I$2:$I$1130,I313)</f>
        <v/>
      </c>
      <c r="N313" s="13">
        <f>SUMIFS($E$2:$E$1130,$A$2:$A$1130,"весна",$I$2:$I$1130,I313)</f>
        <v/>
      </c>
      <c r="O313" s="14">
        <f>M313+N313</f>
        <v/>
      </c>
      <c r="P313" s="15">
        <f>O313/$P$1</f>
        <v/>
      </c>
    </row>
    <row r="314" ht="15.75" customHeight="1" s="2">
      <c r="A314" s="117" t="inlineStr">
        <is>
          <t>осень</t>
        </is>
      </c>
      <c r="B314" s="9" t="inlineStr">
        <is>
          <t>Проектирование сварных и паяных конструкций</t>
        </is>
      </c>
      <c r="C314" s="9" t="inlineStr">
        <is>
          <t>Консультация</t>
        </is>
      </c>
      <c r="D314" s="9" t="inlineStr">
        <is>
          <t>Т1О-401Б-17</t>
        </is>
      </c>
      <c r="E314" s="10" t="n">
        <v>2</v>
      </c>
      <c r="F314" s="9" t="inlineStr">
        <is>
          <t>06256</t>
        </is>
      </c>
      <c r="G314" s="11" t="n">
        <v>0</v>
      </c>
      <c r="H314" s="9" t="inlineStr">
        <is>
          <t xml:space="preserve">82023     </t>
        </is>
      </c>
      <c r="I314" s="9" t="inlineStr">
        <is>
          <t xml:space="preserve">Федоров Сергей Александрович </t>
        </is>
      </c>
      <c r="J314" s="9" t="n"/>
      <c r="K314" s="9" t="n"/>
      <c r="L314" s="9" t="inlineStr">
        <is>
          <t>пн-пт по 2 пары с 14-45</t>
        </is>
      </c>
      <c r="M314" s="12">
        <f>SUMIFS($E$2:$E$1130,$A$2:$A$1130,"осень",$I$2:$I$1130,I314)</f>
        <v/>
      </c>
      <c r="N314" s="13">
        <f>SUMIFS($E$2:$E$1130,$A$2:$A$1130,"весна",$I$2:$I$1130,I314)</f>
        <v/>
      </c>
      <c r="O314" s="14">
        <f>M314+N314</f>
        <v/>
      </c>
      <c r="P314" s="15">
        <f>O314/$P$1</f>
        <v/>
      </c>
    </row>
    <row r="315" ht="15.75" customHeight="1" s="2">
      <c r="A315" s="117" t="inlineStr">
        <is>
          <t>осень</t>
        </is>
      </c>
      <c r="B315" s="9" t="inlineStr">
        <is>
          <t>Информационные технологии  в металлургии</t>
        </is>
      </c>
      <c r="C315" s="9" t="inlineStr">
        <is>
          <t>ЛК</t>
        </is>
      </c>
      <c r="D315" s="9" t="inlineStr">
        <is>
          <t>Т1В-516Б-16</t>
        </is>
      </c>
      <c r="E315" s="10" t="n">
        <v>16</v>
      </c>
      <c r="F315" s="9" t="inlineStr">
        <is>
          <t>04644</t>
        </is>
      </c>
      <c r="G315" s="10" t="n">
        <v>16</v>
      </c>
      <c r="H315" s="9" t="inlineStr">
        <is>
          <t xml:space="preserve">81720     </t>
        </is>
      </c>
      <c r="I315" s="9" t="inlineStr">
        <is>
          <t xml:space="preserve">Палтиевич Андрей Романович </t>
        </is>
      </c>
      <c r="J315" s="9" t="n"/>
      <c r="K315" s="9" t="n"/>
      <c r="L315" s="9" t="inlineStr">
        <is>
          <t>кроме вторника (523 А)</t>
        </is>
      </c>
      <c r="M315" s="12">
        <f>SUMIFS($E$2:$E$1130,$A$2:$A$1130,"осень",$I$2:$I$1130,I315)</f>
        <v/>
      </c>
      <c r="N315" s="13">
        <f>SUMIFS($E$2:$E$1130,$A$2:$A$1130,"весна",$I$2:$I$1130,I315)</f>
        <v/>
      </c>
      <c r="O315" s="14">
        <f>M315+N315</f>
        <v/>
      </c>
      <c r="P315" s="15">
        <f>O315/$P$1</f>
        <v/>
      </c>
    </row>
    <row r="316" ht="15.75" customHeight="1" s="2">
      <c r="A316" s="117" t="inlineStr">
        <is>
          <t>осень</t>
        </is>
      </c>
      <c r="B316" s="9" t="inlineStr">
        <is>
          <t>Информационные технологии  в металлургии</t>
        </is>
      </c>
      <c r="C316" s="9" t="inlineStr">
        <is>
          <t>ПЗ</t>
        </is>
      </c>
      <c r="D316" s="9" t="inlineStr">
        <is>
          <t>Т1В-516Б-16</t>
        </is>
      </c>
      <c r="E316" s="10" t="n">
        <v>8</v>
      </c>
      <c r="F316" s="9" t="inlineStr">
        <is>
          <t>04644</t>
        </is>
      </c>
      <c r="G316" s="10" t="n">
        <v>8</v>
      </c>
      <c r="H316" s="9" t="inlineStr">
        <is>
          <t xml:space="preserve">81720     </t>
        </is>
      </c>
      <c r="I316" s="9" t="inlineStr">
        <is>
          <t xml:space="preserve">Палтиевич Андрей Романович </t>
        </is>
      </c>
      <c r="J316" s="9" t="n"/>
      <c r="K316" s="9" t="n"/>
      <c r="L316" s="9" t="inlineStr">
        <is>
          <t>кроме вторника (521А, 522А, 525А)</t>
        </is>
      </c>
      <c r="M316" s="12">
        <f>SUMIFS($E$2:$E$1130,$A$2:$A$1130,"осень",$I$2:$I$1130,I316)</f>
        <v/>
      </c>
      <c r="N316" s="13">
        <f>SUMIFS($E$2:$E$1130,$A$2:$A$1130,"весна",$I$2:$I$1130,I316)</f>
        <v/>
      </c>
      <c r="O316" s="14">
        <f>M316+N316</f>
        <v/>
      </c>
      <c r="P316" s="15">
        <f>O316/$P$1</f>
        <v/>
      </c>
    </row>
    <row r="317" ht="15.75" customHeight="1" s="2">
      <c r="A317" s="117" t="inlineStr">
        <is>
          <t>осень</t>
        </is>
      </c>
      <c r="B317" s="9" t="inlineStr">
        <is>
          <t>Информационные технологии  в металлургии</t>
        </is>
      </c>
      <c r="C317" s="9" t="inlineStr">
        <is>
          <t>Экзамен</t>
        </is>
      </c>
      <c r="D317" s="9" t="inlineStr">
        <is>
          <t>Т1В-516Б-16</t>
        </is>
      </c>
      <c r="E317" s="10" t="n">
        <v>3</v>
      </c>
      <c r="F317" s="9" t="inlineStr">
        <is>
          <t>04644</t>
        </is>
      </c>
      <c r="G317" s="11" t="n">
        <v>0</v>
      </c>
      <c r="H317" s="9" t="inlineStr">
        <is>
          <t xml:space="preserve">81720     </t>
        </is>
      </c>
      <c r="I317" s="9" t="inlineStr">
        <is>
          <t xml:space="preserve">Палтиевич Андрей Романович </t>
        </is>
      </c>
      <c r="J317" s="9" t="n"/>
      <c r="K317" s="9" t="n"/>
      <c r="L317" s="9" t="inlineStr">
        <is>
          <t>кроме вторника (521А, 522А, 525А)</t>
        </is>
      </c>
      <c r="M317" s="12">
        <f>SUMIFS($E$2:$E$1130,$A$2:$A$1130,"осень",$I$2:$I$1130,I317)</f>
        <v/>
      </c>
      <c r="N317" s="13">
        <f>SUMIFS($E$2:$E$1130,$A$2:$A$1130,"весна",$I$2:$I$1130,I317)</f>
        <v/>
      </c>
      <c r="O317" s="14">
        <f>M317+N317</f>
        <v/>
      </c>
      <c r="P317" s="15">
        <f>O317/$P$1</f>
        <v/>
      </c>
    </row>
    <row r="318" ht="15.75" customHeight="1" s="2">
      <c r="A318" s="117" t="inlineStr">
        <is>
          <t>осень</t>
        </is>
      </c>
      <c r="B318" s="9" t="inlineStr">
        <is>
          <t>Информационные технологии  в металлургии</t>
        </is>
      </c>
      <c r="C318" s="9" t="inlineStr">
        <is>
          <t>КСР</t>
        </is>
      </c>
      <c r="D318" s="9" t="inlineStr">
        <is>
          <t>Т1В-516Б-16</t>
        </is>
      </c>
      <c r="E318" s="10" t="n">
        <v>8</v>
      </c>
      <c r="F318" s="9" t="inlineStr">
        <is>
          <t>04644</t>
        </is>
      </c>
      <c r="G318" s="10" t="n">
        <v>8</v>
      </c>
      <c r="H318" s="9" t="inlineStr">
        <is>
          <t xml:space="preserve">81720     </t>
        </is>
      </c>
      <c r="I318" s="9" t="inlineStr">
        <is>
          <t xml:space="preserve">Палтиевич Андрей Романович </t>
        </is>
      </c>
      <c r="J318" s="9" t="n"/>
      <c r="K318" s="9" t="n"/>
      <c r="L318" s="9" t="inlineStr">
        <is>
          <t>кроме вторника (521А, 522А, 525А)</t>
        </is>
      </c>
      <c r="M318" s="12">
        <f>SUMIFS($E$2:$E$1130,$A$2:$A$1130,"осень",$I$2:$I$1130,I318)</f>
        <v/>
      </c>
      <c r="N318" s="13">
        <f>SUMIFS($E$2:$E$1130,$A$2:$A$1130,"весна",$I$2:$I$1130,I318)</f>
        <v/>
      </c>
      <c r="O318" s="14">
        <f>M318+N318</f>
        <v/>
      </c>
      <c r="P318" s="15">
        <f>O318/$P$1</f>
        <v/>
      </c>
    </row>
    <row r="319" ht="15.75" customHeight="1" s="2">
      <c r="A319" s="117" t="inlineStr">
        <is>
          <t>осень</t>
        </is>
      </c>
      <c r="B319" s="9" t="inlineStr">
        <is>
          <t>Информационные технологии  в металлургии</t>
        </is>
      </c>
      <c r="C319" s="9" t="inlineStr">
        <is>
          <t>Консультация</t>
        </is>
      </c>
      <c r="D319" s="9" t="inlineStr">
        <is>
          <t>Т1В-516Б-16</t>
        </is>
      </c>
      <c r="E319" s="10" t="n">
        <v>4</v>
      </c>
      <c r="F319" s="9" t="inlineStr">
        <is>
          <t>04644</t>
        </is>
      </c>
      <c r="G319" s="11" t="n">
        <v>0</v>
      </c>
      <c r="H319" s="9" t="inlineStr">
        <is>
          <t xml:space="preserve">81720     </t>
        </is>
      </c>
      <c r="I319" s="9" t="inlineStr">
        <is>
          <t>Монастырский Алексей Валерьевич</t>
        </is>
      </c>
      <c r="J319" s="21" t="inlineStr">
        <is>
          <t>КОМПЕНСАЦИЯ</t>
        </is>
      </c>
      <c r="K319" s="9" t="n"/>
      <c r="L319" s="9" t="inlineStr">
        <is>
          <t>кроме вторника</t>
        </is>
      </c>
      <c r="M319" s="12">
        <f>SUMIFS($E$2:$E$1130,$A$2:$A$1130,"осень",$I$2:$I$1130,I319)</f>
        <v/>
      </c>
      <c r="N319" s="13">
        <f>SUMIFS($E$2:$E$1130,$A$2:$A$1130,"весна",$I$2:$I$1130,I319)</f>
        <v/>
      </c>
      <c r="O319" s="14">
        <f>M319+N319</f>
        <v/>
      </c>
      <c r="P319" s="15">
        <f>O319/$P$1</f>
        <v/>
      </c>
    </row>
    <row r="320" ht="15.75" customHeight="1" s="2">
      <c r="A320" s="117" t="inlineStr">
        <is>
          <t>осень</t>
        </is>
      </c>
      <c r="B320" s="9" t="inlineStr">
        <is>
          <t>Твердофазные методы получения композиционных материалов</t>
        </is>
      </c>
      <c r="C320" s="9" t="inlineStr">
        <is>
          <t>ЛК</t>
        </is>
      </c>
      <c r="D320" s="9" t="inlineStr">
        <is>
          <t>Т1О-402Б-17</t>
        </is>
      </c>
      <c r="E320" s="10" t="n">
        <v>24</v>
      </c>
      <c r="F320" s="9" t="inlineStr">
        <is>
          <t>04517</t>
        </is>
      </c>
      <c r="G320" s="10" t="n">
        <v>24</v>
      </c>
      <c r="H320" s="9" t="inlineStr">
        <is>
          <t xml:space="preserve">82090     </t>
        </is>
      </c>
      <c r="I320" s="9" t="inlineStr">
        <is>
          <t xml:space="preserve">Барабанова Ольга Алексеевна </t>
        </is>
      </c>
      <c r="J320" s="9" t="n"/>
      <c r="K320" s="9" t="n"/>
      <c r="L320" s="9" t="inlineStr">
        <is>
          <t>пятница с 13-00.</t>
        </is>
      </c>
      <c r="M320" s="12">
        <f>SUMIFS($E$2:$E$1130,$A$2:$A$1130,"осень",$I$2:$I$1130,I320)</f>
        <v/>
      </c>
      <c r="N320" s="13">
        <f>SUMIFS($E$2:$E$1130,$A$2:$A$1130,"весна",$I$2:$I$1130,I320)</f>
        <v/>
      </c>
      <c r="O320" s="14">
        <f>M320+N320</f>
        <v/>
      </c>
      <c r="P320" s="15">
        <f>O320/$P$1</f>
        <v/>
      </c>
    </row>
    <row r="321" ht="15.75" customHeight="1" s="2">
      <c r="A321" s="117" t="inlineStr">
        <is>
          <t>осень</t>
        </is>
      </c>
      <c r="B321" s="9" t="inlineStr">
        <is>
          <t>Твердофазные методы получения композиционных материалов</t>
        </is>
      </c>
      <c r="C321" s="9" t="inlineStr">
        <is>
          <t>Зачет с оценкой</t>
        </is>
      </c>
      <c r="D321" s="9" t="inlineStr">
        <is>
          <t>Т1О-402Б-17</t>
        </is>
      </c>
      <c r="E321" s="10" t="n">
        <v>6</v>
      </c>
      <c r="F321" s="9" t="inlineStr">
        <is>
          <t>04517</t>
        </is>
      </c>
      <c r="G321" s="11" t="n">
        <v>0</v>
      </c>
      <c r="H321" s="9" t="inlineStr">
        <is>
          <t xml:space="preserve">82090     </t>
        </is>
      </c>
      <c r="I321" s="9" t="inlineStr">
        <is>
          <t xml:space="preserve">Барабанова Ольга Алексеевна </t>
        </is>
      </c>
      <c r="J321" s="9" t="n"/>
      <c r="K321" s="9" t="n"/>
      <c r="L321" s="9" t="inlineStr">
        <is>
          <t>пятница с 13-00.</t>
        </is>
      </c>
      <c r="M321" s="12">
        <f>SUMIFS($E$2:$E$1130,$A$2:$A$1130,"осень",$I$2:$I$1130,I321)</f>
        <v/>
      </c>
      <c r="N321" s="13">
        <f>SUMIFS($E$2:$E$1130,$A$2:$A$1130,"весна",$I$2:$I$1130,I321)</f>
        <v/>
      </c>
      <c r="O321" s="14">
        <f>M321+N321</f>
        <v/>
      </c>
      <c r="P321" s="15">
        <f>O321/$P$1</f>
        <v/>
      </c>
    </row>
    <row r="322" ht="15.75" customHeight="1" s="2">
      <c r="A322" s="117" t="inlineStr">
        <is>
          <t>осень</t>
        </is>
      </c>
      <c r="B322" s="9" t="inlineStr">
        <is>
          <t>Твердофазные методы получения композиционных материалов</t>
        </is>
      </c>
      <c r="C322" s="9" t="inlineStr">
        <is>
          <t>ПЗ</t>
        </is>
      </c>
      <c r="D322" s="9" t="inlineStr">
        <is>
          <t>Т1О-402Б-17</t>
        </is>
      </c>
      <c r="E322" s="10" t="n">
        <v>28</v>
      </c>
      <c r="F322" s="9" t="inlineStr">
        <is>
          <t>04517</t>
        </is>
      </c>
      <c r="G322" s="10" t="n">
        <v>28</v>
      </c>
      <c r="H322" s="9" t="inlineStr">
        <is>
          <t xml:space="preserve">82090     </t>
        </is>
      </c>
      <c r="I322" s="9" t="inlineStr">
        <is>
          <t xml:space="preserve">Барабанова Ольга Алексеевна </t>
        </is>
      </c>
      <c r="J322" s="9" t="n"/>
      <c r="K322" s="9" t="n"/>
      <c r="L322" s="9" t="inlineStr">
        <is>
          <t>пятница с 13-00.</t>
        </is>
      </c>
      <c r="M322" s="12">
        <f>SUMIFS($E$2:$E$1130,$A$2:$A$1130,"осень",$I$2:$I$1130,I322)</f>
        <v/>
      </c>
      <c r="N322" s="13">
        <f>SUMIFS($E$2:$E$1130,$A$2:$A$1130,"весна",$I$2:$I$1130,I322)</f>
        <v/>
      </c>
      <c r="O322" s="14">
        <f>M322+N322</f>
        <v/>
      </c>
      <c r="P322" s="15">
        <f>O322/$P$1</f>
        <v/>
      </c>
    </row>
    <row r="323" ht="15.75" customHeight="1" s="2">
      <c r="A323" s="117" t="inlineStr">
        <is>
          <t>осень</t>
        </is>
      </c>
      <c r="B323" s="9" t="inlineStr">
        <is>
          <t>Твердофазные методы получения композиционных материалов</t>
        </is>
      </c>
      <c r="C323" s="9" t="inlineStr">
        <is>
          <t>ЛР</t>
        </is>
      </c>
      <c r="D323" s="9" t="inlineStr">
        <is>
          <t>Т1О-402Б-17</t>
        </is>
      </c>
      <c r="E323" s="10" t="n">
        <v>16</v>
      </c>
      <c r="F323" s="9" t="inlineStr">
        <is>
          <t>04517</t>
        </is>
      </c>
      <c r="G323" s="10" t="n">
        <v>8</v>
      </c>
      <c r="H323" s="9" t="inlineStr">
        <is>
          <t xml:space="preserve">82090     </t>
        </is>
      </c>
      <c r="I323" s="9" t="inlineStr">
        <is>
          <t xml:space="preserve">Барабанова Ольга Алексеевна </t>
        </is>
      </c>
      <c r="J323" s="9" t="n"/>
      <c r="K323" s="9" t="n"/>
      <c r="L323" s="9" t="inlineStr">
        <is>
          <t>пятница с 13-00.</t>
        </is>
      </c>
      <c r="M323" s="12">
        <f>SUMIFS($E$2:$E$1130,$A$2:$A$1130,"осень",$I$2:$I$1130,I323)</f>
        <v/>
      </c>
      <c r="N323" s="13">
        <f>SUMIFS($E$2:$E$1130,$A$2:$A$1130,"весна",$I$2:$I$1130,I323)</f>
        <v/>
      </c>
      <c r="O323" s="14">
        <f>M323+N323</f>
        <v/>
      </c>
      <c r="P323" s="15">
        <f>O323/$P$1</f>
        <v/>
      </c>
    </row>
    <row r="324" ht="15.75" customHeight="1" s="2">
      <c r="A324" s="117" t="inlineStr">
        <is>
          <t>осень</t>
        </is>
      </c>
      <c r="B324" s="9" t="inlineStr">
        <is>
          <t>Твердофазные методы получения композиционных материалов</t>
        </is>
      </c>
      <c r="C324" s="9" t="inlineStr">
        <is>
          <t>Консультация</t>
        </is>
      </c>
      <c r="D324" s="9" t="inlineStr">
        <is>
          <t>Т1О-402Б-17</t>
        </is>
      </c>
      <c r="E324" s="10" t="n">
        <v>1</v>
      </c>
      <c r="F324" s="9" t="inlineStr">
        <is>
          <t>04517</t>
        </is>
      </c>
      <c r="G324" s="11" t="n">
        <v>0</v>
      </c>
      <c r="H324" s="9" t="inlineStr">
        <is>
          <t xml:space="preserve">82090     </t>
        </is>
      </c>
      <c r="I324" s="9" t="inlineStr">
        <is>
          <t xml:space="preserve">Барабанова Ольга Алексеевна </t>
        </is>
      </c>
      <c r="J324" s="9" t="n"/>
      <c r="K324" s="9" t="n"/>
      <c r="L324" s="9" t="inlineStr">
        <is>
          <t>пятница с 13-00.</t>
        </is>
      </c>
      <c r="M324" s="12">
        <f>SUMIFS($E$2:$E$1130,$A$2:$A$1130,"осень",$I$2:$I$1130,I324)</f>
        <v/>
      </c>
      <c r="N324" s="13">
        <f>SUMIFS($E$2:$E$1130,$A$2:$A$1130,"весна",$I$2:$I$1130,I324)</f>
        <v/>
      </c>
      <c r="O324" s="14">
        <f>M324+N324</f>
        <v/>
      </c>
      <c r="P324" s="15">
        <f>O324/$P$1</f>
        <v/>
      </c>
    </row>
    <row r="325" ht="15.75" customHeight="1" s="2">
      <c r="A325" s="117" t="inlineStr">
        <is>
          <t>осень</t>
        </is>
      </c>
      <c r="B325" s="9" t="inlineStr">
        <is>
          <t>Теория затвердевания отливки</t>
        </is>
      </c>
      <c r="C325" s="9" t="inlineStr">
        <is>
          <t>ЛК</t>
        </is>
      </c>
      <c r="D325" s="9" t="inlineStr">
        <is>
          <t>Т1О-402Б-17</t>
        </is>
      </c>
      <c r="E325" s="10" t="n">
        <v>24</v>
      </c>
      <c r="F325" s="9" t="inlineStr">
        <is>
          <t>04517</t>
        </is>
      </c>
      <c r="G325" s="10" t="n">
        <v>24</v>
      </c>
      <c r="H325" s="9" t="inlineStr">
        <is>
          <t xml:space="preserve">82086     </t>
        </is>
      </c>
      <c r="I325" s="9" t="inlineStr">
        <is>
          <t xml:space="preserve">Смыков Андрей Федорович </t>
        </is>
      </c>
      <c r="J325" s="9" t="inlineStr">
        <is>
          <t>профессор</t>
        </is>
      </c>
      <c r="K325" s="9" t="n"/>
      <c r="L325" s="9" t="n"/>
      <c r="M325" s="12">
        <f>SUMIFS($E$2:$E$1130,$A$2:$A$1130,"осень",$I$2:$I$1130,I325)</f>
        <v/>
      </c>
      <c r="N325" s="13">
        <f>SUMIFS($E$2:$E$1130,$A$2:$A$1130,"весна",$I$2:$I$1130,I325)</f>
        <v/>
      </c>
      <c r="O325" s="14">
        <f>M325+N325</f>
        <v/>
      </c>
      <c r="P325" s="15">
        <f>O325/$P$1</f>
        <v/>
      </c>
    </row>
    <row r="326" ht="15.75" customHeight="1" s="2">
      <c r="A326" s="117" t="inlineStr">
        <is>
          <t>осень</t>
        </is>
      </c>
      <c r="B326" s="9" t="inlineStr">
        <is>
          <t>Теория затвердевания отливки</t>
        </is>
      </c>
      <c r="C326" s="9" t="inlineStr">
        <is>
          <t>Зачет с оценкой</t>
        </is>
      </c>
      <c r="D326" s="9" t="inlineStr">
        <is>
          <t>Т1О-402Б-17</t>
        </is>
      </c>
      <c r="E326" s="10" t="n">
        <v>6</v>
      </c>
      <c r="F326" s="9" t="inlineStr">
        <is>
          <t>04517</t>
        </is>
      </c>
      <c r="G326" s="11" t="n">
        <v>0</v>
      </c>
      <c r="H326" s="9" t="inlineStr">
        <is>
          <t xml:space="preserve">82086     </t>
        </is>
      </c>
      <c r="I326" s="9" t="inlineStr">
        <is>
          <t xml:space="preserve">Смыков Андрей Федорович </t>
        </is>
      </c>
      <c r="J326" s="9" t="inlineStr">
        <is>
          <t>профессор</t>
        </is>
      </c>
      <c r="K326" s="9" t="n"/>
      <c r="L326" s="9" t="n"/>
      <c r="M326" s="12">
        <f>SUMIFS($E$2:$E$1130,$A$2:$A$1130,"осень",$I$2:$I$1130,I326)</f>
        <v/>
      </c>
      <c r="N326" s="13">
        <f>SUMIFS($E$2:$E$1130,$A$2:$A$1130,"весна",$I$2:$I$1130,I326)</f>
        <v/>
      </c>
      <c r="O326" s="14">
        <f>M326+N326</f>
        <v/>
      </c>
      <c r="P326" s="15">
        <f>O326/$P$1</f>
        <v/>
      </c>
    </row>
    <row r="327" ht="15.75" customHeight="1" s="2">
      <c r="A327" s="117" t="inlineStr">
        <is>
          <t>осень</t>
        </is>
      </c>
      <c r="B327" s="9" t="inlineStr">
        <is>
          <t>Теория затвердевания отливки</t>
        </is>
      </c>
      <c r="C327" s="9" t="inlineStr">
        <is>
          <t>ПЗ</t>
        </is>
      </c>
      <c r="D327" s="9" t="inlineStr">
        <is>
          <t>Т1О-402Б-17</t>
        </is>
      </c>
      <c r="E327" s="10" t="n">
        <v>12</v>
      </c>
      <c r="F327" s="9" t="inlineStr">
        <is>
          <t>04517</t>
        </is>
      </c>
      <c r="G327" s="10" t="n">
        <v>12</v>
      </c>
      <c r="H327" s="9" t="inlineStr">
        <is>
          <t xml:space="preserve">82086     </t>
        </is>
      </c>
      <c r="I327" s="9" t="inlineStr">
        <is>
          <t xml:space="preserve">Смыков Андрей Федорович </t>
        </is>
      </c>
      <c r="J327" s="9" t="inlineStr">
        <is>
          <t>профессор</t>
        </is>
      </c>
      <c r="K327" s="9" t="n"/>
      <c r="L327" s="9" t="n"/>
      <c r="M327" s="12">
        <f>SUMIFS($E$2:$E$1130,$A$2:$A$1130,"осень",$I$2:$I$1130,I327)</f>
        <v/>
      </c>
      <c r="N327" s="13">
        <f>SUMIFS($E$2:$E$1130,$A$2:$A$1130,"весна",$I$2:$I$1130,I327)</f>
        <v/>
      </c>
      <c r="O327" s="14">
        <f>M327+N327</f>
        <v/>
      </c>
      <c r="P327" s="15">
        <f>O327/$P$1</f>
        <v/>
      </c>
    </row>
    <row r="328" ht="15.75" customHeight="1" s="2">
      <c r="A328" s="117" t="inlineStr">
        <is>
          <t>осень</t>
        </is>
      </c>
      <c r="B328" s="9" t="inlineStr">
        <is>
          <t>Теория затвердевания отливки</t>
        </is>
      </c>
      <c r="C328" s="9" t="inlineStr">
        <is>
          <t>ЛР</t>
        </is>
      </c>
      <c r="D328" s="9" t="inlineStr">
        <is>
          <t>Т1О-402Б-17</t>
        </is>
      </c>
      <c r="E328" s="10" t="n">
        <v>48</v>
      </c>
      <c r="F328" s="9" t="inlineStr">
        <is>
          <t>04517</t>
        </is>
      </c>
      <c r="G328" s="10" t="n">
        <v>24</v>
      </c>
      <c r="H328" s="9" t="inlineStr">
        <is>
          <t xml:space="preserve">82086     </t>
        </is>
      </c>
      <c r="I328" s="9" t="inlineStr">
        <is>
          <t xml:space="preserve">Смыков Андрей Федорович </t>
        </is>
      </c>
      <c r="J328" s="9" t="inlineStr">
        <is>
          <t>профессор</t>
        </is>
      </c>
      <c r="K328" s="9" t="n"/>
      <c r="L328" s="9" t="n"/>
      <c r="M328" s="12">
        <f>SUMIFS($E$2:$E$1130,$A$2:$A$1130,"осень",$I$2:$I$1130,I328)</f>
        <v/>
      </c>
      <c r="N328" s="13">
        <f>SUMIFS($E$2:$E$1130,$A$2:$A$1130,"весна",$I$2:$I$1130,I328)</f>
        <v/>
      </c>
      <c r="O328" s="14">
        <f>M328+N328</f>
        <v/>
      </c>
      <c r="P328" s="15">
        <f>O328/$P$1</f>
        <v/>
      </c>
    </row>
    <row r="329" ht="15.75" customHeight="1" s="2">
      <c r="A329" s="117" t="inlineStr">
        <is>
          <t>осень</t>
        </is>
      </c>
      <c r="B329" s="9" t="inlineStr">
        <is>
          <t>Теория затвердевания отливки</t>
        </is>
      </c>
      <c r="C329" s="9" t="inlineStr">
        <is>
          <t>Консультация</t>
        </is>
      </c>
      <c r="D329" s="9" t="inlineStr">
        <is>
          <t>Т1О-402Б-17</t>
        </is>
      </c>
      <c r="E329" s="10" t="n">
        <v>1</v>
      </c>
      <c r="F329" s="9" t="inlineStr">
        <is>
          <t>04517</t>
        </is>
      </c>
      <c r="G329" s="11" t="n">
        <v>0</v>
      </c>
      <c r="H329" s="9" t="inlineStr">
        <is>
          <t xml:space="preserve">82086     </t>
        </is>
      </c>
      <c r="I329" s="9" t="inlineStr">
        <is>
          <t xml:space="preserve">Смыков Андрей Федорович </t>
        </is>
      </c>
      <c r="J329" s="9" t="inlineStr">
        <is>
          <t>профессор</t>
        </is>
      </c>
      <c r="K329" s="9" t="n"/>
      <c r="L329" s="9" t="n"/>
      <c r="M329" s="12">
        <f>SUMIFS($E$2:$E$1130,$A$2:$A$1130,"осень",$I$2:$I$1130,I329)</f>
        <v/>
      </c>
      <c r="N329" s="13">
        <f>SUMIFS($E$2:$E$1130,$A$2:$A$1130,"весна",$I$2:$I$1130,I329)</f>
        <v/>
      </c>
      <c r="O329" s="14">
        <f>M329+N329</f>
        <v/>
      </c>
      <c r="P329" s="15">
        <f>O329/$P$1</f>
        <v/>
      </c>
    </row>
    <row r="330" ht="15.75" customHeight="1" s="2">
      <c r="A330" s="117" t="inlineStr">
        <is>
          <t>осень</t>
        </is>
      </c>
      <c r="B330" s="9" t="inlineStr">
        <is>
          <t>Оборудование и автоматизация литейных цехов</t>
        </is>
      </c>
      <c r="C330" s="9" t="inlineStr">
        <is>
          <t>ЛК</t>
        </is>
      </c>
      <c r="D330" s="9" t="inlineStr">
        <is>
          <t>Т1О-402Б-17</t>
        </is>
      </c>
      <c r="E330" s="10" t="n">
        <v>28</v>
      </c>
      <c r="F330" s="9" t="inlineStr">
        <is>
          <t>04517</t>
        </is>
      </c>
      <c r="G330" s="10" t="n">
        <v>28</v>
      </c>
      <c r="H330" s="9" t="inlineStr">
        <is>
          <t xml:space="preserve">82020     </t>
        </is>
      </c>
      <c r="I330" s="9" t="inlineStr">
        <is>
          <t xml:space="preserve">Варфоломеев Максим Сергеевич </t>
        </is>
      </c>
      <c r="J330" s="9" t="inlineStr">
        <is>
          <t>доцент</t>
        </is>
      </c>
      <c r="K330" s="9" t="n"/>
      <c r="L330" s="9" t="inlineStr">
        <is>
          <t>не более двух дней в неделю</t>
        </is>
      </c>
      <c r="M330" s="12">
        <f>SUMIFS($E$2:$E$1130,$A$2:$A$1130,"осень",$I$2:$I$1130,I330)</f>
        <v/>
      </c>
      <c r="N330" s="13">
        <f>SUMIFS($E$2:$E$1130,$A$2:$A$1130,"весна",$I$2:$I$1130,I330)</f>
        <v/>
      </c>
      <c r="O330" s="14">
        <f>M330+N330</f>
        <v/>
      </c>
      <c r="P330" s="15">
        <f>O330/$P$1</f>
        <v/>
      </c>
    </row>
    <row r="331" ht="15.75" customHeight="1" s="2">
      <c r="A331" s="117" t="inlineStr">
        <is>
          <t>осень</t>
        </is>
      </c>
      <c r="B331" s="9" t="inlineStr">
        <is>
          <t>Оборудование и автоматизация литейных цехов</t>
        </is>
      </c>
      <c r="C331" s="9" t="inlineStr">
        <is>
          <t>Зачет с оценкой</t>
        </is>
      </c>
      <c r="D331" s="9" t="inlineStr">
        <is>
          <t>Т1О-402Б-17</t>
        </is>
      </c>
      <c r="E331" s="10" t="n">
        <v>6</v>
      </c>
      <c r="F331" s="9" t="inlineStr">
        <is>
          <t>04517</t>
        </is>
      </c>
      <c r="G331" s="11" t="n">
        <v>0</v>
      </c>
      <c r="H331" s="9" t="inlineStr">
        <is>
          <t xml:space="preserve">82020     </t>
        </is>
      </c>
      <c r="I331" s="9" t="inlineStr">
        <is>
          <t xml:space="preserve">Варфоломеев Максим Сергеевич </t>
        </is>
      </c>
      <c r="J331" s="9" t="inlineStr">
        <is>
          <t>доцент</t>
        </is>
      </c>
      <c r="K331" s="9" t="n"/>
      <c r="L331" s="9" t="inlineStr">
        <is>
          <t>не более двух дней в неделю</t>
        </is>
      </c>
      <c r="M331" s="12">
        <f>SUMIFS($E$2:$E$1130,$A$2:$A$1130,"осень",$I$2:$I$1130,I331)</f>
        <v/>
      </c>
      <c r="N331" s="13">
        <f>SUMIFS($E$2:$E$1130,$A$2:$A$1130,"весна",$I$2:$I$1130,I331)</f>
        <v/>
      </c>
      <c r="O331" s="14">
        <f>M331+N331</f>
        <v/>
      </c>
      <c r="P331" s="15">
        <f>O331/$P$1</f>
        <v/>
      </c>
    </row>
    <row r="332" ht="15.75" customHeight="1" s="2">
      <c r="A332" s="117" t="inlineStr">
        <is>
          <t>осень</t>
        </is>
      </c>
      <c r="B332" s="9" t="inlineStr">
        <is>
          <t>Оборудование и автоматизация литейных цехов</t>
        </is>
      </c>
      <c r="C332" s="9" t="inlineStr">
        <is>
          <t>ПЗ</t>
        </is>
      </c>
      <c r="D332" s="9" t="inlineStr">
        <is>
          <t>Т1О-402Б-17</t>
        </is>
      </c>
      <c r="E332" s="10" t="n">
        <v>32</v>
      </c>
      <c r="F332" s="9" t="inlineStr">
        <is>
          <t>04517</t>
        </is>
      </c>
      <c r="G332" s="10" t="n">
        <v>32</v>
      </c>
      <c r="H332" s="9" t="inlineStr">
        <is>
          <t xml:space="preserve">82020     </t>
        </is>
      </c>
      <c r="I332" s="9" t="inlineStr">
        <is>
          <t xml:space="preserve">Варфоломеев Максим Сергеевич </t>
        </is>
      </c>
      <c r="J332" s="9" t="inlineStr">
        <is>
          <t>доцент</t>
        </is>
      </c>
      <c r="K332" s="9" t="n"/>
      <c r="L332" s="9" t="inlineStr">
        <is>
          <t>не более двух дней в неделю</t>
        </is>
      </c>
      <c r="M332" s="12">
        <f>SUMIFS($E$2:$E$1130,$A$2:$A$1130,"осень",$I$2:$I$1130,I332)</f>
        <v/>
      </c>
      <c r="N332" s="13">
        <f>SUMIFS($E$2:$E$1130,$A$2:$A$1130,"весна",$I$2:$I$1130,I332)</f>
        <v/>
      </c>
      <c r="O332" s="14">
        <f>M332+N332</f>
        <v/>
      </c>
      <c r="P332" s="15">
        <f>O332/$P$1</f>
        <v/>
      </c>
    </row>
    <row r="333" ht="15.75" customHeight="1" s="2">
      <c r="A333" s="117" t="inlineStr">
        <is>
          <t>осень</t>
        </is>
      </c>
      <c r="B333" s="9" t="inlineStr">
        <is>
          <t>Оборудование и автоматизация литейных цехов</t>
        </is>
      </c>
      <c r="C333" s="9" t="inlineStr">
        <is>
          <t>Консультация</t>
        </is>
      </c>
      <c r="D333" s="9" t="inlineStr">
        <is>
          <t>Т1О-402Б-17</t>
        </is>
      </c>
      <c r="E333" s="10" t="n">
        <v>1</v>
      </c>
      <c r="F333" s="9" t="inlineStr">
        <is>
          <t>04517</t>
        </is>
      </c>
      <c r="G333" s="11" t="n">
        <v>0</v>
      </c>
      <c r="H333" s="9" t="inlineStr">
        <is>
          <t xml:space="preserve">82020     </t>
        </is>
      </c>
      <c r="I333" s="9" t="inlineStr">
        <is>
          <t xml:space="preserve">Варфоломеев Максим Сергеевич </t>
        </is>
      </c>
      <c r="J333" s="9" t="inlineStr">
        <is>
          <t>доцент</t>
        </is>
      </c>
      <c r="K333" s="9" t="n"/>
      <c r="L333" s="9" t="inlineStr">
        <is>
          <t>не более двух дней в неделю</t>
        </is>
      </c>
      <c r="M333" s="12">
        <f>SUMIFS($E$2:$E$1130,$A$2:$A$1130,"осень",$I$2:$I$1130,I333)</f>
        <v/>
      </c>
      <c r="N333" s="13">
        <f>SUMIFS($E$2:$E$1130,$A$2:$A$1130,"весна",$I$2:$I$1130,I333)</f>
        <v/>
      </c>
      <c r="O333" s="14">
        <f>M333+N333</f>
        <v/>
      </c>
      <c r="P333" s="15">
        <f>O333/$P$1</f>
        <v/>
      </c>
    </row>
    <row r="334" ht="15.75" customHeight="1" s="2">
      <c r="A334" s="117" t="inlineStr">
        <is>
          <t>осень</t>
        </is>
      </c>
      <c r="B334" s="9" t="inlineStr">
        <is>
          <t>Прикладные системы ИПИ технологий</t>
        </is>
      </c>
      <c r="C334" s="9" t="inlineStr">
        <is>
          <t>ЛК</t>
        </is>
      </c>
      <c r="D334" s="9" t="inlineStr">
        <is>
          <t>М3О-434Б-17</t>
        </is>
      </c>
      <c r="E334" s="10" t="n">
        <v>24</v>
      </c>
      <c r="F334" s="9" t="inlineStr">
        <is>
          <t>08457</t>
        </is>
      </c>
      <c r="G334" s="10" t="n">
        <v>24</v>
      </c>
      <c r="H334" s="9" t="inlineStr">
        <is>
          <t xml:space="preserve">81724     </t>
        </is>
      </c>
      <c r="I334" s="9" t="inlineStr">
        <is>
          <t xml:space="preserve">Галкин Евгений Владимирович </t>
        </is>
      </c>
      <c r="J334" s="9" t="inlineStr">
        <is>
          <t>доцент</t>
        </is>
      </c>
      <c r="K334" s="9" t="n"/>
      <c r="L334" s="9" t="inlineStr">
        <is>
          <t>кроме пятницы (525 А)</t>
        </is>
      </c>
      <c r="M334" s="12">
        <f>SUMIFS($E$2:$E$1130,$A$2:$A$1130,"осень",$I$2:$I$1130,I334)</f>
        <v/>
      </c>
      <c r="N334" s="13">
        <f>SUMIFS($E$2:$E$1130,$A$2:$A$1130,"весна",$I$2:$I$1130,I334)</f>
        <v/>
      </c>
      <c r="O334" s="14">
        <f>M334+N334</f>
        <v/>
      </c>
      <c r="P334" s="15">
        <f>O334/$P$1</f>
        <v/>
      </c>
    </row>
    <row r="335" ht="15.75" customHeight="1" s="2">
      <c r="A335" s="117" t="inlineStr">
        <is>
          <t>осень</t>
        </is>
      </c>
      <c r="B335" s="9" t="inlineStr">
        <is>
          <t>Прикладные системы ИПИ технологий</t>
        </is>
      </c>
      <c r="C335" s="9" t="inlineStr">
        <is>
          <t>КР</t>
        </is>
      </c>
      <c r="D335" s="9" t="inlineStr">
        <is>
          <t>М3О-434Б-17</t>
        </is>
      </c>
      <c r="E335" s="10" t="n">
        <v>54</v>
      </c>
      <c r="F335" s="9" t="inlineStr">
        <is>
          <t>08457</t>
        </is>
      </c>
      <c r="G335" s="11" t="n">
        <v>0</v>
      </c>
      <c r="H335" s="9" t="inlineStr">
        <is>
          <t xml:space="preserve">81724     </t>
        </is>
      </c>
      <c r="I335" s="9" t="inlineStr">
        <is>
          <t xml:space="preserve">Галкин Евгений Владимирович </t>
        </is>
      </c>
      <c r="J335" s="9" t="inlineStr">
        <is>
          <t>доцент</t>
        </is>
      </c>
      <c r="K335" s="9" t="n"/>
      <c r="L335" s="9" t="inlineStr">
        <is>
          <t>кроме пятницы (525 А)</t>
        </is>
      </c>
      <c r="M335" s="12">
        <f>SUMIFS($E$2:$E$1130,$A$2:$A$1130,"осень",$I$2:$I$1130,I335)</f>
        <v/>
      </c>
      <c r="N335" s="13">
        <f>SUMIFS($E$2:$E$1130,$A$2:$A$1130,"весна",$I$2:$I$1130,I335)</f>
        <v/>
      </c>
      <c r="O335" s="14">
        <f>M335+N335</f>
        <v/>
      </c>
      <c r="P335" s="15">
        <f>O335/$P$1</f>
        <v/>
      </c>
    </row>
    <row r="336" ht="15.75" customHeight="1" s="2">
      <c r="A336" s="117" t="inlineStr">
        <is>
          <t>осень</t>
        </is>
      </c>
      <c r="B336" s="9" t="inlineStr">
        <is>
          <t>Прикладные системы ИПИ технологий</t>
        </is>
      </c>
      <c r="C336" s="9" t="inlineStr">
        <is>
          <t>ПЗ</t>
        </is>
      </c>
      <c r="D336" s="9" t="inlineStr">
        <is>
          <t>М3О-434Б-17</t>
        </is>
      </c>
      <c r="E336" s="10" t="n">
        <v>26</v>
      </c>
      <c r="F336" s="9" t="inlineStr">
        <is>
          <t>08457</t>
        </is>
      </c>
      <c r="G336" s="10" t="n">
        <v>26</v>
      </c>
      <c r="H336" s="9" t="inlineStr">
        <is>
          <t xml:space="preserve">81724     </t>
        </is>
      </c>
      <c r="I336" s="9" t="inlineStr">
        <is>
          <t xml:space="preserve">Галкин Евгений Владимирович </t>
        </is>
      </c>
      <c r="J336" s="9" t="inlineStr">
        <is>
          <t>доцент</t>
        </is>
      </c>
      <c r="K336" s="9" t="n"/>
      <c r="L336" s="9" t="inlineStr">
        <is>
          <t>кроме пятницы (525 А)</t>
        </is>
      </c>
      <c r="M336" s="12">
        <f>SUMIFS($E$2:$E$1130,$A$2:$A$1130,"осень",$I$2:$I$1130,I336)</f>
        <v/>
      </c>
      <c r="N336" s="13">
        <f>SUMIFS($E$2:$E$1130,$A$2:$A$1130,"весна",$I$2:$I$1130,I336)</f>
        <v/>
      </c>
      <c r="O336" s="14">
        <f>M336+N336</f>
        <v/>
      </c>
      <c r="P336" s="15">
        <f>O336/$P$1</f>
        <v/>
      </c>
    </row>
    <row r="337" ht="15.75" customHeight="1" s="2">
      <c r="A337" s="117" t="inlineStr">
        <is>
          <t>осень</t>
        </is>
      </c>
      <c r="B337" s="9" t="inlineStr">
        <is>
          <t>Прикладные системы ИПИ технологий</t>
        </is>
      </c>
      <c r="C337" s="9" t="inlineStr">
        <is>
          <t>ЛР</t>
        </is>
      </c>
      <c r="D337" s="9" t="inlineStr">
        <is>
          <t>М3О-434Б-17</t>
        </is>
      </c>
      <c r="E337" s="10" t="n">
        <v>32</v>
      </c>
      <c r="F337" s="9" t="inlineStr">
        <is>
          <t>08457</t>
        </is>
      </c>
      <c r="G337" s="10" t="n">
        <v>16</v>
      </c>
      <c r="H337" s="9" t="inlineStr">
        <is>
          <t xml:space="preserve">81724     </t>
        </is>
      </c>
      <c r="I337" s="9" t="inlineStr">
        <is>
          <t xml:space="preserve">Галкин Евгений Владимирович </t>
        </is>
      </c>
      <c r="J337" s="9" t="inlineStr">
        <is>
          <t>доцент</t>
        </is>
      </c>
      <c r="K337" s="9" t="n"/>
      <c r="L337" s="9" t="inlineStr">
        <is>
          <t>кроме пятницы (525 А)</t>
        </is>
      </c>
      <c r="M337" s="12">
        <f>SUMIFS($E$2:$E$1130,$A$2:$A$1130,"осень",$I$2:$I$1130,I337)</f>
        <v/>
      </c>
      <c r="N337" s="13">
        <f>SUMIFS($E$2:$E$1130,$A$2:$A$1130,"весна",$I$2:$I$1130,I337)</f>
        <v/>
      </c>
      <c r="O337" s="14">
        <f>M337+N337</f>
        <v/>
      </c>
      <c r="P337" s="15">
        <f>O337/$P$1</f>
        <v/>
      </c>
    </row>
    <row r="338" ht="15.75" customHeight="1" s="2">
      <c r="A338" s="117" t="inlineStr">
        <is>
          <t>осень</t>
        </is>
      </c>
      <c r="B338" s="9" t="inlineStr">
        <is>
          <t>Прикладные системы ИПИ технологий</t>
        </is>
      </c>
      <c r="C338" s="9" t="inlineStr">
        <is>
          <t>Экзамен</t>
        </is>
      </c>
      <c r="D338" s="9" t="inlineStr">
        <is>
          <t>М3О-434Б-17</t>
        </is>
      </c>
      <c r="E338" s="10" t="n">
        <v>9</v>
      </c>
      <c r="F338" s="9" t="inlineStr">
        <is>
          <t>08457</t>
        </is>
      </c>
      <c r="G338" s="11" t="n">
        <v>0</v>
      </c>
      <c r="H338" s="9" t="inlineStr">
        <is>
          <t xml:space="preserve">81724     </t>
        </is>
      </c>
      <c r="I338" s="9" t="inlineStr">
        <is>
          <t xml:space="preserve">Галкин Евгений Владимирович </t>
        </is>
      </c>
      <c r="J338" s="9" t="inlineStr">
        <is>
          <t>доцент</t>
        </is>
      </c>
      <c r="K338" s="9" t="n"/>
      <c r="L338" s="9" t="inlineStr">
        <is>
          <t>кроме пятницы (525 А)</t>
        </is>
      </c>
      <c r="M338" s="12">
        <f>SUMIFS($E$2:$E$1130,$A$2:$A$1130,"осень",$I$2:$I$1130,I338)</f>
        <v/>
      </c>
      <c r="N338" s="13">
        <f>SUMIFS($E$2:$E$1130,$A$2:$A$1130,"весна",$I$2:$I$1130,I338)</f>
        <v/>
      </c>
      <c r="O338" s="14">
        <f>M338+N338</f>
        <v/>
      </c>
      <c r="P338" s="15">
        <f>O338/$P$1</f>
        <v/>
      </c>
    </row>
    <row r="339" ht="15.75" customHeight="1" s="2">
      <c r="A339" s="117" t="inlineStr">
        <is>
          <t>осень</t>
        </is>
      </c>
      <c r="B339" s="9" t="inlineStr">
        <is>
          <t>Прикладные системы ИПИ технологий</t>
        </is>
      </c>
      <c r="C339" s="9" t="inlineStr">
        <is>
          <t>Консультация</t>
        </is>
      </c>
      <c r="D339" s="9" t="inlineStr">
        <is>
          <t>М3О-434Б-17</t>
        </is>
      </c>
      <c r="E339" s="10" t="n">
        <v>3</v>
      </c>
      <c r="F339" s="9" t="inlineStr">
        <is>
          <t>08457</t>
        </is>
      </c>
      <c r="G339" s="11" t="n">
        <v>0</v>
      </c>
      <c r="H339" s="9" t="inlineStr">
        <is>
          <t xml:space="preserve">81724     </t>
        </is>
      </c>
      <c r="I339" s="9" t="inlineStr">
        <is>
          <t xml:space="preserve">Галкин Евгений Владимирович </t>
        </is>
      </c>
      <c r="J339" s="9" t="inlineStr">
        <is>
          <t>доцент</t>
        </is>
      </c>
      <c r="K339" s="9" t="n"/>
      <c r="L339" s="9" t="inlineStr">
        <is>
          <t>кроме пятницы (525 А)</t>
        </is>
      </c>
      <c r="M339" s="12">
        <f>SUMIFS($E$2:$E$1130,$A$2:$A$1130,"осень",$I$2:$I$1130,I339)</f>
        <v/>
      </c>
      <c r="N339" s="13">
        <f>SUMIFS($E$2:$E$1130,$A$2:$A$1130,"весна",$I$2:$I$1130,I339)</f>
        <v/>
      </c>
      <c r="O339" s="14">
        <f>M339+N339</f>
        <v/>
      </c>
      <c r="P339" s="15">
        <f>O339/$P$1</f>
        <v/>
      </c>
    </row>
    <row r="340" ht="15.75" customHeight="1" s="2">
      <c r="A340" s="117" t="inlineStr">
        <is>
          <t>осень</t>
        </is>
      </c>
      <c r="B340" s="9" t="inlineStr">
        <is>
          <t>Спецглавы теории литейных процессов</t>
        </is>
      </c>
      <c r="C340" s="9" t="inlineStr">
        <is>
          <t>Зачет с оценкой</t>
        </is>
      </c>
      <c r="D340" s="9" t="inlineStr">
        <is>
          <t>Т11О-202М-19</t>
        </is>
      </c>
      <c r="E340" s="10" t="n">
        <v>2</v>
      </c>
      <c r="F340" s="9" t="inlineStr">
        <is>
          <t>12880</t>
        </is>
      </c>
      <c r="G340" s="11" t="n">
        <v>0</v>
      </c>
      <c r="H340" s="9" t="inlineStr">
        <is>
          <t xml:space="preserve">89067     </t>
        </is>
      </c>
      <c r="I340" s="9" t="inlineStr">
        <is>
          <t xml:space="preserve">Ряховский Александр Павлович </t>
        </is>
      </c>
      <c r="J340" s="9" t="inlineStr">
        <is>
          <t>доцент</t>
        </is>
      </c>
      <c r="K340" s="9" t="n"/>
      <c r="L340" s="9" t="inlineStr">
        <is>
          <t>только ПН, ЧТ</t>
        </is>
      </c>
      <c r="M340" s="12">
        <f>SUMIFS($E$2:$E$1130,$A$2:$A$1130,"осень",$I$2:$I$1130,I340)</f>
        <v/>
      </c>
      <c r="N340" s="13">
        <f>SUMIFS($E$2:$E$1130,$A$2:$A$1130,"весна",$I$2:$I$1130,I340)</f>
        <v/>
      </c>
      <c r="O340" s="14">
        <f>M340+N340</f>
        <v/>
      </c>
      <c r="P340" s="15">
        <f>O340/$P$1</f>
        <v/>
      </c>
    </row>
    <row r="341" ht="15.75" customHeight="1" s="2">
      <c r="A341" s="117" t="inlineStr">
        <is>
          <t>осень</t>
        </is>
      </c>
      <c r="B341" s="9" t="inlineStr">
        <is>
          <t>Спецглавы теории литейных процессов</t>
        </is>
      </c>
      <c r="C341" s="9" t="inlineStr">
        <is>
          <t>ПЗ</t>
        </is>
      </c>
      <c r="D341" s="9" t="inlineStr">
        <is>
          <t>Т11О-202М-19</t>
        </is>
      </c>
      <c r="E341" s="10" t="n">
        <v>36</v>
      </c>
      <c r="F341" s="9" t="inlineStr">
        <is>
          <t>12880</t>
        </is>
      </c>
      <c r="G341" s="10" t="n">
        <v>36</v>
      </c>
      <c r="H341" s="9" t="inlineStr">
        <is>
          <t xml:space="preserve">89067     </t>
        </is>
      </c>
      <c r="I341" s="9" t="inlineStr">
        <is>
          <t xml:space="preserve">Ряховский Александр Павлович </t>
        </is>
      </c>
      <c r="J341" s="9" t="inlineStr">
        <is>
          <t>доцент</t>
        </is>
      </c>
      <c r="K341" s="9" t="n"/>
      <c r="L341" s="9" t="inlineStr">
        <is>
          <t>только ПН, ЧТ</t>
        </is>
      </c>
      <c r="M341" s="12">
        <f>SUMIFS($E$2:$E$1130,$A$2:$A$1130,"осень",$I$2:$I$1130,I341)</f>
        <v/>
      </c>
      <c r="N341" s="13">
        <f>SUMIFS($E$2:$E$1130,$A$2:$A$1130,"весна",$I$2:$I$1130,I341)</f>
        <v/>
      </c>
      <c r="O341" s="14">
        <f>M341+N341</f>
        <v/>
      </c>
      <c r="P341" s="15">
        <f>O341/$P$1</f>
        <v/>
      </c>
    </row>
    <row r="342" ht="15.75" customHeight="1" s="2">
      <c r="A342" s="117" t="inlineStr">
        <is>
          <t>осень</t>
        </is>
      </c>
      <c r="B342" s="9" t="inlineStr">
        <is>
          <t>Спецглавы теории литейных процессов</t>
        </is>
      </c>
      <c r="C342" s="9" t="inlineStr">
        <is>
          <t>Консультация</t>
        </is>
      </c>
      <c r="D342" s="9" t="inlineStr">
        <is>
          <t>Т11О-202М-19</t>
        </is>
      </c>
      <c r="E342" s="10" t="n">
        <v>1</v>
      </c>
      <c r="F342" s="9" t="inlineStr">
        <is>
          <t>12880</t>
        </is>
      </c>
      <c r="G342" s="11" t="n">
        <v>0</v>
      </c>
      <c r="H342" s="9" t="inlineStr">
        <is>
          <t xml:space="preserve">89067     </t>
        </is>
      </c>
      <c r="I342" s="9" t="inlineStr">
        <is>
          <t xml:space="preserve">Ряховский Александр Павлович </t>
        </is>
      </c>
      <c r="J342" s="9" t="inlineStr">
        <is>
          <t>доцент</t>
        </is>
      </c>
      <c r="K342" s="9" t="n"/>
      <c r="L342" s="9" t="inlineStr">
        <is>
          <t>только ПН, ЧТ</t>
        </is>
      </c>
      <c r="M342" s="12">
        <f>SUMIFS($E$2:$E$1130,$A$2:$A$1130,"осень",$I$2:$I$1130,I342)</f>
        <v/>
      </c>
      <c r="N342" s="13">
        <f>SUMIFS($E$2:$E$1130,$A$2:$A$1130,"весна",$I$2:$I$1130,I342)</f>
        <v/>
      </c>
      <c r="O342" s="14">
        <f>M342+N342</f>
        <v/>
      </c>
      <c r="P342" s="15">
        <f>O342/$P$1</f>
        <v/>
      </c>
    </row>
    <row r="343" ht="15.75" customHeight="1" s="2">
      <c r="A343" s="117" t="inlineStr">
        <is>
          <t>осень</t>
        </is>
      </c>
      <c r="B343" s="9" t="inlineStr">
        <is>
          <t>Технология листовой штамповки</t>
        </is>
      </c>
      <c r="C343" s="9" t="inlineStr">
        <is>
          <t>ЛК</t>
        </is>
      </c>
      <c r="D343" s="9" t="inlineStr">
        <is>
          <t>Т1О-401Б-17</t>
        </is>
      </c>
      <c r="E343" s="10" t="n">
        <v>46</v>
      </c>
      <c r="F343" s="9" t="inlineStr">
        <is>
          <t>06256</t>
        </is>
      </c>
      <c r="G343" s="10" t="n">
        <v>46</v>
      </c>
      <c r="H343" s="9" t="inlineStr">
        <is>
          <t xml:space="preserve">81716     </t>
        </is>
      </c>
      <c r="I343" s="9" t="inlineStr">
        <is>
          <t xml:space="preserve">Жаров Максим Владимирович </t>
        </is>
      </c>
      <c r="J343" s="9" t="inlineStr">
        <is>
          <t>доцент</t>
        </is>
      </c>
      <c r="K343" s="9" t="n"/>
      <c r="L343" s="9" t="inlineStr">
        <is>
          <t>по первым неделям</t>
        </is>
      </c>
      <c r="M343" s="12">
        <f>SUMIFS($E$2:$E$1130,$A$2:$A$1130,"осень",$I$2:$I$1130,I343)</f>
        <v/>
      </c>
      <c r="N343" s="13">
        <f>SUMIFS($E$2:$E$1130,$A$2:$A$1130,"весна",$I$2:$I$1130,I343)</f>
        <v/>
      </c>
      <c r="O343" s="14">
        <f>M343+N343</f>
        <v/>
      </c>
      <c r="P343" s="15">
        <f>O343/$P$1</f>
        <v/>
      </c>
    </row>
    <row r="344" ht="15.75" customHeight="1" s="2">
      <c r="A344" s="117" t="inlineStr">
        <is>
          <t>осень</t>
        </is>
      </c>
      <c r="B344" s="9" t="inlineStr">
        <is>
          <t>Технология листовой штамповки</t>
        </is>
      </c>
      <c r="C344" s="9" t="inlineStr">
        <is>
          <t>КР</t>
        </is>
      </c>
      <c r="D344" s="9" t="inlineStr">
        <is>
          <t>Т1О-401Б-17</t>
        </is>
      </c>
      <c r="E344" s="10" t="n">
        <v>48</v>
      </c>
      <c r="F344" s="9" t="inlineStr">
        <is>
          <t>06256</t>
        </is>
      </c>
      <c r="G344" s="11" t="n">
        <v>0</v>
      </c>
      <c r="H344" s="9" t="inlineStr">
        <is>
          <t xml:space="preserve">81716     </t>
        </is>
      </c>
      <c r="I344" s="9" t="inlineStr">
        <is>
          <t xml:space="preserve">Жаров Максим Владимирович </t>
        </is>
      </c>
      <c r="J344" s="9" t="inlineStr">
        <is>
          <t>доцент</t>
        </is>
      </c>
      <c r="K344" s="9" t="n"/>
      <c r="L344" s="9" t="n"/>
      <c r="M344" s="12">
        <f>SUMIFS($E$2:$E$1130,$A$2:$A$1130,"осень",$I$2:$I$1130,I344)</f>
        <v/>
      </c>
      <c r="N344" s="13">
        <f>SUMIFS($E$2:$E$1130,$A$2:$A$1130,"весна",$I$2:$I$1130,I344)</f>
        <v/>
      </c>
      <c r="O344" s="14">
        <f>M344+N344</f>
        <v/>
      </c>
      <c r="P344" s="15">
        <f>O344/$P$1</f>
        <v/>
      </c>
    </row>
    <row r="345" ht="15.75" customHeight="1" s="2">
      <c r="A345" s="117" t="inlineStr">
        <is>
          <t>осень</t>
        </is>
      </c>
      <c r="B345" s="9" t="inlineStr">
        <is>
          <t>Технология листовой штамповки</t>
        </is>
      </c>
      <c r="C345" s="9" t="inlineStr">
        <is>
          <t>ПЗ</t>
        </is>
      </c>
      <c r="D345" s="9" t="inlineStr">
        <is>
          <t>Т1О-401Б-17</t>
        </is>
      </c>
      <c r="E345" s="10" t="n">
        <v>80</v>
      </c>
      <c r="F345" s="9" t="inlineStr">
        <is>
          <t>06256</t>
        </is>
      </c>
      <c r="G345" s="10" t="n">
        <v>80</v>
      </c>
      <c r="H345" s="9" t="inlineStr">
        <is>
          <t xml:space="preserve">81716     </t>
        </is>
      </c>
      <c r="I345" s="9" t="inlineStr">
        <is>
          <t xml:space="preserve">Жаров Максим Владимирович </t>
        </is>
      </c>
      <c r="J345" s="9" t="inlineStr">
        <is>
          <t>доцент</t>
        </is>
      </c>
      <c r="K345" s="9" t="n"/>
      <c r="L345" s="9" t="inlineStr">
        <is>
          <t>по первым неделям</t>
        </is>
      </c>
      <c r="M345" s="12">
        <f>SUMIFS($E$2:$E$1130,$A$2:$A$1130,"осень",$I$2:$I$1130,I345)</f>
        <v/>
      </c>
      <c r="N345" s="13">
        <f>SUMIFS($E$2:$E$1130,$A$2:$A$1130,"весна",$I$2:$I$1130,I345)</f>
        <v/>
      </c>
      <c r="O345" s="14">
        <f>M345+N345</f>
        <v/>
      </c>
      <c r="P345" s="15">
        <f>O345/$P$1</f>
        <v/>
      </c>
    </row>
    <row r="346" ht="15.75" customHeight="1" s="2">
      <c r="A346" s="117" t="inlineStr">
        <is>
          <t>осень</t>
        </is>
      </c>
      <c r="B346" s="9" t="inlineStr">
        <is>
          <t>Технология листовой штамповки</t>
        </is>
      </c>
      <c r="C346" s="9" t="inlineStr">
        <is>
          <t>Экзамен</t>
        </is>
      </c>
      <c r="D346" s="9" t="inlineStr">
        <is>
          <t>Т1О-401Б-17</t>
        </is>
      </c>
      <c r="E346" s="10" t="n">
        <v>8</v>
      </c>
      <c r="F346" s="9" t="inlineStr">
        <is>
          <t>06256</t>
        </is>
      </c>
      <c r="G346" s="11" t="n">
        <v>0</v>
      </c>
      <c r="H346" s="9" t="inlineStr">
        <is>
          <t xml:space="preserve">81716     </t>
        </is>
      </c>
      <c r="I346" s="9" t="inlineStr">
        <is>
          <t xml:space="preserve">Жаров Максим Владимирович </t>
        </is>
      </c>
      <c r="J346" s="9" t="inlineStr">
        <is>
          <t>доцент</t>
        </is>
      </c>
      <c r="K346" s="9" t="n"/>
      <c r="L346" s="9" t="inlineStr">
        <is>
          <t>по первым неделям</t>
        </is>
      </c>
      <c r="M346" s="12">
        <f>SUMIFS($E$2:$E$1130,$A$2:$A$1130,"осень",$I$2:$I$1130,I346)</f>
        <v/>
      </c>
      <c r="N346" s="13">
        <f>SUMIFS($E$2:$E$1130,$A$2:$A$1130,"весна",$I$2:$I$1130,I346)</f>
        <v/>
      </c>
      <c r="O346" s="14">
        <f>M346+N346</f>
        <v/>
      </c>
      <c r="P346" s="15">
        <f>O346/$P$1</f>
        <v/>
      </c>
    </row>
    <row r="347" ht="15.75" customHeight="1" s="2">
      <c r="A347" s="117" t="inlineStr">
        <is>
          <t>осень</t>
        </is>
      </c>
      <c r="B347" s="9" t="inlineStr">
        <is>
          <t>Технология листовой штамповки</t>
        </is>
      </c>
      <c r="C347" s="9" t="inlineStr">
        <is>
          <t>Консультация</t>
        </is>
      </c>
      <c r="D347" s="9" t="inlineStr">
        <is>
          <t>Т1О-401Б-17</t>
        </is>
      </c>
      <c r="E347" s="10" t="n">
        <v>4</v>
      </c>
      <c r="F347" s="9" t="inlineStr">
        <is>
          <t>06256</t>
        </is>
      </c>
      <c r="G347" s="11" t="n">
        <v>0</v>
      </c>
      <c r="H347" s="9" t="inlineStr">
        <is>
          <t xml:space="preserve">81716     </t>
        </is>
      </c>
      <c r="I347" s="9" t="inlineStr">
        <is>
          <t xml:space="preserve">Жаров Максим Владимирович </t>
        </is>
      </c>
      <c r="J347" s="9" t="inlineStr">
        <is>
          <t>доцент</t>
        </is>
      </c>
      <c r="K347" s="9" t="n"/>
      <c r="L347" s="9" t="inlineStr">
        <is>
          <t>по первым неделям</t>
        </is>
      </c>
      <c r="M347" s="12">
        <f>SUMIFS($E$2:$E$1130,$A$2:$A$1130,"осень",$I$2:$I$1130,I347)</f>
        <v/>
      </c>
      <c r="N347" s="13">
        <f>SUMIFS($E$2:$E$1130,$A$2:$A$1130,"весна",$I$2:$I$1130,I347)</f>
        <v/>
      </c>
      <c r="O347" s="14">
        <f>M347+N347</f>
        <v/>
      </c>
      <c r="P347" s="15">
        <f>O347/$P$1</f>
        <v/>
      </c>
    </row>
    <row r="348" ht="15.75" customHeight="1" s="2">
      <c r="A348" s="117" t="inlineStr">
        <is>
          <t>осень</t>
        </is>
      </c>
      <c r="B348" s="9" t="inlineStr">
        <is>
          <t>Нагревательные печи и устройства</t>
        </is>
      </c>
      <c r="C348" s="9" t="inlineStr">
        <is>
          <t>ЛК</t>
        </is>
      </c>
      <c r="D348" s="9" t="inlineStr">
        <is>
          <t>Т1О-401Б-17</t>
        </is>
      </c>
      <c r="E348" s="10" t="n">
        <v>24</v>
      </c>
      <c r="F348" s="9" t="inlineStr">
        <is>
          <t>06256</t>
        </is>
      </c>
      <c r="G348" s="10" t="n">
        <v>24</v>
      </c>
      <c r="H348" s="9" t="inlineStr">
        <is>
          <t xml:space="preserve">81729     </t>
        </is>
      </c>
      <c r="I348" s="9" t="inlineStr">
        <is>
          <t xml:space="preserve">Соколов Алексей Викторович </t>
        </is>
      </c>
      <c r="J348" s="9" t="inlineStr">
        <is>
          <t>доцент</t>
        </is>
      </c>
      <c r="K348" s="9" t="n"/>
      <c r="L348" s="9" t="inlineStr">
        <is>
          <t>кроме пятницы (523 А)</t>
        </is>
      </c>
      <c r="M348" s="12">
        <f>SUMIFS($E$2:$E$1130,$A$2:$A$1130,"осень",$I$2:$I$1130,I348)</f>
        <v/>
      </c>
      <c r="N348" s="13">
        <f>SUMIFS($E$2:$E$1130,$A$2:$A$1130,"весна",$I$2:$I$1130,I348)</f>
        <v/>
      </c>
      <c r="O348" s="14">
        <f>M348+N348</f>
        <v/>
      </c>
      <c r="P348" s="15">
        <f>O348/$P$1</f>
        <v/>
      </c>
    </row>
    <row r="349" ht="15.75" customHeight="1" s="2">
      <c r="A349" s="117" t="inlineStr">
        <is>
          <t>осень</t>
        </is>
      </c>
      <c r="B349" s="9" t="inlineStr">
        <is>
          <t>Нагревательные печи и устройства</t>
        </is>
      </c>
      <c r="C349" s="9" t="inlineStr">
        <is>
          <t>ЛК</t>
        </is>
      </c>
      <c r="D349" s="9" t="inlineStr">
        <is>
          <t>Т1В-412Б-17</t>
        </is>
      </c>
      <c r="E349" s="10" t="n">
        <v>24</v>
      </c>
      <c r="F349" s="9" t="inlineStr">
        <is>
          <t>08769</t>
        </is>
      </c>
      <c r="G349" s="10" t="n">
        <v>24</v>
      </c>
      <c r="H349" s="9" t="inlineStr">
        <is>
          <t xml:space="preserve">81729     </t>
        </is>
      </c>
      <c r="I349" s="9" t="inlineStr">
        <is>
          <t xml:space="preserve">Соколов Алексей Викторович </t>
        </is>
      </c>
      <c r="J349" s="9" t="inlineStr">
        <is>
          <t>доцент</t>
        </is>
      </c>
      <c r="K349" s="9" t="n"/>
      <c r="L349" s="9" t="inlineStr">
        <is>
          <t>кроме пятницы (523 А)</t>
        </is>
      </c>
      <c r="M349" s="12">
        <f>SUMIFS($E$2:$E$1130,$A$2:$A$1130,"осень",$I$2:$I$1130,I349)</f>
        <v/>
      </c>
      <c r="N349" s="13">
        <f>SUMIFS($E$2:$E$1130,$A$2:$A$1130,"весна",$I$2:$I$1130,I349)</f>
        <v/>
      </c>
      <c r="O349" s="14">
        <f>M349+N349</f>
        <v/>
      </c>
      <c r="P349" s="15">
        <f>O349/$P$1</f>
        <v/>
      </c>
    </row>
    <row r="350" ht="15.75" customHeight="1" s="2">
      <c r="A350" s="117" t="inlineStr">
        <is>
          <t>осень</t>
        </is>
      </c>
      <c r="B350" s="9" t="inlineStr">
        <is>
          <t>Нагревательные печи и устройства</t>
        </is>
      </c>
      <c r="C350" s="9" t="inlineStr">
        <is>
          <t>КР</t>
        </is>
      </c>
      <c r="D350" s="9" t="inlineStr">
        <is>
          <t>Т1В-412Б-17</t>
        </is>
      </c>
      <c r="E350" s="10" t="n">
        <v>33</v>
      </c>
      <c r="F350" s="9" t="inlineStr">
        <is>
          <t>08769</t>
        </is>
      </c>
      <c r="G350" s="11" t="n">
        <v>0</v>
      </c>
      <c r="H350" s="9" t="inlineStr">
        <is>
          <t xml:space="preserve">81729     </t>
        </is>
      </c>
      <c r="I350" s="9" t="inlineStr">
        <is>
          <t xml:space="preserve">Соколов Алексей Викторович </t>
        </is>
      </c>
      <c r="J350" s="9" t="inlineStr">
        <is>
          <t>доцент</t>
        </is>
      </c>
      <c r="K350" s="9" t="n"/>
      <c r="L350" s="9" t="inlineStr">
        <is>
          <t>кроме пятницы</t>
        </is>
      </c>
      <c r="M350" s="12">
        <f>SUMIFS($E$2:$E$1130,$A$2:$A$1130,"осень",$I$2:$I$1130,I350)</f>
        <v/>
      </c>
      <c r="N350" s="13">
        <f>SUMIFS($E$2:$E$1130,$A$2:$A$1130,"весна",$I$2:$I$1130,I350)</f>
        <v/>
      </c>
      <c r="O350" s="14">
        <f>M350+N350</f>
        <v/>
      </c>
      <c r="P350" s="15">
        <f>O350/$P$1</f>
        <v/>
      </c>
    </row>
    <row r="351" ht="15.75" customHeight="1" s="2">
      <c r="A351" s="117" t="inlineStr">
        <is>
          <t>осень</t>
        </is>
      </c>
      <c r="B351" s="9" t="inlineStr">
        <is>
          <t>Нагревательные печи и устройства</t>
        </is>
      </c>
      <c r="C351" s="9" t="inlineStr">
        <is>
          <t>ПЗ</t>
        </is>
      </c>
      <c r="D351" s="9" t="inlineStr">
        <is>
          <t>Т1О-401Б-17</t>
        </is>
      </c>
      <c r="E351" s="10" t="n">
        <v>36</v>
      </c>
      <c r="F351" s="9" t="inlineStr">
        <is>
          <t>06256</t>
        </is>
      </c>
      <c r="G351" s="10" t="n">
        <v>36</v>
      </c>
      <c r="H351" s="9" t="inlineStr">
        <is>
          <t xml:space="preserve">81729     </t>
        </is>
      </c>
      <c r="I351" s="9" t="inlineStr">
        <is>
          <t xml:space="preserve">Соколов Алексей Викторович </t>
        </is>
      </c>
      <c r="J351" s="9" t="inlineStr">
        <is>
          <t>доцент</t>
        </is>
      </c>
      <c r="K351" s="9" t="n"/>
      <c r="L351" s="9" t="inlineStr">
        <is>
          <t>кроме пятницы (521А, 522А)</t>
        </is>
      </c>
      <c r="M351" s="12">
        <f>SUMIFS($E$2:$E$1130,$A$2:$A$1130,"осень",$I$2:$I$1130,I351)</f>
        <v/>
      </c>
      <c r="N351" s="13">
        <f>SUMIFS($E$2:$E$1130,$A$2:$A$1130,"весна",$I$2:$I$1130,I351)</f>
        <v/>
      </c>
      <c r="O351" s="14">
        <f>M351+N351</f>
        <v/>
      </c>
      <c r="P351" s="15">
        <f>O351/$P$1</f>
        <v/>
      </c>
    </row>
    <row r="352" ht="15.75" customHeight="1" s="2">
      <c r="A352" s="117" t="inlineStr">
        <is>
          <t>осень</t>
        </is>
      </c>
      <c r="B352" s="9" t="inlineStr">
        <is>
          <t>Нагревательные печи и устройства</t>
        </is>
      </c>
      <c r="C352" s="9" t="inlineStr">
        <is>
          <t>ПЗ</t>
        </is>
      </c>
      <c r="D352" s="9" t="inlineStr">
        <is>
          <t>Т1В-412Б-17</t>
        </is>
      </c>
      <c r="E352" s="10" t="n">
        <v>30</v>
      </c>
      <c r="F352" s="9" t="inlineStr">
        <is>
          <t>08769</t>
        </is>
      </c>
      <c r="G352" s="10" t="n">
        <v>30</v>
      </c>
      <c r="H352" s="9" t="inlineStr">
        <is>
          <t xml:space="preserve">81729     </t>
        </is>
      </c>
      <c r="I352" s="9" t="inlineStr">
        <is>
          <t xml:space="preserve">Соколов Алексей Викторович </t>
        </is>
      </c>
      <c r="J352" s="9" t="inlineStr">
        <is>
          <t>доцент</t>
        </is>
      </c>
      <c r="K352" s="9" t="n"/>
      <c r="L352" s="9" t="inlineStr">
        <is>
          <t>кроме пятницы (521А, 522А)</t>
        </is>
      </c>
      <c r="M352" s="12">
        <f>SUMIFS($E$2:$E$1130,$A$2:$A$1130,"осень",$I$2:$I$1130,I352)</f>
        <v/>
      </c>
      <c r="N352" s="13">
        <f>SUMIFS($E$2:$E$1130,$A$2:$A$1130,"весна",$I$2:$I$1130,I352)</f>
        <v/>
      </c>
      <c r="O352" s="14">
        <f>M352+N352</f>
        <v/>
      </c>
      <c r="P352" s="15">
        <f>O352/$P$1</f>
        <v/>
      </c>
    </row>
    <row r="353" ht="15.75" customHeight="1" s="2">
      <c r="A353" s="117" t="inlineStr">
        <is>
          <t>осень</t>
        </is>
      </c>
      <c r="B353" s="9" t="inlineStr">
        <is>
          <t>Нагревательные печи и устройства</t>
        </is>
      </c>
      <c r="C353" s="9" t="inlineStr">
        <is>
          <t>Экзамен</t>
        </is>
      </c>
      <c r="D353" s="9" t="inlineStr">
        <is>
          <t>Т1В-412Б-17</t>
        </is>
      </c>
      <c r="E353" s="10" t="n">
        <v>6</v>
      </c>
      <c r="F353" s="9" t="inlineStr">
        <is>
          <t>08769</t>
        </is>
      </c>
      <c r="G353" s="11" t="n">
        <v>0</v>
      </c>
      <c r="H353" s="9" t="inlineStr">
        <is>
          <t xml:space="preserve">81729     </t>
        </is>
      </c>
      <c r="I353" s="9" t="inlineStr">
        <is>
          <t xml:space="preserve">Соколов Алексей Викторович </t>
        </is>
      </c>
      <c r="J353" s="9" t="inlineStr">
        <is>
          <t>доцент</t>
        </is>
      </c>
      <c r="K353" s="9" t="n"/>
      <c r="L353" s="9" t="inlineStr">
        <is>
          <t>кроме пятницы</t>
        </is>
      </c>
      <c r="M353" s="12">
        <f>SUMIFS($E$2:$E$1130,$A$2:$A$1130,"осень",$I$2:$I$1130,I353)</f>
        <v/>
      </c>
      <c r="N353" s="13">
        <f>SUMIFS($E$2:$E$1130,$A$2:$A$1130,"весна",$I$2:$I$1130,I353)</f>
        <v/>
      </c>
      <c r="O353" s="14">
        <f>M353+N353</f>
        <v/>
      </c>
      <c r="P353" s="15">
        <f>O353/$P$1</f>
        <v/>
      </c>
    </row>
    <row r="354" ht="15.75" customHeight="1" s="2">
      <c r="A354" s="117" t="inlineStr">
        <is>
          <t>осень</t>
        </is>
      </c>
      <c r="B354" s="9" t="inlineStr">
        <is>
          <t>Нагревательные печи и устройства</t>
        </is>
      </c>
      <c r="C354" s="9" t="inlineStr">
        <is>
          <t>Зачет</t>
        </is>
      </c>
      <c r="D354" s="9" t="inlineStr">
        <is>
          <t>Т1О-401Б-17</t>
        </is>
      </c>
      <c r="E354" s="10" t="n">
        <v>6</v>
      </c>
      <c r="F354" s="9" t="inlineStr">
        <is>
          <t>06256</t>
        </is>
      </c>
      <c r="G354" s="11" t="n">
        <v>0</v>
      </c>
      <c r="H354" s="9" t="inlineStr">
        <is>
          <t xml:space="preserve">81729     </t>
        </is>
      </c>
      <c r="I354" s="9" t="inlineStr">
        <is>
          <t xml:space="preserve">Соколов Алексей Викторович </t>
        </is>
      </c>
      <c r="J354" s="9" t="inlineStr">
        <is>
          <t>доцент</t>
        </is>
      </c>
      <c r="K354" s="9" t="n"/>
      <c r="L354" s="9" t="inlineStr">
        <is>
          <t>кроме пятницы</t>
        </is>
      </c>
      <c r="M354" s="12">
        <f>SUMIFS($E$2:$E$1130,$A$2:$A$1130,"осень",$I$2:$I$1130,I354)</f>
        <v/>
      </c>
      <c r="N354" s="13">
        <f>SUMIFS($E$2:$E$1130,$A$2:$A$1130,"весна",$I$2:$I$1130,I354)</f>
        <v/>
      </c>
      <c r="O354" s="14">
        <f>M354+N354</f>
        <v/>
      </c>
      <c r="P354" s="15">
        <f>O354/$P$1</f>
        <v/>
      </c>
    </row>
    <row r="355" ht="15.75" customHeight="1" s="2">
      <c r="A355" s="117" t="inlineStr">
        <is>
          <t>осень</t>
        </is>
      </c>
      <c r="B355" s="9" t="inlineStr">
        <is>
          <t>Нагревательные печи и устройства</t>
        </is>
      </c>
      <c r="C355" s="9" t="inlineStr">
        <is>
          <t>Консультация</t>
        </is>
      </c>
      <c r="D355" s="9" t="inlineStr">
        <is>
          <t>Т1О-401Б-17</t>
        </is>
      </c>
      <c r="E355" s="10" t="n">
        <v>1</v>
      </c>
      <c r="F355" s="9" t="inlineStr">
        <is>
          <t>06256</t>
        </is>
      </c>
      <c r="G355" s="11" t="n">
        <v>0</v>
      </c>
      <c r="H355" s="9" t="inlineStr">
        <is>
          <t xml:space="preserve">81729     </t>
        </is>
      </c>
      <c r="I355" s="9" t="inlineStr">
        <is>
          <t xml:space="preserve">Соколов Алексей Викторович </t>
        </is>
      </c>
      <c r="J355" s="9" t="inlineStr">
        <is>
          <t>доцент</t>
        </is>
      </c>
      <c r="K355" s="9" t="n"/>
      <c r="L355" s="9" t="inlineStr">
        <is>
          <t>кроме пятницы</t>
        </is>
      </c>
      <c r="M355" s="12">
        <f>SUMIFS($E$2:$E$1130,$A$2:$A$1130,"осень",$I$2:$I$1130,I355)</f>
        <v/>
      </c>
      <c r="N355" s="13">
        <f>SUMIFS($E$2:$E$1130,$A$2:$A$1130,"весна",$I$2:$I$1130,I355)</f>
        <v/>
      </c>
      <c r="O355" s="14">
        <f>M355+N355</f>
        <v/>
      </c>
      <c r="P355" s="15">
        <f>O355/$P$1</f>
        <v/>
      </c>
    </row>
    <row r="356" ht="15.75" customHeight="1" s="2">
      <c r="A356" s="117" t="inlineStr">
        <is>
          <t>осень</t>
        </is>
      </c>
      <c r="B356" s="9" t="inlineStr">
        <is>
          <t>Нагревательные печи и устройства</t>
        </is>
      </c>
      <c r="C356" s="9" t="inlineStr">
        <is>
          <t>Консультация</t>
        </is>
      </c>
      <c r="D356" s="9" t="inlineStr">
        <is>
          <t>Т1В-412Б-17</t>
        </is>
      </c>
      <c r="E356" s="10" t="n">
        <v>4</v>
      </c>
      <c r="F356" s="9" t="inlineStr">
        <is>
          <t>08769</t>
        </is>
      </c>
      <c r="G356" s="11" t="n">
        <v>0</v>
      </c>
      <c r="H356" s="9" t="inlineStr">
        <is>
          <t xml:space="preserve">81729     </t>
        </is>
      </c>
      <c r="I356" s="9" t="inlineStr">
        <is>
          <t xml:space="preserve">Соколов Алексей Викторович </t>
        </is>
      </c>
      <c r="J356" s="9" t="inlineStr">
        <is>
          <t>доцент</t>
        </is>
      </c>
      <c r="K356" s="9" t="n"/>
      <c r="L356" s="9" t="inlineStr">
        <is>
          <t>кроме пятницы</t>
        </is>
      </c>
      <c r="M356" s="12">
        <f>SUMIFS($E$2:$E$1130,$A$2:$A$1130,"осень",$I$2:$I$1130,I356)</f>
        <v/>
      </c>
      <c r="N356" s="13">
        <f>SUMIFS($E$2:$E$1130,$A$2:$A$1130,"весна",$I$2:$I$1130,I356)</f>
        <v/>
      </c>
      <c r="O356" s="14">
        <f>M356+N356</f>
        <v/>
      </c>
      <c r="P356" s="15">
        <f>O356/$P$1</f>
        <v/>
      </c>
    </row>
    <row r="357" ht="15.75" customHeight="1" s="2">
      <c r="A357" s="117" t="inlineStr">
        <is>
          <t>осень</t>
        </is>
      </c>
      <c r="B357" s="9" t="inlineStr">
        <is>
          <t>Процессы порошковой металлургии - 2</t>
        </is>
      </c>
      <c r="C357" s="9" t="inlineStr">
        <is>
          <t>ЛК</t>
        </is>
      </c>
      <c r="D357" s="9" t="inlineStr">
        <is>
          <t>Т1О-402Б-17</t>
        </is>
      </c>
      <c r="E357" s="10" t="n">
        <v>44</v>
      </c>
      <c r="F357" s="9" t="inlineStr">
        <is>
          <t>04517</t>
        </is>
      </c>
      <c r="G357" s="10" t="n">
        <v>44</v>
      </c>
      <c r="H357" s="9" t="inlineStr">
        <is>
          <t xml:space="preserve">82066     </t>
        </is>
      </c>
      <c r="I357" s="9" t="inlineStr">
        <is>
          <t xml:space="preserve">Серов Михаил Михайлович </t>
        </is>
      </c>
      <c r="J357" s="9" t="inlineStr">
        <is>
          <t>профессор</t>
        </is>
      </c>
      <c r="K357" s="9" t="n"/>
      <c r="L357" s="9" t="n"/>
      <c r="M357" s="12">
        <f>SUMIFS($E$2:$E$1130,$A$2:$A$1130,"осень",$I$2:$I$1130,I357)</f>
        <v/>
      </c>
      <c r="N357" s="13">
        <f>SUMIFS($E$2:$E$1130,$A$2:$A$1130,"весна",$I$2:$I$1130,I357)</f>
        <v/>
      </c>
      <c r="O357" s="14">
        <f>M357+N357</f>
        <v/>
      </c>
      <c r="P357" s="15">
        <f>O357/$P$1</f>
        <v/>
      </c>
    </row>
    <row r="358" ht="15.75" customHeight="1" s="2">
      <c r="A358" s="117" t="inlineStr">
        <is>
          <t>осень</t>
        </is>
      </c>
      <c r="B358" s="9" t="inlineStr">
        <is>
          <t>Процессы порошковой металлургии - 2</t>
        </is>
      </c>
      <c r="C358" s="9" t="inlineStr">
        <is>
          <t>КР</t>
        </is>
      </c>
      <c r="D358" s="9" t="inlineStr">
        <is>
          <t>Т1О-402Б-17</t>
        </is>
      </c>
      <c r="E358" s="10" t="n">
        <v>51</v>
      </c>
      <c r="F358" s="9" t="inlineStr">
        <is>
          <t>04517</t>
        </is>
      </c>
      <c r="G358" s="11" t="n">
        <v>0</v>
      </c>
      <c r="H358" s="9" t="inlineStr">
        <is>
          <t xml:space="preserve">82066     </t>
        </is>
      </c>
      <c r="I358" s="9" t="inlineStr">
        <is>
          <t xml:space="preserve">Серов Михаил Михайлович </t>
        </is>
      </c>
      <c r="J358" s="9" t="inlineStr">
        <is>
          <t>профессор</t>
        </is>
      </c>
      <c r="K358" s="9" t="n"/>
      <c r="L358" s="9" t="n"/>
      <c r="M358" s="12">
        <f>SUMIFS($E$2:$E$1130,$A$2:$A$1130,"осень",$I$2:$I$1130,I358)</f>
        <v/>
      </c>
      <c r="N358" s="13">
        <f>SUMIFS($E$2:$E$1130,$A$2:$A$1130,"весна",$I$2:$I$1130,I358)</f>
        <v/>
      </c>
      <c r="O358" s="14">
        <f>M358+N358</f>
        <v/>
      </c>
      <c r="P358" s="15">
        <f>O358/$P$1</f>
        <v/>
      </c>
    </row>
    <row r="359" ht="15.75" customHeight="1" s="2">
      <c r="A359" s="117" t="inlineStr">
        <is>
          <t>осень</t>
        </is>
      </c>
      <c r="B359" s="9" t="inlineStr">
        <is>
          <t>Процессы порошковой металлургии - 2</t>
        </is>
      </c>
      <c r="C359" s="9" t="inlineStr">
        <is>
          <t>ПЗ</t>
        </is>
      </c>
      <c r="D359" s="9" t="inlineStr">
        <is>
          <t>Т1О-402Б-17</t>
        </is>
      </c>
      <c r="E359" s="10" t="n">
        <v>30</v>
      </c>
      <c r="F359" s="9" t="inlineStr">
        <is>
          <t>04517</t>
        </is>
      </c>
      <c r="G359" s="10" t="n">
        <v>30</v>
      </c>
      <c r="H359" s="9" t="inlineStr">
        <is>
          <t xml:space="preserve">82066     </t>
        </is>
      </c>
      <c r="I359" s="9" t="inlineStr">
        <is>
          <t xml:space="preserve">Серов Михаил Михайлович </t>
        </is>
      </c>
      <c r="J359" s="9" t="inlineStr">
        <is>
          <t>профессор</t>
        </is>
      </c>
      <c r="K359" s="9" t="n"/>
      <c r="L359" s="9" t="n"/>
      <c r="M359" s="12">
        <f>SUMIFS($E$2:$E$1130,$A$2:$A$1130,"осень",$I$2:$I$1130,I359)</f>
        <v/>
      </c>
      <c r="N359" s="13">
        <f>SUMIFS($E$2:$E$1130,$A$2:$A$1130,"весна",$I$2:$I$1130,I359)</f>
        <v/>
      </c>
      <c r="O359" s="14">
        <f>M359+N359</f>
        <v/>
      </c>
      <c r="P359" s="15">
        <f>O359/$P$1</f>
        <v/>
      </c>
    </row>
    <row r="360" ht="15.75" customHeight="1" s="2">
      <c r="A360" s="117" t="inlineStr">
        <is>
          <t>осень</t>
        </is>
      </c>
      <c r="B360" s="9" t="inlineStr">
        <is>
          <t>Процессы порошковой металлургии - 2</t>
        </is>
      </c>
      <c r="C360" s="9" t="inlineStr">
        <is>
          <t>ЛР</t>
        </is>
      </c>
      <c r="D360" s="9" t="inlineStr">
        <is>
          <t>Т1О-402Б-17</t>
        </is>
      </c>
      <c r="E360" s="10" t="n">
        <v>32</v>
      </c>
      <c r="F360" s="9" t="inlineStr">
        <is>
          <t>04517</t>
        </is>
      </c>
      <c r="G360" s="10" t="n">
        <v>16</v>
      </c>
      <c r="H360" s="9" t="inlineStr">
        <is>
          <t xml:space="preserve">82066     </t>
        </is>
      </c>
      <c r="I360" s="9" t="inlineStr">
        <is>
          <t xml:space="preserve">Серов Михаил Михайлович </t>
        </is>
      </c>
      <c r="J360" s="9" t="inlineStr">
        <is>
          <t>профессор</t>
        </is>
      </c>
      <c r="K360" s="9" t="n"/>
      <c r="L360" s="9" t="n"/>
      <c r="M360" s="12">
        <f>SUMIFS($E$2:$E$1130,$A$2:$A$1130,"осень",$I$2:$I$1130,I360)</f>
        <v/>
      </c>
      <c r="N360" s="13">
        <f>SUMIFS($E$2:$E$1130,$A$2:$A$1130,"весна",$I$2:$I$1130,I360)</f>
        <v/>
      </c>
      <c r="O360" s="14">
        <f>M360+N360</f>
        <v/>
      </c>
      <c r="P360" s="15">
        <f>O360/$P$1</f>
        <v/>
      </c>
    </row>
    <row r="361" ht="15.75" customHeight="1" s="2">
      <c r="A361" s="117" t="inlineStr">
        <is>
          <t>осень</t>
        </is>
      </c>
      <c r="B361" s="9" t="inlineStr">
        <is>
          <t>Процессы порошковой металлургии - 2</t>
        </is>
      </c>
      <c r="C361" s="9" t="inlineStr">
        <is>
          <t>Экзамен</t>
        </is>
      </c>
      <c r="D361" s="9" t="inlineStr">
        <is>
          <t>Т1О-402Б-17</t>
        </is>
      </c>
      <c r="E361" s="10" t="n">
        <v>9</v>
      </c>
      <c r="F361" s="9" t="inlineStr">
        <is>
          <t>04517</t>
        </is>
      </c>
      <c r="G361" s="11" t="n">
        <v>0</v>
      </c>
      <c r="H361" s="9" t="inlineStr">
        <is>
          <t xml:space="preserve">82066     </t>
        </is>
      </c>
      <c r="I361" s="9" t="inlineStr">
        <is>
          <t xml:space="preserve">Серов Михаил Михайлович </t>
        </is>
      </c>
      <c r="J361" s="9" t="inlineStr">
        <is>
          <t>профессор</t>
        </is>
      </c>
      <c r="K361" s="9" t="n"/>
      <c r="L361" s="9" t="n"/>
      <c r="M361" s="12">
        <f>SUMIFS($E$2:$E$1130,$A$2:$A$1130,"осень",$I$2:$I$1130,I361)</f>
        <v/>
      </c>
      <c r="N361" s="13">
        <f>SUMIFS($E$2:$E$1130,$A$2:$A$1130,"весна",$I$2:$I$1130,I361)</f>
        <v/>
      </c>
      <c r="O361" s="14">
        <f>M361+N361</f>
        <v/>
      </c>
      <c r="P361" s="15">
        <f>O361/$P$1</f>
        <v/>
      </c>
    </row>
    <row r="362" ht="15.75" customHeight="1" s="2">
      <c r="A362" s="117" t="inlineStr">
        <is>
          <t>осень</t>
        </is>
      </c>
      <c r="B362" s="9" t="inlineStr">
        <is>
          <t>Процессы порошковой металлургии - 2</t>
        </is>
      </c>
      <c r="C362" s="9" t="inlineStr">
        <is>
          <t>Консультация</t>
        </is>
      </c>
      <c r="D362" s="9" t="inlineStr">
        <is>
          <t>Т1О-402Б-17</t>
        </is>
      </c>
      <c r="E362" s="10" t="n">
        <v>4</v>
      </c>
      <c r="F362" s="9" t="inlineStr">
        <is>
          <t>04517</t>
        </is>
      </c>
      <c r="G362" s="11" t="n">
        <v>0</v>
      </c>
      <c r="H362" s="9" t="inlineStr">
        <is>
          <t xml:space="preserve">82066     </t>
        </is>
      </c>
      <c r="I362" s="9" t="inlineStr">
        <is>
          <t xml:space="preserve">Серов Михаил Михайлович </t>
        </is>
      </c>
      <c r="J362" s="9" t="inlineStr">
        <is>
          <t>профессор</t>
        </is>
      </c>
      <c r="K362" s="9" t="n"/>
      <c r="L362" s="9" t="n"/>
      <c r="M362" s="12">
        <f>SUMIFS($E$2:$E$1130,$A$2:$A$1130,"осень",$I$2:$I$1130,I362)</f>
        <v/>
      </c>
      <c r="N362" s="13">
        <f>SUMIFS($E$2:$E$1130,$A$2:$A$1130,"весна",$I$2:$I$1130,I362)</f>
        <v/>
      </c>
      <c r="O362" s="14">
        <f>M362+N362</f>
        <v/>
      </c>
      <c r="P362" s="15">
        <f>O362/$P$1</f>
        <v/>
      </c>
    </row>
    <row r="363" ht="15.75" customHeight="1" s="2">
      <c r="A363" s="117" t="inlineStr">
        <is>
          <t>осень</t>
        </is>
      </c>
      <c r="B363" s="9" t="inlineStr">
        <is>
          <t>Теория, технология и оборудование нанесения покрытий</t>
        </is>
      </c>
      <c r="C363" s="9" t="inlineStr">
        <is>
          <t>ЛК</t>
        </is>
      </c>
      <c r="D363" s="9" t="inlineStr">
        <is>
          <t>Т1О-402Б-17</t>
        </is>
      </c>
      <c r="E363" s="10" t="n">
        <v>36</v>
      </c>
      <c r="F363" s="9" t="inlineStr">
        <is>
          <t>04517</t>
        </is>
      </c>
      <c r="G363" s="10" t="n">
        <v>36</v>
      </c>
      <c r="H363" s="9" t="inlineStr">
        <is>
          <t xml:space="preserve">93685     </t>
        </is>
      </c>
      <c r="I363" s="9" t="inlineStr">
        <is>
          <t xml:space="preserve">Банишев Александр Федорович </t>
        </is>
      </c>
      <c r="J363" s="9" t="n"/>
      <c r="K363" s="9" t="n"/>
      <c r="L363" s="9" t="inlineStr">
        <is>
          <t>Только понедельник</t>
        </is>
      </c>
      <c r="M363" s="12">
        <f>SUMIFS($E$2:$E$1130,$A$2:$A$1130,"осень",$I$2:$I$1130,I363)</f>
        <v/>
      </c>
      <c r="N363" s="13">
        <f>SUMIFS($E$2:$E$1130,$A$2:$A$1130,"весна",$I$2:$I$1130,I363)</f>
        <v/>
      </c>
      <c r="O363" s="14">
        <f>M363+N363</f>
        <v/>
      </c>
      <c r="P363" s="15">
        <f>O363/$P$1</f>
        <v/>
      </c>
    </row>
    <row r="364" ht="15.75" customHeight="1" s="2">
      <c r="A364" s="117" t="inlineStr">
        <is>
          <t>осень</t>
        </is>
      </c>
      <c r="B364" s="9" t="inlineStr">
        <is>
          <t>Теория, технология и оборудование нанесения покрытий</t>
        </is>
      </c>
      <c r="C364" s="9" t="inlineStr">
        <is>
          <t>ЛК</t>
        </is>
      </c>
      <c r="D364" s="9" t="inlineStr">
        <is>
          <t>Т11О-103М-20</t>
        </is>
      </c>
      <c r="E364" s="10" t="n">
        <v>8</v>
      </c>
      <c r="F364" s="9" t="inlineStr">
        <is>
          <t>06203</t>
        </is>
      </c>
      <c r="G364" s="10" t="n">
        <v>8</v>
      </c>
      <c r="H364" s="9" t="inlineStr">
        <is>
          <t xml:space="preserve">93685     </t>
        </is>
      </c>
      <c r="I364" s="9" t="inlineStr">
        <is>
          <t xml:space="preserve">Банишев Александр Федорович </t>
        </is>
      </c>
      <c r="J364" s="9" t="n"/>
      <c r="K364" s="9" t="n"/>
      <c r="L364" s="9" t="inlineStr">
        <is>
          <t>Понедельник</t>
        </is>
      </c>
      <c r="M364" s="12">
        <f>SUMIFS($E$2:$E$1130,$A$2:$A$1130,"осень",$I$2:$I$1130,I364)</f>
        <v/>
      </c>
      <c r="N364" s="13">
        <f>SUMIFS($E$2:$E$1130,$A$2:$A$1130,"весна",$I$2:$I$1130,I364)</f>
        <v/>
      </c>
      <c r="O364" s="14">
        <f>M364+N364</f>
        <v/>
      </c>
      <c r="P364" s="15">
        <f>O364/$P$1</f>
        <v/>
      </c>
    </row>
    <row r="365" ht="15.75" customHeight="1" s="2">
      <c r="A365" s="117" t="inlineStr">
        <is>
          <t>осень</t>
        </is>
      </c>
      <c r="B365" s="9" t="inlineStr">
        <is>
          <t>Теория, технология и оборудование нанесения покрытий</t>
        </is>
      </c>
      <c r="C365" s="9" t="inlineStr">
        <is>
          <t>КР</t>
        </is>
      </c>
      <c r="D365" s="9" t="inlineStr">
        <is>
          <t>Т11О-103М-20</t>
        </is>
      </c>
      <c r="E365" s="10" t="n">
        <v>15</v>
      </c>
      <c r="F365" s="9" t="inlineStr">
        <is>
          <t>06203</t>
        </is>
      </c>
      <c r="G365" s="11" t="n">
        <v>0</v>
      </c>
      <c r="H365" s="9" t="inlineStr">
        <is>
          <t xml:space="preserve">93685     </t>
        </is>
      </c>
      <c r="I365" s="9" t="inlineStr">
        <is>
          <t xml:space="preserve">Банишев Александр Федорович </t>
        </is>
      </c>
      <c r="J365" s="9" t="n"/>
      <c r="K365" s="9" t="n"/>
      <c r="L365" s="9" t="inlineStr">
        <is>
          <t>Понедельник</t>
        </is>
      </c>
      <c r="M365" s="12">
        <f>SUMIFS($E$2:$E$1130,$A$2:$A$1130,"осень",$I$2:$I$1130,I365)</f>
        <v/>
      </c>
      <c r="N365" s="13">
        <f>SUMIFS($E$2:$E$1130,$A$2:$A$1130,"весна",$I$2:$I$1130,I365)</f>
        <v/>
      </c>
      <c r="O365" s="14">
        <f>M365+N365</f>
        <v/>
      </c>
      <c r="P365" s="15">
        <f>O365/$P$1</f>
        <v/>
      </c>
    </row>
    <row r="366" ht="15.75" customHeight="1" s="2">
      <c r="A366" s="117" t="inlineStr">
        <is>
          <t>осень</t>
        </is>
      </c>
      <c r="B366" s="9" t="inlineStr">
        <is>
          <t>Теория, технология и оборудование нанесения покрытий</t>
        </is>
      </c>
      <c r="C366" s="9" t="inlineStr">
        <is>
          <t>Зачет с оценкой</t>
        </is>
      </c>
      <c r="D366" s="9" t="inlineStr">
        <is>
          <t>Т1О-402Б-17</t>
        </is>
      </c>
      <c r="E366" s="10" t="n">
        <v>6</v>
      </c>
      <c r="F366" s="9" t="inlineStr">
        <is>
          <t>04517</t>
        </is>
      </c>
      <c r="G366" s="11" t="n">
        <v>0</v>
      </c>
      <c r="H366" s="9" t="inlineStr">
        <is>
          <t xml:space="preserve">93685     </t>
        </is>
      </c>
      <c r="I366" s="9" t="inlineStr">
        <is>
          <t xml:space="preserve">Банишев Александр Федорович </t>
        </is>
      </c>
      <c r="J366" s="9" t="n"/>
      <c r="K366" s="9" t="n"/>
      <c r="L366" s="9" t="inlineStr">
        <is>
          <t>Только понедельник</t>
        </is>
      </c>
      <c r="M366" s="12">
        <f>SUMIFS($E$2:$E$1130,$A$2:$A$1130,"осень",$I$2:$I$1130,I366)</f>
        <v/>
      </c>
      <c r="N366" s="13">
        <f>SUMIFS($E$2:$E$1130,$A$2:$A$1130,"весна",$I$2:$I$1130,I366)</f>
        <v/>
      </c>
      <c r="O366" s="14">
        <f>M366+N366</f>
        <v/>
      </c>
      <c r="P366" s="15">
        <f>O366/$P$1</f>
        <v/>
      </c>
    </row>
    <row r="367" ht="15.75" customHeight="1" s="2">
      <c r="A367" s="117" t="inlineStr">
        <is>
          <t>осень</t>
        </is>
      </c>
      <c r="B367" s="9" t="inlineStr">
        <is>
          <t>Теория, технология и оборудование нанесения покрытий</t>
        </is>
      </c>
      <c r="C367" s="9" t="inlineStr">
        <is>
          <t>ПЗ</t>
        </is>
      </c>
      <c r="D367" s="9" t="inlineStr">
        <is>
          <t>Т1О-402Б-17</t>
        </is>
      </c>
      <c r="E367" s="10" t="n">
        <v>20</v>
      </c>
      <c r="F367" s="9" t="inlineStr">
        <is>
          <t>04517</t>
        </is>
      </c>
      <c r="G367" s="10" t="n">
        <v>20</v>
      </c>
      <c r="H367" s="9" t="inlineStr">
        <is>
          <t xml:space="preserve">93685     </t>
        </is>
      </c>
      <c r="I367" s="9" t="inlineStr">
        <is>
          <t xml:space="preserve">Банишев Александр Федорович </t>
        </is>
      </c>
      <c r="J367" s="9" t="n"/>
      <c r="K367" s="9" t="n"/>
      <c r="L367" s="9" t="inlineStr">
        <is>
          <t>Только понедельник</t>
        </is>
      </c>
      <c r="M367" s="12">
        <f>SUMIFS($E$2:$E$1130,$A$2:$A$1130,"осень",$I$2:$I$1130,I367)</f>
        <v/>
      </c>
      <c r="N367" s="13">
        <f>SUMIFS($E$2:$E$1130,$A$2:$A$1130,"весна",$I$2:$I$1130,I367)</f>
        <v/>
      </c>
      <c r="O367" s="14">
        <f>M367+N367</f>
        <v/>
      </c>
      <c r="P367" s="15">
        <f>O367/$P$1</f>
        <v/>
      </c>
    </row>
    <row r="368" ht="15.75" customHeight="1" s="2">
      <c r="A368" s="117" t="inlineStr">
        <is>
          <t>осень</t>
        </is>
      </c>
      <c r="B368" s="9" t="inlineStr">
        <is>
          <t>Теория, технология и оборудование нанесения покрытий</t>
        </is>
      </c>
      <c r="C368" s="9" t="inlineStr">
        <is>
          <t>ПЗ</t>
        </is>
      </c>
      <c r="D368" s="9" t="inlineStr">
        <is>
          <t>Т11О-103М-20</t>
        </is>
      </c>
      <c r="E368" s="10" t="n">
        <v>22</v>
      </c>
      <c r="F368" s="9" t="inlineStr">
        <is>
          <t>06203</t>
        </is>
      </c>
      <c r="G368" s="10" t="n">
        <v>22</v>
      </c>
      <c r="H368" s="9" t="inlineStr">
        <is>
          <t xml:space="preserve">93685     </t>
        </is>
      </c>
      <c r="I368" s="9" t="inlineStr">
        <is>
          <t xml:space="preserve">Банишев Александр Федорович </t>
        </is>
      </c>
      <c r="J368" s="9" t="n"/>
      <c r="K368" s="9" t="n"/>
      <c r="L368" s="9" t="inlineStr">
        <is>
          <t>Понедельник</t>
        </is>
      </c>
      <c r="M368" s="12">
        <f>SUMIFS($E$2:$E$1130,$A$2:$A$1130,"осень",$I$2:$I$1130,I368)</f>
        <v/>
      </c>
      <c r="N368" s="13">
        <f>SUMIFS($E$2:$E$1130,$A$2:$A$1130,"весна",$I$2:$I$1130,I368)</f>
        <v/>
      </c>
      <c r="O368" s="14">
        <f>M368+N368</f>
        <v/>
      </c>
      <c r="P368" s="15">
        <f>O368/$P$1</f>
        <v/>
      </c>
    </row>
    <row r="369" ht="15.75" customHeight="1" s="2">
      <c r="A369" s="117" t="inlineStr">
        <is>
          <t>осень</t>
        </is>
      </c>
      <c r="B369" s="9" t="inlineStr">
        <is>
          <t>Теория, технология и оборудование нанесения покрытий</t>
        </is>
      </c>
      <c r="C369" s="9" t="inlineStr">
        <is>
          <t>ЛР</t>
        </is>
      </c>
      <c r="D369" s="9" t="inlineStr">
        <is>
          <t>Т1О-402Б-17</t>
        </is>
      </c>
      <c r="E369" s="10" t="n">
        <v>32</v>
      </c>
      <c r="F369" s="9" t="inlineStr">
        <is>
          <t>04517</t>
        </is>
      </c>
      <c r="G369" s="10" t="n">
        <v>16</v>
      </c>
      <c r="H369" s="9" t="inlineStr">
        <is>
          <t xml:space="preserve">95460     </t>
        </is>
      </c>
      <c r="I369" s="9" t="inlineStr">
        <is>
          <t>Кубатина Екатерина Павловна</t>
        </is>
      </c>
      <c r="J369" s="9" t="n"/>
      <c r="K369" s="9" t="n"/>
      <c r="L369" s="9" t="inlineStr">
        <is>
          <t xml:space="preserve">будни после 13.00 либо суббота в любое время </t>
        </is>
      </c>
      <c r="M369" s="12">
        <f>SUMIFS($E$2:$E$1130,$A$2:$A$1130,"осень",$I$2:$I$1130,I369)</f>
        <v/>
      </c>
      <c r="N369" s="13">
        <f>SUMIFS($E$2:$E$1130,$A$2:$A$1130,"весна",$I$2:$I$1130,I369)</f>
        <v/>
      </c>
      <c r="O369" s="14">
        <f>M369+N369</f>
        <v/>
      </c>
      <c r="P369" s="15">
        <f>O369/$P$1</f>
        <v/>
      </c>
    </row>
    <row r="370" ht="15.75" customHeight="1" s="2">
      <c r="A370" s="117" t="inlineStr">
        <is>
          <t>осень</t>
        </is>
      </c>
      <c r="B370" s="9" t="inlineStr">
        <is>
          <t>Теория, технология и оборудование нанесения покрытий</t>
        </is>
      </c>
      <c r="C370" s="9" t="inlineStr">
        <is>
          <t>Зачет</t>
        </is>
      </c>
      <c r="D370" s="9" t="inlineStr">
        <is>
          <t>Т11О-103М-20</t>
        </is>
      </c>
      <c r="E370" s="10" t="n">
        <v>2</v>
      </c>
      <c r="F370" s="9" t="inlineStr">
        <is>
          <t>06203</t>
        </is>
      </c>
      <c r="G370" s="11" t="n">
        <v>0</v>
      </c>
      <c r="H370" s="9" t="inlineStr">
        <is>
          <t xml:space="preserve">93685     </t>
        </is>
      </c>
      <c r="I370" s="9" t="inlineStr">
        <is>
          <t xml:space="preserve">Банишев Александр Федорович </t>
        </is>
      </c>
      <c r="J370" s="9" t="n"/>
      <c r="K370" s="9" t="n"/>
      <c r="L370" s="9" t="inlineStr">
        <is>
          <t>Понедельник</t>
        </is>
      </c>
      <c r="M370" s="12">
        <f>SUMIFS($E$2:$E$1130,$A$2:$A$1130,"осень",$I$2:$I$1130,I370)</f>
        <v/>
      </c>
      <c r="N370" s="13">
        <f>SUMIFS($E$2:$E$1130,$A$2:$A$1130,"весна",$I$2:$I$1130,I370)</f>
        <v/>
      </c>
      <c r="O370" s="14">
        <f>M370+N370</f>
        <v/>
      </c>
      <c r="P370" s="15">
        <f>O370/$P$1</f>
        <v/>
      </c>
    </row>
    <row r="371" ht="15.75" customHeight="1" s="2">
      <c r="A371" s="117" t="inlineStr">
        <is>
          <t>осень</t>
        </is>
      </c>
      <c r="B371" s="9" t="inlineStr">
        <is>
          <t>Теория, технология и оборудование нанесения покрытий</t>
        </is>
      </c>
      <c r="C371" s="9" t="inlineStr">
        <is>
          <t>Консультация</t>
        </is>
      </c>
      <c r="D371" s="9" t="inlineStr">
        <is>
          <t>Т1О-402Б-17</t>
        </is>
      </c>
      <c r="E371" s="10" t="n">
        <v>2</v>
      </c>
      <c r="F371" s="9" t="inlineStr">
        <is>
          <t>04517</t>
        </is>
      </c>
      <c r="G371" s="11" t="n">
        <v>0</v>
      </c>
      <c r="H371" s="9" t="inlineStr">
        <is>
          <t xml:space="preserve">93685     </t>
        </is>
      </c>
      <c r="I371" s="9" t="inlineStr">
        <is>
          <t xml:space="preserve">Банишев Александр Федорович </t>
        </is>
      </c>
      <c r="J371" s="9" t="n"/>
      <c r="K371" s="9" t="n"/>
      <c r="L371" s="9" t="inlineStr">
        <is>
          <t>Только понедельник</t>
        </is>
      </c>
      <c r="M371" s="12">
        <f>SUMIFS($E$2:$E$1130,$A$2:$A$1130,"осень",$I$2:$I$1130,I371)</f>
        <v/>
      </c>
      <c r="N371" s="13">
        <f>SUMIFS($E$2:$E$1130,$A$2:$A$1130,"весна",$I$2:$I$1130,I371)</f>
        <v/>
      </c>
      <c r="O371" s="14">
        <f>M371+N371</f>
        <v/>
      </c>
      <c r="P371" s="15">
        <f>O371/$P$1</f>
        <v/>
      </c>
    </row>
    <row r="372" ht="15.75" customHeight="1" s="2">
      <c r="A372" s="117" t="inlineStr">
        <is>
          <t>осень</t>
        </is>
      </c>
      <c r="B372" s="9" t="inlineStr">
        <is>
          <t>Композиционные материалы в авиастроении</t>
        </is>
      </c>
      <c r="C372" s="9" t="inlineStr">
        <is>
          <t>ЛК</t>
        </is>
      </c>
      <c r="D372" s="9" t="inlineStr">
        <is>
          <t>М9О-204М-19</t>
        </is>
      </c>
      <c r="E372" s="10" t="n">
        <v>18</v>
      </c>
      <c r="F372" s="9" t="inlineStr">
        <is>
          <t>12598</t>
        </is>
      </c>
      <c r="G372" s="10" t="n">
        <v>18</v>
      </c>
      <c r="H372" s="9" t="inlineStr">
        <is>
          <t xml:space="preserve">81724     </t>
        </is>
      </c>
      <c r="I372" s="9" t="inlineStr">
        <is>
          <t xml:space="preserve">Галкин Евгений Владимирович </t>
        </is>
      </c>
      <c r="J372" s="9" t="inlineStr">
        <is>
          <t>доцент</t>
        </is>
      </c>
      <c r="K372" s="9" t="n"/>
      <c r="L372" s="9" t="inlineStr">
        <is>
          <t>кроме пятницы (525 А)</t>
        </is>
      </c>
      <c r="M372" s="12">
        <f>SUMIFS($E$2:$E$1130,$A$2:$A$1130,"осень",$I$2:$I$1130,I372)</f>
        <v/>
      </c>
      <c r="N372" s="13">
        <f>SUMIFS($E$2:$E$1130,$A$2:$A$1130,"весна",$I$2:$I$1130,I372)</f>
        <v/>
      </c>
      <c r="O372" s="14">
        <f>M372+N372</f>
        <v/>
      </c>
      <c r="P372" s="15">
        <f>O372/$P$1</f>
        <v/>
      </c>
    </row>
    <row r="373" ht="15.75" customHeight="1" s="2">
      <c r="A373" s="117" t="inlineStr">
        <is>
          <t>осень</t>
        </is>
      </c>
      <c r="B373" s="9" t="inlineStr">
        <is>
          <t>Композиционные материалы в авиастроении</t>
        </is>
      </c>
      <c r="C373" s="9" t="inlineStr">
        <is>
          <t>КР</t>
        </is>
      </c>
      <c r="D373" s="9" t="inlineStr">
        <is>
          <t>М9О-204М-19</t>
        </is>
      </c>
      <c r="E373" s="10" t="n">
        <v>21</v>
      </c>
      <c r="F373" s="9" t="inlineStr">
        <is>
          <t>12598</t>
        </is>
      </c>
      <c r="G373" s="11" t="n">
        <v>0</v>
      </c>
      <c r="H373" s="9" t="inlineStr">
        <is>
          <t xml:space="preserve">81724     </t>
        </is>
      </c>
      <c r="I373" s="9" t="inlineStr">
        <is>
          <t xml:space="preserve">Галкин Евгений Владимирович </t>
        </is>
      </c>
      <c r="J373" s="9" t="inlineStr">
        <is>
          <t>доцент</t>
        </is>
      </c>
      <c r="K373" s="9" t="n"/>
      <c r="L373" s="9" t="inlineStr">
        <is>
          <t>кроме пятницы (525 А)</t>
        </is>
      </c>
      <c r="M373" s="12">
        <f>SUMIFS($E$2:$E$1130,$A$2:$A$1130,"осень",$I$2:$I$1130,I373)</f>
        <v/>
      </c>
      <c r="N373" s="13">
        <f>SUMIFS($E$2:$E$1130,$A$2:$A$1130,"весна",$I$2:$I$1130,I373)</f>
        <v/>
      </c>
      <c r="O373" s="14">
        <f>M373+N373</f>
        <v/>
      </c>
      <c r="P373" s="15">
        <f>O373/$P$1</f>
        <v/>
      </c>
    </row>
    <row r="374" ht="15.75" customHeight="1" s="2">
      <c r="A374" s="117" t="inlineStr">
        <is>
          <t>осень</t>
        </is>
      </c>
      <c r="B374" s="9" t="inlineStr">
        <is>
          <t>Композиционные материалы в авиастроении</t>
        </is>
      </c>
      <c r="C374" s="9" t="inlineStr">
        <is>
          <t>ПЗ</t>
        </is>
      </c>
      <c r="D374" s="9" t="inlineStr">
        <is>
          <t>М9О-204М-19</t>
        </is>
      </c>
      <c r="E374" s="10" t="n">
        <v>72</v>
      </c>
      <c r="F374" s="9" t="inlineStr">
        <is>
          <t>12598</t>
        </is>
      </c>
      <c r="G374" s="10" t="n">
        <v>72</v>
      </c>
      <c r="H374" s="9" t="inlineStr">
        <is>
          <t xml:space="preserve">81724     </t>
        </is>
      </c>
      <c r="I374" s="9" t="inlineStr">
        <is>
          <t xml:space="preserve">Галкин Евгений Владимирович </t>
        </is>
      </c>
      <c r="J374" s="9" t="inlineStr">
        <is>
          <t>доцент</t>
        </is>
      </c>
      <c r="K374" s="9" t="n"/>
      <c r="L374" s="9" t="inlineStr">
        <is>
          <t>кроме пятницы (525 А)</t>
        </is>
      </c>
      <c r="M374" s="12">
        <f>SUMIFS($E$2:$E$1130,$A$2:$A$1130,"осень",$I$2:$I$1130,I374)</f>
        <v/>
      </c>
      <c r="N374" s="13">
        <f>SUMIFS($E$2:$E$1130,$A$2:$A$1130,"весна",$I$2:$I$1130,I374)</f>
        <v/>
      </c>
      <c r="O374" s="14">
        <f>M374+N374</f>
        <v/>
      </c>
      <c r="P374" s="15">
        <f>O374/$P$1</f>
        <v/>
      </c>
    </row>
    <row r="375" ht="15.75" customHeight="1" s="2">
      <c r="A375" s="117" t="inlineStr">
        <is>
          <t>осень</t>
        </is>
      </c>
      <c r="B375" s="9" t="inlineStr">
        <is>
          <t>Композиционные материалы в авиастроении</t>
        </is>
      </c>
      <c r="C375" s="9" t="inlineStr">
        <is>
          <t>Экзамен</t>
        </is>
      </c>
      <c r="D375" s="9" t="inlineStr">
        <is>
          <t>М9О-204М-19</t>
        </is>
      </c>
      <c r="E375" s="10" t="n">
        <v>4</v>
      </c>
      <c r="F375" s="9" t="inlineStr">
        <is>
          <t>12598</t>
        </is>
      </c>
      <c r="G375" s="11" t="n">
        <v>0</v>
      </c>
      <c r="H375" s="9" t="inlineStr">
        <is>
          <t xml:space="preserve">81724     </t>
        </is>
      </c>
      <c r="I375" s="9" t="inlineStr">
        <is>
          <t xml:space="preserve">Галкин Евгений Владимирович </t>
        </is>
      </c>
      <c r="J375" s="9" t="inlineStr">
        <is>
          <t>доцент</t>
        </is>
      </c>
      <c r="K375" s="9" t="n"/>
      <c r="L375" s="9" t="inlineStr">
        <is>
          <t>кроме пятницы (525 А)</t>
        </is>
      </c>
      <c r="M375" s="12">
        <f>SUMIFS($E$2:$E$1130,$A$2:$A$1130,"осень",$I$2:$I$1130,I375)</f>
        <v/>
      </c>
      <c r="N375" s="13">
        <f>SUMIFS($E$2:$E$1130,$A$2:$A$1130,"весна",$I$2:$I$1130,I375)</f>
        <v/>
      </c>
      <c r="O375" s="14">
        <f>M375+N375</f>
        <v/>
      </c>
      <c r="P375" s="15">
        <f>O375/$P$1</f>
        <v/>
      </c>
    </row>
    <row r="376" ht="15.75" customHeight="1" s="2">
      <c r="A376" s="117" t="inlineStr">
        <is>
          <t>осень</t>
        </is>
      </c>
      <c r="B376" s="9" t="inlineStr">
        <is>
          <t>Композиционные материалы в авиастроении</t>
        </is>
      </c>
      <c r="C376" s="9" t="inlineStr">
        <is>
          <t>Консультация</t>
        </is>
      </c>
      <c r="D376" s="9" t="inlineStr">
        <is>
          <t>М9О-204М-19</t>
        </is>
      </c>
      <c r="E376" s="10" t="n">
        <v>3</v>
      </c>
      <c r="F376" s="9" t="inlineStr">
        <is>
          <t>12598</t>
        </is>
      </c>
      <c r="G376" s="11" t="n">
        <v>0</v>
      </c>
      <c r="H376" s="9" t="inlineStr">
        <is>
          <t xml:space="preserve">81724     </t>
        </is>
      </c>
      <c r="I376" s="9" t="inlineStr">
        <is>
          <t xml:space="preserve">Галкин Евгений Владимирович </t>
        </is>
      </c>
      <c r="J376" s="9" t="inlineStr">
        <is>
          <t>доцент</t>
        </is>
      </c>
      <c r="K376" s="9" t="n"/>
      <c r="L376" s="9" t="inlineStr">
        <is>
          <t>кроме пятницы (525 А)</t>
        </is>
      </c>
      <c r="M376" s="12">
        <f>SUMIFS($E$2:$E$1130,$A$2:$A$1130,"осень",$I$2:$I$1130,I376)</f>
        <v/>
      </c>
      <c r="N376" s="13">
        <f>SUMIFS($E$2:$E$1130,$A$2:$A$1130,"весна",$I$2:$I$1130,I376)</f>
        <v/>
      </c>
      <c r="O376" s="14">
        <f>M376+N376</f>
        <v/>
      </c>
      <c r="P376" s="15">
        <f>O376/$P$1</f>
        <v/>
      </c>
    </row>
    <row r="377" ht="15.75" customHeight="1" s="2">
      <c r="A377" s="117" t="inlineStr">
        <is>
          <t>осень</t>
        </is>
      </c>
      <c r="B377" s="9" t="inlineStr">
        <is>
          <t>Сварка, родственные процессы и технологии</t>
        </is>
      </c>
      <c r="C377" s="9" t="inlineStr">
        <is>
          <t>ЛК</t>
        </is>
      </c>
      <c r="D377" s="9" t="inlineStr">
        <is>
          <t>Т11О-302А-18</t>
        </is>
      </c>
      <c r="E377" s="10" t="n">
        <v>34</v>
      </c>
      <c r="F377" s="9" t="inlineStr">
        <is>
          <t>10740</t>
        </is>
      </c>
      <c r="G377" s="10" t="n">
        <v>68</v>
      </c>
      <c r="H377" s="9" t="inlineStr">
        <is>
          <t xml:space="preserve">87438     </t>
        </is>
      </c>
      <c r="I377" s="9" t="inlineStr">
        <is>
          <t xml:space="preserve">Конкевич Валентин Юрьевич </t>
        </is>
      </c>
      <c r="J377" s="9" t="n"/>
      <c r="K377" s="9" t="n"/>
      <c r="L377" s="9" t="inlineStr">
        <is>
          <t>Мисников Валерий Евгеньевич</t>
        </is>
      </c>
      <c r="M377" s="12">
        <f>SUMIFS($E$2:$E$1130,$A$2:$A$1130,"осень",$I$2:$I$1130,I377)</f>
        <v/>
      </c>
      <c r="N377" s="13">
        <f>SUMIFS($E$2:$E$1130,$A$2:$A$1130,"весна",$I$2:$I$1130,I377)</f>
        <v/>
      </c>
      <c r="O377" s="14">
        <f>M377+N377</f>
        <v/>
      </c>
      <c r="P377" s="15">
        <f>O377/$P$1</f>
        <v/>
      </c>
    </row>
    <row r="378" ht="14.25" customHeight="1" s="2">
      <c r="A378" s="117" t="inlineStr">
        <is>
          <t>осень</t>
        </is>
      </c>
      <c r="B378" s="9" t="inlineStr">
        <is>
          <t>Сварка, родственные процессы и технологии</t>
        </is>
      </c>
      <c r="C378" s="9" t="inlineStr">
        <is>
          <t>ЛК</t>
        </is>
      </c>
      <c r="D378" s="9" t="inlineStr">
        <is>
          <t>Т11О-302А-18</t>
        </is>
      </c>
      <c r="E378" s="10" t="n">
        <v>34</v>
      </c>
      <c r="F378" s="9" t="inlineStr">
        <is>
          <t>10740</t>
        </is>
      </c>
      <c r="G378" s="10" t="n">
        <v>68</v>
      </c>
      <c r="H378" s="9" t="inlineStr">
        <is>
          <t xml:space="preserve">82075     </t>
        </is>
      </c>
      <c r="I378" s="9" t="inlineStr">
        <is>
          <t>Сидякин Виталий Александрович</t>
        </is>
      </c>
      <c r="J378" s="9" t="n"/>
      <c r="K378" s="9" t="n"/>
      <c r="L378" s="21" t="inlineStr">
        <is>
          <t>Мисников Валерий Евгеньевич</t>
        </is>
      </c>
      <c r="M378" s="12">
        <f>SUMIFS($E$2:$E$1130,$A$2:$A$1130,"осень",$I$2:$I$1130,I378)</f>
        <v/>
      </c>
      <c r="N378" s="13">
        <f>SUMIFS($E$2:$E$1130,$A$2:$A$1130,"весна",$I$2:$I$1130,I378)</f>
        <v/>
      </c>
      <c r="O378" s="14">
        <f>M378+N378</f>
        <v/>
      </c>
      <c r="P378" s="15">
        <f>O378/$P$1</f>
        <v/>
      </c>
    </row>
    <row r="379" ht="15.75" customHeight="1" s="2">
      <c r="A379" s="117" t="inlineStr">
        <is>
          <t>осень</t>
        </is>
      </c>
      <c r="B379" s="9" t="inlineStr">
        <is>
          <t>Сварка, родственные процессы и технологии</t>
        </is>
      </c>
      <c r="C379" s="9" t="inlineStr">
        <is>
          <t>ПЗ</t>
        </is>
      </c>
      <c r="D379" s="9" t="inlineStr">
        <is>
          <t>Т11О-302А-18</t>
        </is>
      </c>
      <c r="E379" s="10" t="n">
        <v>10</v>
      </c>
      <c r="F379" s="9" t="inlineStr">
        <is>
          <t>10740</t>
        </is>
      </c>
      <c r="G379" s="10" t="n">
        <v>20</v>
      </c>
      <c r="H379" s="9" t="inlineStr">
        <is>
          <t xml:space="preserve">82075     </t>
        </is>
      </c>
      <c r="I379" s="9" t="inlineStr">
        <is>
          <t>Сидякин Виталий Александрович</t>
        </is>
      </c>
      <c r="J379" s="9" t="n"/>
      <c r="K379" s="9" t="n"/>
      <c r="L379" s="21" t="inlineStr">
        <is>
          <t>Мисников Валерий Евгеньевич</t>
        </is>
      </c>
      <c r="M379" s="12">
        <f>SUMIFS($E$2:$E$1130,$A$2:$A$1130,"осень",$I$2:$I$1130,I379)</f>
        <v/>
      </c>
      <c r="N379" s="13">
        <f>SUMIFS($E$2:$E$1130,$A$2:$A$1130,"весна",$I$2:$I$1130,I379)</f>
        <v/>
      </c>
      <c r="O379" s="14">
        <f>M379+N379</f>
        <v/>
      </c>
      <c r="P379" s="15">
        <f>O379/$P$1</f>
        <v/>
      </c>
    </row>
    <row r="380" ht="15.75" customHeight="1" s="2">
      <c r="A380" s="117" t="inlineStr">
        <is>
          <t>осень</t>
        </is>
      </c>
      <c r="B380" s="9" t="inlineStr">
        <is>
          <t>Сварка, родственные процессы и технологии</t>
        </is>
      </c>
      <c r="C380" s="9" t="inlineStr">
        <is>
          <t>ПЗ</t>
        </is>
      </c>
      <c r="D380" s="9" t="inlineStr">
        <is>
          <t>Т11О-302А-18</t>
        </is>
      </c>
      <c r="E380" s="10" t="n">
        <v>10</v>
      </c>
      <c r="F380" s="9" t="inlineStr">
        <is>
          <t>10740</t>
        </is>
      </c>
      <c r="G380" s="10" t="n">
        <v>20</v>
      </c>
      <c r="H380" s="9" t="inlineStr">
        <is>
          <t xml:space="preserve">87438     </t>
        </is>
      </c>
      <c r="I380" s="9" t="inlineStr">
        <is>
          <t xml:space="preserve">Конкевич Валентин Юрьевич </t>
        </is>
      </c>
      <c r="J380" s="9" t="n"/>
      <c r="K380" s="9" t="n"/>
      <c r="L380" s="21" t="inlineStr">
        <is>
          <t>Мисников Валерий Евгеньевич</t>
        </is>
      </c>
      <c r="M380" s="12">
        <f>SUMIFS($E$2:$E$1130,$A$2:$A$1130,"осень",$I$2:$I$1130,I380)</f>
        <v/>
      </c>
      <c r="N380" s="13">
        <f>SUMIFS($E$2:$E$1130,$A$2:$A$1130,"весна",$I$2:$I$1130,I380)</f>
        <v/>
      </c>
      <c r="O380" s="14">
        <f>M380+N380</f>
        <v/>
      </c>
      <c r="P380" s="15">
        <f>O380/$P$1</f>
        <v/>
      </c>
    </row>
    <row r="381" ht="15.75" customHeight="1" s="2">
      <c r="A381" s="117" t="inlineStr">
        <is>
          <t>осень</t>
        </is>
      </c>
      <c r="B381" s="9" t="inlineStr">
        <is>
          <t>Сварка, родственные процессы и технологии</t>
        </is>
      </c>
      <c r="C381" s="9" t="inlineStr">
        <is>
          <t>Экзамен</t>
        </is>
      </c>
      <c r="D381" s="9" t="inlineStr">
        <is>
          <t>Т11О-302А-18</t>
        </is>
      </c>
      <c r="E381" s="10" t="n">
        <v>1</v>
      </c>
      <c r="F381" s="9" t="inlineStr">
        <is>
          <t>10740</t>
        </is>
      </c>
      <c r="G381" s="11" t="n">
        <v>0</v>
      </c>
      <c r="H381" s="9" t="inlineStr">
        <is>
          <t xml:space="preserve">87438     </t>
        </is>
      </c>
      <c r="I381" s="9" t="inlineStr">
        <is>
          <t xml:space="preserve">Конкевич Валентин Юрьевич </t>
        </is>
      </c>
      <c r="J381" s="9" t="n"/>
      <c r="K381" s="9" t="n"/>
      <c r="L381" s="9" t="inlineStr">
        <is>
          <t>Мисников Валерий Евгеньевич</t>
        </is>
      </c>
      <c r="M381" s="12">
        <f>SUMIFS($E$2:$E$1130,$A$2:$A$1130,"осень",$I$2:$I$1130,I381)</f>
        <v/>
      </c>
      <c r="N381" s="13">
        <f>SUMIFS($E$2:$E$1130,$A$2:$A$1130,"весна",$I$2:$I$1130,I381)</f>
        <v/>
      </c>
      <c r="O381" s="14">
        <f>M381+N381</f>
        <v/>
      </c>
      <c r="P381" s="15">
        <f>O381/$P$1</f>
        <v/>
      </c>
    </row>
    <row r="382" ht="15.75" customHeight="1" s="2">
      <c r="A382" s="117" t="inlineStr">
        <is>
          <t>осень</t>
        </is>
      </c>
      <c r="B382" s="9" t="inlineStr">
        <is>
          <t>Сварка, родственные процессы и технологии</t>
        </is>
      </c>
      <c r="C382" s="9" t="inlineStr">
        <is>
          <t>Консультация</t>
        </is>
      </c>
      <c r="D382" s="9" t="inlineStr">
        <is>
          <t>Т11О-302А-18</t>
        </is>
      </c>
      <c r="E382" s="10" t="n">
        <v>5</v>
      </c>
      <c r="F382" s="9" t="inlineStr">
        <is>
          <t>10740</t>
        </is>
      </c>
      <c r="G382" s="11" t="n">
        <v>0</v>
      </c>
      <c r="H382" s="9" t="inlineStr">
        <is>
          <t xml:space="preserve">87438     </t>
        </is>
      </c>
      <c r="I382" s="9" t="inlineStr">
        <is>
          <t xml:space="preserve">Конкевич Валентин Юрьевич </t>
        </is>
      </c>
      <c r="J382" s="9" t="n"/>
      <c r="K382" s="9" t="n"/>
      <c r="L382" s="9" t="inlineStr">
        <is>
          <t>Мисников Валерий Евгеньевич</t>
        </is>
      </c>
      <c r="M382" s="12">
        <f>SUMIFS($E$2:$E$1130,$A$2:$A$1130,"осень",$I$2:$I$1130,I382)</f>
        <v/>
      </c>
      <c r="N382" s="13">
        <f>SUMIFS($E$2:$E$1130,$A$2:$A$1130,"весна",$I$2:$I$1130,I382)</f>
        <v/>
      </c>
      <c r="O382" s="14">
        <f>M382+N382</f>
        <v/>
      </c>
      <c r="P382" s="15">
        <f>O382/$P$1</f>
        <v/>
      </c>
    </row>
    <row r="383" ht="15.75" customHeight="1" s="2">
      <c r="A383" s="117" t="inlineStr">
        <is>
          <t>осень</t>
        </is>
      </c>
      <c r="B383" s="9" t="inlineStr">
        <is>
          <t>Спецглавы информатики</t>
        </is>
      </c>
      <c r="C383" s="9" t="inlineStr">
        <is>
          <t>ЛК</t>
        </is>
      </c>
      <c r="D383" s="9" t="inlineStr">
        <is>
          <t>Т11О-201Б-19, Т11О-202Б-19</t>
        </is>
      </c>
      <c r="E383" s="10" t="n">
        <v>24</v>
      </c>
      <c r="F383" s="9" t="inlineStr">
        <is>
          <t>08947</t>
        </is>
      </c>
      <c r="G383" s="10" t="n">
        <v>24</v>
      </c>
      <c r="H383" s="9" t="inlineStr">
        <is>
          <t xml:space="preserve">82026     </t>
        </is>
      </c>
      <c r="I383" s="9" t="inlineStr">
        <is>
          <t xml:space="preserve">Александрова Светлана Сергеевна </t>
        </is>
      </c>
      <c r="J383" s="9" t="inlineStr">
        <is>
          <t>доцент</t>
        </is>
      </c>
      <c r="K383" s="9" t="n"/>
      <c r="L383" s="9" t="inlineStr">
        <is>
          <t>кроме чт и сб (509)</t>
        </is>
      </c>
      <c r="M383" s="12">
        <f>SUMIFS($E$2:$E$1130,$A$2:$A$1130,"осень",$I$2:$I$1130,I383)</f>
        <v/>
      </c>
      <c r="N383" s="13">
        <f>SUMIFS($E$2:$E$1130,$A$2:$A$1130,"весна",$I$2:$I$1130,I383)</f>
        <v/>
      </c>
      <c r="O383" s="14">
        <f>M383+N383</f>
        <v/>
      </c>
      <c r="P383" s="15">
        <f>O383/$P$1</f>
        <v/>
      </c>
    </row>
    <row r="384" ht="15.75" customHeight="1" s="2">
      <c r="A384" s="117" t="inlineStr">
        <is>
          <t>осень</t>
        </is>
      </c>
      <c r="B384" s="9" t="inlineStr">
        <is>
          <t>Спецглавы информатики</t>
        </is>
      </c>
      <c r="C384" s="9" t="inlineStr">
        <is>
          <t>Зачет с оценкой</t>
        </is>
      </c>
      <c r="D384" s="9" t="inlineStr">
        <is>
          <t>Т11О-201Б-19</t>
        </is>
      </c>
      <c r="E384" s="10" t="n">
        <v>6</v>
      </c>
      <c r="F384" s="9" t="inlineStr">
        <is>
          <t>08947</t>
        </is>
      </c>
      <c r="G384" s="11" t="n">
        <v>0</v>
      </c>
      <c r="H384" s="9" t="inlineStr">
        <is>
          <t xml:space="preserve">82026     </t>
        </is>
      </c>
      <c r="I384" s="9" t="inlineStr">
        <is>
          <t xml:space="preserve">Александрова Светлана Сергеевна </t>
        </is>
      </c>
      <c r="J384" s="9" t="inlineStr">
        <is>
          <t>доцент</t>
        </is>
      </c>
      <c r="K384" s="9" t="n"/>
      <c r="L384" s="9" t="inlineStr">
        <is>
          <t>кроме чт и сб (509)</t>
        </is>
      </c>
      <c r="M384" s="12">
        <f>SUMIFS($E$2:$E$1130,$A$2:$A$1130,"осень",$I$2:$I$1130,I384)</f>
        <v/>
      </c>
      <c r="N384" s="13">
        <f>SUMIFS($E$2:$E$1130,$A$2:$A$1130,"весна",$I$2:$I$1130,I384)</f>
        <v/>
      </c>
      <c r="O384" s="14">
        <f>M384+N384</f>
        <v/>
      </c>
      <c r="P384" s="15">
        <f>O384/$P$1</f>
        <v/>
      </c>
    </row>
    <row r="385" ht="15.75" customHeight="1" s="2">
      <c r="A385" s="117" t="inlineStr">
        <is>
          <t>осень</t>
        </is>
      </c>
      <c r="B385" s="9" t="inlineStr">
        <is>
          <t>Спецглавы информатики</t>
        </is>
      </c>
      <c r="C385" s="9" t="inlineStr">
        <is>
          <t>Зачет с оценкой</t>
        </is>
      </c>
      <c r="D385" s="9" t="inlineStr">
        <is>
          <t>Т11О-202Б-19</t>
        </is>
      </c>
      <c r="E385" s="10" t="n">
        <v>8</v>
      </c>
      <c r="F385" s="9" t="inlineStr">
        <is>
          <t>08947</t>
        </is>
      </c>
      <c r="G385" s="11" t="n">
        <v>0</v>
      </c>
      <c r="H385" s="9" t="inlineStr">
        <is>
          <t xml:space="preserve">82026     </t>
        </is>
      </c>
      <c r="I385" s="9" t="inlineStr">
        <is>
          <t xml:space="preserve">Александрова Светлана Сергеевна </t>
        </is>
      </c>
      <c r="J385" s="9" t="inlineStr">
        <is>
          <t>доцент</t>
        </is>
      </c>
      <c r="K385" s="9" t="n"/>
      <c r="L385" s="9" t="inlineStr">
        <is>
          <t>кроме чт и сб (509)</t>
        </is>
      </c>
      <c r="M385" s="12">
        <f>SUMIFS($E$2:$E$1130,$A$2:$A$1130,"осень",$I$2:$I$1130,I385)</f>
        <v/>
      </c>
      <c r="N385" s="13">
        <f>SUMIFS($E$2:$E$1130,$A$2:$A$1130,"весна",$I$2:$I$1130,I385)</f>
        <v/>
      </c>
      <c r="O385" s="14">
        <f>M385+N385</f>
        <v/>
      </c>
      <c r="P385" s="15">
        <f>O385/$P$1</f>
        <v/>
      </c>
    </row>
    <row r="386" ht="15.75" customHeight="1" s="2">
      <c r="A386" s="117" t="inlineStr">
        <is>
          <t>осень</t>
        </is>
      </c>
      <c r="B386" s="9" t="inlineStr">
        <is>
          <t>Спецглавы информатики</t>
        </is>
      </c>
      <c r="C386" s="9" t="inlineStr">
        <is>
          <t>ПЗ</t>
        </is>
      </c>
      <c r="D386" s="9" t="inlineStr">
        <is>
          <t>Т11О-201Б-19</t>
        </is>
      </c>
      <c r="E386" s="10" t="n">
        <v>48</v>
      </c>
      <c r="F386" s="9" t="inlineStr">
        <is>
          <t>08947</t>
        </is>
      </c>
      <c r="G386" s="10" t="n">
        <v>48</v>
      </c>
      <c r="H386" s="9" t="inlineStr">
        <is>
          <t xml:space="preserve">82026     </t>
        </is>
      </c>
      <c r="I386" s="9" t="inlineStr">
        <is>
          <t xml:space="preserve">Александрова Светлана Сергеевна </t>
        </is>
      </c>
      <c r="J386" s="9" t="inlineStr">
        <is>
          <t>доцент</t>
        </is>
      </c>
      <c r="K386" s="9" t="n"/>
      <c r="L386" s="9" t="inlineStr">
        <is>
          <t>кроме чт и сб (509)</t>
        </is>
      </c>
      <c r="M386" s="12">
        <f>SUMIFS($E$2:$E$1130,$A$2:$A$1130,"осень",$I$2:$I$1130,I386)</f>
        <v/>
      </c>
      <c r="N386" s="13">
        <f>SUMIFS($E$2:$E$1130,$A$2:$A$1130,"весна",$I$2:$I$1130,I386)</f>
        <v/>
      </c>
      <c r="O386" s="14">
        <f>M386+N386</f>
        <v/>
      </c>
      <c r="P386" s="15">
        <f>O386/$P$1</f>
        <v/>
      </c>
    </row>
    <row r="387" ht="15.75" customHeight="1" s="2">
      <c r="A387" s="117" t="inlineStr">
        <is>
          <t>осень</t>
        </is>
      </c>
      <c r="B387" s="9" t="inlineStr">
        <is>
          <t>Спецглавы информатики</t>
        </is>
      </c>
      <c r="C387" s="9" t="inlineStr">
        <is>
          <t>ПЗ</t>
        </is>
      </c>
      <c r="D387" s="9" t="inlineStr">
        <is>
          <t>Т11О-202Б-19</t>
        </is>
      </c>
      <c r="E387" s="10" t="n">
        <v>48</v>
      </c>
      <c r="F387" s="9" t="inlineStr">
        <is>
          <t>08947</t>
        </is>
      </c>
      <c r="G387" s="10" t="n">
        <v>48</v>
      </c>
      <c r="H387" s="9" t="inlineStr">
        <is>
          <t xml:space="preserve">82026     </t>
        </is>
      </c>
      <c r="I387" s="9" t="inlineStr">
        <is>
          <t xml:space="preserve">Александрова Светлана Сергеевна </t>
        </is>
      </c>
      <c r="J387" s="9" t="inlineStr">
        <is>
          <t>доцент</t>
        </is>
      </c>
      <c r="K387" s="9" t="n"/>
      <c r="L387" s="9" t="inlineStr">
        <is>
          <t>кроме чт и сб (509)</t>
        </is>
      </c>
      <c r="M387" s="12">
        <f>SUMIFS($E$2:$E$1130,$A$2:$A$1130,"осень",$I$2:$I$1130,I387)</f>
        <v/>
      </c>
      <c r="N387" s="13">
        <f>SUMIFS($E$2:$E$1130,$A$2:$A$1130,"весна",$I$2:$I$1130,I387)</f>
        <v/>
      </c>
      <c r="O387" s="14">
        <f>M387+N387</f>
        <v/>
      </c>
      <c r="P387" s="15">
        <f>O387/$P$1</f>
        <v/>
      </c>
    </row>
    <row r="388" ht="15.75" customHeight="1" s="2">
      <c r="A388" s="117" t="inlineStr">
        <is>
          <t>осень</t>
        </is>
      </c>
      <c r="B388" s="9" t="inlineStr">
        <is>
          <t>Спецглавы информатики</t>
        </is>
      </c>
      <c r="C388" s="9" t="inlineStr">
        <is>
          <t>Консультация</t>
        </is>
      </c>
      <c r="D388" s="9" t="inlineStr">
        <is>
          <t>Т11О-201Б-19</t>
        </is>
      </c>
      <c r="E388" s="10" t="n">
        <v>1</v>
      </c>
      <c r="F388" s="9" t="inlineStr">
        <is>
          <t>08947</t>
        </is>
      </c>
      <c r="G388" s="11" t="n">
        <v>0</v>
      </c>
      <c r="H388" s="9" t="inlineStr">
        <is>
          <t xml:space="preserve">82026     </t>
        </is>
      </c>
      <c r="I388" s="9" t="inlineStr">
        <is>
          <t xml:space="preserve">Александрова Светлана Сергеевна </t>
        </is>
      </c>
      <c r="J388" s="9" t="inlineStr">
        <is>
          <t>доцент</t>
        </is>
      </c>
      <c r="K388" s="9" t="n"/>
      <c r="L388" s="9" t="inlineStr">
        <is>
          <t>кроме чт и сб (509)</t>
        </is>
      </c>
      <c r="M388" s="12">
        <f>SUMIFS($E$2:$E$1130,$A$2:$A$1130,"осень",$I$2:$I$1130,I388)</f>
        <v/>
      </c>
      <c r="N388" s="13">
        <f>SUMIFS($E$2:$E$1130,$A$2:$A$1130,"весна",$I$2:$I$1130,I388)</f>
        <v/>
      </c>
      <c r="O388" s="14">
        <f>M388+N388</f>
        <v/>
      </c>
      <c r="P388" s="15">
        <f>O388/$P$1</f>
        <v/>
      </c>
    </row>
    <row r="389" ht="15.75" customHeight="1" s="2">
      <c r="A389" s="117" t="inlineStr">
        <is>
          <t>осень</t>
        </is>
      </c>
      <c r="B389" s="9" t="inlineStr">
        <is>
          <t>Спецглавы информатики</t>
        </is>
      </c>
      <c r="C389" s="9" t="inlineStr">
        <is>
          <t>Консультация</t>
        </is>
      </c>
      <c r="D389" s="9" t="inlineStr">
        <is>
          <t>Т11О-202Б-19</t>
        </is>
      </c>
      <c r="E389" s="10" t="n">
        <v>1</v>
      </c>
      <c r="F389" s="9" t="inlineStr">
        <is>
          <t>08947</t>
        </is>
      </c>
      <c r="G389" s="11" t="n">
        <v>0</v>
      </c>
      <c r="H389" s="9" t="inlineStr">
        <is>
          <t xml:space="preserve">82026     </t>
        </is>
      </c>
      <c r="I389" s="9" t="inlineStr">
        <is>
          <t xml:space="preserve">Александрова Светлана Сергеевна </t>
        </is>
      </c>
      <c r="J389" s="9" t="inlineStr">
        <is>
          <t>доцент</t>
        </is>
      </c>
      <c r="K389" s="9" t="n"/>
      <c r="L389" s="9" t="inlineStr">
        <is>
          <t>кроме чт и сб (509)</t>
        </is>
      </c>
      <c r="M389" s="12">
        <f>SUMIFS($E$2:$E$1130,$A$2:$A$1130,"осень",$I$2:$I$1130,I389)</f>
        <v/>
      </c>
      <c r="N389" s="13">
        <f>SUMIFS($E$2:$E$1130,$A$2:$A$1130,"весна",$I$2:$I$1130,I389)</f>
        <v/>
      </c>
      <c r="O389" s="14">
        <f>M389+N389</f>
        <v/>
      </c>
      <c r="P389" s="15">
        <f>O389/$P$1</f>
        <v/>
      </c>
    </row>
    <row r="390" ht="15.75" customHeight="1" s="2">
      <c r="A390" s="117" t="inlineStr">
        <is>
          <t>осень</t>
        </is>
      </c>
      <c r="B390" s="9" t="inlineStr">
        <is>
          <t>Вакуумные технологии в металлургии</t>
        </is>
      </c>
      <c r="C390" s="9" t="inlineStr">
        <is>
          <t>ЛК</t>
        </is>
      </c>
      <c r="D390" s="9" t="inlineStr">
        <is>
          <t>Т1О-402Б-17</t>
        </is>
      </c>
      <c r="E390" s="10" t="n">
        <v>30</v>
      </c>
      <c r="F390" s="9" t="inlineStr">
        <is>
          <t>04517</t>
        </is>
      </c>
      <c r="G390" s="10" t="n">
        <v>30</v>
      </c>
      <c r="H390" s="9" t="inlineStr">
        <is>
          <t xml:space="preserve">95460     </t>
        </is>
      </c>
      <c r="I390" s="9" t="inlineStr">
        <is>
          <t>Кубатина Екатерина Павловна</t>
        </is>
      </c>
      <c r="J390" s="9" t="n"/>
      <c r="K390" s="9" t="n"/>
      <c r="L390" s="9" t="inlineStr">
        <is>
          <t>будни после 13.00 либо суббота в любое время</t>
        </is>
      </c>
      <c r="M390" s="12">
        <f>SUMIFS($E$2:$E$1130,$A$2:$A$1130,"осень",$I$2:$I$1130,I390)</f>
        <v/>
      </c>
      <c r="N390" s="13">
        <f>SUMIFS($E$2:$E$1130,$A$2:$A$1130,"весна",$I$2:$I$1130,I390)</f>
        <v/>
      </c>
      <c r="O390" s="14">
        <f>M390+N390</f>
        <v/>
      </c>
      <c r="P390" s="15">
        <f>O390/$P$1</f>
        <v/>
      </c>
    </row>
    <row r="391" ht="15.75" customHeight="1" s="2">
      <c r="A391" s="117" t="inlineStr">
        <is>
          <t>осень</t>
        </is>
      </c>
      <c r="B391" s="9" t="inlineStr">
        <is>
          <t>Вакуумные технологии в металлургии</t>
        </is>
      </c>
      <c r="C391" s="9" t="inlineStr">
        <is>
          <t>Зачет с оценкой</t>
        </is>
      </c>
      <c r="D391" s="9" t="inlineStr">
        <is>
          <t>Т1О-402Б-17</t>
        </is>
      </c>
      <c r="E391" s="10" t="n">
        <v>6</v>
      </c>
      <c r="F391" s="9" t="inlineStr">
        <is>
          <t>04517</t>
        </is>
      </c>
      <c r="G391" s="11" t="n">
        <v>0</v>
      </c>
      <c r="H391" s="9" t="inlineStr">
        <is>
          <t xml:space="preserve">95460     </t>
        </is>
      </c>
      <c r="I391" s="9" t="inlineStr">
        <is>
          <t>Кубатина Екатерина Павловна</t>
        </is>
      </c>
      <c r="J391" s="9" t="n"/>
      <c r="K391" s="9" t="n"/>
      <c r="L391" s="9" t="inlineStr">
        <is>
          <t xml:space="preserve">будни после 13.00 либо суббота в любое время </t>
        </is>
      </c>
      <c r="M391" s="12">
        <f>SUMIFS($E$2:$E$1130,$A$2:$A$1130,"осень",$I$2:$I$1130,I391)</f>
        <v/>
      </c>
      <c r="N391" s="13">
        <f>SUMIFS($E$2:$E$1130,$A$2:$A$1130,"весна",$I$2:$I$1130,I391)</f>
        <v/>
      </c>
      <c r="O391" s="14">
        <f>M391+N391</f>
        <v/>
      </c>
      <c r="P391" s="15">
        <f>O391/$P$1</f>
        <v/>
      </c>
    </row>
    <row r="392" ht="15.75" customHeight="1" s="2">
      <c r="A392" s="117" t="inlineStr">
        <is>
          <t>осень</t>
        </is>
      </c>
      <c r="B392" s="9" t="inlineStr">
        <is>
          <t>Вакуумные технологии в металлургии</t>
        </is>
      </c>
      <c r="C392" s="9" t="inlineStr">
        <is>
          <t>ПЗ</t>
        </is>
      </c>
      <c r="D392" s="9" t="inlineStr">
        <is>
          <t>Т1О-402Б-17</t>
        </is>
      </c>
      <c r="E392" s="10" t="n">
        <v>18</v>
      </c>
      <c r="F392" s="9" t="inlineStr">
        <is>
          <t>04517</t>
        </is>
      </c>
      <c r="G392" s="10" t="n">
        <v>18</v>
      </c>
      <c r="H392" s="9" t="inlineStr">
        <is>
          <t xml:space="preserve">95460     </t>
        </is>
      </c>
      <c r="I392" s="9" t="inlineStr">
        <is>
          <t>Кубатина Екатерина Павловна</t>
        </is>
      </c>
      <c r="J392" s="9" t="n"/>
      <c r="K392" s="9" t="n"/>
      <c r="L392" s="9" t="inlineStr">
        <is>
          <t xml:space="preserve">будни после 13.00 либо суббота в любое время </t>
        </is>
      </c>
      <c r="M392" s="12">
        <f>SUMIFS($E$2:$E$1130,$A$2:$A$1130,"осень",$I$2:$I$1130,I392)</f>
        <v/>
      </c>
      <c r="N392" s="13">
        <f>SUMIFS($E$2:$E$1130,$A$2:$A$1130,"весна",$I$2:$I$1130,I392)</f>
        <v/>
      </c>
      <c r="O392" s="14">
        <f>M392+N392</f>
        <v/>
      </c>
      <c r="P392" s="15">
        <f>O392/$P$1</f>
        <v/>
      </c>
    </row>
    <row r="393" ht="15.75" customHeight="1" s="2">
      <c r="A393" s="117" t="inlineStr">
        <is>
          <t>осень</t>
        </is>
      </c>
      <c r="B393" s="9" t="inlineStr">
        <is>
          <t>Вакуумные технологии в металлургии</t>
        </is>
      </c>
      <c r="C393" s="9" t="inlineStr">
        <is>
          <t>ЛР</t>
        </is>
      </c>
      <c r="D393" s="9" t="inlineStr">
        <is>
          <t>Т1О-402Б-17</t>
        </is>
      </c>
      <c r="E393" s="10" t="n">
        <v>24</v>
      </c>
      <c r="F393" s="9" t="inlineStr">
        <is>
          <t>04517</t>
        </is>
      </c>
      <c r="G393" s="10" t="n">
        <v>12</v>
      </c>
      <c r="H393" s="9" t="inlineStr">
        <is>
          <t xml:space="preserve">95460     </t>
        </is>
      </c>
      <c r="I393" s="9" t="inlineStr">
        <is>
          <t>Кубатина Екатерина Павловна</t>
        </is>
      </c>
      <c r="J393" s="9" t="n"/>
      <c r="K393" s="9" t="n"/>
      <c r="L393" s="9" t="inlineStr">
        <is>
          <t xml:space="preserve">будни после 13.00 либо суббота в любое время </t>
        </is>
      </c>
      <c r="M393" s="12">
        <f>SUMIFS($E$2:$E$1130,$A$2:$A$1130,"осень",$I$2:$I$1130,I393)</f>
        <v/>
      </c>
      <c r="N393" s="13">
        <f>SUMIFS($E$2:$E$1130,$A$2:$A$1130,"весна",$I$2:$I$1130,I393)</f>
        <v/>
      </c>
      <c r="O393" s="14">
        <f>M393+N393</f>
        <v/>
      </c>
      <c r="P393" s="15">
        <f>O393/$P$1</f>
        <v/>
      </c>
    </row>
    <row r="394" ht="15.75" customHeight="1" s="2">
      <c r="A394" s="117" t="inlineStr">
        <is>
          <t>осень</t>
        </is>
      </c>
      <c r="B394" s="9" t="inlineStr">
        <is>
          <t>Вакуумные технологии в металлургии</t>
        </is>
      </c>
      <c r="C394" s="9" t="inlineStr">
        <is>
          <t>Консультация</t>
        </is>
      </c>
      <c r="D394" s="9" t="inlineStr">
        <is>
          <t>Т1О-402Б-17</t>
        </is>
      </c>
      <c r="E394" s="10" t="n">
        <v>2</v>
      </c>
      <c r="F394" s="9" t="inlineStr">
        <is>
          <t>04517</t>
        </is>
      </c>
      <c r="G394" s="11" t="n">
        <v>0</v>
      </c>
      <c r="H394" s="9" t="inlineStr">
        <is>
          <t xml:space="preserve">95460     </t>
        </is>
      </c>
      <c r="I394" s="9" t="inlineStr">
        <is>
          <t>Кубатина Екатерина Павловна</t>
        </is>
      </c>
      <c r="J394" s="9" t="n"/>
      <c r="K394" s="9" t="n"/>
      <c r="L394" s="9" t="inlineStr">
        <is>
          <t xml:space="preserve">будни после 13.00 либо суббота в любое время </t>
        </is>
      </c>
      <c r="M394" s="12">
        <f>SUMIFS($E$2:$E$1130,$A$2:$A$1130,"осень",$I$2:$I$1130,I394)</f>
        <v/>
      </c>
      <c r="N394" s="13">
        <f>SUMIFS($E$2:$E$1130,$A$2:$A$1130,"весна",$I$2:$I$1130,I394)</f>
        <v/>
      </c>
      <c r="O394" s="14">
        <f>M394+N394</f>
        <v/>
      </c>
      <c r="P394" s="15">
        <f>O394/$P$1</f>
        <v/>
      </c>
    </row>
    <row r="395" ht="15.75" customHeight="1" s="2">
      <c r="A395" s="117" t="inlineStr">
        <is>
          <t>осень</t>
        </is>
      </c>
      <c r="B395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5" s="9" t="inlineStr">
        <is>
          <t>ЛК</t>
        </is>
      </c>
      <c r="D395" s="9" t="inlineStr">
        <is>
          <t>Т11О-201М-19, Т11О-202М-19, Т11О-203М-19, Т11О-204М-19</t>
        </is>
      </c>
      <c r="E395" s="10" t="n">
        <v>10</v>
      </c>
      <c r="F395" s="9" t="inlineStr">
        <is>
          <t>07987</t>
        </is>
      </c>
      <c r="G395" s="10" t="n">
        <v>10</v>
      </c>
      <c r="H395" s="9" t="inlineStr">
        <is>
          <t xml:space="preserve">81730     </t>
        </is>
      </c>
      <c r="I395" s="9" t="inlineStr">
        <is>
          <t>Федоров Анатолий Александрович</t>
        </is>
      </c>
      <c r="J395" s="9" t="inlineStr">
        <is>
          <t>профессор</t>
        </is>
      </c>
      <c r="K395" s="9" t="n"/>
      <c r="L395" s="9" t="n"/>
      <c r="M395" s="12">
        <f>SUMIFS($E$2:$E$1130,$A$2:$A$1130,"осень",$I$2:$I$1130,I395)</f>
        <v/>
      </c>
      <c r="N395" s="13">
        <f>SUMIFS($E$2:$E$1130,$A$2:$A$1130,"весна",$I$2:$I$1130,I395)</f>
        <v/>
      </c>
      <c r="O395" s="14">
        <f>M395+N395</f>
        <v/>
      </c>
      <c r="P395" s="15">
        <f>O395/$P$1</f>
        <v/>
      </c>
    </row>
    <row r="396" ht="15.75" customHeight="1" s="2">
      <c r="A396" s="117" t="inlineStr">
        <is>
          <t>осень</t>
        </is>
      </c>
      <c r="B396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6" s="9" t="inlineStr">
        <is>
          <t>ПЗ</t>
        </is>
      </c>
      <c r="D396" s="9" t="inlineStr">
        <is>
          <t>Т11О-201М-19</t>
        </is>
      </c>
      <c r="E396" s="10" t="n">
        <v>44</v>
      </c>
      <c r="F396" s="9" t="inlineStr">
        <is>
          <t>07987</t>
        </is>
      </c>
      <c r="G396" s="10" t="n">
        <v>44</v>
      </c>
      <c r="H396" s="9" t="inlineStr">
        <is>
          <t xml:space="preserve">81730     </t>
        </is>
      </c>
      <c r="I396" s="9" t="inlineStr">
        <is>
          <t>Федоров Анатолий Александрович</t>
        </is>
      </c>
      <c r="J396" s="9" t="inlineStr">
        <is>
          <t>профессор</t>
        </is>
      </c>
      <c r="K396" s="9" t="n"/>
      <c r="L396" s="9" t="n"/>
      <c r="M396" s="12">
        <f>SUMIFS($E$2:$E$1130,$A$2:$A$1130,"осень",$I$2:$I$1130,I396)</f>
        <v/>
      </c>
      <c r="N396" s="13">
        <f>SUMIFS($E$2:$E$1130,$A$2:$A$1130,"весна",$I$2:$I$1130,I396)</f>
        <v/>
      </c>
      <c r="O396" s="14">
        <f>M396+N396</f>
        <v/>
      </c>
      <c r="P396" s="15">
        <f>O396/$P$1</f>
        <v/>
      </c>
    </row>
    <row r="397" ht="15.75" customHeight="1" s="2">
      <c r="A397" s="117" t="inlineStr">
        <is>
          <t>осень</t>
        </is>
      </c>
      <c r="B397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7" s="9" t="inlineStr">
        <is>
          <t>ПЗ</t>
        </is>
      </c>
      <c r="D397" s="9" t="inlineStr">
        <is>
          <t>Т11О-202М-19</t>
        </is>
      </c>
      <c r="E397" s="10" t="n">
        <v>44</v>
      </c>
      <c r="F397" s="9" t="inlineStr">
        <is>
          <t>07987</t>
        </is>
      </c>
      <c r="G397" s="10" t="n">
        <v>44</v>
      </c>
      <c r="H397" s="9" t="inlineStr">
        <is>
          <t xml:space="preserve">81730     </t>
        </is>
      </c>
      <c r="I397" s="9" t="inlineStr">
        <is>
          <t>Федоров Анатолий Александрович</t>
        </is>
      </c>
      <c r="J397" s="9" t="inlineStr">
        <is>
          <t>профессор</t>
        </is>
      </c>
      <c r="K397" s="9" t="n"/>
      <c r="L397" s="9" t="n"/>
      <c r="M397" s="12">
        <f>SUMIFS($E$2:$E$1130,$A$2:$A$1130,"осень",$I$2:$I$1130,I397)</f>
        <v/>
      </c>
      <c r="N397" s="13">
        <f>SUMIFS($E$2:$E$1130,$A$2:$A$1130,"весна",$I$2:$I$1130,I397)</f>
        <v/>
      </c>
      <c r="O397" s="14">
        <f>M397+N397</f>
        <v/>
      </c>
      <c r="P397" s="15">
        <f>O397/$P$1</f>
        <v/>
      </c>
    </row>
    <row r="398" ht="15.75" customHeight="1" s="2">
      <c r="A398" s="117" t="inlineStr">
        <is>
          <t>осень</t>
        </is>
      </c>
      <c r="B398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8" s="9" t="inlineStr">
        <is>
          <t>ПЗ</t>
        </is>
      </c>
      <c r="D398" s="9" t="inlineStr">
        <is>
          <t>Т11О-203М-19</t>
        </is>
      </c>
      <c r="E398" s="10" t="n">
        <v>44</v>
      </c>
      <c r="F398" s="9" t="inlineStr">
        <is>
          <t>07987</t>
        </is>
      </c>
      <c r="G398" s="10" t="n">
        <v>44</v>
      </c>
      <c r="H398" s="9" t="inlineStr">
        <is>
          <t xml:space="preserve">81730     </t>
        </is>
      </c>
      <c r="I398" s="9" t="inlineStr">
        <is>
          <t>Федоров Анатолий Александрович</t>
        </is>
      </c>
      <c r="J398" s="9" t="inlineStr">
        <is>
          <t>профессор</t>
        </is>
      </c>
      <c r="K398" s="9" t="n"/>
      <c r="L398" s="9" t="n"/>
      <c r="M398" s="12">
        <f>SUMIFS($E$2:$E$1130,$A$2:$A$1130,"осень",$I$2:$I$1130,I398)</f>
        <v/>
      </c>
      <c r="N398" s="13">
        <f>SUMIFS($E$2:$E$1130,$A$2:$A$1130,"весна",$I$2:$I$1130,I398)</f>
        <v/>
      </c>
      <c r="O398" s="14">
        <f>M398+N398</f>
        <v/>
      </c>
      <c r="P398" s="15">
        <f>O398/$P$1</f>
        <v/>
      </c>
    </row>
    <row r="399" ht="15.75" customHeight="1" s="2">
      <c r="A399" s="117" t="inlineStr">
        <is>
          <t>осень</t>
        </is>
      </c>
      <c r="B399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9" s="9" t="inlineStr">
        <is>
          <t>ПЗ</t>
        </is>
      </c>
      <c r="D399" s="9" t="inlineStr">
        <is>
          <t>Т11О-204М-19</t>
        </is>
      </c>
      <c r="E399" s="10" t="n">
        <v>44</v>
      </c>
      <c r="F399" s="9" t="inlineStr">
        <is>
          <t>07987</t>
        </is>
      </c>
      <c r="G399" s="10" t="n">
        <v>44</v>
      </c>
      <c r="H399" s="9" t="inlineStr">
        <is>
          <t xml:space="preserve">81730     </t>
        </is>
      </c>
      <c r="I399" s="9" t="inlineStr">
        <is>
          <t>Федоров Анатолий Александрович</t>
        </is>
      </c>
      <c r="J399" s="9" t="inlineStr">
        <is>
          <t>профессор</t>
        </is>
      </c>
      <c r="K399" s="9" t="n"/>
      <c r="L399" s="9" t="n"/>
      <c r="M399" s="12">
        <f>SUMIFS($E$2:$E$1130,$A$2:$A$1130,"осень",$I$2:$I$1130,I399)</f>
        <v/>
      </c>
      <c r="N399" s="13">
        <f>SUMIFS($E$2:$E$1130,$A$2:$A$1130,"весна",$I$2:$I$1130,I399)</f>
        <v/>
      </c>
      <c r="O399" s="14">
        <f>M399+N399</f>
        <v/>
      </c>
      <c r="P399" s="15">
        <f>O399/$P$1</f>
        <v/>
      </c>
    </row>
    <row r="400" ht="15.75" customHeight="1" s="2">
      <c r="A400" s="117" t="inlineStr">
        <is>
          <t>осень</t>
        </is>
      </c>
      <c r="B400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0" s="9" t="inlineStr">
        <is>
          <t>Экзамен</t>
        </is>
      </c>
      <c r="D400" s="9" t="inlineStr">
        <is>
          <t>Т11О-201М-19</t>
        </is>
      </c>
      <c r="E400" s="10" t="n">
        <v>4</v>
      </c>
      <c r="F400" s="9" t="inlineStr">
        <is>
          <t>07987</t>
        </is>
      </c>
      <c r="G400" s="11" t="n">
        <v>0</v>
      </c>
      <c r="H400" s="9" t="inlineStr">
        <is>
          <t xml:space="preserve">81730     </t>
        </is>
      </c>
      <c r="I400" s="9" t="inlineStr">
        <is>
          <t>Федоров Анатолий Александрович</t>
        </is>
      </c>
      <c r="J400" s="9" t="inlineStr">
        <is>
          <t>профессор</t>
        </is>
      </c>
      <c r="K400" s="9" t="n"/>
      <c r="L400" s="9" t="n"/>
      <c r="M400" s="12">
        <f>SUMIFS($E$2:$E$1130,$A$2:$A$1130,"осень",$I$2:$I$1130,I400)</f>
        <v/>
      </c>
      <c r="N400" s="13">
        <f>SUMIFS($E$2:$E$1130,$A$2:$A$1130,"весна",$I$2:$I$1130,I400)</f>
        <v/>
      </c>
      <c r="O400" s="14">
        <f>M400+N400</f>
        <v/>
      </c>
      <c r="P400" s="15">
        <f>O400/$P$1</f>
        <v/>
      </c>
    </row>
    <row r="401" ht="15.75" customHeight="1" s="2">
      <c r="A401" s="117" t="inlineStr">
        <is>
          <t>осень</t>
        </is>
      </c>
      <c r="B401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1" s="9" t="inlineStr">
        <is>
          <t>Экзамен</t>
        </is>
      </c>
      <c r="D401" s="9" t="inlineStr">
        <is>
          <t>Т11О-202М-19</t>
        </is>
      </c>
      <c r="E401" s="10" t="n">
        <v>3</v>
      </c>
      <c r="F401" s="9" t="inlineStr">
        <is>
          <t>07987</t>
        </is>
      </c>
      <c r="G401" s="11" t="n">
        <v>0</v>
      </c>
      <c r="H401" s="9" t="inlineStr">
        <is>
          <t xml:space="preserve">81730     </t>
        </is>
      </c>
      <c r="I401" s="9" t="inlineStr">
        <is>
          <t>Федоров Анатолий Александрович</t>
        </is>
      </c>
      <c r="J401" s="9" t="inlineStr">
        <is>
          <t>профессор</t>
        </is>
      </c>
      <c r="K401" s="9" t="n"/>
      <c r="L401" s="9" t="n"/>
      <c r="M401" s="12">
        <f>SUMIFS($E$2:$E$1130,$A$2:$A$1130,"осень",$I$2:$I$1130,I401)</f>
        <v/>
      </c>
      <c r="N401" s="13">
        <f>SUMIFS($E$2:$E$1130,$A$2:$A$1130,"весна",$I$2:$I$1130,I401)</f>
        <v/>
      </c>
      <c r="O401" s="14">
        <f>M401+N401</f>
        <v/>
      </c>
      <c r="P401" s="15">
        <f>O401/$P$1</f>
        <v/>
      </c>
    </row>
    <row r="402" ht="15.75" customHeight="1" s="2">
      <c r="A402" s="117" t="inlineStr">
        <is>
          <t>осень</t>
        </is>
      </c>
      <c r="B402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2" s="9" t="inlineStr">
        <is>
          <t>Экзамен</t>
        </is>
      </c>
      <c r="D402" s="9" t="inlineStr">
        <is>
          <t>Т11О-203М-19</t>
        </is>
      </c>
      <c r="E402" s="10" t="n">
        <v>4</v>
      </c>
      <c r="F402" s="9" t="inlineStr">
        <is>
          <t>07987</t>
        </is>
      </c>
      <c r="G402" s="11" t="n">
        <v>0</v>
      </c>
      <c r="H402" s="9" t="inlineStr">
        <is>
          <t xml:space="preserve">81730     </t>
        </is>
      </c>
      <c r="I402" s="9" t="inlineStr">
        <is>
          <t>Федоров Анатолий Александрович</t>
        </is>
      </c>
      <c r="J402" s="9" t="inlineStr">
        <is>
          <t>профессор</t>
        </is>
      </c>
      <c r="K402" s="9" t="n"/>
      <c r="L402" s="9" t="n"/>
      <c r="M402" s="12">
        <f>SUMIFS($E$2:$E$1130,$A$2:$A$1130,"осень",$I$2:$I$1130,I402)</f>
        <v/>
      </c>
      <c r="N402" s="13">
        <f>SUMIFS($E$2:$E$1130,$A$2:$A$1130,"весна",$I$2:$I$1130,I402)</f>
        <v/>
      </c>
      <c r="O402" s="14">
        <f>M402+N402</f>
        <v/>
      </c>
      <c r="P402" s="15">
        <f>O402/$P$1</f>
        <v/>
      </c>
    </row>
    <row r="403" ht="15.75" customHeight="1" s="2">
      <c r="A403" s="117" t="inlineStr">
        <is>
          <t>осень</t>
        </is>
      </c>
      <c r="B403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3" s="9" t="inlineStr">
        <is>
          <t>Экзамен</t>
        </is>
      </c>
      <c r="D403" s="9" t="inlineStr">
        <is>
          <t>Т11О-204М-19</t>
        </is>
      </c>
      <c r="E403" s="10" t="n">
        <v>5</v>
      </c>
      <c r="F403" s="9" t="inlineStr">
        <is>
          <t>07987</t>
        </is>
      </c>
      <c r="G403" s="11" t="n">
        <v>0</v>
      </c>
      <c r="H403" s="9" t="inlineStr">
        <is>
          <t xml:space="preserve">81730     </t>
        </is>
      </c>
      <c r="I403" s="9" t="inlineStr">
        <is>
          <t>Федоров Анатолий Александрович</t>
        </is>
      </c>
      <c r="J403" s="9" t="inlineStr">
        <is>
          <t>профессор</t>
        </is>
      </c>
      <c r="K403" s="9" t="n"/>
      <c r="L403" s="9" t="n"/>
      <c r="M403" s="12">
        <f>SUMIFS($E$2:$E$1130,$A$2:$A$1130,"осень",$I$2:$I$1130,I403)</f>
        <v/>
      </c>
      <c r="N403" s="13">
        <f>SUMIFS($E$2:$E$1130,$A$2:$A$1130,"весна",$I$2:$I$1130,I403)</f>
        <v/>
      </c>
      <c r="O403" s="14">
        <f>M403+N403</f>
        <v/>
      </c>
      <c r="P403" s="15">
        <f>O403/$P$1</f>
        <v/>
      </c>
    </row>
    <row r="404" ht="12.75" customHeight="1" s="2">
      <c r="A404" s="117" t="inlineStr">
        <is>
          <t>осень</t>
        </is>
      </c>
      <c r="B404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4" s="9" t="inlineStr">
        <is>
          <t>Консультация</t>
        </is>
      </c>
      <c r="D404" s="9" t="inlineStr">
        <is>
          <t>Т11О-201М-19</t>
        </is>
      </c>
      <c r="E404" s="10" t="n">
        <v>3</v>
      </c>
      <c r="F404" s="9" t="inlineStr">
        <is>
          <t>07987</t>
        </is>
      </c>
      <c r="G404" s="11" t="n">
        <v>0</v>
      </c>
      <c r="H404" s="9" t="inlineStr">
        <is>
          <t xml:space="preserve">81730     </t>
        </is>
      </c>
      <c r="I404" s="9" t="inlineStr">
        <is>
          <t>Федоров Анатолий Александрович</t>
        </is>
      </c>
      <c r="J404" s="9" t="inlineStr">
        <is>
          <t>профессор</t>
        </is>
      </c>
      <c r="K404" s="9" t="n"/>
      <c r="L404" s="9" t="n"/>
      <c r="M404" s="12">
        <f>SUMIFS($E$2:$E$1130,$A$2:$A$1130,"осень",$I$2:$I$1130,I404)</f>
        <v/>
      </c>
      <c r="N404" s="13">
        <f>SUMIFS($E$2:$E$1130,$A$2:$A$1130,"весна",$I$2:$I$1130,I404)</f>
        <v/>
      </c>
      <c r="O404" s="14">
        <f>M404+N404</f>
        <v/>
      </c>
      <c r="P404" s="15">
        <f>O404/$P$1</f>
        <v/>
      </c>
    </row>
    <row r="405" ht="15.75" customHeight="1" s="2">
      <c r="A405" s="117" t="inlineStr">
        <is>
          <t>осень</t>
        </is>
      </c>
      <c r="B405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5" s="9" t="inlineStr">
        <is>
          <t>Консультация</t>
        </is>
      </c>
      <c r="D405" s="9" t="inlineStr">
        <is>
          <t>Т11О-202М-19</t>
        </is>
      </c>
      <c r="E405" s="10" t="n">
        <v>3</v>
      </c>
      <c r="F405" s="9" t="inlineStr">
        <is>
          <t>07987</t>
        </is>
      </c>
      <c r="G405" s="11" t="n">
        <v>0</v>
      </c>
      <c r="H405" s="9" t="inlineStr">
        <is>
          <t xml:space="preserve">81730     </t>
        </is>
      </c>
      <c r="I405" s="9" t="inlineStr">
        <is>
          <t>Федоров Анатолий Александрович</t>
        </is>
      </c>
      <c r="J405" s="9" t="inlineStr">
        <is>
          <t>профессор</t>
        </is>
      </c>
      <c r="K405" s="9" t="n"/>
      <c r="L405" s="9" t="n"/>
      <c r="M405" s="12">
        <f>SUMIFS($E$2:$E$1130,$A$2:$A$1130,"осень",$I$2:$I$1130,I405)</f>
        <v/>
      </c>
      <c r="N405" s="13">
        <f>SUMIFS($E$2:$E$1130,$A$2:$A$1130,"весна",$I$2:$I$1130,I405)</f>
        <v/>
      </c>
      <c r="O405" s="14">
        <f>M405+N405</f>
        <v/>
      </c>
      <c r="P405" s="15">
        <f>O405/$P$1</f>
        <v/>
      </c>
    </row>
    <row r="406" ht="15.75" customHeight="1" s="2">
      <c r="A406" s="117" t="inlineStr">
        <is>
          <t>осень</t>
        </is>
      </c>
      <c r="B406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6" s="9" t="inlineStr">
        <is>
          <t>Консультация</t>
        </is>
      </c>
      <c r="D406" s="9" t="inlineStr">
        <is>
          <t>Т11О-203М-19</t>
        </is>
      </c>
      <c r="E406" s="10" t="n">
        <v>3</v>
      </c>
      <c r="F406" s="9" t="inlineStr">
        <is>
          <t>07987</t>
        </is>
      </c>
      <c r="G406" s="11" t="n">
        <v>0</v>
      </c>
      <c r="H406" s="9" t="inlineStr">
        <is>
          <t xml:space="preserve">81730     </t>
        </is>
      </c>
      <c r="I406" s="9" t="inlineStr">
        <is>
          <t>Федоров Анатолий Александрович</t>
        </is>
      </c>
      <c r="J406" s="9" t="inlineStr">
        <is>
          <t>профессор</t>
        </is>
      </c>
      <c r="K406" s="9" t="n"/>
      <c r="L406" s="9" t="n"/>
      <c r="M406" s="12">
        <f>SUMIFS($E$2:$E$1130,$A$2:$A$1130,"осень",$I$2:$I$1130,I406)</f>
        <v/>
      </c>
      <c r="N406" s="13">
        <f>SUMIFS($E$2:$E$1130,$A$2:$A$1130,"весна",$I$2:$I$1130,I406)</f>
        <v/>
      </c>
      <c r="O406" s="14">
        <f>M406+N406</f>
        <v/>
      </c>
      <c r="P406" s="15">
        <f>O406/$P$1</f>
        <v/>
      </c>
    </row>
    <row r="407" ht="15.75" customHeight="1" s="2">
      <c r="A407" s="117" t="inlineStr">
        <is>
          <t>осень</t>
        </is>
      </c>
      <c r="B407" s="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7" s="9" t="inlineStr">
        <is>
          <t>Консультация</t>
        </is>
      </c>
      <c r="D407" s="9" t="inlineStr">
        <is>
          <t>Т11О-204М-19</t>
        </is>
      </c>
      <c r="E407" s="10" t="n">
        <v>3</v>
      </c>
      <c r="F407" s="9" t="inlineStr">
        <is>
          <t>07987</t>
        </is>
      </c>
      <c r="G407" s="11" t="n">
        <v>0</v>
      </c>
      <c r="H407" s="9" t="inlineStr">
        <is>
          <t xml:space="preserve">81730     </t>
        </is>
      </c>
      <c r="I407" s="9" t="inlineStr">
        <is>
          <t>Федоров Анатолий Александрович</t>
        </is>
      </c>
      <c r="J407" s="9" t="inlineStr">
        <is>
          <t>профессор</t>
        </is>
      </c>
      <c r="K407" s="9" t="n"/>
      <c r="L407" s="9" t="n"/>
      <c r="M407" s="12">
        <f>SUMIFS($E$2:$E$1130,$A$2:$A$1130,"осень",$I$2:$I$1130,I407)</f>
        <v/>
      </c>
      <c r="N407" s="13">
        <f>SUMIFS($E$2:$E$1130,$A$2:$A$1130,"весна",$I$2:$I$1130,I407)</f>
        <v/>
      </c>
      <c r="O407" s="14">
        <f>M407+N407</f>
        <v/>
      </c>
      <c r="P407" s="15">
        <f>O407/$P$1</f>
        <v/>
      </c>
    </row>
    <row r="408" ht="15.75" customHeight="1" s="2">
      <c r="A408" s="117" t="inlineStr">
        <is>
          <t>осень</t>
        </is>
      </c>
      <c r="B408" s="9" t="inlineStr">
        <is>
          <t>Современное состояние, перспективы и тенденции развития металлургии</t>
        </is>
      </c>
      <c r="C408" s="9" t="inlineStr">
        <is>
          <t>ЛК</t>
        </is>
      </c>
      <c r="D408" s="9" t="inlineStr">
        <is>
          <t>Т11О-201М-19, Т11О-202М-19, Т11О-203М-19, Т11О-204М-19</t>
        </is>
      </c>
      <c r="E408" s="10" t="n">
        <v>8</v>
      </c>
      <c r="F408" s="9" t="inlineStr">
        <is>
          <t>07987</t>
        </is>
      </c>
      <c r="G408" s="10" t="n">
        <v>8</v>
      </c>
      <c r="H408" s="9" t="inlineStr">
        <is>
          <t xml:space="preserve">81732     </t>
        </is>
      </c>
      <c r="I408" s="9" t="inlineStr">
        <is>
          <t xml:space="preserve">Петров Анатолий Павлович </t>
        </is>
      </c>
      <c r="J408" s="9" t="inlineStr">
        <is>
          <t>профессор</t>
        </is>
      </c>
      <c r="K408" s="9" t="inlineStr">
        <is>
          <t>Орш. А-523</t>
        </is>
      </c>
      <c r="L408" s="9" t="inlineStr">
        <is>
          <t xml:space="preserve">кроме понедельника, желательно все занятия в один день </t>
        </is>
      </c>
      <c r="M408" s="12">
        <f>SUMIFS($E$2:$E$1130,$A$2:$A$1130,"осень",$I$2:$I$1130,I408)</f>
        <v/>
      </c>
      <c r="N408" s="13">
        <f>SUMIFS($E$2:$E$1130,$A$2:$A$1130,"весна",$I$2:$I$1130,I408)</f>
        <v/>
      </c>
      <c r="O408" s="14">
        <f>M408+N408</f>
        <v/>
      </c>
      <c r="P408" s="15">
        <f>O408/$P$1</f>
        <v/>
      </c>
    </row>
    <row r="409" ht="15.75" customHeight="1" s="2">
      <c r="A409" s="117" t="inlineStr">
        <is>
          <t>осень</t>
        </is>
      </c>
      <c r="B409" s="9" t="inlineStr">
        <is>
          <t>Современное состояние, перспективы и тенденции развития металлургии</t>
        </is>
      </c>
      <c r="C409" s="9" t="inlineStr">
        <is>
          <t>ПЗ</t>
        </is>
      </c>
      <c r="D409" s="9" t="inlineStr">
        <is>
          <t>Т11О-201М-19</t>
        </is>
      </c>
      <c r="E409" s="10" t="n">
        <v>28</v>
      </c>
      <c r="F409" s="9" t="inlineStr">
        <is>
          <t>07987</t>
        </is>
      </c>
      <c r="G409" s="10" t="n">
        <v>28</v>
      </c>
      <c r="H409" s="9" t="inlineStr">
        <is>
          <t xml:space="preserve">81732     </t>
        </is>
      </c>
      <c r="I409" s="9" t="inlineStr">
        <is>
          <t xml:space="preserve">Петров Анатолий Павлович </t>
        </is>
      </c>
      <c r="J409" s="9" t="inlineStr">
        <is>
          <t>профессор</t>
        </is>
      </c>
      <c r="K409" s="9" t="inlineStr">
        <is>
          <t>Орш. А-523</t>
        </is>
      </c>
      <c r="L409" s="9" t="inlineStr">
        <is>
          <t>кроме понедельника, желательно все занятия в один день</t>
        </is>
      </c>
      <c r="M409" s="12">
        <f>SUMIFS($E$2:$E$1130,$A$2:$A$1130,"осень",$I$2:$I$1130,I409)</f>
        <v/>
      </c>
      <c r="N409" s="13">
        <f>SUMIFS($E$2:$E$1130,$A$2:$A$1130,"весна",$I$2:$I$1130,I409)</f>
        <v/>
      </c>
      <c r="O409" s="14">
        <f>M409+N409</f>
        <v/>
      </c>
      <c r="P409" s="15">
        <f>O409/$P$1</f>
        <v/>
      </c>
    </row>
    <row r="410" ht="15.75" customHeight="1" s="2">
      <c r="A410" s="117" t="inlineStr">
        <is>
          <t>осень</t>
        </is>
      </c>
      <c r="B410" s="9" t="inlineStr">
        <is>
          <t>Современное состояние, перспективы и тенденции развития металлургии</t>
        </is>
      </c>
      <c r="C410" s="9" t="inlineStr">
        <is>
          <t>ПЗ</t>
        </is>
      </c>
      <c r="D410" s="9" t="inlineStr">
        <is>
          <t>Т11О-202М-19</t>
        </is>
      </c>
      <c r="E410" s="10" t="n">
        <v>28</v>
      </c>
      <c r="F410" s="9" t="inlineStr">
        <is>
          <t>07987</t>
        </is>
      </c>
      <c r="G410" s="10" t="n">
        <v>28</v>
      </c>
      <c r="H410" s="9" t="inlineStr">
        <is>
          <t xml:space="preserve">81732     </t>
        </is>
      </c>
      <c r="I410" s="9" t="inlineStr">
        <is>
          <t xml:space="preserve">Петров Анатолий Павлович </t>
        </is>
      </c>
      <c r="J410" s="9" t="inlineStr">
        <is>
          <t>профессор</t>
        </is>
      </c>
      <c r="K410" s="9" t="inlineStr">
        <is>
          <t>Орш. А-523</t>
        </is>
      </c>
      <c r="L410" s="9" t="inlineStr">
        <is>
          <t>кроме понедельника, желательно все занятия в один день</t>
        </is>
      </c>
      <c r="M410" s="12">
        <f>SUMIFS($E$2:$E$1130,$A$2:$A$1130,"осень",$I$2:$I$1130,I410)</f>
        <v/>
      </c>
      <c r="N410" s="13">
        <f>SUMIFS($E$2:$E$1130,$A$2:$A$1130,"весна",$I$2:$I$1130,I410)</f>
        <v/>
      </c>
      <c r="O410" s="14">
        <f>M410+N410</f>
        <v/>
      </c>
      <c r="P410" s="15">
        <f>O410/$P$1</f>
        <v/>
      </c>
    </row>
    <row r="411" ht="15.75" customHeight="1" s="2">
      <c r="A411" s="117" t="inlineStr">
        <is>
          <t>осень</t>
        </is>
      </c>
      <c r="B411" s="9" t="inlineStr">
        <is>
          <t>Современное состояние, перспективы и тенденции развития металлургии</t>
        </is>
      </c>
      <c r="C411" s="9" t="inlineStr">
        <is>
          <t>ПЗ</t>
        </is>
      </c>
      <c r="D411" s="9" t="inlineStr">
        <is>
          <t>Т11О-203М-19</t>
        </is>
      </c>
      <c r="E411" s="10" t="n">
        <v>28</v>
      </c>
      <c r="F411" s="9" t="inlineStr">
        <is>
          <t>07987</t>
        </is>
      </c>
      <c r="G411" s="10" t="n">
        <v>28</v>
      </c>
      <c r="H411" s="9" t="inlineStr">
        <is>
          <t xml:space="preserve">81732     </t>
        </is>
      </c>
      <c r="I411" s="9" t="inlineStr">
        <is>
          <t xml:space="preserve">Петров Анатолий Павлович </t>
        </is>
      </c>
      <c r="J411" s="9" t="inlineStr">
        <is>
          <t>профессор</t>
        </is>
      </c>
      <c r="K411" s="9" t="inlineStr">
        <is>
          <t>Орш. А-523</t>
        </is>
      </c>
      <c r="L411" s="9" t="inlineStr">
        <is>
          <t>кроме понедельника, желательно все занятия в один день</t>
        </is>
      </c>
      <c r="M411" s="12">
        <f>SUMIFS($E$2:$E$1130,$A$2:$A$1130,"осень",$I$2:$I$1130,I411)</f>
        <v/>
      </c>
      <c r="N411" s="13">
        <f>SUMIFS($E$2:$E$1130,$A$2:$A$1130,"весна",$I$2:$I$1130,I411)</f>
        <v/>
      </c>
      <c r="O411" s="14">
        <f>M411+N411</f>
        <v/>
      </c>
      <c r="P411" s="15">
        <f>O411/$P$1</f>
        <v/>
      </c>
    </row>
    <row r="412" ht="15.75" customHeight="1" s="2">
      <c r="A412" s="117" t="inlineStr">
        <is>
          <t>осень</t>
        </is>
      </c>
      <c r="B412" s="9" t="inlineStr">
        <is>
          <t>Современное состояние, перспективы и тенденции развития металлургии</t>
        </is>
      </c>
      <c r="C412" s="9" t="inlineStr">
        <is>
          <t>ПЗ</t>
        </is>
      </c>
      <c r="D412" s="9" t="inlineStr">
        <is>
          <t>Т11О-204М-19</t>
        </is>
      </c>
      <c r="E412" s="10" t="n">
        <v>28</v>
      </c>
      <c r="F412" s="9" t="inlineStr">
        <is>
          <t>07987</t>
        </is>
      </c>
      <c r="G412" s="10" t="n">
        <v>28</v>
      </c>
      <c r="H412" s="9" t="inlineStr">
        <is>
          <t xml:space="preserve">81732     </t>
        </is>
      </c>
      <c r="I412" s="9" t="inlineStr">
        <is>
          <t xml:space="preserve">Петров Анатолий Павлович </t>
        </is>
      </c>
      <c r="J412" s="9" t="inlineStr">
        <is>
          <t>профессор</t>
        </is>
      </c>
      <c r="K412" s="9" t="inlineStr">
        <is>
          <t>Орш. А-523</t>
        </is>
      </c>
      <c r="L412" s="9" t="inlineStr">
        <is>
          <t>кроме понедельника, желательно все занятия в один день</t>
        </is>
      </c>
      <c r="M412" s="12">
        <f>SUMIFS($E$2:$E$1130,$A$2:$A$1130,"осень",$I$2:$I$1130,I412)</f>
        <v/>
      </c>
      <c r="N412" s="13">
        <f>SUMIFS($E$2:$E$1130,$A$2:$A$1130,"весна",$I$2:$I$1130,I412)</f>
        <v/>
      </c>
      <c r="O412" s="14">
        <f>M412+N412</f>
        <v/>
      </c>
      <c r="P412" s="15">
        <f>O412/$P$1</f>
        <v/>
      </c>
    </row>
    <row r="413" ht="15.75" customHeight="1" s="2">
      <c r="A413" s="117" t="inlineStr">
        <is>
          <t>осень</t>
        </is>
      </c>
      <c r="B413" s="9" t="inlineStr">
        <is>
          <t>Современное состояние, перспективы и тенденции развития металлургии</t>
        </is>
      </c>
      <c r="C413" s="9" t="inlineStr">
        <is>
          <t>Зачет</t>
        </is>
      </c>
      <c r="D413" s="9" t="inlineStr">
        <is>
          <t>Т11О-201М-19</t>
        </is>
      </c>
      <c r="E413" s="10" t="n">
        <v>2</v>
      </c>
      <c r="F413" s="9" t="inlineStr">
        <is>
          <t>07987</t>
        </is>
      </c>
      <c r="G413" s="11" t="n">
        <v>0</v>
      </c>
      <c r="H413" s="9" t="inlineStr">
        <is>
          <t xml:space="preserve">81732     </t>
        </is>
      </c>
      <c r="I413" s="9" t="inlineStr">
        <is>
          <t xml:space="preserve">Петров Анатолий Павлович </t>
        </is>
      </c>
      <c r="J413" s="9" t="inlineStr">
        <is>
          <t>профессор</t>
        </is>
      </c>
      <c r="K413" s="9" t="inlineStr">
        <is>
          <t>Орш. А-523</t>
        </is>
      </c>
      <c r="L413" s="9" t="inlineStr">
        <is>
          <t>кроме понедельника, желательно все занятия в один день</t>
        </is>
      </c>
      <c r="M413" s="12">
        <f>SUMIFS($E$2:$E$1130,$A$2:$A$1130,"осень",$I$2:$I$1130,I413)</f>
        <v/>
      </c>
      <c r="N413" s="13">
        <f>SUMIFS($E$2:$E$1130,$A$2:$A$1130,"весна",$I$2:$I$1130,I413)</f>
        <v/>
      </c>
      <c r="O413" s="14">
        <f>M413+N413</f>
        <v/>
      </c>
      <c r="P413" s="15">
        <f>O413/$P$1</f>
        <v/>
      </c>
    </row>
    <row r="414" ht="15.75" customHeight="1" s="2">
      <c r="A414" s="117" t="inlineStr">
        <is>
          <t>осень</t>
        </is>
      </c>
      <c r="B414" s="9" t="inlineStr">
        <is>
          <t>Современное состояние, перспективы и тенденции развития металлургии</t>
        </is>
      </c>
      <c r="C414" s="9" t="inlineStr">
        <is>
          <t>Зачет</t>
        </is>
      </c>
      <c r="D414" s="9" t="inlineStr">
        <is>
          <t>Т11О-202М-19</t>
        </is>
      </c>
      <c r="E414" s="10" t="n">
        <v>2</v>
      </c>
      <c r="F414" s="9" t="inlineStr">
        <is>
          <t>07987</t>
        </is>
      </c>
      <c r="G414" s="11" t="n">
        <v>0</v>
      </c>
      <c r="H414" s="9" t="inlineStr">
        <is>
          <t xml:space="preserve">81732     </t>
        </is>
      </c>
      <c r="I414" s="9" t="inlineStr">
        <is>
          <t xml:space="preserve">Петров Анатолий Павлович </t>
        </is>
      </c>
      <c r="J414" s="9" t="inlineStr">
        <is>
          <t>профессор</t>
        </is>
      </c>
      <c r="K414" s="9" t="inlineStr">
        <is>
          <t>Орш. А-523</t>
        </is>
      </c>
      <c r="L414" s="9" t="inlineStr">
        <is>
          <t>кроме понедельника, желательно все занятия в один день</t>
        </is>
      </c>
      <c r="M414" s="12">
        <f>SUMIFS($E$2:$E$1130,$A$2:$A$1130,"осень",$I$2:$I$1130,I414)</f>
        <v/>
      </c>
      <c r="N414" s="13">
        <f>SUMIFS($E$2:$E$1130,$A$2:$A$1130,"весна",$I$2:$I$1130,I414)</f>
        <v/>
      </c>
      <c r="O414" s="14">
        <f>M414+N414</f>
        <v/>
      </c>
      <c r="P414" s="15">
        <f>O414/$P$1</f>
        <v/>
      </c>
    </row>
    <row r="415" ht="15.75" customHeight="1" s="2">
      <c r="A415" s="117" t="inlineStr">
        <is>
          <t>осень</t>
        </is>
      </c>
      <c r="B415" s="9" t="inlineStr">
        <is>
          <t>Современное состояние, перспективы и тенденции развития металлургии</t>
        </is>
      </c>
      <c r="C415" s="9" t="inlineStr">
        <is>
          <t>Зачет</t>
        </is>
      </c>
      <c r="D415" s="9" t="inlineStr">
        <is>
          <t>Т11О-203М-19</t>
        </is>
      </c>
      <c r="E415" s="10" t="n">
        <v>2</v>
      </c>
      <c r="F415" s="9" t="inlineStr">
        <is>
          <t>07987</t>
        </is>
      </c>
      <c r="G415" s="11" t="n">
        <v>0</v>
      </c>
      <c r="H415" s="9" t="inlineStr">
        <is>
          <t xml:space="preserve">81732     </t>
        </is>
      </c>
      <c r="I415" s="9" t="inlineStr">
        <is>
          <t xml:space="preserve">Петров Анатолий Павлович </t>
        </is>
      </c>
      <c r="J415" s="9" t="inlineStr">
        <is>
          <t>профессор</t>
        </is>
      </c>
      <c r="K415" s="9" t="inlineStr">
        <is>
          <t>Орш. А-523</t>
        </is>
      </c>
      <c r="L415" s="9" t="inlineStr">
        <is>
          <t>кроме понедельника, желательно все занятия в один день</t>
        </is>
      </c>
      <c r="M415" s="12">
        <f>SUMIFS($E$2:$E$1130,$A$2:$A$1130,"осень",$I$2:$I$1130,I415)</f>
        <v/>
      </c>
      <c r="N415" s="13">
        <f>SUMIFS($E$2:$E$1130,$A$2:$A$1130,"весна",$I$2:$I$1130,I415)</f>
        <v/>
      </c>
      <c r="O415" s="14">
        <f>M415+N415</f>
        <v/>
      </c>
      <c r="P415" s="15">
        <f>O415/$P$1</f>
        <v/>
      </c>
    </row>
    <row r="416" ht="15.75" customHeight="1" s="2">
      <c r="A416" s="117" t="inlineStr">
        <is>
          <t>осень</t>
        </is>
      </c>
      <c r="B416" s="9" t="inlineStr">
        <is>
          <t>Современное состояние, перспективы и тенденции развития металлургии</t>
        </is>
      </c>
      <c r="C416" s="9" t="inlineStr">
        <is>
          <t>Зачет</t>
        </is>
      </c>
      <c r="D416" s="9" t="inlineStr">
        <is>
          <t>Т11О-204М-19</t>
        </is>
      </c>
      <c r="E416" s="10" t="n">
        <v>3</v>
      </c>
      <c r="F416" s="9" t="inlineStr">
        <is>
          <t>07987</t>
        </is>
      </c>
      <c r="G416" s="11" t="n">
        <v>0</v>
      </c>
      <c r="H416" s="9" t="inlineStr">
        <is>
          <t xml:space="preserve">81732     </t>
        </is>
      </c>
      <c r="I416" s="9" t="inlineStr">
        <is>
          <t xml:space="preserve">Петров Анатолий Павлович </t>
        </is>
      </c>
      <c r="J416" s="9" t="inlineStr">
        <is>
          <t>профессор</t>
        </is>
      </c>
      <c r="K416" s="9" t="inlineStr">
        <is>
          <t>Орш. А-523</t>
        </is>
      </c>
      <c r="L416" s="9" t="inlineStr">
        <is>
          <t>кроме понедельника, желательно все занятия в один день</t>
        </is>
      </c>
      <c r="M416" s="12">
        <f>SUMIFS($E$2:$E$1130,$A$2:$A$1130,"осень",$I$2:$I$1130,I416)</f>
        <v/>
      </c>
      <c r="N416" s="13">
        <f>SUMIFS($E$2:$E$1130,$A$2:$A$1130,"весна",$I$2:$I$1130,I416)</f>
        <v/>
      </c>
      <c r="O416" s="14">
        <f>M416+N416</f>
        <v/>
      </c>
      <c r="P416" s="15">
        <f>O416/$P$1</f>
        <v/>
      </c>
    </row>
    <row r="417" ht="15.75" customHeight="1" s="2">
      <c r="A417" s="117" t="inlineStr">
        <is>
          <t>осень</t>
        </is>
      </c>
      <c r="B417" s="9" t="inlineStr">
        <is>
          <t>Основы вакуумной металлургии</t>
        </is>
      </c>
      <c r="C417" s="9" t="inlineStr">
        <is>
          <t>ЛК</t>
        </is>
      </c>
      <c r="D417" s="9" t="inlineStr">
        <is>
          <t>Т11О-201М-19, Т11О-202М-19, Т11О-203М-19, Т11О-204М-19</t>
        </is>
      </c>
      <c r="E417" s="10" t="n">
        <v>12</v>
      </c>
      <c r="F417" s="9" t="inlineStr">
        <is>
          <t>07987</t>
        </is>
      </c>
      <c r="G417" s="10" t="n">
        <v>12</v>
      </c>
      <c r="H417" s="9" t="inlineStr">
        <is>
          <t xml:space="preserve">82026     </t>
        </is>
      </c>
      <c r="I417" s="9" t="inlineStr">
        <is>
          <t xml:space="preserve">Александрова Светлана Сергеевна </t>
        </is>
      </c>
      <c r="J417" s="9" t="inlineStr">
        <is>
          <t>доцент</t>
        </is>
      </c>
      <c r="K417" s="9" t="n"/>
      <c r="L417" s="9" t="inlineStr">
        <is>
          <t>кроме чт и сб (509)</t>
        </is>
      </c>
      <c r="M417" s="12">
        <f>SUMIFS($E$2:$E$1130,$A$2:$A$1130,"осень",$I$2:$I$1130,I417)</f>
        <v/>
      </c>
      <c r="N417" s="13">
        <f>SUMIFS($E$2:$E$1130,$A$2:$A$1130,"весна",$I$2:$I$1130,I417)</f>
        <v/>
      </c>
      <c r="O417" s="14">
        <f>M417+N417</f>
        <v/>
      </c>
      <c r="P417" s="15">
        <f>O417/$P$1</f>
        <v/>
      </c>
    </row>
    <row r="418" ht="15.75" customHeight="1" s="2">
      <c r="A418" s="117" t="inlineStr">
        <is>
          <t>осень</t>
        </is>
      </c>
      <c r="B418" s="9" t="inlineStr">
        <is>
          <t>Основы вакуумной металлургии</t>
        </is>
      </c>
      <c r="C418" s="9" t="inlineStr">
        <is>
          <t>ПЗ</t>
        </is>
      </c>
      <c r="D418" s="9" t="inlineStr">
        <is>
          <t>Т11О-201М-19</t>
        </is>
      </c>
      <c r="E418" s="10" t="n">
        <v>24</v>
      </c>
      <c r="F418" s="9" t="inlineStr">
        <is>
          <t>07987</t>
        </is>
      </c>
      <c r="G418" s="10" t="n">
        <v>24</v>
      </c>
      <c r="H418" s="9" t="inlineStr">
        <is>
          <t xml:space="preserve">82026     </t>
        </is>
      </c>
      <c r="I418" s="9" t="inlineStr">
        <is>
          <t xml:space="preserve">Александрова Светлана Сергеевна </t>
        </is>
      </c>
      <c r="J418" s="9" t="inlineStr">
        <is>
          <t>доцент</t>
        </is>
      </c>
      <c r="K418" s="9" t="n"/>
      <c r="L418" s="9" t="inlineStr">
        <is>
          <t>кроме чт и сб (509)</t>
        </is>
      </c>
      <c r="M418" s="12">
        <f>SUMIFS($E$2:$E$1130,$A$2:$A$1130,"осень",$I$2:$I$1130,I418)</f>
        <v/>
      </c>
      <c r="N418" s="13">
        <f>SUMIFS($E$2:$E$1130,$A$2:$A$1130,"весна",$I$2:$I$1130,I418)</f>
        <v/>
      </c>
      <c r="O418" s="14">
        <f>M418+N418</f>
        <v/>
      </c>
      <c r="P418" s="15">
        <f>O418/$P$1</f>
        <v/>
      </c>
    </row>
    <row r="419" ht="15.75" customHeight="1" s="2">
      <c r="A419" s="117" t="inlineStr">
        <is>
          <t>осень</t>
        </is>
      </c>
      <c r="B419" s="9" t="inlineStr">
        <is>
          <t>Основы вакуумной металлургии</t>
        </is>
      </c>
      <c r="C419" s="9" t="inlineStr">
        <is>
          <t>ПЗ</t>
        </is>
      </c>
      <c r="D419" s="9" t="inlineStr">
        <is>
          <t>Т11О-202М-19</t>
        </is>
      </c>
      <c r="E419" s="10" t="n">
        <v>24</v>
      </c>
      <c r="F419" s="9" t="inlineStr">
        <is>
          <t>07987</t>
        </is>
      </c>
      <c r="G419" s="10" t="n">
        <v>24</v>
      </c>
      <c r="H419" s="9" t="inlineStr">
        <is>
          <t xml:space="preserve">82026     </t>
        </is>
      </c>
      <c r="I419" s="9" t="inlineStr">
        <is>
          <t xml:space="preserve">Александрова Светлана Сергеевна </t>
        </is>
      </c>
      <c r="J419" s="9" t="inlineStr">
        <is>
          <t>доцент</t>
        </is>
      </c>
      <c r="K419" s="9" t="n"/>
      <c r="L419" s="9" t="inlineStr">
        <is>
          <t>кроме чт и сб (509)</t>
        </is>
      </c>
      <c r="M419" s="12">
        <f>SUMIFS($E$2:$E$1130,$A$2:$A$1130,"осень",$I$2:$I$1130,I419)</f>
        <v/>
      </c>
      <c r="N419" s="13">
        <f>SUMIFS($E$2:$E$1130,$A$2:$A$1130,"весна",$I$2:$I$1130,I419)</f>
        <v/>
      </c>
      <c r="O419" s="14">
        <f>M419+N419</f>
        <v/>
      </c>
      <c r="P419" s="15">
        <f>O419/$P$1</f>
        <v/>
      </c>
    </row>
    <row r="420" ht="15.75" customHeight="1" s="2">
      <c r="A420" s="117" t="inlineStr">
        <is>
          <t>осень</t>
        </is>
      </c>
      <c r="B420" s="9" t="inlineStr">
        <is>
          <t>Основы вакуумной металлургии</t>
        </is>
      </c>
      <c r="C420" s="9" t="inlineStr">
        <is>
          <t>ПЗ</t>
        </is>
      </c>
      <c r="D420" s="9" t="inlineStr">
        <is>
          <t>Т11О-203М-19</t>
        </is>
      </c>
      <c r="E420" s="10" t="n">
        <v>24</v>
      </c>
      <c r="F420" s="9" t="inlineStr">
        <is>
          <t>07987</t>
        </is>
      </c>
      <c r="G420" s="10" t="n">
        <v>24</v>
      </c>
      <c r="H420" s="9" t="inlineStr">
        <is>
          <t xml:space="preserve">82026     </t>
        </is>
      </c>
      <c r="I420" s="9" t="inlineStr">
        <is>
          <t xml:space="preserve">Александрова Светлана Сергеевна </t>
        </is>
      </c>
      <c r="J420" s="9" t="inlineStr">
        <is>
          <t>доцент</t>
        </is>
      </c>
      <c r="K420" s="9" t="n"/>
      <c r="L420" s="9" t="inlineStr">
        <is>
          <t>кроме чт и сб (509)</t>
        </is>
      </c>
      <c r="M420" s="12">
        <f>SUMIFS($E$2:$E$1130,$A$2:$A$1130,"осень",$I$2:$I$1130,I420)</f>
        <v/>
      </c>
      <c r="N420" s="13">
        <f>SUMIFS($E$2:$E$1130,$A$2:$A$1130,"весна",$I$2:$I$1130,I420)</f>
        <v/>
      </c>
      <c r="O420" s="14">
        <f>M420+N420</f>
        <v/>
      </c>
      <c r="P420" s="15">
        <f>O420/$P$1</f>
        <v/>
      </c>
    </row>
    <row r="421" ht="15.75" customHeight="1" s="2">
      <c r="A421" s="117" t="inlineStr">
        <is>
          <t>осень</t>
        </is>
      </c>
      <c r="B421" s="9" t="inlineStr">
        <is>
          <t>Основы вакуумной металлургии</t>
        </is>
      </c>
      <c r="C421" s="9" t="inlineStr">
        <is>
          <t>ПЗ</t>
        </is>
      </c>
      <c r="D421" s="9" t="inlineStr">
        <is>
          <t>Т11О-204М-19</t>
        </is>
      </c>
      <c r="E421" s="10" t="n">
        <v>24</v>
      </c>
      <c r="F421" s="9" t="inlineStr">
        <is>
          <t>07987</t>
        </is>
      </c>
      <c r="G421" s="10" t="n">
        <v>24</v>
      </c>
      <c r="H421" s="9" t="inlineStr">
        <is>
          <t xml:space="preserve">82026     </t>
        </is>
      </c>
      <c r="I421" s="9" t="inlineStr">
        <is>
          <t xml:space="preserve">Александрова Светлана Сергеевна </t>
        </is>
      </c>
      <c r="J421" s="9" t="inlineStr">
        <is>
          <t>доцент</t>
        </is>
      </c>
      <c r="K421" s="9" t="n"/>
      <c r="L421" s="9" t="inlineStr">
        <is>
          <t>кроме чт и сб (509)</t>
        </is>
      </c>
      <c r="M421" s="12">
        <f>SUMIFS($E$2:$E$1130,$A$2:$A$1130,"осень",$I$2:$I$1130,I421)</f>
        <v/>
      </c>
      <c r="N421" s="13">
        <f>SUMIFS($E$2:$E$1130,$A$2:$A$1130,"весна",$I$2:$I$1130,I421)</f>
        <v/>
      </c>
      <c r="O421" s="14">
        <f>M421+N421</f>
        <v/>
      </c>
      <c r="P421" s="15">
        <f>O421/$P$1</f>
        <v/>
      </c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6" t="n"/>
      <c r="AI421" s="16" t="n"/>
      <c r="AJ421" s="16" t="n"/>
    </row>
    <row r="422" ht="15.75" customHeight="1" s="2">
      <c r="A422" s="117" t="inlineStr">
        <is>
          <t>осень</t>
        </is>
      </c>
      <c r="B422" s="9" t="inlineStr">
        <is>
          <t>Основы вакуумной металлургии</t>
        </is>
      </c>
      <c r="C422" s="9" t="inlineStr">
        <is>
          <t>Зачет</t>
        </is>
      </c>
      <c r="D422" s="9" t="inlineStr">
        <is>
          <t>Т11О-201М-19</t>
        </is>
      </c>
      <c r="E422" s="10" t="n">
        <v>2</v>
      </c>
      <c r="F422" s="9" t="inlineStr">
        <is>
          <t>07987</t>
        </is>
      </c>
      <c r="G422" s="11" t="n">
        <v>0</v>
      </c>
      <c r="H422" s="9" t="inlineStr">
        <is>
          <t xml:space="preserve">82026     </t>
        </is>
      </c>
      <c r="I422" s="9" t="inlineStr">
        <is>
          <t xml:space="preserve">Александрова Светлана Сергеевна </t>
        </is>
      </c>
      <c r="J422" s="9" t="inlineStr">
        <is>
          <t>доцент</t>
        </is>
      </c>
      <c r="K422" s="9" t="n"/>
      <c r="L422" s="9" t="inlineStr">
        <is>
          <t>кроме чт и сб (509)</t>
        </is>
      </c>
      <c r="M422" s="12">
        <f>SUMIFS($E$2:$E$1130,$A$2:$A$1130,"осень",$I$2:$I$1130,I422)</f>
        <v/>
      </c>
      <c r="N422" s="13">
        <f>SUMIFS($E$2:$E$1130,$A$2:$A$1130,"весна",$I$2:$I$1130,I422)</f>
        <v/>
      </c>
      <c r="O422" s="14">
        <f>M422+N422</f>
        <v/>
      </c>
      <c r="P422" s="15">
        <f>O422/$P$1</f>
        <v/>
      </c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  <c r="AF422" s="16" t="n"/>
      <c r="AG422" s="16" t="n"/>
      <c r="AH422" s="16" t="n"/>
      <c r="AI422" s="16" t="n"/>
      <c r="AJ422" s="16" t="n"/>
    </row>
    <row r="423" ht="15.75" customHeight="1" s="2">
      <c r="A423" s="117" t="inlineStr">
        <is>
          <t>осень</t>
        </is>
      </c>
      <c r="B423" s="9" t="inlineStr">
        <is>
          <t>Основы вакуумной металлургии</t>
        </is>
      </c>
      <c r="C423" s="9" t="inlineStr">
        <is>
          <t>Зачет</t>
        </is>
      </c>
      <c r="D423" s="9" t="inlineStr">
        <is>
          <t>Т11О-202М-19</t>
        </is>
      </c>
      <c r="E423" s="10" t="n">
        <v>2</v>
      </c>
      <c r="F423" s="9" t="inlineStr">
        <is>
          <t>07987</t>
        </is>
      </c>
      <c r="G423" s="11" t="n">
        <v>0</v>
      </c>
      <c r="H423" s="9" t="inlineStr">
        <is>
          <t xml:space="preserve">82026     </t>
        </is>
      </c>
      <c r="I423" s="9" t="inlineStr">
        <is>
          <t xml:space="preserve">Александрова Светлана Сергеевна </t>
        </is>
      </c>
      <c r="J423" s="9" t="inlineStr">
        <is>
          <t>доцент</t>
        </is>
      </c>
      <c r="K423" s="9" t="n"/>
      <c r="L423" s="9" t="inlineStr">
        <is>
          <t>кроме чт и сб (509)</t>
        </is>
      </c>
      <c r="M423" s="12">
        <f>SUMIFS($E$2:$E$1130,$A$2:$A$1130,"осень",$I$2:$I$1130,I423)</f>
        <v/>
      </c>
      <c r="N423" s="13">
        <f>SUMIFS($E$2:$E$1130,$A$2:$A$1130,"весна",$I$2:$I$1130,I423)</f>
        <v/>
      </c>
      <c r="O423" s="14">
        <f>M423+N423</f>
        <v/>
      </c>
      <c r="P423" s="15">
        <f>O423/$P$1</f>
        <v/>
      </c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6" t="n"/>
      <c r="AI423" s="16" t="n"/>
      <c r="AJ423" s="16" t="n"/>
    </row>
    <row r="424" ht="15.75" customHeight="1" s="2">
      <c r="A424" s="117" t="inlineStr">
        <is>
          <t>осень</t>
        </is>
      </c>
      <c r="B424" s="9" t="inlineStr">
        <is>
          <t>Основы вакуумной металлургии</t>
        </is>
      </c>
      <c r="C424" s="9" t="inlineStr">
        <is>
          <t>Зачет</t>
        </is>
      </c>
      <c r="D424" s="9" t="inlineStr">
        <is>
          <t>Т11О-203М-19</t>
        </is>
      </c>
      <c r="E424" s="10" t="n">
        <v>2</v>
      </c>
      <c r="F424" s="9" t="inlineStr">
        <is>
          <t>07987</t>
        </is>
      </c>
      <c r="G424" s="11" t="n">
        <v>0</v>
      </c>
      <c r="H424" s="9" t="inlineStr">
        <is>
          <t xml:space="preserve">82026     </t>
        </is>
      </c>
      <c r="I424" s="9" t="inlineStr">
        <is>
          <t xml:space="preserve">Александрова Светлана Сергеевна </t>
        </is>
      </c>
      <c r="J424" s="9" t="inlineStr">
        <is>
          <t>доцент</t>
        </is>
      </c>
      <c r="K424" s="9" t="n"/>
      <c r="L424" s="9" t="inlineStr">
        <is>
          <t>кроме чт и сб (509)</t>
        </is>
      </c>
      <c r="M424" s="12">
        <f>SUMIFS($E$2:$E$1130,$A$2:$A$1130,"осень",$I$2:$I$1130,I424)</f>
        <v/>
      </c>
      <c r="N424" s="13">
        <f>SUMIFS($E$2:$E$1130,$A$2:$A$1130,"весна",$I$2:$I$1130,I424)</f>
        <v/>
      </c>
      <c r="O424" s="14">
        <f>M424+N424</f>
        <v/>
      </c>
      <c r="P424" s="15">
        <f>O424/$P$1</f>
        <v/>
      </c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  <c r="AF424" s="16" t="n"/>
      <c r="AG424" s="16" t="n"/>
      <c r="AH424" s="16" t="n"/>
      <c r="AI424" s="16" t="n"/>
      <c r="AJ424" s="16" t="n"/>
    </row>
    <row r="425" ht="15.75" customHeight="1" s="2">
      <c r="A425" s="117" t="inlineStr">
        <is>
          <t>осень</t>
        </is>
      </c>
      <c r="B425" s="9" t="inlineStr">
        <is>
          <t>Основы вакуумной металлургии</t>
        </is>
      </c>
      <c r="C425" s="9" t="inlineStr">
        <is>
          <t>Зачет</t>
        </is>
      </c>
      <c r="D425" s="9" t="inlineStr">
        <is>
          <t>Т11О-204М-19</t>
        </is>
      </c>
      <c r="E425" s="10" t="n">
        <v>3</v>
      </c>
      <c r="F425" s="9" t="inlineStr">
        <is>
          <t>07987</t>
        </is>
      </c>
      <c r="G425" s="11" t="n">
        <v>0</v>
      </c>
      <c r="H425" s="9" t="inlineStr">
        <is>
          <t xml:space="preserve">82026     </t>
        </is>
      </c>
      <c r="I425" s="9" t="inlineStr">
        <is>
          <t xml:space="preserve">Александрова Светлана Сергеевна </t>
        </is>
      </c>
      <c r="J425" s="9" t="inlineStr">
        <is>
          <t>доцент</t>
        </is>
      </c>
      <c r="K425" s="9" t="n"/>
      <c r="L425" s="9" t="inlineStr">
        <is>
          <t>кроме чт и сб (509)</t>
        </is>
      </c>
      <c r="M425" s="12">
        <f>SUMIFS($E$2:$E$1130,$A$2:$A$1130,"осень",$I$2:$I$1130,I425)</f>
        <v/>
      </c>
      <c r="N425" s="13">
        <f>SUMIFS($E$2:$E$1130,$A$2:$A$1130,"весна",$I$2:$I$1130,I425)</f>
        <v/>
      </c>
      <c r="O425" s="14">
        <f>M425+N425</f>
        <v/>
      </c>
      <c r="P425" s="15">
        <f>O425/$P$1</f>
        <v/>
      </c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n"/>
      <c r="AI425" s="16" t="n"/>
      <c r="AJ425" s="16" t="n"/>
    </row>
    <row r="426" ht="15.75" customHeight="1" s="2">
      <c r="A426" s="117" t="inlineStr">
        <is>
          <t>осень</t>
        </is>
      </c>
      <c r="B426" s="9" t="inlineStr">
        <is>
          <t>Основы вакуумной металлургии</t>
        </is>
      </c>
      <c r="C426" s="9" t="inlineStr">
        <is>
          <t>Консультация</t>
        </is>
      </c>
      <c r="D426" s="9" t="inlineStr">
        <is>
          <t>Т11О-201М-19</t>
        </is>
      </c>
      <c r="E426" s="10" t="n">
        <v>1</v>
      </c>
      <c r="F426" s="9" t="inlineStr">
        <is>
          <t>07987</t>
        </is>
      </c>
      <c r="G426" s="11" t="n">
        <v>0</v>
      </c>
      <c r="H426" s="9" t="inlineStr">
        <is>
          <t xml:space="preserve">82026     </t>
        </is>
      </c>
      <c r="I426" s="9" t="inlineStr">
        <is>
          <t xml:space="preserve">Александрова Светлана Сергеевна </t>
        </is>
      </c>
      <c r="J426" s="9" t="inlineStr">
        <is>
          <t>доцент</t>
        </is>
      </c>
      <c r="K426" s="9" t="n"/>
      <c r="L426" s="9" t="inlineStr">
        <is>
          <t>кроме чт и сб (509)</t>
        </is>
      </c>
      <c r="M426" s="12">
        <f>SUMIFS($E$2:$E$1130,$A$2:$A$1130,"осень",$I$2:$I$1130,I426)</f>
        <v/>
      </c>
      <c r="N426" s="13">
        <f>SUMIFS($E$2:$E$1130,$A$2:$A$1130,"весна",$I$2:$I$1130,I426)</f>
        <v/>
      </c>
      <c r="O426" s="14">
        <f>M426+N426</f>
        <v/>
      </c>
      <c r="P426" s="15">
        <f>O426/$P$1</f>
        <v/>
      </c>
    </row>
    <row r="427" ht="15.75" customHeight="1" s="2">
      <c r="A427" s="117" t="inlineStr">
        <is>
          <t>осень</t>
        </is>
      </c>
      <c r="B427" s="9" t="inlineStr">
        <is>
          <t>Основы вакуумной металлургии</t>
        </is>
      </c>
      <c r="C427" s="9" t="inlineStr">
        <is>
          <t>Консультация</t>
        </is>
      </c>
      <c r="D427" s="9" t="inlineStr">
        <is>
          <t>Т11О-202М-19</t>
        </is>
      </c>
      <c r="E427" s="10" t="n">
        <v>1</v>
      </c>
      <c r="F427" s="9" t="inlineStr">
        <is>
          <t>07987</t>
        </is>
      </c>
      <c r="G427" s="11" t="n">
        <v>0</v>
      </c>
      <c r="H427" s="9" t="inlineStr">
        <is>
          <t xml:space="preserve">82026     </t>
        </is>
      </c>
      <c r="I427" s="9" t="inlineStr">
        <is>
          <t xml:space="preserve">Александрова Светлана Сергеевна </t>
        </is>
      </c>
      <c r="J427" s="9" t="inlineStr">
        <is>
          <t>доцент</t>
        </is>
      </c>
      <c r="K427" s="9" t="n"/>
      <c r="L427" s="9" t="inlineStr">
        <is>
          <t>кроме чт и сб (509)</t>
        </is>
      </c>
      <c r="M427" s="12">
        <f>SUMIFS($E$2:$E$1130,$A$2:$A$1130,"осень",$I$2:$I$1130,I427)</f>
        <v/>
      </c>
      <c r="N427" s="13">
        <f>SUMIFS($E$2:$E$1130,$A$2:$A$1130,"весна",$I$2:$I$1130,I427)</f>
        <v/>
      </c>
      <c r="O427" s="14">
        <f>M427+N427</f>
        <v/>
      </c>
      <c r="P427" s="15">
        <f>O427/$P$1</f>
        <v/>
      </c>
    </row>
    <row r="428" ht="15.75" customHeight="1" s="2">
      <c r="A428" s="117" t="inlineStr">
        <is>
          <t>осень</t>
        </is>
      </c>
      <c r="B428" s="9" t="inlineStr">
        <is>
          <t>Основы вакуумной металлургии</t>
        </is>
      </c>
      <c r="C428" s="9" t="inlineStr">
        <is>
          <t>Консультация</t>
        </is>
      </c>
      <c r="D428" s="9" t="inlineStr">
        <is>
          <t>Т11О-203М-19</t>
        </is>
      </c>
      <c r="E428" s="10" t="n">
        <v>1</v>
      </c>
      <c r="F428" s="9" t="inlineStr">
        <is>
          <t>07987</t>
        </is>
      </c>
      <c r="G428" s="11" t="n">
        <v>0</v>
      </c>
      <c r="H428" s="9" t="inlineStr">
        <is>
          <t xml:space="preserve">82026     </t>
        </is>
      </c>
      <c r="I428" s="9" t="inlineStr">
        <is>
          <t xml:space="preserve">Александрова Светлана Сергеевна </t>
        </is>
      </c>
      <c r="J428" s="9" t="inlineStr">
        <is>
          <t>доцент</t>
        </is>
      </c>
      <c r="K428" s="9" t="n"/>
      <c r="L428" s="9" t="inlineStr">
        <is>
          <t>кроме чт и сб (509)</t>
        </is>
      </c>
      <c r="M428" s="12">
        <f>SUMIFS($E$2:$E$1130,$A$2:$A$1130,"осень",$I$2:$I$1130,I428)</f>
        <v/>
      </c>
      <c r="N428" s="13">
        <f>SUMIFS($E$2:$E$1130,$A$2:$A$1130,"весна",$I$2:$I$1130,I428)</f>
        <v/>
      </c>
      <c r="O428" s="14">
        <f>M428+N428</f>
        <v/>
      </c>
      <c r="P428" s="15">
        <f>O428/$P$1</f>
        <v/>
      </c>
    </row>
    <row r="429" ht="15.75" customHeight="1" s="2">
      <c r="A429" s="117" t="inlineStr">
        <is>
          <t>осень</t>
        </is>
      </c>
      <c r="B429" s="9" t="inlineStr">
        <is>
          <t>Основы вакуумной металлургии</t>
        </is>
      </c>
      <c r="C429" s="9" t="inlineStr">
        <is>
          <t>Консультация</t>
        </is>
      </c>
      <c r="D429" s="9" t="inlineStr">
        <is>
          <t>Т11О-204М-19</t>
        </is>
      </c>
      <c r="E429" s="10" t="n">
        <v>1</v>
      </c>
      <c r="F429" s="9" t="inlineStr">
        <is>
          <t>07987</t>
        </is>
      </c>
      <c r="G429" s="11" t="n">
        <v>0</v>
      </c>
      <c r="H429" s="9" t="inlineStr">
        <is>
          <t xml:space="preserve">82026     </t>
        </is>
      </c>
      <c r="I429" s="9" t="inlineStr">
        <is>
          <t xml:space="preserve">Александрова Светлана Сергеевна </t>
        </is>
      </c>
      <c r="J429" s="9" t="inlineStr">
        <is>
          <t>доцент</t>
        </is>
      </c>
      <c r="K429" s="9" t="n"/>
      <c r="L429" s="9" t="inlineStr">
        <is>
          <t>кроме чт и сб (509)</t>
        </is>
      </c>
      <c r="M429" s="12">
        <f>SUMIFS($E$2:$E$1130,$A$2:$A$1130,"осень",$I$2:$I$1130,I429)</f>
        <v/>
      </c>
      <c r="N429" s="13">
        <f>SUMIFS($E$2:$E$1130,$A$2:$A$1130,"весна",$I$2:$I$1130,I429)</f>
        <v/>
      </c>
      <c r="O429" s="14">
        <f>M429+N429</f>
        <v/>
      </c>
      <c r="P429" s="15">
        <f>O429/$P$1</f>
        <v/>
      </c>
    </row>
    <row r="430" ht="15.75" customHeight="1" s="2">
      <c r="A430" s="117" t="inlineStr">
        <is>
          <t>осень</t>
        </is>
      </c>
      <c r="B430" s="9" t="inlineStr">
        <is>
          <t>Основы статистического управления технологическими процессами</t>
        </is>
      </c>
      <c r="C430" s="9" t="inlineStr">
        <is>
          <t>ЛК</t>
        </is>
      </c>
      <c r="D430" s="9" t="inlineStr">
        <is>
          <t>Т11О-201М-19, Т11О-202М-19, Т11О-203М-19, Т11О-204М-19</t>
        </is>
      </c>
      <c r="E430" s="10" t="n">
        <v>20</v>
      </c>
      <c r="F430" s="9" t="inlineStr">
        <is>
          <t>07987</t>
        </is>
      </c>
      <c r="G430" s="10" t="n">
        <v>20</v>
      </c>
      <c r="H430" s="9" t="inlineStr">
        <is>
          <t xml:space="preserve">82090     </t>
        </is>
      </c>
      <c r="I430" s="9" t="inlineStr">
        <is>
          <t xml:space="preserve">Барабанова Ольга Алексеевна </t>
        </is>
      </c>
      <c r="J430" s="9" t="n"/>
      <c r="K430" s="9" t="n"/>
      <c r="L430" s="9" t="inlineStr">
        <is>
          <t>вт с 13:00</t>
        </is>
      </c>
      <c r="M430" s="12">
        <f>SUMIFS($E$2:$E$1130,$A$2:$A$1130,"осень",$I$2:$I$1130,I430)</f>
        <v/>
      </c>
      <c r="N430" s="13">
        <f>SUMIFS($E$2:$E$1130,$A$2:$A$1130,"весна",$I$2:$I$1130,I430)</f>
        <v/>
      </c>
      <c r="O430" s="14">
        <f>M430+N430</f>
        <v/>
      </c>
      <c r="P430" s="15">
        <f>O430/$P$1</f>
        <v/>
      </c>
    </row>
    <row r="431" ht="15.75" customHeight="1" s="2">
      <c r="A431" s="117" t="inlineStr">
        <is>
          <t>осень</t>
        </is>
      </c>
      <c r="B431" s="9" t="inlineStr">
        <is>
          <t>Основы статистического управления технологическими процессами</t>
        </is>
      </c>
      <c r="C431" s="9" t="inlineStr">
        <is>
          <t>Зачет с оценкой</t>
        </is>
      </c>
      <c r="D431" s="9" t="inlineStr">
        <is>
          <t>Т11О-201М-19</t>
        </is>
      </c>
      <c r="E431" s="10" t="n">
        <v>2</v>
      </c>
      <c r="F431" s="9" t="inlineStr">
        <is>
          <t>07987</t>
        </is>
      </c>
      <c r="G431" s="11" t="n">
        <v>0</v>
      </c>
      <c r="H431" s="9" t="inlineStr">
        <is>
          <t xml:space="preserve">82090     </t>
        </is>
      </c>
      <c r="I431" s="9" t="inlineStr">
        <is>
          <t xml:space="preserve">Барабанова Ольга Алексеевна </t>
        </is>
      </c>
      <c r="J431" s="9" t="n"/>
      <c r="K431" s="9" t="n"/>
      <c r="L431" s="9" t="inlineStr">
        <is>
          <t>вт с 13:00</t>
        </is>
      </c>
      <c r="M431" s="12">
        <f>SUMIFS($E$2:$E$1130,$A$2:$A$1130,"осень",$I$2:$I$1130,I431)</f>
        <v/>
      </c>
      <c r="N431" s="13">
        <f>SUMIFS($E$2:$E$1130,$A$2:$A$1130,"весна",$I$2:$I$1130,I431)</f>
        <v/>
      </c>
      <c r="O431" s="14">
        <f>M431+N431</f>
        <v/>
      </c>
      <c r="P431" s="15">
        <f>O431/$P$1</f>
        <v/>
      </c>
    </row>
    <row r="432" ht="15.75" customHeight="1" s="2">
      <c r="A432" s="117" t="inlineStr">
        <is>
          <t>осень</t>
        </is>
      </c>
      <c r="B432" s="9" t="inlineStr">
        <is>
          <t>Основы статистического управления технологическими процессами</t>
        </is>
      </c>
      <c r="C432" s="9" t="inlineStr">
        <is>
          <t>Зачет с оценкой</t>
        </is>
      </c>
      <c r="D432" s="9" t="inlineStr">
        <is>
          <t>Т11О-202М-19</t>
        </is>
      </c>
      <c r="E432" s="10" t="n">
        <v>2</v>
      </c>
      <c r="F432" s="9" t="inlineStr">
        <is>
          <t>07987</t>
        </is>
      </c>
      <c r="G432" s="11" t="n">
        <v>0</v>
      </c>
      <c r="H432" s="9" t="inlineStr">
        <is>
          <t xml:space="preserve">82090     </t>
        </is>
      </c>
      <c r="I432" s="9" t="inlineStr">
        <is>
          <t xml:space="preserve">Барабанова Ольга Алексеевна </t>
        </is>
      </c>
      <c r="J432" s="9" t="n"/>
      <c r="K432" s="9" t="n"/>
      <c r="L432" s="9" t="inlineStr">
        <is>
          <t>вт с 13:00</t>
        </is>
      </c>
      <c r="M432" s="12">
        <f>SUMIFS($E$2:$E$1130,$A$2:$A$1130,"осень",$I$2:$I$1130,I432)</f>
        <v/>
      </c>
      <c r="N432" s="13">
        <f>SUMIFS($E$2:$E$1130,$A$2:$A$1130,"весна",$I$2:$I$1130,I432)</f>
        <v/>
      </c>
      <c r="O432" s="14">
        <f>M432+N432</f>
        <v/>
      </c>
      <c r="P432" s="15">
        <f>O432/$P$1</f>
        <v/>
      </c>
    </row>
    <row r="433" ht="15.75" customHeight="1" s="2">
      <c r="A433" s="117" t="inlineStr">
        <is>
          <t>осень</t>
        </is>
      </c>
      <c r="B433" s="9" t="inlineStr">
        <is>
          <t>Основы статистического управления технологическими процессами</t>
        </is>
      </c>
      <c r="C433" s="9" t="inlineStr">
        <is>
          <t>Зачет с оценкой</t>
        </is>
      </c>
      <c r="D433" s="9" t="inlineStr">
        <is>
          <t>Т11О-203М-19</t>
        </is>
      </c>
      <c r="E433" s="10" t="n">
        <v>2</v>
      </c>
      <c r="F433" s="9" t="inlineStr">
        <is>
          <t>07987</t>
        </is>
      </c>
      <c r="G433" s="11" t="n">
        <v>0</v>
      </c>
      <c r="H433" s="9" t="inlineStr">
        <is>
          <t xml:space="preserve">82090     </t>
        </is>
      </c>
      <c r="I433" s="9" t="inlineStr">
        <is>
          <t xml:space="preserve">Барабанова Ольга Алексеевна </t>
        </is>
      </c>
      <c r="J433" s="9" t="n"/>
      <c r="K433" s="9" t="n"/>
      <c r="L433" s="9" t="inlineStr">
        <is>
          <t>вт с 13:00</t>
        </is>
      </c>
      <c r="M433" s="12">
        <f>SUMIFS($E$2:$E$1130,$A$2:$A$1130,"осень",$I$2:$I$1130,I433)</f>
        <v/>
      </c>
      <c r="N433" s="13">
        <f>SUMIFS($E$2:$E$1130,$A$2:$A$1130,"весна",$I$2:$I$1130,I433)</f>
        <v/>
      </c>
      <c r="O433" s="14">
        <f>M433+N433</f>
        <v/>
      </c>
      <c r="P433" s="15">
        <f>O433/$P$1</f>
        <v/>
      </c>
    </row>
    <row r="434" ht="15.75" customHeight="1" s="2">
      <c r="A434" s="117" t="inlineStr">
        <is>
          <t>осень</t>
        </is>
      </c>
      <c r="B434" s="9" t="inlineStr">
        <is>
          <t>Основы статистического управления технологическими процессами</t>
        </is>
      </c>
      <c r="C434" s="9" t="inlineStr">
        <is>
          <t>Зачет с оценкой</t>
        </is>
      </c>
      <c r="D434" s="9" t="inlineStr">
        <is>
          <t>Т11О-204М-19</t>
        </is>
      </c>
      <c r="E434" s="10" t="n">
        <v>3</v>
      </c>
      <c r="F434" s="9" t="inlineStr">
        <is>
          <t>07987</t>
        </is>
      </c>
      <c r="G434" s="11" t="n">
        <v>0</v>
      </c>
      <c r="H434" s="9" t="inlineStr">
        <is>
          <t xml:space="preserve">82090     </t>
        </is>
      </c>
      <c r="I434" s="9" t="inlineStr">
        <is>
          <t xml:space="preserve">Барабанова Ольга Алексеевна </t>
        </is>
      </c>
      <c r="J434" s="9" t="n"/>
      <c r="K434" s="9" t="n"/>
      <c r="L434" s="9" t="inlineStr">
        <is>
          <t>вт с 13:00</t>
        </is>
      </c>
      <c r="M434" s="12">
        <f>SUMIFS($E$2:$E$1130,$A$2:$A$1130,"осень",$I$2:$I$1130,I434)</f>
        <v/>
      </c>
      <c r="N434" s="13">
        <f>SUMIFS($E$2:$E$1130,$A$2:$A$1130,"весна",$I$2:$I$1130,I434)</f>
        <v/>
      </c>
      <c r="O434" s="14">
        <f>M434+N434</f>
        <v/>
      </c>
      <c r="P434" s="15">
        <f>O434/$P$1</f>
        <v/>
      </c>
    </row>
    <row r="435" ht="15.75" customHeight="1" s="2">
      <c r="A435" s="117" t="inlineStr">
        <is>
          <t>осень</t>
        </is>
      </c>
      <c r="B435" s="9" t="inlineStr">
        <is>
          <t>Основы статистического управления технологическими процессами</t>
        </is>
      </c>
      <c r="C435" s="9" t="inlineStr">
        <is>
          <t>ПЗ</t>
        </is>
      </c>
      <c r="D435" s="9" t="inlineStr">
        <is>
          <t>Т11О-201М-19</t>
        </is>
      </c>
      <c r="E435" s="10" t="n">
        <v>34</v>
      </c>
      <c r="F435" s="9" t="inlineStr">
        <is>
          <t>07987</t>
        </is>
      </c>
      <c r="G435" s="10" t="n">
        <v>34</v>
      </c>
      <c r="H435" s="9" t="n"/>
      <c r="I435" s="9" t="inlineStr">
        <is>
          <t xml:space="preserve">Барабанова Ольга Алексеевна </t>
        </is>
      </c>
      <c r="J435" s="9" t="n"/>
      <c r="K435" s="9" t="n"/>
      <c r="L435" s="9" t="inlineStr">
        <is>
          <t>сб</t>
        </is>
      </c>
      <c r="M435" s="12">
        <f>SUMIFS($E$2:$E$1130,$A$2:$A$1130,"осень",$I$2:$I$1130,I435)</f>
        <v/>
      </c>
      <c r="N435" s="13">
        <f>SUMIFS($E$2:$E$1130,$A$2:$A$1130,"весна",$I$2:$I$1130,I435)</f>
        <v/>
      </c>
      <c r="O435" s="14">
        <f>M435+N435</f>
        <v/>
      </c>
      <c r="P435" s="15">
        <f>O435/$P$1</f>
        <v/>
      </c>
    </row>
    <row r="436" ht="15.75" customHeight="1" s="2">
      <c r="A436" s="117" t="inlineStr">
        <is>
          <t>осень</t>
        </is>
      </c>
      <c r="B436" s="9" t="inlineStr">
        <is>
          <t>Основы статистического управления технологическими процессами</t>
        </is>
      </c>
      <c r="C436" s="9" t="inlineStr">
        <is>
          <t>ПЗ</t>
        </is>
      </c>
      <c r="D436" s="9" t="inlineStr">
        <is>
          <t>Т11О-202М-19</t>
        </is>
      </c>
      <c r="E436" s="10" t="n">
        <v>34</v>
      </c>
      <c r="F436" s="9" t="inlineStr">
        <is>
          <t>07987</t>
        </is>
      </c>
      <c r="G436" s="10" t="n">
        <v>34</v>
      </c>
      <c r="H436" s="9" t="n"/>
      <c r="I436" s="9" t="inlineStr">
        <is>
          <t xml:space="preserve">Барабанова Ольга Алексеевна </t>
        </is>
      </c>
      <c r="J436" s="9" t="n"/>
      <c r="K436" s="9" t="n"/>
      <c r="L436" s="9" t="inlineStr">
        <is>
          <t>сб</t>
        </is>
      </c>
      <c r="M436" s="12">
        <f>SUMIFS($E$2:$E$1130,$A$2:$A$1130,"осень",$I$2:$I$1130,I436)</f>
        <v/>
      </c>
      <c r="N436" s="13">
        <f>SUMIFS($E$2:$E$1130,$A$2:$A$1130,"весна",$I$2:$I$1130,I436)</f>
        <v/>
      </c>
      <c r="O436" s="14">
        <f>M436+N436</f>
        <v/>
      </c>
      <c r="P436" s="15">
        <f>O436/$P$1</f>
        <v/>
      </c>
    </row>
    <row r="437" ht="15.75" customHeight="1" s="2">
      <c r="A437" s="117" t="inlineStr">
        <is>
          <t>осень</t>
        </is>
      </c>
      <c r="B437" s="9" t="inlineStr">
        <is>
          <t>Основы статистического управления технологическими процессами</t>
        </is>
      </c>
      <c r="C437" s="9" t="inlineStr">
        <is>
          <t>ПЗ</t>
        </is>
      </c>
      <c r="D437" s="9" t="inlineStr">
        <is>
          <t>Т11О-203М-19</t>
        </is>
      </c>
      <c r="E437" s="10" t="n">
        <v>34</v>
      </c>
      <c r="F437" s="9" t="inlineStr">
        <is>
          <t>07987</t>
        </is>
      </c>
      <c r="G437" s="10" t="n">
        <v>34</v>
      </c>
      <c r="H437" s="9" t="inlineStr">
        <is>
          <t xml:space="preserve">82090     </t>
        </is>
      </c>
      <c r="I437" s="9" t="inlineStr">
        <is>
          <t xml:space="preserve">Барабанова Ольга Алексеевна </t>
        </is>
      </c>
      <c r="J437" s="9" t="n"/>
      <c r="K437" s="9" t="n"/>
      <c r="L437" s="9" t="inlineStr">
        <is>
          <t>вт с 13:00</t>
        </is>
      </c>
      <c r="M437" s="12">
        <f>SUMIFS($E$2:$E$1130,$A$2:$A$1130,"осень",$I$2:$I$1130,I437)</f>
        <v/>
      </c>
      <c r="N437" s="13">
        <f>SUMIFS($E$2:$E$1130,$A$2:$A$1130,"весна",$I$2:$I$1130,I437)</f>
        <v/>
      </c>
      <c r="O437" s="14">
        <f>M437+N437</f>
        <v/>
      </c>
      <c r="P437" s="15">
        <f>O437/$P$1</f>
        <v/>
      </c>
    </row>
    <row r="438" ht="15.75" customHeight="1" s="2">
      <c r="A438" s="117" t="inlineStr">
        <is>
          <t>осень</t>
        </is>
      </c>
      <c r="B438" s="9" t="inlineStr">
        <is>
          <t>Основы статистического управления технологическими процессами</t>
        </is>
      </c>
      <c r="C438" s="9" t="inlineStr">
        <is>
          <t>ПЗ</t>
        </is>
      </c>
      <c r="D438" s="9" t="inlineStr">
        <is>
          <t>Т11О-204М-19</t>
        </is>
      </c>
      <c r="E438" s="10" t="n">
        <v>34</v>
      </c>
      <c r="F438" s="9" t="inlineStr">
        <is>
          <t>07987</t>
        </is>
      </c>
      <c r="G438" s="10" t="n">
        <v>34</v>
      </c>
      <c r="H438" s="9" t="inlineStr">
        <is>
          <t xml:space="preserve">82090     </t>
        </is>
      </c>
      <c r="I438" s="9" t="inlineStr">
        <is>
          <t xml:space="preserve">Барабанова Ольга Алексеевна </t>
        </is>
      </c>
      <c r="J438" s="9" t="n"/>
      <c r="K438" s="9" t="n"/>
      <c r="L438" s="9" t="inlineStr">
        <is>
          <t>вт с 13:00</t>
        </is>
      </c>
      <c r="M438" s="12">
        <f>SUMIFS($E$2:$E$1130,$A$2:$A$1130,"осень",$I$2:$I$1130,I438)</f>
        <v/>
      </c>
      <c r="N438" s="13">
        <f>SUMIFS($E$2:$E$1130,$A$2:$A$1130,"весна",$I$2:$I$1130,I438)</f>
        <v/>
      </c>
      <c r="O438" s="14">
        <f>M438+N438</f>
        <v/>
      </c>
      <c r="P438" s="15">
        <f>O438/$P$1</f>
        <v/>
      </c>
    </row>
    <row r="439" ht="15.75" customHeight="1" s="2">
      <c r="A439" s="117" t="inlineStr">
        <is>
          <t>осень</t>
        </is>
      </c>
      <c r="B439" s="9" t="inlineStr">
        <is>
          <t>Основы статистического управления технологическими процессами</t>
        </is>
      </c>
      <c r="C439" s="9" t="inlineStr">
        <is>
          <t>Консультация</t>
        </is>
      </c>
      <c r="D439" s="9" t="inlineStr">
        <is>
          <t>Т11О-201М-19</t>
        </is>
      </c>
      <c r="E439" s="10" t="n">
        <v>1</v>
      </c>
      <c r="F439" s="9" t="inlineStr">
        <is>
          <t>07987</t>
        </is>
      </c>
      <c r="G439" s="11" t="n">
        <v>0</v>
      </c>
      <c r="H439" s="9" t="inlineStr">
        <is>
          <t xml:space="preserve">82090     </t>
        </is>
      </c>
      <c r="I439" s="9" t="inlineStr">
        <is>
          <t xml:space="preserve">Барабанова Ольга Алексеевна </t>
        </is>
      </c>
      <c r="J439" s="9" t="n"/>
      <c r="K439" s="9" t="n"/>
      <c r="L439" s="9" t="inlineStr">
        <is>
          <t>вт с 13:00</t>
        </is>
      </c>
      <c r="M439" s="12">
        <f>SUMIFS($E$2:$E$1130,$A$2:$A$1130,"осень",$I$2:$I$1130,I439)</f>
        <v/>
      </c>
      <c r="N439" s="13">
        <f>SUMIFS($E$2:$E$1130,$A$2:$A$1130,"весна",$I$2:$I$1130,I439)</f>
        <v/>
      </c>
      <c r="O439" s="14">
        <f>M439+N439</f>
        <v/>
      </c>
      <c r="P439" s="15">
        <f>O439/$P$1</f>
        <v/>
      </c>
    </row>
    <row r="440" ht="15.75" customHeight="1" s="2">
      <c r="A440" s="117" t="inlineStr">
        <is>
          <t>осень</t>
        </is>
      </c>
      <c r="B440" s="9" t="inlineStr">
        <is>
          <t>Основы статистического управления технологическими процессами</t>
        </is>
      </c>
      <c r="C440" s="9" t="inlineStr">
        <is>
          <t>Консультация</t>
        </is>
      </c>
      <c r="D440" s="9" t="inlineStr">
        <is>
          <t>Т11О-202М-19</t>
        </is>
      </c>
      <c r="E440" s="10" t="n">
        <v>1</v>
      </c>
      <c r="F440" s="9" t="inlineStr">
        <is>
          <t>07987</t>
        </is>
      </c>
      <c r="G440" s="11" t="n">
        <v>0</v>
      </c>
      <c r="H440" s="9" t="inlineStr">
        <is>
          <t xml:space="preserve">82090     </t>
        </is>
      </c>
      <c r="I440" s="9" t="inlineStr">
        <is>
          <t xml:space="preserve">Барабанова Ольга Алексеевна </t>
        </is>
      </c>
      <c r="J440" s="9" t="n"/>
      <c r="K440" s="9" t="n"/>
      <c r="L440" s="9" t="inlineStr">
        <is>
          <t>вт с 13:00</t>
        </is>
      </c>
      <c r="M440" s="12">
        <f>SUMIFS($E$2:$E$1130,$A$2:$A$1130,"осень",$I$2:$I$1130,I440)</f>
        <v/>
      </c>
      <c r="N440" s="13">
        <f>SUMIFS($E$2:$E$1130,$A$2:$A$1130,"весна",$I$2:$I$1130,I440)</f>
        <v/>
      </c>
      <c r="O440" s="14">
        <f>M440+N440</f>
        <v/>
      </c>
      <c r="P440" s="15">
        <f>O440/$P$1</f>
        <v/>
      </c>
    </row>
    <row r="441" ht="15.75" customHeight="1" s="2">
      <c r="A441" s="117" t="inlineStr">
        <is>
          <t>осень</t>
        </is>
      </c>
      <c r="B441" s="9" t="inlineStr">
        <is>
          <t>Основы статистического управления технологическими процессами</t>
        </is>
      </c>
      <c r="C441" s="9" t="inlineStr">
        <is>
          <t>Консультация</t>
        </is>
      </c>
      <c r="D441" s="9" t="inlineStr">
        <is>
          <t>Т11О-203М-19</t>
        </is>
      </c>
      <c r="E441" s="10" t="n">
        <v>1</v>
      </c>
      <c r="F441" s="9" t="inlineStr">
        <is>
          <t>07987</t>
        </is>
      </c>
      <c r="G441" s="11" t="n">
        <v>0</v>
      </c>
      <c r="H441" s="9" t="inlineStr">
        <is>
          <t xml:space="preserve">82090     </t>
        </is>
      </c>
      <c r="I441" s="9" t="inlineStr">
        <is>
          <t xml:space="preserve">Барабанова Ольга Алексеевна </t>
        </is>
      </c>
      <c r="J441" s="9" t="n"/>
      <c r="K441" s="9" t="n"/>
      <c r="L441" s="9" t="inlineStr">
        <is>
          <t>вт с 13:00</t>
        </is>
      </c>
      <c r="M441" s="12">
        <f>SUMIFS($E$2:$E$1130,$A$2:$A$1130,"осень",$I$2:$I$1130,I441)</f>
        <v/>
      </c>
      <c r="N441" s="13">
        <f>SUMIFS($E$2:$E$1130,$A$2:$A$1130,"весна",$I$2:$I$1130,I441)</f>
        <v/>
      </c>
      <c r="O441" s="14">
        <f>M441+N441</f>
        <v/>
      </c>
      <c r="P441" s="15">
        <f>O441/$P$1</f>
        <v/>
      </c>
    </row>
    <row r="442" ht="15.75" customHeight="1" s="2">
      <c r="A442" s="117" t="inlineStr">
        <is>
          <t>осень</t>
        </is>
      </c>
      <c r="B442" s="9" t="inlineStr">
        <is>
          <t>Основы статистического управления технологическими процессами</t>
        </is>
      </c>
      <c r="C442" s="9" t="inlineStr">
        <is>
          <t>Консультация</t>
        </is>
      </c>
      <c r="D442" s="9" t="inlineStr">
        <is>
          <t>Т11О-204М-19</t>
        </is>
      </c>
      <c r="E442" s="10" t="n">
        <v>1</v>
      </c>
      <c r="F442" s="9" t="inlineStr">
        <is>
          <t>07987</t>
        </is>
      </c>
      <c r="G442" s="11" t="n">
        <v>0</v>
      </c>
      <c r="H442" s="9" t="inlineStr">
        <is>
          <t xml:space="preserve">82090     </t>
        </is>
      </c>
      <c r="I442" s="9" t="inlineStr">
        <is>
          <t xml:space="preserve">Барабанова Ольга Алексеевна </t>
        </is>
      </c>
      <c r="J442" s="9" t="n"/>
      <c r="K442" s="9" t="n"/>
      <c r="L442" s="9" t="inlineStr">
        <is>
          <t>вт с 13:00</t>
        </is>
      </c>
      <c r="M442" s="12">
        <f>SUMIFS($E$2:$E$1130,$A$2:$A$1130,"осень",$I$2:$I$1130,I442)</f>
        <v/>
      </c>
      <c r="N442" s="13">
        <f>SUMIFS($E$2:$E$1130,$A$2:$A$1130,"весна",$I$2:$I$1130,I442)</f>
        <v/>
      </c>
      <c r="O442" s="14">
        <f>M442+N442</f>
        <v/>
      </c>
      <c r="P442" s="15">
        <f>O442/$P$1</f>
        <v/>
      </c>
    </row>
    <row r="443" ht="15.75" customHeight="1" s="2">
      <c r="A443" s="117" t="inlineStr">
        <is>
          <t>осень</t>
        </is>
      </c>
      <c r="B443" s="9" t="inlineStr">
        <is>
          <t>Автоматизированные системы технологической подготовки производства</t>
        </is>
      </c>
      <c r="C443" s="9" t="inlineStr">
        <is>
          <t>ЛК</t>
        </is>
      </c>
      <c r="D443" s="9" t="inlineStr">
        <is>
          <t>Т11О-101М-20</t>
        </is>
      </c>
      <c r="E443" s="10" t="n">
        <v>16</v>
      </c>
      <c r="F443" s="9" t="inlineStr">
        <is>
          <t>04489</t>
        </is>
      </c>
      <c r="G443" s="10" t="n">
        <v>16</v>
      </c>
      <c r="H443" s="9" t="inlineStr">
        <is>
          <t xml:space="preserve">81721     </t>
        </is>
      </c>
      <c r="I443" s="9" t="inlineStr">
        <is>
          <t xml:space="preserve">Преображенский Евгений Владимирович </t>
        </is>
      </c>
      <c r="J443" s="9" t="inlineStr">
        <is>
          <t>доцент</t>
        </is>
      </c>
      <c r="K443" s="9" t="n"/>
      <c r="L443" s="9" t="inlineStr">
        <is>
          <t>525 А</t>
        </is>
      </c>
      <c r="M443" s="12">
        <f>SUMIFS($E$2:$E$1130,$A$2:$A$1130,"осень",$I$2:$I$1130,I443)</f>
        <v/>
      </c>
      <c r="N443" s="13">
        <f>SUMIFS($E$2:$E$1130,$A$2:$A$1130,"весна",$I$2:$I$1130,I443)</f>
        <v/>
      </c>
      <c r="O443" s="14">
        <f>M443+N443</f>
        <v/>
      </c>
      <c r="P443" s="15">
        <f>O443/$P$1</f>
        <v/>
      </c>
    </row>
    <row r="444" ht="15.75" customHeight="1" s="2">
      <c r="A444" s="117" t="inlineStr">
        <is>
          <t>осень</t>
        </is>
      </c>
      <c r="B444" s="9" t="inlineStr">
        <is>
          <t>Автоматизированные системы технологической подготовки производства</t>
        </is>
      </c>
      <c r="C444" s="9" t="inlineStr">
        <is>
          <t>КР</t>
        </is>
      </c>
      <c r="D444" s="9" t="inlineStr">
        <is>
          <t>Т11О-101М-20</t>
        </is>
      </c>
      <c r="E444" s="10" t="n">
        <v>18</v>
      </c>
      <c r="F444" s="9" t="inlineStr">
        <is>
          <t>04489</t>
        </is>
      </c>
      <c r="G444" s="11" t="n">
        <v>0</v>
      </c>
      <c r="H444" s="9" t="inlineStr">
        <is>
          <t xml:space="preserve">81721     </t>
        </is>
      </c>
      <c r="I444" s="9" t="inlineStr">
        <is>
          <t xml:space="preserve">Преображенский Евгений Владимирович </t>
        </is>
      </c>
      <c r="J444" s="9" t="inlineStr">
        <is>
          <t>доцент</t>
        </is>
      </c>
      <c r="K444" s="9" t="n"/>
      <c r="L444" s="9" t="inlineStr">
        <is>
          <t>525 А</t>
        </is>
      </c>
      <c r="M444" s="12">
        <f>SUMIFS($E$2:$E$1130,$A$2:$A$1130,"осень",$I$2:$I$1130,I444)</f>
        <v/>
      </c>
      <c r="N444" s="13">
        <f>SUMIFS($E$2:$E$1130,$A$2:$A$1130,"весна",$I$2:$I$1130,I444)</f>
        <v/>
      </c>
      <c r="O444" s="14">
        <f>M444+N444</f>
        <v/>
      </c>
      <c r="P444" s="15">
        <f>O444/$P$1</f>
        <v/>
      </c>
    </row>
    <row r="445" ht="15.75" customHeight="1" s="2">
      <c r="A445" s="117" t="inlineStr">
        <is>
          <t>осень</t>
        </is>
      </c>
      <c r="B445" s="9" t="inlineStr">
        <is>
          <t>Автоматизированные системы технологической подготовки производства</t>
        </is>
      </c>
      <c r="C445" s="9" t="inlineStr">
        <is>
          <t>ПЗ</t>
        </is>
      </c>
      <c r="D445" s="9" t="inlineStr">
        <is>
          <t>Т11О-101М-20</t>
        </is>
      </c>
      <c r="E445" s="10" t="n">
        <v>28</v>
      </c>
      <c r="F445" s="9" t="inlineStr">
        <is>
          <t>04489</t>
        </is>
      </c>
      <c r="G445" s="10" t="n">
        <v>28</v>
      </c>
      <c r="H445" s="9" t="inlineStr">
        <is>
          <t xml:space="preserve">81721     </t>
        </is>
      </c>
      <c r="I445" s="9" t="inlineStr">
        <is>
          <t xml:space="preserve">Преображенский Евгений Владимирович </t>
        </is>
      </c>
      <c r="J445" s="9" t="inlineStr">
        <is>
          <t>доцент</t>
        </is>
      </c>
      <c r="K445" s="9" t="n"/>
      <c r="L445" s="9" t="inlineStr">
        <is>
          <t>525 А</t>
        </is>
      </c>
      <c r="M445" s="12">
        <f>SUMIFS($E$2:$E$1130,$A$2:$A$1130,"осень",$I$2:$I$1130,I445)</f>
        <v/>
      </c>
      <c r="N445" s="13">
        <f>SUMIFS($E$2:$E$1130,$A$2:$A$1130,"весна",$I$2:$I$1130,I445)</f>
        <v/>
      </c>
      <c r="O445" s="14">
        <f>M445+N445</f>
        <v/>
      </c>
      <c r="P445" s="15">
        <f>O445/$P$1</f>
        <v/>
      </c>
    </row>
    <row r="446" ht="15.75" customHeight="1" s="2">
      <c r="A446" s="117" t="inlineStr">
        <is>
          <t>осень</t>
        </is>
      </c>
      <c r="B446" s="9" t="inlineStr">
        <is>
          <t>Автоматизированные системы технологической подготовки производства</t>
        </is>
      </c>
      <c r="C446" s="9" t="inlineStr">
        <is>
          <t>Экзамен</t>
        </is>
      </c>
      <c r="D446" s="9" t="inlineStr">
        <is>
          <t>Т11О-101М-20</t>
        </is>
      </c>
      <c r="E446" s="10" t="n">
        <v>3</v>
      </c>
      <c r="F446" s="9" t="inlineStr">
        <is>
          <t>04489</t>
        </is>
      </c>
      <c r="G446" s="11" t="n">
        <v>0</v>
      </c>
      <c r="H446" s="9" t="inlineStr">
        <is>
          <t xml:space="preserve">81721     </t>
        </is>
      </c>
      <c r="I446" s="9" t="inlineStr">
        <is>
          <t xml:space="preserve">Преображенский Евгений Владимирович </t>
        </is>
      </c>
      <c r="J446" s="9" t="inlineStr">
        <is>
          <t>доцент</t>
        </is>
      </c>
      <c r="K446" s="9" t="n"/>
      <c r="L446" s="9" t="inlineStr">
        <is>
          <t>525 А</t>
        </is>
      </c>
      <c r="M446" s="12">
        <f>SUMIFS($E$2:$E$1130,$A$2:$A$1130,"осень",$I$2:$I$1130,I446)</f>
        <v/>
      </c>
      <c r="N446" s="13">
        <f>SUMIFS($E$2:$E$1130,$A$2:$A$1130,"весна",$I$2:$I$1130,I446)</f>
        <v/>
      </c>
      <c r="O446" s="14">
        <f>M446+N446</f>
        <v/>
      </c>
      <c r="P446" s="15">
        <f>O446/$P$1</f>
        <v/>
      </c>
    </row>
    <row r="447" ht="15.75" customHeight="1" s="2">
      <c r="A447" s="117" t="inlineStr">
        <is>
          <t>осень</t>
        </is>
      </c>
      <c r="B447" s="9" t="inlineStr">
        <is>
          <t>Автоматизированные системы технологической подготовки производства</t>
        </is>
      </c>
      <c r="C447" s="9" t="inlineStr">
        <is>
          <t>Консультация</t>
        </is>
      </c>
      <c r="D447" s="9" t="inlineStr">
        <is>
          <t>Т11О-101М-20</t>
        </is>
      </c>
      <c r="E447" s="10" t="n">
        <v>3</v>
      </c>
      <c r="F447" s="9" t="inlineStr">
        <is>
          <t>04489</t>
        </is>
      </c>
      <c r="G447" s="11" t="n">
        <v>0</v>
      </c>
      <c r="H447" s="9" t="inlineStr">
        <is>
          <t xml:space="preserve">81721     </t>
        </is>
      </c>
      <c r="I447" s="9" t="inlineStr">
        <is>
          <t xml:space="preserve">Преображенский Евгений Владимирович </t>
        </is>
      </c>
      <c r="J447" s="9" t="inlineStr">
        <is>
          <t>доцент</t>
        </is>
      </c>
      <c r="K447" s="9" t="n"/>
      <c r="L447" s="9" t="inlineStr">
        <is>
          <t>525 А</t>
        </is>
      </c>
      <c r="M447" s="12">
        <f>SUMIFS($E$2:$E$1130,$A$2:$A$1130,"осень",$I$2:$I$1130,I447)</f>
        <v/>
      </c>
      <c r="N447" s="13">
        <f>SUMIFS($E$2:$E$1130,$A$2:$A$1130,"весна",$I$2:$I$1130,I447)</f>
        <v/>
      </c>
      <c r="O447" s="14">
        <f>M447+N447</f>
        <v/>
      </c>
      <c r="P447" s="15">
        <f>O447/$P$1</f>
        <v/>
      </c>
    </row>
    <row r="448" ht="15.75" customHeight="1" s="2">
      <c r="A448" s="117" t="inlineStr">
        <is>
          <t>осень</t>
        </is>
      </c>
      <c r="B448" s="9" t="inlineStr">
        <is>
          <t>Основы САПР в металлургии</t>
        </is>
      </c>
      <c r="C448" s="9" t="inlineStr">
        <is>
          <t>ЛК</t>
        </is>
      </c>
      <c r="D448" s="9" t="inlineStr">
        <is>
          <t>Т1В-412Б-17</t>
        </is>
      </c>
      <c r="E448" s="10" t="n">
        <v>28</v>
      </c>
      <c r="F448" s="9" t="inlineStr">
        <is>
          <t>08769</t>
        </is>
      </c>
      <c r="G448" s="10" t="n">
        <v>28</v>
      </c>
      <c r="H448" s="9" t="inlineStr">
        <is>
          <t xml:space="preserve">82018     </t>
        </is>
      </c>
      <c r="I448" s="9" t="inlineStr">
        <is>
          <t xml:space="preserve">Палтиевич Андрей Романович </t>
        </is>
      </c>
      <c r="J448" s="9" t="inlineStr">
        <is>
          <t>доцент</t>
        </is>
      </c>
      <c r="K448" s="9" t="n"/>
      <c r="L448" s="9" t="inlineStr">
        <is>
          <t>кроме одного любого дня и субботы</t>
        </is>
      </c>
      <c r="M448" s="12">
        <f>SUMIFS($E$2:$E$1130,$A$2:$A$1130,"осень",$I$2:$I$1130,I448)</f>
        <v/>
      </c>
      <c r="N448" s="13">
        <f>SUMIFS($E$2:$E$1130,$A$2:$A$1130,"весна",$I$2:$I$1130,I448)</f>
        <v/>
      </c>
      <c r="O448" s="14">
        <f>M448+N448</f>
        <v/>
      </c>
      <c r="P448" s="15">
        <f>O448/$P$1</f>
        <v/>
      </c>
    </row>
    <row r="449" ht="15.75" customHeight="1" s="2">
      <c r="A449" s="117" t="inlineStr">
        <is>
          <t>осень</t>
        </is>
      </c>
      <c r="B449" s="9" t="inlineStr">
        <is>
          <t>Основы САПР в металлургии</t>
        </is>
      </c>
      <c r="C449" s="9" t="inlineStr">
        <is>
          <t>ЛК</t>
        </is>
      </c>
      <c r="D449" s="9" t="inlineStr">
        <is>
          <t>Т11О-301Б-18, Т11О-302Б-18</t>
        </is>
      </c>
      <c r="E449" s="10" t="n">
        <v>24</v>
      </c>
      <c r="F449" s="9" t="inlineStr">
        <is>
          <t>08947</t>
        </is>
      </c>
      <c r="G449" s="10" t="n">
        <v>24</v>
      </c>
      <c r="H449" s="9" t="inlineStr">
        <is>
          <t xml:space="preserve">82018     </t>
        </is>
      </c>
      <c r="I449" s="9" t="inlineStr">
        <is>
          <t>Бережной Дмитрий Васильевич</t>
        </is>
      </c>
      <c r="J449" s="9" t="inlineStr">
        <is>
          <t>доцент</t>
        </is>
      </c>
      <c r="K449" s="9" t="n"/>
      <c r="L449" s="9" t="inlineStr">
        <is>
          <t>кроме одного любого дня и субботы</t>
        </is>
      </c>
      <c r="M449" s="12">
        <f>SUMIFS($E$2:$E$1130,$A$2:$A$1130,"осень",$I$2:$I$1130,I449)</f>
        <v/>
      </c>
      <c r="N449" s="13">
        <f>SUMIFS($E$2:$E$1130,$A$2:$A$1130,"весна",$I$2:$I$1130,I449)</f>
        <v/>
      </c>
      <c r="O449" s="14">
        <f>M449+N449</f>
        <v/>
      </c>
      <c r="P449" s="15">
        <f>O449/$P$1</f>
        <v/>
      </c>
    </row>
    <row r="450" ht="15.75" customHeight="1" s="2">
      <c r="A450" s="117" t="inlineStr">
        <is>
          <t>осень</t>
        </is>
      </c>
      <c r="B450" s="9" t="inlineStr">
        <is>
          <t>Основы САПР в металлургии</t>
        </is>
      </c>
      <c r="C450" s="9" t="inlineStr">
        <is>
          <t>Зачет с оценкой</t>
        </is>
      </c>
      <c r="D450" s="9" t="inlineStr">
        <is>
          <t>Т11О-301Б-18</t>
        </is>
      </c>
      <c r="E450" s="10" t="n">
        <v>6</v>
      </c>
      <c r="F450" s="9" t="inlineStr">
        <is>
          <t>08947</t>
        </is>
      </c>
      <c r="G450" s="11" t="n">
        <v>0</v>
      </c>
      <c r="H450" s="9" t="inlineStr">
        <is>
          <t xml:space="preserve">82018     </t>
        </is>
      </c>
      <c r="I450" s="9" t="inlineStr">
        <is>
          <t>Бережной Дмитрий Васильевич</t>
        </is>
      </c>
      <c r="J450" s="9" t="inlineStr">
        <is>
          <t>доцент</t>
        </is>
      </c>
      <c r="K450" s="9" t="n"/>
      <c r="L450" s="9" t="inlineStr">
        <is>
          <t>кроме одного любого дня и субботы</t>
        </is>
      </c>
      <c r="M450" s="12">
        <f>SUMIFS($E$2:$E$1130,$A$2:$A$1130,"осень",$I$2:$I$1130,I450)</f>
        <v/>
      </c>
      <c r="N450" s="13">
        <f>SUMIFS($E$2:$E$1130,$A$2:$A$1130,"весна",$I$2:$I$1130,I450)</f>
        <v/>
      </c>
      <c r="O450" s="14">
        <f>M450+N450</f>
        <v/>
      </c>
      <c r="P450" s="15">
        <f>O450/$P$1</f>
        <v/>
      </c>
    </row>
    <row r="451" ht="15.75" customHeight="1" s="2">
      <c r="A451" s="117" t="inlineStr">
        <is>
          <t>осень</t>
        </is>
      </c>
      <c r="B451" s="9" t="inlineStr">
        <is>
          <t>Основы САПР в металлургии</t>
        </is>
      </c>
      <c r="C451" s="9" t="inlineStr">
        <is>
          <t>Зачет с оценкой</t>
        </is>
      </c>
      <c r="D451" s="9" t="inlineStr">
        <is>
          <t>Т11О-302Б-18</t>
        </is>
      </c>
      <c r="E451" s="10" t="n">
        <v>5</v>
      </c>
      <c r="F451" s="9" t="inlineStr">
        <is>
          <t>08947</t>
        </is>
      </c>
      <c r="G451" s="11" t="n">
        <v>0</v>
      </c>
      <c r="H451" s="9" t="inlineStr">
        <is>
          <t xml:space="preserve">82018     </t>
        </is>
      </c>
      <c r="I451" s="9" t="inlineStr">
        <is>
          <t>Бережной Дмитрий Васильевич</t>
        </is>
      </c>
      <c r="J451" s="9" t="inlineStr">
        <is>
          <t>доцент</t>
        </is>
      </c>
      <c r="K451" s="9" t="n"/>
      <c r="L451" s="9" t="inlineStr">
        <is>
          <t>кроме одного любого дня и субботы</t>
        </is>
      </c>
      <c r="M451" s="12">
        <f>SUMIFS($E$2:$E$1130,$A$2:$A$1130,"осень",$I$2:$I$1130,I451)</f>
        <v/>
      </c>
      <c r="N451" s="13">
        <f>SUMIFS($E$2:$E$1130,$A$2:$A$1130,"весна",$I$2:$I$1130,I451)</f>
        <v/>
      </c>
      <c r="O451" s="14">
        <f>M451+N451</f>
        <v/>
      </c>
      <c r="P451" s="15">
        <f>O451/$P$1</f>
        <v/>
      </c>
    </row>
    <row r="452" ht="15.75" customHeight="1" s="2">
      <c r="A452" s="117" t="inlineStr">
        <is>
          <t>осень</t>
        </is>
      </c>
      <c r="B452" s="9" t="inlineStr">
        <is>
          <t>Основы САПР в металлургии</t>
        </is>
      </c>
      <c r="C452" s="9" t="inlineStr">
        <is>
          <t>ПЗ</t>
        </is>
      </c>
      <c r="D452" s="9" t="inlineStr">
        <is>
          <t>Т11О-301Б-18</t>
        </is>
      </c>
      <c r="E452" s="10" t="n">
        <v>30</v>
      </c>
      <c r="F452" s="9" t="inlineStr">
        <is>
          <t>08947</t>
        </is>
      </c>
      <c r="G452" s="10" t="n">
        <v>30</v>
      </c>
      <c r="H452" s="9" t="inlineStr">
        <is>
          <t xml:space="preserve">82018     </t>
        </is>
      </c>
      <c r="I452" s="9" t="inlineStr">
        <is>
          <t>Бережной Дмитрий Васильевич</t>
        </is>
      </c>
      <c r="J452" s="9" t="inlineStr">
        <is>
          <t>доцент</t>
        </is>
      </c>
      <c r="K452" s="9" t="n"/>
      <c r="L452" s="9" t="inlineStr">
        <is>
          <t>кроме одного любого дня и субботы</t>
        </is>
      </c>
      <c r="M452" s="12">
        <f>SUMIFS($E$2:$E$1130,$A$2:$A$1130,"осень",$I$2:$I$1130,I452)</f>
        <v/>
      </c>
      <c r="N452" s="13">
        <f>SUMIFS($E$2:$E$1130,$A$2:$A$1130,"весна",$I$2:$I$1130,I452)</f>
        <v/>
      </c>
      <c r="O452" s="14">
        <f>M452+N452</f>
        <v/>
      </c>
      <c r="P452" s="15">
        <f>O452/$P$1</f>
        <v/>
      </c>
    </row>
    <row r="453" ht="15.75" customHeight="1" s="2">
      <c r="A453" s="117" t="inlineStr">
        <is>
          <t>осень</t>
        </is>
      </c>
      <c r="B453" s="9" t="inlineStr">
        <is>
          <t>Основы САПР в металлургии</t>
        </is>
      </c>
      <c r="C453" s="9" t="inlineStr">
        <is>
          <t>ПЗ</t>
        </is>
      </c>
      <c r="D453" s="9" t="inlineStr">
        <is>
          <t>Т11О-302Б-18</t>
        </is>
      </c>
      <c r="E453" s="10" t="n">
        <v>30</v>
      </c>
      <c r="F453" s="9" t="inlineStr">
        <is>
          <t>08947</t>
        </is>
      </c>
      <c r="G453" s="10" t="n">
        <v>30</v>
      </c>
      <c r="H453" s="9" t="inlineStr">
        <is>
          <t xml:space="preserve">82018     </t>
        </is>
      </c>
      <c r="I453" s="9" t="inlineStr">
        <is>
          <t>Бережной Дмитрий Васильевич</t>
        </is>
      </c>
      <c r="J453" s="9" t="inlineStr">
        <is>
          <t>доцент</t>
        </is>
      </c>
      <c r="K453" s="9" t="n"/>
      <c r="L453" s="9" t="inlineStr">
        <is>
          <t>кроме одного любого дня и субботы</t>
        </is>
      </c>
      <c r="M453" s="12">
        <f>SUMIFS($E$2:$E$1130,$A$2:$A$1130,"осень",$I$2:$I$1130,I453)</f>
        <v/>
      </c>
      <c r="N453" s="13">
        <f>SUMIFS($E$2:$E$1130,$A$2:$A$1130,"весна",$I$2:$I$1130,I453)</f>
        <v/>
      </c>
      <c r="O453" s="14">
        <f>M453+N453</f>
        <v/>
      </c>
      <c r="P453" s="15">
        <f>O453/$P$1</f>
        <v/>
      </c>
    </row>
    <row r="454" ht="15.75" customHeight="1" s="2">
      <c r="A454" s="117" t="inlineStr">
        <is>
          <t>осень</t>
        </is>
      </c>
      <c r="B454" s="9" t="inlineStr">
        <is>
          <t>Основы САПР в металлургии</t>
        </is>
      </c>
      <c r="C454" s="9" t="inlineStr">
        <is>
          <t>ЛР</t>
        </is>
      </c>
      <c r="D454" s="9" t="inlineStr">
        <is>
          <t>Т1В-412Б-17</t>
        </is>
      </c>
      <c r="E454" s="10" t="n">
        <v>44</v>
      </c>
      <c r="F454" s="9" t="inlineStr">
        <is>
          <t>08769</t>
        </is>
      </c>
      <c r="G454" s="10" t="n">
        <v>44</v>
      </c>
      <c r="H454" s="9" t="inlineStr">
        <is>
          <t xml:space="preserve">81720     </t>
        </is>
      </c>
      <c r="I454" s="9" t="inlineStr">
        <is>
          <t xml:space="preserve">Палтиевич Андрей Романович </t>
        </is>
      </c>
      <c r="J454" s="9" t="n"/>
      <c r="K454" s="9" t="n"/>
      <c r="L454" s="9" t="inlineStr">
        <is>
          <t>кроме вторника</t>
        </is>
      </c>
      <c r="M454" s="12">
        <f>SUMIFS($E$2:$E$1130,$A$2:$A$1130,"осень",$I$2:$I$1130,I454)</f>
        <v/>
      </c>
      <c r="N454" s="13">
        <f>SUMIFS($E$2:$E$1130,$A$2:$A$1130,"весна",$I$2:$I$1130,I454)</f>
        <v/>
      </c>
      <c r="O454" s="14">
        <f>M454+N454</f>
        <v/>
      </c>
      <c r="P454" s="15">
        <f>O454/$P$1</f>
        <v/>
      </c>
    </row>
    <row r="455" ht="15.75" customHeight="1" s="2">
      <c r="A455" s="117" t="inlineStr">
        <is>
          <t>осень</t>
        </is>
      </c>
      <c r="B455" s="9" t="inlineStr">
        <is>
          <t>Основы САПР в металлургии</t>
        </is>
      </c>
      <c r="C455" s="9" t="inlineStr">
        <is>
          <t>Экзамен</t>
        </is>
      </c>
      <c r="D455" s="9" t="inlineStr">
        <is>
          <t>Т1В-412Б-17</t>
        </is>
      </c>
      <c r="E455" s="10" t="n">
        <v>6</v>
      </c>
      <c r="F455" s="9" t="inlineStr">
        <is>
          <t>08769</t>
        </is>
      </c>
      <c r="G455" s="11" t="n">
        <v>0</v>
      </c>
      <c r="H455" s="9" t="inlineStr">
        <is>
          <t xml:space="preserve">81720     </t>
        </is>
      </c>
      <c r="I455" s="9" t="inlineStr">
        <is>
          <t xml:space="preserve">Палтиевич Андрей Романович </t>
        </is>
      </c>
      <c r="J455" s="9" t="n"/>
      <c r="K455" s="9" t="n"/>
      <c r="L455" s="9" t="inlineStr">
        <is>
          <t>кроме вторника</t>
        </is>
      </c>
      <c r="M455" s="12">
        <f>SUMIFS($E$2:$E$1130,$A$2:$A$1130,"осень",$I$2:$I$1130,I455)</f>
        <v/>
      </c>
      <c r="N455" s="13">
        <f>SUMIFS($E$2:$E$1130,$A$2:$A$1130,"весна",$I$2:$I$1130,I455)</f>
        <v/>
      </c>
      <c r="O455" s="14">
        <f>M455+N455</f>
        <v/>
      </c>
      <c r="P455" s="15">
        <f>O455/$P$1</f>
        <v/>
      </c>
    </row>
    <row r="456" ht="15.75" customHeight="1" s="2">
      <c r="A456" s="117" t="inlineStr">
        <is>
          <t>осень</t>
        </is>
      </c>
      <c r="B456" s="9" t="inlineStr">
        <is>
          <t>Основы САПР в металлургии</t>
        </is>
      </c>
      <c r="C456" s="9" t="inlineStr">
        <is>
          <t>Консультация</t>
        </is>
      </c>
      <c r="D456" s="9" t="inlineStr">
        <is>
          <t>Т1В-412Б-17</t>
        </is>
      </c>
      <c r="E456" s="10" t="n">
        <v>5</v>
      </c>
      <c r="F456" s="9" t="inlineStr">
        <is>
          <t>08769</t>
        </is>
      </c>
      <c r="G456" s="11" t="n">
        <v>0</v>
      </c>
      <c r="H456" s="9" t="inlineStr">
        <is>
          <t xml:space="preserve">95799     </t>
        </is>
      </c>
      <c r="I456" s="9" t="inlineStr">
        <is>
          <t>Монастырский Алексей Валерьевич</t>
        </is>
      </c>
      <c r="J456" s="9" t="n"/>
      <c r="K456" s="9" t="n"/>
      <c r="L456" s="9" t="inlineStr">
        <is>
          <t>кроме вторника</t>
        </is>
      </c>
      <c r="M456" s="12">
        <f>SUMIFS($E$2:$E$1130,$A$2:$A$1130,"осень",$I$2:$I$1130,I456)</f>
        <v/>
      </c>
      <c r="N456" s="13">
        <f>SUMIFS($E$2:$E$1130,$A$2:$A$1130,"весна",$I$2:$I$1130,I456)</f>
        <v/>
      </c>
      <c r="O456" s="14">
        <f>M456+N456</f>
        <v/>
      </c>
      <c r="P456" s="15">
        <f>O456/$P$1</f>
        <v/>
      </c>
    </row>
    <row r="457" ht="15.75" customHeight="1" s="2">
      <c r="A457" s="117" t="inlineStr">
        <is>
          <t>осень</t>
        </is>
      </c>
      <c r="B457" s="9" t="inlineStr">
        <is>
          <t>Основы САПР в металлургии</t>
        </is>
      </c>
      <c r="C457" s="9" t="inlineStr">
        <is>
          <t>Консультация</t>
        </is>
      </c>
      <c r="D457" s="9" t="inlineStr">
        <is>
          <t>Т11О-301Б-18</t>
        </is>
      </c>
      <c r="E457" s="10" t="n">
        <v>1</v>
      </c>
      <c r="F457" s="9" t="inlineStr">
        <is>
          <t>08947</t>
        </is>
      </c>
      <c r="G457" s="11" t="n">
        <v>0</v>
      </c>
      <c r="H457" s="9" t="inlineStr">
        <is>
          <t xml:space="preserve">82018     </t>
        </is>
      </c>
      <c r="I457" s="9" t="inlineStr">
        <is>
          <t>Бережной Дмитрий Васильевич</t>
        </is>
      </c>
      <c r="J457" s="9" t="inlineStr">
        <is>
          <t>доцент</t>
        </is>
      </c>
      <c r="K457" s="9" t="n"/>
      <c r="L457" s="9" t="inlineStr">
        <is>
          <t>кроме одного любого дня и субботы</t>
        </is>
      </c>
      <c r="M457" s="12">
        <f>SUMIFS($E$2:$E$1130,$A$2:$A$1130,"осень",$I$2:$I$1130,I457)</f>
        <v/>
      </c>
      <c r="N457" s="13">
        <f>SUMIFS($E$2:$E$1130,$A$2:$A$1130,"весна",$I$2:$I$1130,I457)</f>
        <v/>
      </c>
      <c r="O457" s="14">
        <f>M457+N457</f>
        <v/>
      </c>
      <c r="P457" s="15">
        <f>O457/$P$1</f>
        <v/>
      </c>
    </row>
    <row r="458" ht="15.75" customHeight="1" s="2">
      <c r="A458" s="117" t="inlineStr">
        <is>
          <t>осень</t>
        </is>
      </c>
      <c r="B458" s="9" t="inlineStr">
        <is>
          <t>Основы САПР в металлургии</t>
        </is>
      </c>
      <c r="C458" s="9" t="inlineStr">
        <is>
          <t>Консультация</t>
        </is>
      </c>
      <c r="D458" s="9" t="inlineStr">
        <is>
          <t>Т11О-302Б-18</t>
        </is>
      </c>
      <c r="E458" s="10" t="n">
        <v>1</v>
      </c>
      <c r="F458" s="9" t="inlineStr">
        <is>
          <t>08947</t>
        </is>
      </c>
      <c r="G458" s="11" t="n">
        <v>0</v>
      </c>
      <c r="H458" s="9" t="inlineStr">
        <is>
          <t xml:space="preserve">82018     </t>
        </is>
      </c>
      <c r="I458" s="9" t="inlineStr">
        <is>
          <t>Бережной Дмитрий Васильевич</t>
        </is>
      </c>
      <c r="J458" s="9" t="inlineStr">
        <is>
          <t>доцент</t>
        </is>
      </c>
      <c r="K458" s="9" t="n"/>
      <c r="L458" s="9" t="inlineStr">
        <is>
          <t>кроме одного любого дня и субботы</t>
        </is>
      </c>
      <c r="M458" s="12">
        <f>SUMIFS($E$2:$E$1130,$A$2:$A$1130,"осень",$I$2:$I$1130,I458)</f>
        <v/>
      </c>
      <c r="N458" s="13">
        <f>SUMIFS($E$2:$E$1130,$A$2:$A$1130,"весна",$I$2:$I$1130,I458)</f>
        <v/>
      </c>
      <c r="O458" s="14">
        <f>M458+N458</f>
        <v/>
      </c>
      <c r="P458" s="15">
        <f>O458/$P$1</f>
        <v/>
      </c>
    </row>
    <row r="459" ht="15.75" customHeight="1" s="2">
      <c r="A459" s="117" t="inlineStr">
        <is>
          <t>осень</t>
        </is>
      </c>
      <c r="B459" s="9" t="inlineStr">
        <is>
          <t>Теплотехника и основы теплопередачи</t>
        </is>
      </c>
      <c r="C459" s="9" t="inlineStr">
        <is>
          <t>ЛК</t>
        </is>
      </c>
      <c r="D459" s="9" t="inlineStr">
        <is>
          <t>Т11О-301Б-18, Т11О-302Б-18, Т11О-305Б-18, Т11О-307Б-18, Т11О-308Б-18, Т11О-309Б-18</t>
        </is>
      </c>
      <c r="E459" s="10" t="n">
        <v>24</v>
      </c>
      <c r="F459" s="9" t="inlineStr">
        <is>
          <t>12881</t>
        </is>
      </c>
      <c r="G459" s="10" t="n">
        <v>24</v>
      </c>
      <c r="H459" s="9" t="inlineStr">
        <is>
          <t xml:space="preserve">82086     </t>
        </is>
      </c>
      <c r="I459" s="9" t="inlineStr">
        <is>
          <t xml:space="preserve">Смыков Андрей Федорович </t>
        </is>
      </c>
      <c r="J459" s="9" t="inlineStr">
        <is>
          <t>профессор</t>
        </is>
      </c>
      <c r="K459" s="9" t="n"/>
      <c r="L459" s="9" t="n"/>
      <c r="M459" s="12">
        <f>SUMIFS($E$2:$E$1130,$A$2:$A$1130,"осень",$I$2:$I$1130,I459)</f>
        <v/>
      </c>
      <c r="N459" s="13">
        <f>SUMIFS($E$2:$E$1130,$A$2:$A$1130,"весна",$I$2:$I$1130,I459)</f>
        <v/>
      </c>
      <c r="O459" s="14">
        <f>M459+N459</f>
        <v/>
      </c>
      <c r="P459" s="15">
        <f>O459/$P$1</f>
        <v/>
      </c>
    </row>
    <row r="460" ht="15.75" customHeight="1" s="2">
      <c r="A460" s="117" t="inlineStr">
        <is>
          <t>осень</t>
        </is>
      </c>
      <c r="B460" s="9" t="inlineStr">
        <is>
          <t>Теплотехника и основы теплопередачи</t>
        </is>
      </c>
      <c r="C460" s="9" t="inlineStr">
        <is>
          <t>ПЗ</t>
        </is>
      </c>
      <c r="D460" s="9" t="inlineStr">
        <is>
          <t>Т11О-309Б-18</t>
        </is>
      </c>
      <c r="E460" s="10" t="n">
        <v>16</v>
      </c>
      <c r="F460" s="9" t="inlineStr">
        <is>
          <t>12881</t>
        </is>
      </c>
      <c r="G460" s="10" t="n">
        <v>16</v>
      </c>
      <c r="H460" s="9" t="inlineStr">
        <is>
          <t xml:space="preserve">82086     </t>
        </is>
      </c>
      <c r="I460" s="9" t="inlineStr">
        <is>
          <t xml:space="preserve">Смыков Андрей Федорович </t>
        </is>
      </c>
      <c r="J460" s="9" t="inlineStr">
        <is>
          <t>профессор</t>
        </is>
      </c>
      <c r="K460" s="9" t="n"/>
      <c r="L460" s="9" t="n"/>
      <c r="M460" s="12">
        <f>SUMIFS($E$2:$E$1130,$A$2:$A$1130,"осень",$I$2:$I$1130,I460)</f>
        <v/>
      </c>
      <c r="N460" s="13">
        <f>SUMIFS($E$2:$E$1130,$A$2:$A$1130,"весна",$I$2:$I$1130,I460)</f>
        <v/>
      </c>
      <c r="O460" s="14">
        <f>M460+N460</f>
        <v/>
      </c>
      <c r="P460" s="15">
        <f>O460/$P$1</f>
        <v/>
      </c>
    </row>
    <row r="461" ht="15.75" customHeight="1" s="2">
      <c r="A461" s="117" t="inlineStr">
        <is>
          <t>осень</t>
        </is>
      </c>
      <c r="B461" s="9" t="inlineStr">
        <is>
          <t>Теплотехника и основы теплопередачи</t>
        </is>
      </c>
      <c r="C461" s="9" t="inlineStr">
        <is>
          <t>ПЗ</t>
        </is>
      </c>
      <c r="D461" s="9" t="inlineStr">
        <is>
          <t>Т11О-307Б-18</t>
        </is>
      </c>
      <c r="E461" s="10" t="n">
        <v>16</v>
      </c>
      <c r="F461" s="9" t="inlineStr">
        <is>
          <t>12881</t>
        </is>
      </c>
      <c r="G461" s="10" t="n">
        <v>16</v>
      </c>
      <c r="H461" s="9" t="inlineStr">
        <is>
          <t xml:space="preserve">82086     </t>
        </is>
      </c>
      <c r="I461" s="9" t="inlineStr">
        <is>
          <t xml:space="preserve">Смыков Андрей Федорович </t>
        </is>
      </c>
      <c r="J461" s="9" t="inlineStr">
        <is>
          <t>профессор</t>
        </is>
      </c>
      <c r="K461" s="9" t="n"/>
      <c r="L461" s="9" t="n"/>
      <c r="M461" s="12">
        <f>SUMIFS($E$2:$E$1130,$A$2:$A$1130,"осень",$I$2:$I$1130,I461)</f>
        <v/>
      </c>
      <c r="N461" s="13">
        <f>SUMIFS($E$2:$E$1130,$A$2:$A$1130,"весна",$I$2:$I$1130,I461)</f>
        <v/>
      </c>
      <c r="O461" s="14">
        <f>M461+N461</f>
        <v/>
      </c>
      <c r="P461" s="15">
        <f>O461/$P$1</f>
        <v/>
      </c>
    </row>
    <row r="462" ht="15.75" customHeight="1" s="2">
      <c r="A462" s="117" t="inlineStr">
        <is>
          <t>осень</t>
        </is>
      </c>
      <c r="B462" s="9" t="inlineStr">
        <is>
          <t>Теплотехника и основы теплопередачи</t>
        </is>
      </c>
      <c r="C462" s="9" t="inlineStr">
        <is>
          <t>ПЗ</t>
        </is>
      </c>
      <c r="D462" s="9" t="inlineStr">
        <is>
          <t>Т11О-301Б-18</t>
        </is>
      </c>
      <c r="E462" s="10" t="n">
        <v>16</v>
      </c>
      <c r="F462" s="9" t="inlineStr">
        <is>
          <t>12881</t>
        </is>
      </c>
      <c r="G462" s="10" t="n">
        <v>16</v>
      </c>
      <c r="H462" s="9" t="inlineStr">
        <is>
          <t xml:space="preserve">82086     </t>
        </is>
      </c>
      <c r="I462" s="9" t="inlineStr">
        <is>
          <t xml:space="preserve">Смыков Андрей Федорович </t>
        </is>
      </c>
      <c r="J462" s="9" t="inlineStr">
        <is>
          <t>профессор</t>
        </is>
      </c>
      <c r="K462" s="9" t="n"/>
      <c r="L462" s="9" t="n"/>
      <c r="M462" s="12">
        <f>SUMIFS($E$2:$E$1130,$A$2:$A$1130,"осень",$I$2:$I$1130,I462)</f>
        <v/>
      </c>
      <c r="N462" s="13">
        <f>SUMIFS($E$2:$E$1130,$A$2:$A$1130,"весна",$I$2:$I$1130,I462)</f>
        <v/>
      </c>
      <c r="O462" s="14">
        <f>M462+N462</f>
        <v/>
      </c>
      <c r="P462" s="15">
        <f>O462/$P$1</f>
        <v/>
      </c>
    </row>
    <row r="463" ht="15.75" customHeight="1" s="2">
      <c r="A463" s="117" t="inlineStr">
        <is>
          <t>осень</t>
        </is>
      </c>
      <c r="B463" s="9" t="inlineStr">
        <is>
          <t>Теплотехника и основы теплопередачи</t>
        </is>
      </c>
      <c r="C463" s="9" t="inlineStr">
        <is>
          <t>ПЗ</t>
        </is>
      </c>
      <c r="D463" s="9" t="inlineStr">
        <is>
          <t>Т11О-305Б-18</t>
        </is>
      </c>
      <c r="E463" s="10" t="n">
        <v>16</v>
      </c>
      <c r="F463" s="9" t="inlineStr">
        <is>
          <t>12881</t>
        </is>
      </c>
      <c r="G463" s="10" t="n">
        <v>16</v>
      </c>
      <c r="H463" s="9" t="inlineStr">
        <is>
          <t xml:space="preserve">82086     </t>
        </is>
      </c>
      <c r="I463" s="9" t="inlineStr">
        <is>
          <t xml:space="preserve">Смыков Андрей Федорович </t>
        </is>
      </c>
      <c r="J463" s="9" t="inlineStr">
        <is>
          <t>профессор</t>
        </is>
      </c>
      <c r="K463" s="9" t="n"/>
      <c r="L463" s="9" t="n"/>
      <c r="M463" s="12">
        <f>SUMIFS($E$2:$E$1130,$A$2:$A$1130,"осень",$I$2:$I$1130,I463)</f>
        <v/>
      </c>
      <c r="N463" s="13">
        <f>SUMIFS($E$2:$E$1130,$A$2:$A$1130,"весна",$I$2:$I$1130,I463)</f>
        <v/>
      </c>
      <c r="O463" s="14">
        <f>M463+N463</f>
        <v/>
      </c>
      <c r="P463" s="15">
        <f>O463/$P$1</f>
        <v/>
      </c>
    </row>
    <row r="464" ht="15.75" customHeight="1" s="2">
      <c r="A464" s="117" t="inlineStr">
        <is>
          <t>осень</t>
        </is>
      </c>
      <c r="B464" s="9" t="inlineStr">
        <is>
          <t>Теплотехника и основы теплопередачи</t>
        </is>
      </c>
      <c r="C464" s="9" t="inlineStr">
        <is>
          <t>ПЗ</t>
        </is>
      </c>
      <c r="D464" s="9" t="inlineStr">
        <is>
          <t>Т11О-308Б-18</t>
        </is>
      </c>
      <c r="E464" s="10" t="n">
        <v>16</v>
      </c>
      <c r="F464" s="9" t="inlineStr">
        <is>
          <t>12881</t>
        </is>
      </c>
      <c r="G464" s="10" t="n">
        <v>16</v>
      </c>
      <c r="H464" s="9" t="inlineStr">
        <is>
          <t xml:space="preserve">82086     </t>
        </is>
      </c>
      <c r="I464" s="9" t="inlineStr">
        <is>
          <t xml:space="preserve">Смыков Андрей Федорович </t>
        </is>
      </c>
      <c r="J464" s="9" t="inlineStr">
        <is>
          <t>профессор</t>
        </is>
      </c>
      <c r="K464" s="9" t="n"/>
      <c r="L464" s="9" t="n"/>
      <c r="M464" s="12">
        <f>SUMIFS($E$2:$E$1130,$A$2:$A$1130,"осень",$I$2:$I$1130,I464)</f>
        <v/>
      </c>
      <c r="N464" s="13">
        <f>SUMIFS($E$2:$E$1130,$A$2:$A$1130,"весна",$I$2:$I$1130,I464)</f>
        <v/>
      </c>
      <c r="O464" s="14">
        <f>M464+N464</f>
        <v/>
      </c>
      <c r="P464" s="15">
        <f>O464/$P$1</f>
        <v/>
      </c>
    </row>
    <row r="465" ht="15.75" customHeight="1" s="2">
      <c r="A465" s="117" t="inlineStr">
        <is>
          <t>осень</t>
        </is>
      </c>
      <c r="B465" s="9" t="inlineStr">
        <is>
          <t>Теплотехника и основы теплопередачи</t>
        </is>
      </c>
      <c r="C465" s="9" t="inlineStr">
        <is>
          <t>ПЗ</t>
        </is>
      </c>
      <c r="D465" s="9" t="inlineStr">
        <is>
          <t>Т11О-302Б-18</t>
        </is>
      </c>
      <c r="E465" s="10" t="n">
        <v>16</v>
      </c>
      <c r="F465" s="9" t="inlineStr">
        <is>
          <t>12881</t>
        </is>
      </c>
      <c r="G465" s="10" t="n">
        <v>16</v>
      </c>
      <c r="H465" s="9" t="inlineStr">
        <is>
          <t xml:space="preserve">82086     </t>
        </is>
      </c>
      <c r="I465" s="9" t="inlineStr">
        <is>
          <t xml:space="preserve">Смыков Андрей Федорович </t>
        </is>
      </c>
      <c r="J465" s="9" t="inlineStr">
        <is>
          <t>профессор</t>
        </is>
      </c>
      <c r="K465" s="9" t="n"/>
      <c r="L465" s="9" t="n"/>
      <c r="M465" s="12">
        <f>SUMIFS($E$2:$E$1130,$A$2:$A$1130,"осень",$I$2:$I$1130,I465)</f>
        <v/>
      </c>
      <c r="N465" s="13">
        <f>SUMIFS($E$2:$E$1130,$A$2:$A$1130,"весна",$I$2:$I$1130,I465)</f>
        <v/>
      </c>
      <c r="O465" s="14">
        <f>M465+N465</f>
        <v/>
      </c>
      <c r="P465" s="15">
        <f>O465/$P$1</f>
        <v/>
      </c>
    </row>
    <row r="466" ht="15.75" customHeight="1" s="2">
      <c r="A466" s="117" t="inlineStr">
        <is>
          <t>осень</t>
        </is>
      </c>
      <c r="B466" s="9" t="inlineStr">
        <is>
          <t>Теплотехника и основы теплопередачи</t>
        </is>
      </c>
      <c r="C466" s="9" t="inlineStr">
        <is>
          <t>ЛР</t>
        </is>
      </c>
      <c r="D466" s="9" t="inlineStr">
        <is>
          <t>Т11О-309Б-18</t>
        </is>
      </c>
      <c r="E466" s="10" t="n">
        <v>48</v>
      </c>
      <c r="F466" s="9" t="inlineStr">
        <is>
          <t>12881</t>
        </is>
      </c>
      <c r="G466" s="10" t="n">
        <v>24</v>
      </c>
      <c r="H466" s="9" t="inlineStr">
        <is>
          <t xml:space="preserve">95790     </t>
        </is>
      </c>
      <c r="I466" s="21" t="inlineStr">
        <is>
          <t xml:space="preserve">Смыков Андрей Федорович </t>
        </is>
      </c>
      <c r="J466" s="21" t="inlineStr">
        <is>
          <t>профессор</t>
        </is>
      </c>
      <c r="K466" s="9" t="n"/>
      <c r="L466" s="9" t="n"/>
      <c r="M466" s="12">
        <f>SUMIFS($E$2:$E$1130,$A$2:$A$1130,"осень",$I$2:$I$1130,I466)</f>
        <v/>
      </c>
      <c r="N466" s="13">
        <f>SUMIFS($E$2:$E$1130,$A$2:$A$1130,"весна",$I$2:$I$1130,I466)</f>
        <v/>
      </c>
      <c r="O466" s="14">
        <f>M466+N466</f>
        <v/>
      </c>
      <c r="P466" s="15">
        <f>O466/$P$1</f>
        <v/>
      </c>
    </row>
    <row r="467" ht="15.75" customHeight="1" s="2">
      <c r="A467" s="117" t="inlineStr">
        <is>
          <t>осень</t>
        </is>
      </c>
      <c r="B467" s="9" t="inlineStr">
        <is>
          <t>Теплотехника и основы теплопередачи</t>
        </is>
      </c>
      <c r="C467" s="9" t="inlineStr">
        <is>
          <t>ЛР</t>
        </is>
      </c>
      <c r="D467" s="9" t="inlineStr">
        <is>
          <t>Т11О-307Б-18</t>
        </is>
      </c>
      <c r="E467" s="10" t="n">
        <v>24</v>
      </c>
      <c r="F467" s="9" t="inlineStr">
        <is>
          <t>12881</t>
        </is>
      </c>
      <c r="G467" s="10" t="n">
        <v>24</v>
      </c>
      <c r="H467" s="9" t="inlineStr">
        <is>
          <t xml:space="preserve">82086     </t>
        </is>
      </c>
      <c r="I467" s="9" t="inlineStr">
        <is>
          <t xml:space="preserve">Смыков Андрей Федорович </t>
        </is>
      </c>
      <c r="J467" s="9" t="inlineStr">
        <is>
          <t>профессор</t>
        </is>
      </c>
      <c r="K467" s="9" t="n"/>
      <c r="L467" s="9" t="n"/>
      <c r="M467" s="12">
        <f>SUMIFS($E$2:$E$1130,$A$2:$A$1130,"осень",$I$2:$I$1130,I467)</f>
        <v/>
      </c>
      <c r="N467" s="13">
        <f>SUMIFS($E$2:$E$1130,$A$2:$A$1130,"весна",$I$2:$I$1130,I467)</f>
        <v/>
      </c>
      <c r="O467" s="14">
        <f>M467+N467</f>
        <v/>
      </c>
      <c r="P467" s="15">
        <f>O467/$P$1</f>
        <v/>
      </c>
    </row>
    <row r="468" ht="15.75" customHeight="1" s="2">
      <c r="A468" s="117" t="inlineStr">
        <is>
          <t>осень</t>
        </is>
      </c>
      <c r="B468" s="9" t="inlineStr">
        <is>
          <t>Теплотехника и основы теплопередачи</t>
        </is>
      </c>
      <c r="C468" s="9" t="inlineStr">
        <is>
          <t>ЛР</t>
        </is>
      </c>
      <c r="D468" s="9" t="inlineStr">
        <is>
          <t>Т11О-301Б-18</t>
        </is>
      </c>
      <c r="E468" s="10" t="n">
        <v>48</v>
      </c>
      <c r="F468" s="9" t="inlineStr">
        <is>
          <t>12881</t>
        </is>
      </c>
      <c r="G468" s="10" t="n">
        <v>24</v>
      </c>
      <c r="H468" s="9" t="inlineStr">
        <is>
          <t xml:space="preserve">82086     </t>
        </is>
      </c>
      <c r="I468" s="9" t="inlineStr">
        <is>
          <t xml:space="preserve">Смыков Андрей Федорович </t>
        </is>
      </c>
      <c r="J468" s="9" t="inlineStr">
        <is>
          <t>профессор</t>
        </is>
      </c>
      <c r="K468" s="9" t="n"/>
      <c r="L468" s="9" t="n"/>
      <c r="M468" s="12">
        <f>SUMIFS($E$2:$E$1130,$A$2:$A$1130,"осень",$I$2:$I$1130,I468)</f>
        <v/>
      </c>
      <c r="N468" s="13">
        <f>SUMIFS($E$2:$E$1130,$A$2:$A$1130,"весна",$I$2:$I$1130,I468)</f>
        <v/>
      </c>
      <c r="O468" s="14">
        <f>M468+N468</f>
        <v/>
      </c>
      <c r="P468" s="15">
        <f>O468/$P$1</f>
        <v/>
      </c>
    </row>
    <row r="469" ht="15.75" customHeight="1" s="2">
      <c r="A469" s="117" t="inlineStr">
        <is>
          <t>осень</t>
        </is>
      </c>
      <c r="B469" s="9" t="inlineStr">
        <is>
          <t>Теплотехника и основы теплопередачи</t>
        </is>
      </c>
      <c r="C469" s="9" t="inlineStr">
        <is>
          <t>ЛР</t>
        </is>
      </c>
      <c r="D469" s="9" t="inlineStr">
        <is>
          <t>Т11О-305Б-18</t>
        </is>
      </c>
      <c r="E469" s="10" t="n">
        <v>48</v>
      </c>
      <c r="F469" s="9" t="inlineStr">
        <is>
          <t>12881</t>
        </is>
      </c>
      <c r="G469" s="10" t="n">
        <v>24</v>
      </c>
      <c r="H469" s="9" t="inlineStr">
        <is>
          <t xml:space="preserve">82086     </t>
        </is>
      </c>
      <c r="I469" s="9" t="inlineStr">
        <is>
          <t xml:space="preserve">Смыков Андрей Федорович </t>
        </is>
      </c>
      <c r="J469" s="9" t="inlineStr">
        <is>
          <t>профессор</t>
        </is>
      </c>
      <c r="K469" s="9" t="n"/>
      <c r="L469" s="9" t="n"/>
      <c r="M469" s="12">
        <f>SUMIFS($E$2:$E$1130,$A$2:$A$1130,"осень",$I$2:$I$1130,I469)</f>
        <v/>
      </c>
      <c r="N469" s="13">
        <f>SUMIFS($E$2:$E$1130,$A$2:$A$1130,"весна",$I$2:$I$1130,I469)</f>
        <v/>
      </c>
      <c r="O469" s="14">
        <f>M469+N469</f>
        <v/>
      </c>
      <c r="P469" s="15">
        <f>O469/$P$1</f>
        <v/>
      </c>
    </row>
    <row r="470" ht="15.75" customHeight="1" s="2">
      <c r="A470" s="117" t="inlineStr">
        <is>
          <t>осень</t>
        </is>
      </c>
      <c r="B470" s="9" t="inlineStr">
        <is>
          <t>Теплотехника и основы теплопередачи</t>
        </is>
      </c>
      <c r="C470" s="9" t="inlineStr">
        <is>
          <t>ЛР</t>
        </is>
      </c>
      <c r="D470" s="9" t="inlineStr">
        <is>
          <t>Т11О-308Б-18</t>
        </is>
      </c>
      <c r="E470" s="10" t="n">
        <v>48</v>
      </c>
      <c r="F470" s="9" t="inlineStr">
        <is>
          <t>12881</t>
        </is>
      </c>
      <c r="G470" s="10" t="n">
        <v>24</v>
      </c>
      <c r="H470" s="9" t="inlineStr">
        <is>
          <t xml:space="preserve">95790     </t>
        </is>
      </c>
      <c r="I470" s="21" t="inlineStr">
        <is>
          <t xml:space="preserve">Смыков Андрей Федорович </t>
        </is>
      </c>
      <c r="J470" s="21" t="inlineStr">
        <is>
          <t>профессор</t>
        </is>
      </c>
      <c r="K470" s="9" t="n"/>
      <c r="L470" s="9" t="n"/>
      <c r="M470" s="12">
        <f>SUMIFS($E$2:$E$1130,$A$2:$A$1130,"осень",$I$2:$I$1130,I470)</f>
        <v/>
      </c>
      <c r="N470" s="13">
        <f>SUMIFS($E$2:$E$1130,$A$2:$A$1130,"весна",$I$2:$I$1130,I470)</f>
        <v/>
      </c>
      <c r="O470" s="14">
        <f>M470+N470</f>
        <v/>
      </c>
      <c r="P470" s="15">
        <f>O470/$P$1</f>
        <v/>
      </c>
    </row>
    <row r="471" ht="15.75" customHeight="1" s="2">
      <c r="A471" s="117" t="inlineStr">
        <is>
          <t>осень</t>
        </is>
      </c>
      <c r="B471" s="9" t="inlineStr">
        <is>
          <t>Теплотехника и основы теплопередачи</t>
        </is>
      </c>
      <c r="C471" s="9" t="inlineStr">
        <is>
          <t>ЛР</t>
        </is>
      </c>
      <c r="D471" s="9" t="inlineStr">
        <is>
          <t>Т11О-302Б-18</t>
        </is>
      </c>
      <c r="E471" s="10" t="n">
        <v>24</v>
      </c>
      <c r="F471" s="9" t="inlineStr">
        <is>
          <t>12881</t>
        </is>
      </c>
      <c r="G471" s="10" t="n">
        <v>24</v>
      </c>
      <c r="H471" s="9" t="inlineStr">
        <is>
          <t xml:space="preserve">82086     </t>
        </is>
      </c>
      <c r="I471" s="9" t="inlineStr">
        <is>
          <t xml:space="preserve">Смыков Андрей Федорович </t>
        </is>
      </c>
      <c r="J471" s="9" t="inlineStr">
        <is>
          <t>профессор</t>
        </is>
      </c>
      <c r="K471" s="9" t="n"/>
      <c r="L471" s="9" t="n"/>
      <c r="M471" s="12">
        <f>SUMIFS($E$2:$E$1130,$A$2:$A$1130,"осень",$I$2:$I$1130,I471)</f>
        <v/>
      </c>
      <c r="N471" s="13">
        <f>SUMIFS($E$2:$E$1130,$A$2:$A$1130,"весна",$I$2:$I$1130,I471)</f>
        <v/>
      </c>
      <c r="O471" s="14">
        <f>M471+N471</f>
        <v/>
      </c>
      <c r="P471" s="15">
        <f>O471/$P$1</f>
        <v/>
      </c>
    </row>
    <row r="472" ht="15.75" customHeight="1" s="2">
      <c r="A472" s="117" t="inlineStr">
        <is>
          <t>осень</t>
        </is>
      </c>
      <c r="B472" s="9" t="inlineStr">
        <is>
          <t>Теплотехника и основы теплопередачи</t>
        </is>
      </c>
      <c r="C472" s="9" t="inlineStr">
        <is>
          <t>Экзамен</t>
        </is>
      </c>
      <c r="D472" s="9" t="inlineStr">
        <is>
          <t>Т11О-309Б-18</t>
        </is>
      </c>
      <c r="E472" s="10" t="n">
        <v>8</v>
      </c>
      <c r="F472" s="9" t="inlineStr">
        <is>
          <t>12881</t>
        </is>
      </c>
      <c r="G472" s="11" t="n">
        <v>0</v>
      </c>
      <c r="H472" s="9" t="inlineStr">
        <is>
          <t xml:space="preserve">82086     </t>
        </is>
      </c>
      <c r="I472" s="9" t="inlineStr">
        <is>
          <t xml:space="preserve">Смыков Андрей Федорович </t>
        </is>
      </c>
      <c r="J472" s="9" t="inlineStr">
        <is>
          <t>профессор</t>
        </is>
      </c>
      <c r="K472" s="9" t="n"/>
      <c r="L472" s="9" t="n"/>
      <c r="M472" s="12">
        <f>SUMIFS($E$2:$E$1130,$A$2:$A$1130,"осень",$I$2:$I$1130,I472)</f>
        <v/>
      </c>
      <c r="N472" s="13">
        <f>SUMIFS($E$2:$E$1130,$A$2:$A$1130,"весна",$I$2:$I$1130,I472)</f>
        <v/>
      </c>
      <c r="O472" s="14">
        <f>M472+N472</f>
        <v/>
      </c>
      <c r="P472" s="15">
        <f>O472/$P$1</f>
        <v/>
      </c>
    </row>
    <row r="473" ht="15.75" customHeight="1" s="2">
      <c r="A473" s="117" t="inlineStr">
        <is>
          <t>осень</t>
        </is>
      </c>
      <c r="B473" s="9" t="inlineStr">
        <is>
          <t>Теплотехника и основы теплопередачи</t>
        </is>
      </c>
      <c r="C473" s="9" t="inlineStr">
        <is>
          <t>Экзамен</t>
        </is>
      </c>
      <c r="D473" s="9" t="inlineStr">
        <is>
          <t>Т11О-307Б-18</t>
        </is>
      </c>
      <c r="E473" s="10" t="n">
        <v>8</v>
      </c>
      <c r="F473" s="9" t="inlineStr">
        <is>
          <t>12881</t>
        </is>
      </c>
      <c r="G473" s="11" t="n">
        <v>0</v>
      </c>
      <c r="H473" s="9" t="inlineStr">
        <is>
          <t xml:space="preserve">82086     </t>
        </is>
      </c>
      <c r="I473" s="9" t="inlineStr">
        <is>
          <t xml:space="preserve">Смыков Андрей Федорович </t>
        </is>
      </c>
      <c r="J473" s="9" t="inlineStr">
        <is>
          <t>профессор</t>
        </is>
      </c>
      <c r="K473" s="9" t="n"/>
      <c r="L473" s="9" t="n"/>
      <c r="M473" s="12">
        <f>SUMIFS($E$2:$E$1130,$A$2:$A$1130,"осень",$I$2:$I$1130,I473)</f>
        <v/>
      </c>
      <c r="N473" s="13">
        <f>SUMIFS($E$2:$E$1130,$A$2:$A$1130,"весна",$I$2:$I$1130,I473)</f>
        <v/>
      </c>
      <c r="O473" s="14">
        <f>M473+N473</f>
        <v/>
      </c>
      <c r="P473" s="15">
        <f>O473/$P$1</f>
        <v/>
      </c>
    </row>
    <row r="474" ht="15.75" customHeight="1" s="2">
      <c r="A474" s="117" t="inlineStr">
        <is>
          <t>осень</t>
        </is>
      </c>
      <c r="B474" s="9" t="inlineStr">
        <is>
          <t>Теплотехника и основы теплопередачи</t>
        </is>
      </c>
      <c r="C474" s="9" t="inlineStr">
        <is>
          <t>Экзамен</t>
        </is>
      </c>
      <c r="D474" s="9" t="inlineStr">
        <is>
          <t>Т11О-301Б-18</t>
        </is>
      </c>
      <c r="E474" s="10" t="n">
        <v>9</v>
      </c>
      <c r="F474" s="9" t="inlineStr">
        <is>
          <t>12881</t>
        </is>
      </c>
      <c r="G474" s="11" t="n">
        <v>0</v>
      </c>
      <c r="H474" s="9" t="inlineStr">
        <is>
          <t xml:space="preserve">82086     </t>
        </is>
      </c>
      <c r="I474" s="9" t="inlineStr">
        <is>
          <t xml:space="preserve">Смыков Андрей Федорович </t>
        </is>
      </c>
      <c r="J474" s="9" t="inlineStr">
        <is>
          <t>профессор</t>
        </is>
      </c>
      <c r="K474" s="9" t="n"/>
      <c r="L474" s="9" t="n"/>
      <c r="M474" s="12">
        <f>SUMIFS($E$2:$E$1130,$A$2:$A$1130,"осень",$I$2:$I$1130,I474)</f>
        <v/>
      </c>
      <c r="N474" s="13">
        <f>SUMIFS($E$2:$E$1130,$A$2:$A$1130,"весна",$I$2:$I$1130,I474)</f>
        <v/>
      </c>
      <c r="O474" s="14">
        <f>M474+N474</f>
        <v/>
      </c>
      <c r="P474" s="15">
        <f>O474/$P$1</f>
        <v/>
      </c>
    </row>
    <row r="475" ht="15.75" customHeight="1" s="2">
      <c r="A475" s="117" t="inlineStr">
        <is>
          <t>осень</t>
        </is>
      </c>
      <c r="B475" s="9" t="inlineStr">
        <is>
          <t>Теплотехника и основы теплопередачи</t>
        </is>
      </c>
      <c r="C475" s="9" t="inlineStr">
        <is>
          <t>Экзамен</t>
        </is>
      </c>
      <c r="D475" s="9" t="inlineStr">
        <is>
          <t>Т11О-305Б-18</t>
        </is>
      </c>
      <c r="E475" s="10" t="n">
        <v>9</v>
      </c>
      <c r="F475" s="9" t="inlineStr">
        <is>
          <t>12881</t>
        </is>
      </c>
      <c r="G475" s="11" t="n">
        <v>0</v>
      </c>
      <c r="H475" s="9" t="inlineStr">
        <is>
          <t xml:space="preserve">82086     </t>
        </is>
      </c>
      <c r="I475" s="9" t="inlineStr">
        <is>
          <t xml:space="preserve">Смыков Андрей Федорович </t>
        </is>
      </c>
      <c r="J475" s="9" t="inlineStr">
        <is>
          <t>профессор</t>
        </is>
      </c>
      <c r="K475" s="9" t="n"/>
      <c r="L475" s="9" t="n"/>
      <c r="M475" s="12">
        <f>SUMIFS($E$2:$E$1130,$A$2:$A$1130,"осень",$I$2:$I$1130,I475)</f>
        <v/>
      </c>
      <c r="N475" s="13">
        <f>SUMIFS($E$2:$E$1130,$A$2:$A$1130,"весна",$I$2:$I$1130,I475)</f>
        <v/>
      </c>
      <c r="O475" s="14">
        <f>M475+N475</f>
        <v/>
      </c>
      <c r="P475" s="15">
        <f>O475/$P$1</f>
        <v/>
      </c>
    </row>
    <row r="476" ht="15.75" customHeight="1" s="2">
      <c r="A476" s="117" t="inlineStr">
        <is>
          <t>осень</t>
        </is>
      </c>
      <c r="B476" s="9" t="inlineStr">
        <is>
          <t>Теплотехника и основы теплопередачи</t>
        </is>
      </c>
      <c r="C476" s="9" t="inlineStr">
        <is>
          <t>Экзамен</t>
        </is>
      </c>
      <c r="D476" s="9" t="inlineStr">
        <is>
          <t>Т11О-308Б-18</t>
        </is>
      </c>
      <c r="E476" s="10" t="n">
        <v>12</v>
      </c>
      <c r="F476" s="9" t="inlineStr">
        <is>
          <t>12881</t>
        </is>
      </c>
      <c r="G476" s="11" t="n">
        <v>0</v>
      </c>
      <c r="H476" s="9" t="inlineStr">
        <is>
          <t xml:space="preserve">82086     </t>
        </is>
      </c>
      <c r="I476" s="9" t="inlineStr">
        <is>
          <t xml:space="preserve">Смыков Андрей Федорович </t>
        </is>
      </c>
      <c r="J476" s="9" t="inlineStr">
        <is>
          <t>профессор</t>
        </is>
      </c>
      <c r="K476" s="9" t="n"/>
      <c r="L476" s="9" t="n"/>
      <c r="M476" s="12">
        <f>SUMIFS($E$2:$E$1130,$A$2:$A$1130,"осень",$I$2:$I$1130,I476)</f>
        <v/>
      </c>
      <c r="N476" s="13">
        <f>SUMIFS($E$2:$E$1130,$A$2:$A$1130,"весна",$I$2:$I$1130,I476)</f>
        <v/>
      </c>
      <c r="O476" s="14">
        <f>M476+N476</f>
        <v/>
      </c>
      <c r="P476" s="15">
        <f>O476/$P$1</f>
        <v/>
      </c>
    </row>
    <row r="477" ht="15.75" customHeight="1" s="2">
      <c r="A477" s="117" t="inlineStr">
        <is>
          <t>осень</t>
        </is>
      </c>
      <c r="B477" s="9" t="inlineStr">
        <is>
          <t>Теплотехника и основы теплопередачи</t>
        </is>
      </c>
      <c r="C477" s="9" t="inlineStr">
        <is>
          <t>Экзамен</t>
        </is>
      </c>
      <c r="D477" s="9" t="inlineStr">
        <is>
          <t>Т11О-302Б-18</t>
        </is>
      </c>
      <c r="E477" s="10" t="n">
        <v>7</v>
      </c>
      <c r="F477" s="9" t="inlineStr">
        <is>
          <t>12881</t>
        </is>
      </c>
      <c r="G477" s="11" t="n">
        <v>0</v>
      </c>
      <c r="H477" s="9" t="inlineStr">
        <is>
          <t xml:space="preserve">82086     </t>
        </is>
      </c>
      <c r="I477" s="9" t="inlineStr">
        <is>
          <t xml:space="preserve">Смыков Андрей Федорович </t>
        </is>
      </c>
      <c r="J477" s="9" t="inlineStr">
        <is>
          <t>профессор</t>
        </is>
      </c>
      <c r="K477" s="9" t="n"/>
      <c r="L477" s="9" t="n"/>
      <c r="M477" s="12">
        <f>SUMIFS($E$2:$E$1130,$A$2:$A$1130,"осень",$I$2:$I$1130,I477)</f>
        <v/>
      </c>
      <c r="N477" s="13">
        <f>SUMIFS($E$2:$E$1130,$A$2:$A$1130,"весна",$I$2:$I$1130,I477)</f>
        <v/>
      </c>
      <c r="O477" s="14">
        <f>M477+N477</f>
        <v/>
      </c>
      <c r="P477" s="15">
        <f>O477/$P$1</f>
        <v/>
      </c>
    </row>
    <row r="478" ht="15.75" customHeight="1" s="2">
      <c r="A478" s="117" t="inlineStr">
        <is>
          <t>осень</t>
        </is>
      </c>
      <c r="B478" s="9" t="inlineStr">
        <is>
          <t>Теплотехника и основы теплопередачи</t>
        </is>
      </c>
      <c r="C478" s="9" t="inlineStr">
        <is>
          <t>Консультация</t>
        </is>
      </c>
      <c r="D478" s="9" t="inlineStr">
        <is>
          <t>Т11О-309Б-18</t>
        </is>
      </c>
      <c r="E478" s="10" t="n">
        <v>3</v>
      </c>
      <c r="F478" s="9" t="inlineStr">
        <is>
          <t>12881</t>
        </is>
      </c>
      <c r="G478" s="11" t="n">
        <v>0</v>
      </c>
      <c r="H478" s="9" t="inlineStr">
        <is>
          <t xml:space="preserve">82086     </t>
        </is>
      </c>
      <c r="I478" s="9" t="inlineStr">
        <is>
          <t xml:space="preserve">Смыков Андрей Федорович </t>
        </is>
      </c>
      <c r="J478" s="9" t="inlineStr">
        <is>
          <t>профессор</t>
        </is>
      </c>
      <c r="K478" s="9" t="n"/>
      <c r="L478" s="9" t="n"/>
      <c r="M478" s="12">
        <f>SUMIFS($E$2:$E$1130,$A$2:$A$1130,"осень",$I$2:$I$1130,I478)</f>
        <v/>
      </c>
      <c r="N478" s="13">
        <f>SUMIFS($E$2:$E$1130,$A$2:$A$1130,"весна",$I$2:$I$1130,I478)</f>
        <v/>
      </c>
      <c r="O478" s="14">
        <f>M478+N478</f>
        <v/>
      </c>
      <c r="P478" s="15">
        <f>O478/$P$1</f>
        <v/>
      </c>
    </row>
    <row r="479" ht="15.75" customHeight="1" s="2">
      <c r="A479" s="117" t="inlineStr">
        <is>
          <t>осень</t>
        </is>
      </c>
      <c r="B479" s="9" t="inlineStr">
        <is>
          <t>Теплотехника и основы теплопередачи</t>
        </is>
      </c>
      <c r="C479" s="9" t="inlineStr">
        <is>
          <t>Консультация</t>
        </is>
      </c>
      <c r="D479" s="9" t="inlineStr">
        <is>
          <t>Т11О-307Б-18</t>
        </is>
      </c>
      <c r="E479" s="10" t="n">
        <v>3</v>
      </c>
      <c r="F479" s="9" t="inlineStr">
        <is>
          <t>12881</t>
        </is>
      </c>
      <c r="G479" s="11" t="n">
        <v>0</v>
      </c>
      <c r="H479" s="9" t="inlineStr">
        <is>
          <t xml:space="preserve">82086     </t>
        </is>
      </c>
      <c r="I479" s="9" t="inlineStr">
        <is>
          <t xml:space="preserve">Смыков Андрей Федорович </t>
        </is>
      </c>
      <c r="J479" s="9" t="inlineStr">
        <is>
          <t>профессор</t>
        </is>
      </c>
      <c r="K479" s="9" t="n"/>
      <c r="L479" s="9" t="n"/>
      <c r="M479" s="12">
        <f>SUMIFS($E$2:$E$1130,$A$2:$A$1130,"осень",$I$2:$I$1130,I479)</f>
        <v/>
      </c>
      <c r="N479" s="13">
        <f>SUMIFS($E$2:$E$1130,$A$2:$A$1130,"весна",$I$2:$I$1130,I479)</f>
        <v/>
      </c>
      <c r="O479" s="14">
        <f>M479+N479</f>
        <v/>
      </c>
      <c r="P479" s="15">
        <f>O479/$P$1</f>
        <v/>
      </c>
    </row>
    <row r="480" ht="15.75" customHeight="1" s="2">
      <c r="A480" s="117" t="inlineStr">
        <is>
          <t>осень</t>
        </is>
      </c>
      <c r="B480" s="9" t="inlineStr">
        <is>
          <t>Теплотехника и основы теплопередачи</t>
        </is>
      </c>
      <c r="C480" s="9" t="inlineStr">
        <is>
          <t>Консультация</t>
        </is>
      </c>
      <c r="D480" s="9" t="inlineStr">
        <is>
          <t>Т11О-301Б-18</t>
        </is>
      </c>
      <c r="E480" s="10" t="n">
        <v>3</v>
      </c>
      <c r="F480" s="9" t="inlineStr">
        <is>
          <t>12881</t>
        </is>
      </c>
      <c r="G480" s="11" t="n">
        <v>0</v>
      </c>
      <c r="H480" s="9" t="inlineStr">
        <is>
          <t xml:space="preserve">82086     </t>
        </is>
      </c>
      <c r="I480" s="9" t="inlineStr">
        <is>
          <t xml:space="preserve">Смыков Андрей Федорович </t>
        </is>
      </c>
      <c r="J480" s="9" t="inlineStr">
        <is>
          <t>профессор</t>
        </is>
      </c>
      <c r="K480" s="9" t="n"/>
      <c r="L480" s="9" t="n"/>
      <c r="M480" s="12">
        <f>SUMIFS($E$2:$E$1130,$A$2:$A$1130,"осень",$I$2:$I$1130,I480)</f>
        <v/>
      </c>
      <c r="N480" s="13">
        <f>SUMIFS($E$2:$E$1130,$A$2:$A$1130,"весна",$I$2:$I$1130,I480)</f>
        <v/>
      </c>
      <c r="O480" s="14">
        <f>M480+N480</f>
        <v/>
      </c>
      <c r="P480" s="15">
        <f>O480/$P$1</f>
        <v/>
      </c>
    </row>
    <row r="481" ht="15.75" customHeight="1" s="2">
      <c r="A481" s="117" t="inlineStr">
        <is>
          <t>осень</t>
        </is>
      </c>
      <c r="B481" s="9" t="inlineStr">
        <is>
          <t>Теплотехника и основы теплопередачи</t>
        </is>
      </c>
      <c r="C481" s="9" t="inlineStr">
        <is>
          <t>Консультация</t>
        </is>
      </c>
      <c r="D481" s="9" t="inlineStr">
        <is>
          <t>Т11О-305Б-18</t>
        </is>
      </c>
      <c r="E481" s="10" t="n">
        <v>3</v>
      </c>
      <c r="F481" s="9" t="inlineStr">
        <is>
          <t>12881</t>
        </is>
      </c>
      <c r="G481" s="11" t="n">
        <v>0</v>
      </c>
      <c r="H481" s="9" t="inlineStr">
        <is>
          <t xml:space="preserve">82086     </t>
        </is>
      </c>
      <c r="I481" s="9" t="inlineStr">
        <is>
          <t xml:space="preserve">Смыков Андрей Федорович </t>
        </is>
      </c>
      <c r="J481" s="9" t="inlineStr">
        <is>
          <t>профессор</t>
        </is>
      </c>
      <c r="K481" s="9" t="n"/>
      <c r="L481" s="9" t="n"/>
      <c r="M481" s="12">
        <f>SUMIFS($E$2:$E$1130,$A$2:$A$1130,"осень",$I$2:$I$1130,I481)</f>
        <v/>
      </c>
      <c r="N481" s="13">
        <f>SUMIFS($E$2:$E$1130,$A$2:$A$1130,"весна",$I$2:$I$1130,I481)</f>
        <v/>
      </c>
      <c r="O481" s="14">
        <f>M481+N481</f>
        <v/>
      </c>
      <c r="P481" s="15">
        <f>O481/$P$1</f>
        <v/>
      </c>
    </row>
    <row r="482" ht="15.75" customHeight="1" s="2">
      <c r="A482" s="117" t="inlineStr">
        <is>
          <t>осень</t>
        </is>
      </c>
      <c r="B482" s="9" t="inlineStr">
        <is>
          <t>Теплотехника и основы теплопередачи</t>
        </is>
      </c>
      <c r="C482" s="9" t="inlineStr">
        <is>
          <t>Консультация</t>
        </is>
      </c>
      <c r="D482" s="9" t="inlineStr">
        <is>
          <t>Т11О-308Б-18</t>
        </is>
      </c>
      <c r="E482" s="10" t="n">
        <v>3</v>
      </c>
      <c r="F482" s="9" t="inlineStr">
        <is>
          <t>12881</t>
        </is>
      </c>
      <c r="G482" s="11" t="n">
        <v>0</v>
      </c>
      <c r="H482" s="9" t="inlineStr">
        <is>
          <t xml:space="preserve">82086     </t>
        </is>
      </c>
      <c r="I482" s="9" t="inlineStr">
        <is>
          <t xml:space="preserve">Смыков Андрей Федорович </t>
        </is>
      </c>
      <c r="J482" s="9" t="inlineStr">
        <is>
          <t>профессор</t>
        </is>
      </c>
      <c r="K482" s="9" t="n"/>
      <c r="L482" s="9" t="n"/>
      <c r="M482" s="12">
        <f>SUMIFS($E$2:$E$1130,$A$2:$A$1130,"осень",$I$2:$I$1130,I482)</f>
        <v/>
      </c>
      <c r="N482" s="13">
        <f>SUMIFS($E$2:$E$1130,$A$2:$A$1130,"весна",$I$2:$I$1130,I482)</f>
        <v/>
      </c>
      <c r="O482" s="14">
        <f>M482+N482</f>
        <v/>
      </c>
      <c r="P482" s="15">
        <f>O482/$P$1</f>
        <v/>
      </c>
    </row>
    <row r="483" ht="15.75" customHeight="1" s="2">
      <c r="A483" s="117" t="inlineStr">
        <is>
          <t>осень</t>
        </is>
      </c>
      <c r="B483" s="9" t="inlineStr">
        <is>
          <t>Теплотехника и основы теплопередачи</t>
        </is>
      </c>
      <c r="C483" s="9" t="inlineStr">
        <is>
          <t>Консультация</t>
        </is>
      </c>
      <c r="D483" s="9" t="inlineStr">
        <is>
          <t>Т11О-302Б-18</t>
        </is>
      </c>
      <c r="E483" s="10" t="n">
        <v>3</v>
      </c>
      <c r="F483" s="9" t="inlineStr">
        <is>
          <t>12881</t>
        </is>
      </c>
      <c r="G483" s="11" t="n">
        <v>0</v>
      </c>
      <c r="H483" s="9" t="inlineStr">
        <is>
          <t xml:space="preserve">82086     </t>
        </is>
      </c>
      <c r="I483" s="9" t="inlineStr">
        <is>
          <t xml:space="preserve">Смыков Андрей Федорович </t>
        </is>
      </c>
      <c r="J483" s="9" t="inlineStr">
        <is>
          <t>профессор</t>
        </is>
      </c>
      <c r="K483" s="9" t="n"/>
      <c r="L483" s="9" t="n"/>
      <c r="M483" s="12">
        <f>SUMIFS($E$2:$E$1130,$A$2:$A$1130,"осень",$I$2:$I$1130,I483)</f>
        <v/>
      </c>
      <c r="N483" s="13">
        <f>SUMIFS($E$2:$E$1130,$A$2:$A$1130,"весна",$I$2:$I$1130,I483)</f>
        <v/>
      </c>
      <c r="O483" s="14">
        <f>M483+N483</f>
        <v/>
      </c>
      <c r="P483" s="15">
        <f>O483/$P$1</f>
        <v/>
      </c>
    </row>
    <row r="484" ht="15.75" customHeight="1" s="2">
      <c r="A484" s="117" t="inlineStr">
        <is>
          <t>осень</t>
        </is>
      </c>
      <c r="B484" s="9" t="inlineStr">
        <is>
          <t>Теория процессов создания современных материалов и покрытий</t>
        </is>
      </c>
      <c r="C484" s="9" t="inlineStr">
        <is>
          <t>ЛК</t>
        </is>
      </c>
      <c r="D484" s="9" t="inlineStr">
        <is>
          <t>Т11О-207А-19</t>
        </is>
      </c>
      <c r="E484" s="10" t="n">
        <v>24</v>
      </c>
      <c r="F484" s="9" t="inlineStr">
        <is>
          <t>11292</t>
        </is>
      </c>
      <c r="G484" s="10" t="n">
        <v>24</v>
      </c>
      <c r="H484" s="9" t="inlineStr">
        <is>
          <t xml:space="preserve">82060     </t>
        </is>
      </c>
      <c r="I484" s="9" t="inlineStr">
        <is>
          <t xml:space="preserve">Лозован Александр Александрович </t>
        </is>
      </c>
      <c r="J484" s="9" t="inlineStr">
        <is>
          <t>профессор</t>
        </is>
      </c>
      <c r="K484" s="9" t="n"/>
      <c r="L484" s="9" t="n"/>
      <c r="M484" s="12">
        <f>SUMIFS($E$2:$E$1130,$A$2:$A$1130,"осень",$I$2:$I$1130,I484)</f>
        <v/>
      </c>
      <c r="N484" s="13">
        <f>SUMIFS($E$2:$E$1130,$A$2:$A$1130,"весна",$I$2:$I$1130,I484)</f>
        <v/>
      </c>
      <c r="O484" s="14">
        <f>M484+N484</f>
        <v/>
      </c>
      <c r="P484" s="15">
        <f>O484/$P$1</f>
        <v/>
      </c>
    </row>
    <row r="485" ht="15.75" customHeight="1" s="2">
      <c r="A485" s="117" t="inlineStr">
        <is>
          <t>осень</t>
        </is>
      </c>
      <c r="B485" s="9" t="inlineStr">
        <is>
          <t>Теория процессов создания современных материалов и покрытий</t>
        </is>
      </c>
      <c r="C485" s="9" t="inlineStr">
        <is>
          <t>Зачет с оценкой</t>
        </is>
      </c>
      <c r="D485" s="9" t="inlineStr">
        <is>
          <t>Т11О-207А-19</t>
        </is>
      </c>
      <c r="E485" s="10" t="n">
        <v>1</v>
      </c>
      <c r="F485" s="9" t="inlineStr">
        <is>
          <t>11292</t>
        </is>
      </c>
      <c r="G485" s="11" t="n">
        <v>0</v>
      </c>
      <c r="H485" s="9" t="inlineStr">
        <is>
          <t xml:space="preserve">82060     </t>
        </is>
      </c>
      <c r="I485" s="9" t="inlineStr">
        <is>
          <t xml:space="preserve">Лозован Александр Александрович </t>
        </is>
      </c>
      <c r="J485" s="9" t="inlineStr">
        <is>
          <t>профессор</t>
        </is>
      </c>
      <c r="K485" s="9" t="n"/>
      <c r="L485" s="9" t="n"/>
      <c r="M485" s="12">
        <f>SUMIFS($E$2:$E$1130,$A$2:$A$1130,"осень",$I$2:$I$1130,I485)</f>
        <v/>
      </c>
      <c r="N485" s="13">
        <f>SUMIFS($E$2:$E$1130,$A$2:$A$1130,"весна",$I$2:$I$1130,I485)</f>
        <v/>
      </c>
      <c r="O485" s="14">
        <f>M485+N485</f>
        <v/>
      </c>
      <c r="P485" s="15">
        <f>O485/$P$1</f>
        <v/>
      </c>
    </row>
    <row r="486" ht="15.75" customHeight="1" s="2">
      <c r="A486" s="117" t="inlineStr">
        <is>
          <t>осень</t>
        </is>
      </c>
      <c r="B486" s="9" t="inlineStr">
        <is>
          <t>Теория процессов создания современных материалов и покрытий</t>
        </is>
      </c>
      <c r="C486" s="9" t="inlineStr">
        <is>
          <t>ПЗ</t>
        </is>
      </c>
      <c r="D486" s="9" t="inlineStr">
        <is>
          <t>Т11О-207А-19</t>
        </is>
      </c>
      <c r="E486" s="10" t="n">
        <v>8</v>
      </c>
      <c r="F486" s="9" t="inlineStr">
        <is>
          <t>11292</t>
        </is>
      </c>
      <c r="G486" s="10" t="n">
        <v>8</v>
      </c>
      <c r="H486" s="9" t="inlineStr">
        <is>
          <t xml:space="preserve">82060     </t>
        </is>
      </c>
      <c r="I486" s="9" t="inlineStr">
        <is>
          <t xml:space="preserve">Лозован Александр Александрович </t>
        </is>
      </c>
      <c r="J486" s="9" t="inlineStr">
        <is>
          <t>профессор</t>
        </is>
      </c>
      <c r="K486" s="9" t="n"/>
      <c r="L486" s="9" t="n"/>
      <c r="M486" s="12">
        <f>SUMIFS($E$2:$E$1130,$A$2:$A$1130,"осень",$I$2:$I$1130,I486)</f>
        <v/>
      </c>
      <c r="N486" s="13">
        <f>SUMIFS($E$2:$E$1130,$A$2:$A$1130,"весна",$I$2:$I$1130,I486)</f>
        <v/>
      </c>
      <c r="O486" s="14">
        <f>M486+N486</f>
        <v/>
      </c>
      <c r="P486" s="15">
        <f>O486/$P$1</f>
        <v/>
      </c>
    </row>
    <row r="487" ht="15.75" customHeight="1" s="2">
      <c r="A487" s="117" t="inlineStr">
        <is>
          <t>осень</t>
        </is>
      </c>
      <c r="B487" s="9" t="inlineStr">
        <is>
          <t>Теория процессов создания современных материалов и покрытий</t>
        </is>
      </c>
      <c r="C487" s="9" t="inlineStr">
        <is>
          <t>Консультация</t>
        </is>
      </c>
      <c r="D487" s="9" t="inlineStr">
        <is>
          <t>Т11О-207А-19</t>
        </is>
      </c>
      <c r="E487" s="10" t="n">
        <v>1</v>
      </c>
      <c r="F487" s="9" t="inlineStr">
        <is>
          <t>11292</t>
        </is>
      </c>
      <c r="G487" s="11" t="n">
        <v>0</v>
      </c>
      <c r="H487" s="9" t="inlineStr">
        <is>
          <t xml:space="preserve">82060     </t>
        </is>
      </c>
      <c r="I487" s="9" t="inlineStr">
        <is>
          <t xml:space="preserve">Лозован Александр Александрович </t>
        </is>
      </c>
      <c r="J487" s="9" t="inlineStr">
        <is>
          <t>профессор</t>
        </is>
      </c>
      <c r="K487" s="9" t="n"/>
      <c r="L487" s="9" t="n"/>
      <c r="M487" s="12">
        <f>SUMIFS($E$2:$E$1130,$A$2:$A$1130,"осень",$I$2:$I$1130,I487)</f>
        <v/>
      </c>
      <c r="N487" s="13">
        <f>SUMIFS($E$2:$E$1130,$A$2:$A$1130,"весна",$I$2:$I$1130,I487)</f>
        <v/>
      </c>
      <c r="O487" s="14">
        <f>M487+N487</f>
        <v/>
      </c>
      <c r="P487" s="15">
        <f>O487/$P$1</f>
        <v/>
      </c>
    </row>
    <row r="488" ht="15.75" customHeight="1" s="2">
      <c r="A488" s="117" t="inlineStr">
        <is>
          <t>осень</t>
        </is>
      </c>
      <c r="B488" s="9" t="inlineStr">
        <is>
          <t>Обработка металлов давлением</t>
        </is>
      </c>
      <c r="C488" s="9" t="inlineStr">
        <is>
          <t>ЛК</t>
        </is>
      </c>
      <c r="D488" s="9" t="inlineStr">
        <is>
          <t>Т1О-310А-18</t>
        </is>
      </c>
      <c r="E488" s="10" t="n">
        <v>68</v>
      </c>
      <c r="F488" s="9" t="inlineStr">
        <is>
          <t>14083</t>
        </is>
      </c>
      <c r="G488" s="10" t="n">
        <v>68</v>
      </c>
      <c r="H488" s="9" t="inlineStr">
        <is>
          <t xml:space="preserve">81732     </t>
        </is>
      </c>
      <c r="I488" s="9" t="inlineStr">
        <is>
          <t xml:space="preserve">Петров Анатолий Павлович </t>
        </is>
      </c>
      <c r="J488" s="9" t="inlineStr">
        <is>
          <t>профессор</t>
        </is>
      </c>
      <c r="K488" s="9" t="n"/>
      <c r="L488" s="9" t="inlineStr">
        <is>
          <t>Захарова (Борунова) Татьяна Ивановна</t>
        </is>
      </c>
      <c r="M488" s="12">
        <f>SUMIFS($E$2:$E$1130,$A$2:$A$1130,"осень",$I$2:$I$1130,I488)</f>
        <v/>
      </c>
      <c r="N488" s="13">
        <f>SUMIFS($E$2:$E$1130,$A$2:$A$1130,"весна",$I$2:$I$1130,I488)</f>
        <v/>
      </c>
      <c r="O488" s="14">
        <f>M488+N488</f>
        <v/>
      </c>
      <c r="P488" s="15">
        <f>O488/$P$1</f>
        <v/>
      </c>
    </row>
    <row r="489" ht="15.75" customHeight="1" s="2">
      <c r="A489" s="117" t="inlineStr">
        <is>
          <t>осень</t>
        </is>
      </c>
      <c r="B489" s="9" t="inlineStr">
        <is>
          <t>Обработка металлов давлением</t>
        </is>
      </c>
      <c r="C489" s="9" t="inlineStr">
        <is>
          <t>ПЗ</t>
        </is>
      </c>
      <c r="D489" s="9" t="inlineStr">
        <is>
          <t>Т1О-310А-18</t>
        </is>
      </c>
      <c r="E489" s="10" t="n">
        <v>20</v>
      </c>
      <c r="F489" s="9" t="inlineStr">
        <is>
          <t>14083</t>
        </is>
      </c>
      <c r="G489" s="10" t="n">
        <v>20</v>
      </c>
      <c r="H489" s="9" t="inlineStr">
        <is>
          <t xml:space="preserve">81732     </t>
        </is>
      </c>
      <c r="I489" s="9" t="inlineStr">
        <is>
          <t xml:space="preserve">Петров Анатолий Павлович </t>
        </is>
      </c>
      <c r="J489" s="9" t="inlineStr">
        <is>
          <t>профессор</t>
        </is>
      </c>
      <c r="K489" s="9" t="n"/>
      <c r="L489" s="9" t="inlineStr">
        <is>
          <t>Захарова (Борунова) Татьяна Ивановна</t>
        </is>
      </c>
      <c r="M489" s="12">
        <f>SUMIFS($E$2:$E$1130,$A$2:$A$1130,"осень",$I$2:$I$1130,I489)</f>
        <v/>
      </c>
      <c r="N489" s="13">
        <f>SUMIFS($E$2:$E$1130,$A$2:$A$1130,"весна",$I$2:$I$1130,I489)</f>
        <v/>
      </c>
      <c r="O489" s="14">
        <f>M489+N489</f>
        <v/>
      </c>
      <c r="P489" s="15">
        <f>O489/$P$1</f>
        <v/>
      </c>
    </row>
    <row r="490" ht="15.75" customHeight="1" s="2">
      <c r="A490" s="117" t="inlineStr">
        <is>
          <t>осень</t>
        </is>
      </c>
      <c r="B490" s="9" t="inlineStr">
        <is>
          <t>Обработка металлов давлением</t>
        </is>
      </c>
      <c r="C490" s="9" t="inlineStr">
        <is>
          <t>Экзамен</t>
        </is>
      </c>
      <c r="D490" s="9" t="inlineStr">
        <is>
          <t>Т1О-310А-18</t>
        </is>
      </c>
      <c r="E490" s="10" t="n">
        <v>1</v>
      </c>
      <c r="F490" s="9" t="inlineStr">
        <is>
          <t>14083</t>
        </is>
      </c>
      <c r="G490" s="11" t="n">
        <v>0</v>
      </c>
      <c r="H490" s="9" t="inlineStr">
        <is>
          <t xml:space="preserve">81732     </t>
        </is>
      </c>
      <c r="I490" s="9" t="inlineStr">
        <is>
          <t xml:space="preserve">Петров Анатолий Павлович </t>
        </is>
      </c>
      <c r="J490" s="9" t="inlineStr">
        <is>
          <t>профессор</t>
        </is>
      </c>
      <c r="K490" s="9" t="n"/>
      <c r="L490" s="9" t="inlineStr">
        <is>
          <t>Захарова (Борунова) Татьяна Ивановна</t>
        </is>
      </c>
      <c r="M490" s="12">
        <f>SUMIFS($E$2:$E$1130,$A$2:$A$1130,"осень",$I$2:$I$1130,I490)</f>
        <v/>
      </c>
      <c r="N490" s="13">
        <f>SUMIFS($E$2:$E$1130,$A$2:$A$1130,"весна",$I$2:$I$1130,I490)</f>
        <v/>
      </c>
      <c r="O490" s="14">
        <f>M490+N490</f>
        <v/>
      </c>
      <c r="P490" s="15">
        <f>O490/$P$1</f>
        <v/>
      </c>
    </row>
    <row r="491" ht="15.75" customHeight="1" s="2">
      <c r="A491" s="117" t="inlineStr">
        <is>
          <t>осень</t>
        </is>
      </c>
      <c r="B491" s="9" t="inlineStr">
        <is>
          <t>Обработка металлов давлением</t>
        </is>
      </c>
      <c r="C491" s="9" t="inlineStr">
        <is>
          <t>Консультация</t>
        </is>
      </c>
      <c r="D491" s="9" t="inlineStr">
        <is>
          <t>Т1О-310А-18</t>
        </is>
      </c>
      <c r="E491" s="10" t="n">
        <v>5</v>
      </c>
      <c r="F491" s="9" t="inlineStr">
        <is>
          <t>14083</t>
        </is>
      </c>
      <c r="G491" s="11" t="n">
        <v>0</v>
      </c>
      <c r="H491" s="9" t="inlineStr">
        <is>
          <t xml:space="preserve">81732     </t>
        </is>
      </c>
      <c r="I491" s="9" t="inlineStr">
        <is>
          <t xml:space="preserve">Петров Анатолий Павлович </t>
        </is>
      </c>
      <c r="J491" s="9" t="inlineStr">
        <is>
          <t>профессор</t>
        </is>
      </c>
      <c r="K491" s="9" t="n"/>
      <c r="L491" s="9" t="inlineStr">
        <is>
          <t>Захарова (Борунова) Татьяна Ивановна</t>
        </is>
      </c>
      <c r="M491" s="12">
        <f>SUMIFS($E$2:$E$1130,$A$2:$A$1130,"осень",$I$2:$I$1130,I491)</f>
        <v/>
      </c>
      <c r="N491" s="13">
        <f>SUMIFS($E$2:$E$1130,$A$2:$A$1130,"весна",$I$2:$I$1130,I491)</f>
        <v/>
      </c>
      <c r="O491" s="14">
        <f>M491+N491</f>
        <v/>
      </c>
      <c r="P491" s="15">
        <f>O491/$P$1</f>
        <v/>
      </c>
    </row>
    <row r="492" ht="15.75" customHeight="1" s="2">
      <c r="A492" s="117" t="inlineStr">
        <is>
          <t>осень</t>
        </is>
      </c>
      <c r="B492" s="9" t="inlineStr">
        <is>
          <t>Порошковая металлургия и композиционные материалы</t>
        </is>
      </c>
      <c r="C492" s="9" t="inlineStr">
        <is>
          <t>ЛК</t>
        </is>
      </c>
      <c r="D492" s="9" t="inlineStr">
        <is>
          <t>Т11О-307А-18</t>
        </is>
      </c>
      <c r="E492" s="10" t="n">
        <v>68</v>
      </c>
      <c r="F492" s="9" t="inlineStr">
        <is>
          <t>11292</t>
        </is>
      </c>
      <c r="G492" s="10" t="n">
        <v>68</v>
      </c>
      <c r="H492" s="9" t="inlineStr">
        <is>
          <t xml:space="preserve">82060     </t>
        </is>
      </c>
      <c r="I492" s="22" t="inlineStr">
        <is>
          <t xml:space="preserve">Серов Михаил Михайлович </t>
        </is>
      </c>
      <c r="J492" s="9" t="inlineStr">
        <is>
          <t>профессор</t>
        </is>
      </c>
      <c r="K492" s="9" t="n"/>
      <c r="L492" s="9" t="inlineStr">
        <is>
          <t>Быкадоров Кубатина Иванов</t>
        </is>
      </c>
      <c r="M492" s="12">
        <f>SUMIFS($E$2:$E$1130,$A$2:$A$1130,"осень",$I$2:$I$1130,I492)</f>
        <v/>
      </c>
      <c r="N492" s="13">
        <f>SUMIFS($E$2:$E$1130,$A$2:$A$1130,"весна",$I$2:$I$1130,I492)</f>
        <v/>
      </c>
      <c r="O492" s="14">
        <f>M492+N492</f>
        <v/>
      </c>
      <c r="P492" s="15">
        <f>O492/$P$1</f>
        <v/>
      </c>
    </row>
    <row r="493" ht="15.75" customHeight="1" s="2">
      <c r="A493" s="117" t="inlineStr">
        <is>
          <t>осень</t>
        </is>
      </c>
      <c r="B493" s="9" t="inlineStr">
        <is>
          <t>Порошковая металлургия и композиционные материалы</t>
        </is>
      </c>
      <c r="C493" s="9" t="inlineStr">
        <is>
          <t>ПЗ</t>
        </is>
      </c>
      <c r="D493" s="9" t="inlineStr">
        <is>
          <t>Т11О-307А-18</t>
        </is>
      </c>
      <c r="E493" s="10" t="n">
        <v>20</v>
      </c>
      <c r="F493" s="9" t="inlineStr">
        <is>
          <t>11292</t>
        </is>
      </c>
      <c r="G493" s="10" t="n">
        <v>20</v>
      </c>
      <c r="H493" s="9" t="inlineStr">
        <is>
          <t xml:space="preserve">82060     </t>
        </is>
      </c>
      <c r="I493" s="22" t="inlineStr">
        <is>
          <t xml:space="preserve">Серов Михаил Михайлович </t>
        </is>
      </c>
      <c r="J493" s="9" t="inlineStr">
        <is>
          <t>профессор</t>
        </is>
      </c>
      <c r="K493" s="9" t="n"/>
      <c r="L493" s="9" t="inlineStr">
        <is>
          <t>Быкадоров Кубатина Иванов</t>
        </is>
      </c>
      <c r="M493" s="12">
        <f>SUMIFS($E$2:$E$1130,$A$2:$A$1130,"осень",$I$2:$I$1130,I493)</f>
        <v/>
      </c>
      <c r="N493" s="13">
        <f>SUMIFS($E$2:$E$1130,$A$2:$A$1130,"весна",$I$2:$I$1130,I493)</f>
        <v/>
      </c>
      <c r="O493" s="14">
        <f>M493+N493</f>
        <v/>
      </c>
      <c r="P493" s="15">
        <f>O493/$P$1</f>
        <v/>
      </c>
    </row>
    <row r="494" ht="15.75" customHeight="1" s="2">
      <c r="A494" s="117" t="inlineStr">
        <is>
          <t>осень</t>
        </is>
      </c>
      <c r="B494" s="9" t="inlineStr">
        <is>
          <t>Порошковая металлургия и композиционные материалы</t>
        </is>
      </c>
      <c r="C494" s="9" t="inlineStr">
        <is>
          <t>Экзамен</t>
        </is>
      </c>
      <c r="D494" s="9" t="inlineStr">
        <is>
          <t>Т11О-307А-18</t>
        </is>
      </c>
      <c r="E494" s="10" t="n">
        <v>2</v>
      </c>
      <c r="F494" s="9" t="inlineStr">
        <is>
          <t>11292</t>
        </is>
      </c>
      <c r="G494" s="11" t="n">
        <v>0</v>
      </c>
      <c r="H494" s="9" t="inlineStr">
        <is>
          <t xml:space="preserve">82060     </t>
        </is>
      </c>
      <c r="I494" s="22" t="inlineStr">
        <is>
          <t xml:space="preserve">Серов Михаил Михайлович </t>
        </is>
      </c>
      <c r="J494" s="9" t="inlineStr">
        <is>
          <t>профессор</t>
        </is>
      </c>
      <c r="K494" s="9" t="n"/>
      <c r="L494" s="9" t="inlineStr">
        <is>
          <t>Быкадоров Кубатина Иванов</t>
        </is>
      </c>
      <c r="M494" s="12">
        <f>SUMIFS($E$2:$E$1130,$A$2:$A$1130,"осень",$I$2:$I$1130,I494)</f>
        <v/>
      </c>
      <c r="N494" s="13">
        <f>SUMIFS($E$2:$E$1130,$A$2:$A$1130,"весна",$I$2:$I$1130,I494)</f>
        <v/>
      </c>
      <c r="O494" s="14">
        <f>M494+N494</f>
        <v/>
      </c>
      <c r="P494" s="15">
        <f>O494/$P$1</f>
        <v/>
      </c>
    </row>
    <row r="495" ht="15.75" customHeight="1" s="2">
      <c r="A495" s="117" t="inlineStr">
        <is>
          <t>осень</t>
        </is>
      </c>
      <c r="B495" s="9" t="inlineStr">
        <is>
          <t>Порошковая металлургия и композиционные материалы</t>
        </is>
      </c>
      <c r="C495" s="9" t="inlineStr">
        <is>
          <t>Консультация</t>
        </is>
      </c>
      <c r="D495" s="9" t="inlineStr">
        <is>
          <t>Т11О-307А-18</t>
        </is>
      </c>
      <c r="E495" s="10" t="n">
        <v>5</v>
      </c>
      <c r="F495" s="9" t="inlineStr">
        <is>
          <t>11292</t>
        </is>
      </c>
      <c r="G495" s="11" t="n">
        <v>0</v>
      </c>
      <c r="H495" s="9" t="inlineStr">
        <is>
          <t xml:space="preserve">82060     </t>
        </is>
      </c>
      <c r="I495" s="22" t="inlineStr">
        <is>
          <t xml:space="preserve">Серов Михаил Михайлович </t>
        </is>
      </c>
      <c r="J495" s="9" t="inlineStr">
        <is>
          <t>профессор</t>
        </is>
      </c>
      <c r="K495" s="9" t="n"/>
      <c r="L495" s="9" t="inlineStr">
        <is>
          <t>Быкадоров Кубатина Иванов</t>
        </is>
      </c>
      <c r="M495" s="12">
        <f>SUMIFS($E$2:$E$1130,$A$2:$A$1130,"осень",$I$2:$I$1130,I495)</f>
        <v/>
      </c>
      <c r="N495" s="13">
        <f>SUMIFS($E$2:$E$1130,$A$2:$A$1130,"весна",$I$2:$I$1130,I495)</f>
        <v/>
      </c>
      <c r="O495" s="14">
        <f>M495+N495</f>
        <v/>
      </c>
      <c r="P495" s="15">
        <f>O495/$P$1</f>
        <v/>
      </c>
    </row>
    <row r="496" ht="15.75" customHeight="1" s="2">
      <c r="A496" s="117" t="inlineStr">
        <is>
          <t>осень</t>
        </is>
      </c>
      <c r="B496" s="9" t="inlineStr">
        <is>
          <t>Информатика</t>
        </is>
      </c>
      <c r="C496" s="9" t="inlineStr">
        <is>
          <t>ЛК</t>
        </is>
      </c>
      <c r="D496" s="9" t="inlineStr">
        <is>
          <t>Т11О-101Б-20, Т11О-102Б-20</t>
        </is>
      </c>
      <c r="E496" s="10" t="n">
        <v>16</v>
      </c>
      <c r="F496" s="9" t="inlineStr">
        <is>
          <t>13524</t>
        </is>
      </c>
      <c r="G496" s="10" t="n">
        <v>16</v>
      </c>
      <c r="H496" s="9" t="inlineStr">
        <is>
          <t xml:space="preserve">81720     </t>
        </is>
      </c>
      <c r="I496" s="9" t="inlineStr">
        <is>
          <t xml:space="preserve">Палтиевич Андрей Романович </t>
        </is>
      </c>
      <c r="J496" s="9" t="n"/>
      <c r="K496" s="9" t="n"/>
      <c r="L496" s="9" t="inlineStr">
        <is>
          <t>кроме вторника (523 А)</t>
        </is>
      </c>
      <c r="M496" s="12">
        <f>SUMIFS($E$2:$E$1130,$A$2:$A$1130,"осень",$I$2:$I$1130,I496)</f>
        <v/>
      </c>
      <c r="N496" s="13">
        <f>SUMIFS($E$2:$E$1130,$A$2:$A$1130,"весна",$I$2:$I$1130,I496)</f>
        <v/>
      </c>
      <c r="O496" s="14">
        <f>M496+N496</f>
        <v/>
      </c>
      <c r="P496" s="15">
        <f>O496/$P$1</f>
        <v/>
      </c>
    </row>
    <row r="497" ht="15.75" customHeight="1" s="2">
      <c r="A497" s="117" t="inlineStr">
        <is>
          <t>осень</t>
        </is>
      </c>
      <c r="B497" s="9" t="inlineStr">
        <is>
          <t>Информатика</t>
        </is>
      </c>
      <c r="C497" s="9" t="inlineStr">
        <is>
          <t>ЛК</t>
        </is>
      </c>
      <c r="D497" s="9" t="inlineStr">
        <is>
          <t>Т11О-103Б-20</t>
        </is>
      </c>
      <c r="E497" s="10" t="n">
        <v>32</v>
      </c>
      <c r="F497" s="9" t="inlineStr">
        <is>
          <t>13288</t>
        </is>
      </c>
      <c r="G497" s="10" t="n">
        <v>32</v>
      </c>
      <c r="H497" s="9" t="inlineStr">
        <is>
          <t xml:space="preserve">81720     </t>
        </is>
      </c>
      <c r="I497" s="9" t="inlineStr">
        <is>
          <t xml:space="preserve">Палтиевич Андрей Романович </t>
        </is>
      </c>
      <c r="J497" s="9" t="n"/>
      <c r="K497" s="9" t="n"/>
      <c r="L497" s="9" t="inlineStr">
        <is>
          <t>кроме вторника (523 А)</t>
        </is>
      </c>
      <c r="M497" s="12">
        <f>SUMIFS($E$2:$E$1130,$A$2:$A$1130,"осень",$I$2:$I$1130,I497)</f>
        <v/>
      </c>
      <c r="N497" s="13">
        <f>SUMIFS($E$2:$E$1130,$A$2:$A$1130,"весна",$I$2:$I$1130,I497)</f>
        <v/>
      </c>
      <c r="O497" s="14">
        <f>M497+N497</f>
        <v/>
      </c>
      <c r="P497" s="15">
        <f>O497/$P$1</f>
        <v/>
      </c>
    </row>
    <row r="498" ht="15.75" customHeight="1" s="2">
      <c r="A498" s="117" t="inlineStr">
        <is>
          <t>осень</t>
        </is>
      </c>
      <c r="B498" s="9" t="inlineStr">
        <is>
          <t>Информатика</t>
        </is>
      </c>
      <c r="C498" s="9" t="inlineStr">
        <is>
          <t>Зачет с оценкой</t>
        </is>
      </c>
      <c r="D498" s="9" t="inlineStr">
        <is>
          <t>Т11О-101Б-20</t>
        </is>
      </c>
      <c r="E498" s="10" t="n">
        <v>7</v>
      </c>
      <c r="F498" s="9" t="inlineStr">
        <is>
          <t>13524</t>
        </is>
      </c>
      <c r="G498" s="11" t="n">
        <v>0</v>
      </c>
      <c r="H498" s="9" t="inlineStr">
        <is>
          <t xml:space="preserve">81720     </t>
        </is>
      </c>
      <c r="I498" s="9" t="inlineStr">
        <is>
          <t xml:space="preserve">Палтиевич Андрей Романович </t>
        </is>
      </c>
      <c r="J498" s="9" t="n"/>
      <c r="K498" s="9" t="n"/>
      <c r="L498" s="9" t="inlineStr">
        <is>
          <t>кроме вторника</t>
        </is>
      </c>
      <c r="M498" s="12">
        <f>SUMIFS($E$2:$E$1130,$A$2:$A$1130,"осень",$I$2:$I$1130,I498)</f>
        <v/>
      </c>
      <c r="N498" s="13">
        <f>SUMIFS($E$2:$E$1130,$A$2:$A$1130,"весна",$I$2:$I$1130,I498)</f>
        <v/>
      </c>
      <c r="O498" s="14">
        <f>M498+N498</f>
        <v/>
      </c>
      <c r="P498" s="15">
        <f>O498/$P$1</f>
        <v/>
      </c>
    </row>
    <row r="499" ht="15.75" customHeight="1" s="2">
      <c r="A499" s="117" t="inlineStr">
        <is>
          <t>осень</t>
        </is>
      </c>
      <c r="B499" s="9" t="inlineStr">
        <is>
          <t>Информатика</t>
        </is>
      </c>
      <c r="C499" s="9" t="inlineStr">
        <is>
          <t>Зачет с оценкой</t>
        </is>
      </c>
      <c r="D499" s="9" t="inlineStr">
        <is>
          <t>Т11О-102Б-20</t>
        </is>
      </c>
      <c r="E499" s="10" t="n">
        <v>7</v>
      </c>
      <c r="F499" s="9" t="inlineStr">
        <is>
          <t>13524</t>
        </is>
      </c>
      <c r="G499" s="11" t="n">
        <v>0</v>
      </c>
      <c r="H499" s="9" t="inlineStr">
        <is>
          <t xml:space="preserve">81720     </t>
        </is>
      </c>
      <c r="I499" s="9" t="inlineStr">
        <is>
          <t xml:space="preserve">Палтиевич Андрей Романович </t>
        </is>
      </c>
      <c r="J499" s="9" t="n"/>
      <c r="K499" s="9" t="n"/>
      <c r="L499" s="9" t="inlineStr">
        <is>
          <t>кроме вторника</t>
        </is>
      </c>
      <c r="M499" s="12">
        <f>SUMIFS($E$2:$E$1130,$A$2:$A$1130,"осень",$I$2:$I$1130,I499)</f>
        <v/>
      </c>
      <c r="N499" s="13">
        <f>SUMIFS($E$2:$E$1130,$A$2:$A$1130,"весна",$I$2:$I$1130,I499)</f>
        <v/>
      </c>
      <c r="O499" s="14">
        <f>M499+N499</f>
        <v/>
      </c>
      <c r="P499" s="15">
        <f>O499/$P$1</f>
        <v/>
      </c>
    </row>
    <row r="500" ht="15.75" customHeight="1" s="2">
      <c r="A500" s="117" t="inlineStr">
        <is>
          <t>осень</t>
        </is>
      </c>
      <c r="B500" s="9" t="inlineStr">
        <is>
          <t>Информатика</t>
        </is>
      </c>
      <c r="C500" s="9" t="inlineStr">
        <is>
          <t>Зачет с оценкой</t>
        </is>
      </c>
      <c r="D500" s="9" t="inlineStr">
        <is>
          <t>Т11О-103Б-20</t>
        </is>
      </c>
      <c r="E500" s="10" t="n">
        <v>5</v>
      </c>
      <c r="F500" s="9" t="inlineStr">
        <is>
          <t>13288</t>
        </is>
      </c>
      <c r="G500" s="11" t="n">
        <v>0</v>
      </c>
      <c r="H500" s="9" t="inlineStr">
        <is>
          <t xml:space="preserve">81720     </t>
        </is>
      </c>
      <c r="I500" s="9" t="inlineStr">
        <is>
          <t xml:space="preserve">Палтиевич Андрей Романович </t>
        </is>
      </c>
      <c r="J500" s="9" t="n"/>
      <c r="K500" s="9" t="n"/>
      <c r="L500" s="9" t="inlineStr">
        <is>
          <t>кроме вторника</t>
        </is>
      </c>
      <c r="M500" s="12">
        <f>SUMIFS($E$2:$E$1130,$A$2:$A$1130,"осень",$I$2:$I$1130,I500)</f>
        <v/>
      </c>
      <c r="N500" s="13">
        <f>SUMIFS($E$2:$E$1130,$A$2:$A$1130,"весна",$I$2:$I$1130,I500)</f>
        <v/>
      </c>
      <c r="O500" s="14">
        <f>M500+N500</f>
        <v/>
      </c>
      <c r="P500" s="15">
        <f>O500/$P$1</f>
        <v/>
      </c>
    </row>
    <row r="501" ht="15.75" customHeight="1" s="2">
      <c r="A501" s="117" t="inlineStr">
        <is>
          <t>осень</t>
        </is>
      </c>
      <c r="B501" s="9" t="inlineStr">
        <is>
          <t>Информатика</t>
        </is>
      </c>
      <c r="C501" s="9" t="inlineStr">
        <is>
          <t>ПЗ</t>
        </is>
      </c>
      <c r="D501" s="9" t="inlineStr">
        <is>
          <t>Т11О-101Б-20</t>
        </is>
      </c>
      <c r="E501" s="10" t="n">
        <v>38</v>
      </c>
      <c r="F501" s="9" t="inlineStr">
        <is>
          <t>13524</t>
        </is>
      </c>
      <c r="G501" s="10" t="n">
        <v>38</v>
      </c>
      <c r="H501" s="9" t="inlineStr">
        <is>
          <t xml:space="preserve">93584     </t>
        </is>
      </c>
      <c r="I501" s="9" t="inlineStr">
        <is>
          <t xml:space="preserve">Комаров Роман Сергеевич </t>
        </is>
      </c>
      <c r="J501" s="9" t="n"/>
      <c r="K501" s="9" t="n"/>
      <c r="L501" s="9" t="n"/>
      <c r="M501" s="12">
        <f>SUMIFS($E$2:$E$1130,$A$2:$A$1130,"осень",$I$2:$I$1130,I501)</f>
        <v/>
      </c>
      <c r="N501" s="13">
        <f>SUMIFS($E$2:$E$1130,$A$2:$A$1130,"весна",$I$2:$I$1130,I501)</f>
        <v/>
      </c>
      <c r="O501" s="14">
        <f>M501+N501</f>
        <v/>
      </c>
      <c r="P501" s="15">
        <f>O501/$P$1</f>
        <v/>
      </c>
    </row>
    <row r="502" ht="15.75" customHeight="1" s="2">
      <c r="A502" s="117" t="inlineStr">
        <is>
          <t>осень</t>
        </is>
      </c>
      <c r="B502" s="9" t="inlineStr">
        <is>
          <t>Информатика</t>
        </is>
      </c>
      <c r="C502" s="9" t="inlineStr">
        <is>
          <t>ПЗ</t>
        </is>
      </c>
      <c r="D502" s="9" t="inlineStr">
        <is>
          <t>Т11О-102Б-20</t>
        </is>
      </c>
      <c r="E502" s="10" t="n">
        <v>38</v>
      </c>
      <c r="F502" s="9" t="inlineStr">
        <is>
          <t>13524</t>
        </is>
      </c>
      <c r="G502" s="10" t="n">
        <v>38</v>
      </c>
      <c r="H502" s="9" t="inlineStr">
        <is>
          <t xml:space="preserve">82022     </t>
        </is>
      </c>
      <c r="I502" s="9" t="inlineStr">
        <is>
          <t xml:space="preserve">Телицына Ольга Валентиновна </t>
        </is>
      </c>
      <c r="J502" s="9" t="n"/>
      <c r="K502" s="9" t="n"/>
      <c r="L502" s="9" t="n"/>
      <c r="M502" s="12">
        <f>SUMIFS($E$2:$E$1130,$A$2:$A$1130,"осень",$I$2:$I$1130,I502)</f>
        <v/>
      </c>
      <c r="N502" s="13">
        <f>SUMIFS($E$2:$E$1130,$A$2:$A$1130,"весна",$I$2:$I$1130,I502)</f>
        <v/>
      </c>
      <c r="O502" s="14">
        <f>M502+N502</f>
        <v/>
      </c>
      <c r="P502" s="15">
        <f>O502/$P$1</f>
        <v/>
      </c>
    </row>
    <row r="503" ht="15.75" customHeight="1" s="2">
      <c r="A503" s="117" t="inlineStr">
        <is>
          <t>осень</t>
        </is>
      </c>
      <c r="B503" s="9" t="inlineStr">
        <is>
          <t>Информатика</t>
        </is>
      </c>
      <c r="C503" s="9" t="inlineStr">
        <is>
          <t>ПЗ</t>
        </is>
      </c>
      <c r="D503" s="9" t="inlineStr">
        <is>
          <t>Т11О-103Б-20</t>
        </is>
      </c>
      <c r="E503" s="10" t="n">
        <v>16</v>
      </c>
      <c r="F503" s="9" t="inlineStr">
        <is>
          <t>13288</t>
        </is>
      </c>
      <c r="G503" s="10" t="n">
        <v>16</v>
      </c>
      <c r="H503" s="9" t="inlineStr">
        <is>
          <t xml:space="preserve">81720     </t>
        </is>
      </c>
      <c r="I503" s="9" t="inlineStr">
        <is>
          <t xml:space="preserve">Палтиевич Андрей Романович </t>
        </is>
      </c>
      <c r="J503" s="9" t="n"/>
      <c r="K503" s="9" t="n"/>
      <c r="L503" s="9" t="inlineStr">
        <is>
          <t>кроме вторника (521А, 522А, 525А)</t>
        </is>
      </c>
      <c r="M503" s="12">
        <f>SUMIFS($E$2:$E$1130,$A$2:$A$1130,"осень",$I$2:$I$1130,I503)</f>
        <v/>
      </c>
      <c r="N503" s="13">
        <f>SUMIFS($E$2:$E$1130,$A$2:$A$1130,"весна",$I$2:$I$1130,I503)</f>
        <v/>
      </c>
      <c r="O503" s="14">
        <f>M503+N503</f>
        <v/>
      </c>
      <c r="P503" s="15">
        <f>O503/$P$1</f>
        <v/>
      </c>
    </row>
    <row r="504" ht="15.75" customHeight="1" s="2">
      <c r="A504" s="117" t="inlineStr">
        <is>
          <t>осень</t>
        </is>
      </c>
      <c r="B504" s="9" t="inlineStr">
        <is>
          <t>Информатика</t>
        </is>
      </c>
      <c r="C504" s="9" t="inlineStr">
        <is>
          <t>ЛР</t>
        </is>
      </c>
      <c r="D504" s="9" t="inlineStr">
        <is>
          <t>Т11О-103Б-20</t>
        </is>
      </c>
      <c r="E504" s="10" t="n">
        <v>24</v>
      </c>
      <c r="F504" s="9" t="inlineStr">
        <is>
          <t>13288</t>
        </is>
      </c>
      <c r="G504" s="10" t="n">
        <v>24</v>
      </c>
      <c r="H504" s="9" t="inlineStr">
        <is>
          <t xml:space="preserve">81720     </t>
        </is>
      </c>
      <c r="I504" s="9" t="inlineStr">
        <is>
          <t xml:space="preserve">Палтиевич Андрей Романович </t>
        </is>
      </c>
      <c r="J504" s="9" t="n"/>
      <c r="K504" s="9" t="n"/>
      <c r="L504" s="9" t="inlineStr">
        <is>
          <t>кроме вторника (521А, 522А, 525А)</t>
        </is>
      </c>
      <c r="M504" s="12">
        <f>SUMIFS($E$2:$E$1130,$A$2:$A$1130,"осень",$I$2:$I$1130,I504)</f>
        <v/>
      </c>
      <c r="N504" s="13">
        <f>SUMIFS($E$2:$E$1130,$A$2:$A$1130,"весна",$I$2:$I$1130,I504)</f>
        <v/>
      </c>
      <c r="O504" s="14">
        <f>M504+N504</f>
        <v/>
      </c>
      <c r="P504" s="15">
        <f>O504/$P$1</f>
        <v/>
      </c>
    </row>
    <row r="505" ht="15.75" customHeight="1" s="2">
      <c r="A505" s="117" t="inlineStr">
        <is>
          <t>осень</t>
        </is>
      </c>
      <c r="B505" s="9" t="inlineStr">
        <is>
          <t>Информатика</t>
        </is>
      </c>
      <c r="C505" s="9" t="inlineStr">
        <is>
          <t>Консультация</t>
        </is>
      </c>
      <c r="D505" s="9" t="inlineStr">
        <is>
          <t>Т11О-101Б-20</t>
        </is>
      </c>
      <c r="E505" s="10" t="n">
        <v>1</v>
      </c>
      <c r="F505" s="9" t="inlineStr">
        <is>
          <t>13524</t>
        </is>
      </c>
      <c r="G505" s="11" t="n">
        <v>0</v>
      </c>
      <c r="H505" s="9" t="inlineStr">
        <is>
          <t xml:space="preserve">93584     </t>
        </is>
      </c>
      <c r="I505" s="9" t="inlineStr">
        <is>
          <t xml:space="preserve">Комаров Роман Сергеевич </t>
        </is>
      </c>
      <c r="J505" s="9" t="n"/>
      <c r="K505" s="9" t="n"/>
      <c r="L505" s="9" t="n"/>
      <c r="M505" s="12">
        <f>SUMIFS($E$2:$E$1130,$A$2:$A$1130,"осень",$I$2:$I$1130,I505)</f>
        <v/>
      </c>
      <c r="N505" s="13">
        <f>SUMIFS($E$2:$E$1130,$A$2:$A$1130,"весна",$I$2:$I$1130,I505)</f>
        <v/>
      </c>
      <c r="O505" s="14">
        <f>M505+N505</f>
        <v/>
      </c>
      <c r="P505" s="15">
        <f>O505/$P$1</f>
        <v/>
      </c>
    </row>
    <row r="506" ht="15.75" customHeight="1" s="2">
      <c r="A506" s="117" t="inlineStr">
        <is>
          <t>осень</t>
        </is>
      </c>
      <c r="B506" s="9" t="inlineStr">
        <is>
          <t>Информатика</t>
        </is>
      </c>
      <c r="C506" s="9" t="inlineStr">
        <is>
          <t>Консультация</t>
        </is>
      </c>
      <c r="D506" s="9" t="inlineStr">
        <is>
          <t>Т11О-102Б-20</t>
        </is>
      </c>
      <c r="E506" s="10" t="n">
        <v>1</v>
      </c>
      <c r="F506" s="9" t="inlineStr">
        <is>
          <t>13524</t>
        </is>
      </c>
      <c r="G506" s="11" t="n">
        <v>0</v>
      </c>
      <c r="H506" s="9" t="inlineStr">
        <is>
          <t xml:space="preserve">82022     </t>
        </is>
      </c>
      <c r="I506" s="9" t="inlineStr">
        <is>
          <t xml:space="preserve">Телицына Ольга Валентиновна </t>
        </is>
      </c>
      <c r="J506" s="9" t="n"/>
      <c r="K506" s="9" t="n"/>
      <c r="L506" s="9" t="n"/>
      <c r="M506" s="12">
        <f>SUMIFS($E$2:$E$1130,$A$2:$A$1130,"осень",$I$2:$I$1130,I506)</f>
        <v/>
      </c>
      <c r="N506" s="13">
        <f>SUMIFS($E$2:$E$1130,$A$2:$A$1130,"весна",$I$2:$I$1130,I506)</f>
        <v/>
      </c>
      <c r="O506" s="14">
        <f>M506+N506</f>
        <v/>
      </c>
      <c r="P506" s="15">
        <f>O506/$P$1</f>
        <v/>
      </c>
    </row>
    <row r="507" ht="15.75" customHeight="1" s="2">
      <c r="A507" s="117" t="inlineStr">
        <is>
          <t>осень</t>
        </is>
      </c>
      <c r="B507" s="9" t="inlineStr">
        <is>
          <t>Информатика</t>
        </is>
      </c>
      <c r="C507" s="9" t="inlineStr">
        <is>
          <t>Консультация</t>
        </is>
      </c>
      <c r="D507" s="9" t="inlineStr">
        <is>
          <t>Т11О-103Б-20</t>
        </is>
      </c>
      <c r="E507" s="10" t="n">
        <v>2</v>
      </c>
      <c r="F507" s="9" t="inlineStr">
        <is>
          <t>13288</t>
        </is>
      </c>
      <c r="G507" s="11" t="n">
        <v>0</v>
      </c>
      <c r="H507" s="9" t="inlineStr">
        <is>
          <t xml:space="preserve">81720     </t>
        </is>
      </c>
      <c r="I507" s="9" t="inlineStr">
        <is>
          <t xml:space="preserve">Палтиевич Андрей Романович </t>
        </is>
      </c>
      <c r="J507" s="9" t="n"/>
      <c r="K507" s="9" t="n"/>
      <c r="L507" s="9" t="inlineStr">
        <is>
          <t>кроме вторника</t>
        </is>
      </c>
      <c r="M507" s="12">
        <f>SUMIFS($E$2:$E$1130,$A$2:$A$1130,"осень",$I$2:$I$1130,I507)</f>
        <v/>
      </c>
      <c r="N507" s="13">
        <f>SUMIFS($E$2:$E$1130,$A$2:$A$1130,"весна",$I$2:$I$1130,I507)</f>
        <v/>
      </c>
      <c r="O507" s="14">
        <f>M507+N507</f>
        <v/>
      </c>
      <c r="P507" s="15">
        <f>O507/$P$1</f>
        <v/>
      </c>
    </row>
    <row r="508" ht="15.75" customHeight="1" s="2">
      <c r="A508" s="117" t="inlineStr">
        <is>
          <t>осень</t>
        </is>
      </c>
      <c r="B508" s="9" t="inlineStr">
        <is>
          <t>Оптимизация технологических процессов в металлургии</t>
        </is>
      </c>
      <c r="C508" s="9" t="inlineStr">
        <is>
          <t>ПЗ</t>
        </is>
      </c>
      <c r="D508" s="9" t="inlineStr">
        <is>
          <t>М9О-204М-19</t>
        </is>
      </c>
      <c r="E508" s="10" t="n">
        <v>72</v>
      </c>
      <c r="F508" s="9" t="n"/>
      <c r="G508" s="10" t="n">
        <v>72</v>
      </c>
      <c r="H508" s="9" t="inlineStr">
        <is>
          <t xml:space="preserve">81724     </t>
        </is>
      </c>
      <c r="I508" s="9" t="inlineStr">
        <is>
          <t xml:space="preserve">Галкин Евгений Владимирович </t>
        </is>
      </c>
      <c r="J508" s="9" t="inlineStr">
        <is>
          <t>доцент</t>
        </is>
      </c>
      <c r="K508" s="9" t="n"/>
      <c r="L508" s="9" t="inlineStr">
        <is>
          <t>кроме пятницы (525 А)</t>
        </is>
      </c>
      <c r="M508" s="12">
        <f>SUMIFS($E$2:$E$1130,$A$2:$A$1130,"осень",$I$2:$I$1130,I508)</f>
        <v/>
      </c>
      <c r="N508" s="13">
        <f>SUMIFS($E$2:$E$1130,$A$2:$A$1130,"весна",$I$2:$I$1130,I508)</f>
        <v/>
      </c>
      <c r="O508" s="14">
        <f>M508+N508</f>
        <v/>
      </c>
      <c r="P508" s="15">
        <f>O508/$P$1</f>
        <v/>
      </c>
    </row>
    <row r="509" ht="15.75" customHeight="1" s="2">
      <c r="A509" s="117" t="inlineStr">
        <is>
          <t>осень</t>
        </is>
      </c>
      <c r="B509" s="9" t="inlineStr">
        <is>
          <t>Оптимизация технологических процессов в металлургии</t>
        </is>
      </c>
      <c r="C509" s="9" t="inlineStr">
        <is>
          <t>Экзамен</t>
        </is>
      </c>
      <c r="D509" s="9" t="inlineStr">
        <is>
          <t>М9О-204М-19</t>
        </is>
      </c>
      <c r="E509" s="10" t="n">
        <v>4</v>
      </c>
      <c r="F509" s="9" t="n"/>
      <c r="G509" s="11" t="n">
        <v>0</v>
      </c>
      <c r="H509" s="9" t="inlineStr">
        <is>
          <t xml:space="preserve">81724     </t>
        </is>
      </c>
      <c r="I509" s="9" t="inlineStr">
        <is>
          <t xml:space="preserve">Галкин Евгений Владимирович </t>
        </is>
      </c>
      <c r="J509" s="9" t="inlineStr">
        <is>
          <t>доцент</t>
        </is>
      </c>
      <c r="K509" s="9" t="n"/>
      <c r="L509" s="9" t="inlineStr">
        <is>
          <t>кроме пятницы (525 А)</t>
        </is>
      </c>
      <c r="M509" s="12">
        <f>SUMIFS($E$2:$E$1130,$A$2:$A$1130,"осень",$I$2:$I$1130,I509)</f>
        <v/>
      </c>
      <c r="N509" s="13">
        <f>SUMIFS($E$2:$E$1130,$A$2:$A$1130,"весна",$I$2:$I$1130,I509)</f>
        <v/>
      </c>
      <c r="O509" s="14">
        <f>M509+N509</f>
        <v/>
      </c>
      <c r="P509" s="15">
        <f>O509/$P$1</f>
        <v/>
      </c>
    </row>
    <row r="510" ht="15.75" customHeight="1" s="2">
      <c r="A510" s="117" t="inlineStr">
        <is>
          <t>осень</t>
        </is>
      </c>
      <c r="B510" s="9" t="inlineStr">
        <is>
          <t>Оптимизация технологических процессов в металлургии</t>
        </is>
      </c>
      <c r="C510" s="9" t="inlineStr">
        <is>
          <t>Консультация</t>
        </is>
      </c>
      <c r="D510" s="9" t="inlineStr">
        <is>
          <t>М9О-204М-19</t>
        </is>
      </c>
      <c r="E510" s="10" t="n">
        <v>2</v>
      </c>
      <c r="F510" s="9" t="n"/>
      <c r="G510" s="11" t="n">
        <v>0</v>
      </c>
      <c r="H510" s="9" t="inlineStr">
        <is>
          <t xml:space="preserve">81724     </t>
        </is>
      </c>
      <c r="I510" s="9" t="inlineStr">
        <is>
          <t xml:space="preserve">Галкин Евгений Владимирович </t>
        </is>
      </c>
      <c r="J510" s="9" t="inlineStr">
        <is>
          <t>доцент</t>
        </is>
      </c>
      <c r="K510" s="9" t="n"/>
      <c r="L510" s="9" t="inlineStr">
        <is>
          <t>кроме пятницы (525 А)</t>
        </is>
      </c>
      <c r="M510" s="12">
        <f>SUMIFS($E$2:$E$1130,$A$2:$A$1130,"осень",$I$2:$I$1130,I510)</f>
        <v/>
      </c>
      <c r="N510" s="13">
        <f>SUMIFS($E$2:$E$1130,$A$2:$A$1130,"весна",$I$2:$I$1130,I510)</f>
        <v/>
      </c>
      <c r="O510" s="14">
        <f>M510+N510</f>
        <v/>
      </c>
      <c r="P510" s="15">
        <f>O510/$P$1</f>
        <v/>
      </c>
    </row>
    <row r="511" ht="15.75" customHeight="1" s="2">
      <c r="A511" s="117" t="inlineStr">
        <is>
          <t>осень</t>
        </is>
      </c>
      <c r="B511" s="9" t="inlineStr">
        <is>
          <t>Системы автоматизированного проектирования технологических процессов</t>
        </is>
      </c>
      <c r="C511" s="9" t="inlineStr">
        <is>
          <t>ЛК</t>
        </is>
      </c>
      <c r="D511" s="9" t="inlineStr">
        <is>
          <t>М9О-104М-20</t>
        </is>
      </c>
      <c r="E511" s="10" t="n">
        <v>14</v>
      </c>
      <c r="F511" s="9" t="inlineStr">
        <is>
          <t>12598</t>
        </is>
      </c>
      <c r="G511" s="10" t="n">
        <v>14</v>
      </c>
      <c r="H511" s="9" t="inlineStr">
        <is>
          <t xml:space="preserve">81724     </t>
        </is>
      </c>
      <c r="I511" s="9" t="inlineStr">
        <is>
          <t xml:space="preserve">Галкин Евгений Владимирович </t>
        </is>
      </c>
      <c r="J511" s="9" t="inlineStr">
        <is>
          <t>доцент</t>
        </is>
      </c>
      <c r="K511" s="9" t="n"/>
      <c r="L511" s="9" t="n"/>
      <c r="M511" s="12">
        <f>SUMIFS($E$2:$E$1130,$A$2:$A$1130,"осень",$I$2:$I$1130,I511)</f>
        <v/>
      </c>
      <c r="N511" s="13">
        <f>SUMIFS($E$2:$E$1130,$A$2:$A$1130,"весна",$I$2:$I$1130,I511)</f>
        <v/>
      </c>
      <c r="O511" s="14">
        <f>M511+N511</f>
        <v/>
      </c>
      <c r="P511" s="15">
        <f>O511/$P$1</f>
        <v/>
      </c>
    </row>
    <row r="512" ht="15.75" customHeight="1" s="2">
      <c r="A512" s="117" t="inlineStr">
        <is>
          <t>осень</t>
        </is>
      </c>
      <c r="B512" s="9" t="inlineStr">
        <is>
          <t>Системы автоматизированного проектирования технологических процессов</t>
        </is>
      </c>
      <c r="C512" s="9" t="inlineStr">
        <is>
          <t>ПЗ</t>
        </is>
      </c>
      <c r="D512" s="9" t="inlineStr">
        <is>
          <t>М9О-104М-20</t>
        </is>
      </c>
      <c r="E512" s="10" t="n">
        <v>24</v>
      </c>
      <c r="F512" s="9" t="inlineStr">
        <is>
          <t>12598</t>
        </is>
      </c>
      <c r="G512" s="10" t="n">
        <v>24</v>
      </c>
      <c r="H512" s="9" t="inlineStr">
        <is>
          <t xml:space="preserve">81724     </t>
        </is>
      </c>
      <c r="I512" s="9" t="inlineStr">
        <is>
          <t xml:space="preserve">Галкин Евгений Владимирович </t>
        </is>
      </c>
      <c r="J512" s="9" t="inlineStr">
        <is>
          <t>доцент</t>
        </is>
      </c>
      <c r="K512" s="9" t="n"/>
      <c r="L512" s="9" t="n"/>
      <c r="M512" s="12">
        <f>SUMIFS($E$2:$E$1130,$A$2:$A$1130,"осень",$I$2:$I$1130,I512)</f>
        <v/>
      </c>
      <c r="N512" s="13">
        <f>SUMIFS($E$2:$E$1130,$A$2:$A$1130,"весна",$I$2:$I$1130,I512)</f>
        <v/>
      </c>
      <c r="O512" s="14">
        <f>M512+N512</f>
        <v/>
      </c>
      <c r="P512" s="15">
        <f>O512/$P$1</f>
        <v/>
      </c>
    </row>
    <row r="513" ht="15.75" customHeight="1" s="2">
      <c r="A513" s="117" t="inlineStr">
        <is>
          <t>осень</t>
        </is>
      </c>
      <c r="B513" s="9" t="inlineStr">
        <is>
          <t>Системы автоматизированного проектирования технологических процессов</t>
        </is>
      </c>
      <c r="C513" s="9" t="inlineStr">
        <is>
          <t>Зачет</t>
        </is>
      </c>
      <c r="D513" s="9" t="inlineStr">
        <is>
          <t>М9О-104М-20</t>
        </is>
      </c>
      <c r="E513" s="10" t="n">
        <v>2</v>
      </c>
      <c r="F513" s="9" t="inlineStr">
        <is>
          <t>12598</t>
        </is>
      </c>
      <c r="G513" s="11" t="n">
        <v>0</v>
      </c>
      <c r="H513" s="9" t="inlineStr">
        <is>
          <t xml:space="preserve">81724     </t>
        </is>
      </c>
      <c r="I513" s="9" t="inlineStr">
        <is>
          <t xml:space="preserve">Галкин Евгений Владимирович </t>
        </is>
      </c>
      <c r="J513" s="9" t="inlineStr">
        <is>
          <t>доцент</t>
        </is>
      </c>
      <c r="K513" s="9" t="n"/>
      <c r="L513" s="9" t="n"/>
      <c r="M513" s="12">
        <f>SUMIFS($E$2:$E$1130,$A$2:$A$1130,"осень",$I$2:$I$1130,I513)</f>
        <v/>
      </c>
      <c r="N513" s="13">
        <f>SUMIFS($E$2:$E$1130,$A$2:$A$1130,"весна",$I$2:$I$1130,I513)</f>
        <v/>
      </c>
      <c r="O513" s="14">
        <f>M513+N513</f>
        <v/>
      </c>
      <c r="P513" s="15">
        <f>O513/$P$1</f>
        <v/>
      </c>
    </row>
    <row r="514" ht="15.75" customHeight="1" s="2">
      <c r="A514" s="117" t="inlineStr">
        <is>
          <t>осень</t>
        </is>
      </c>
      <c r="B514" s="9" t="inlineStr">
        <is>
          <t>Системы автоматизированного проектирования технологических процессов</t>
        </is>
      </c>
      <c r="C514" s="9" t="inlineStr">
        <is>
          <t>Консультация</t>
        </is>
      </c>
      <c r="D514" s="9" t="inlineStr">
        <is>
          <t>М9О-104М-20</t>
        </is>
      </c>
      <c r="E514" s="10" t="n">
        <v>1</v>
      </c>
      <c r="F514" s="9" t="inlineStr">
        <is>
          <t>12598</t>
        </is>
      </c>
      <c r="G514" s="11" t="n">
        <v>0</v>
      </c>
      <c r="H514" s="9" t="inlineStr">
        <is>
          <t xml:space="preserve">81724     </t>
        </is>
      </c>
      <c r="I514" s="9" t="inlineStr">
        <is>
          <t xml:space="preserve">Галкин Евгений Владимирович </t>
        </is>
      </c>
      <c r="J514" s="9" t="inlineStr">
        <is>
          <t>доцент</t>
        </is>
      </c>
      <c r="K514" s="9" t="n"/>
      <c r="L514" s="9" t="n"/>
      <c r="M514" s="12">
        <f>SUMIFS($E$2:$E$1130,$A$2:$A$1130,"осень",$I$2:$I$1130,I514)</f>
        <v/>
      </c>
      <c r="N514" s="13">
        <f>SUMIFS($E$2:$E$1130,$A$2:$A$1130,"весна",$I$2:$I$1130,I514)</f>
        <v/>
      </c>
      <c r="O514" s="14">
        <f>M514+N514</f>
        <v/>
      </c>
      <c r="P514" s="15">
        <f>O514/$P$1</f>
        <v/>
      </c>
    </row>
    <row r="515" ht="15.75" customHeight="1" s="2">
      <c r="A515" s="117" t="inlineStr">
        <is>
          <t>осень</t>
        </is>
      </c>
      <c r="B515" s="9" t="inlineStr">
        <is>
          <t>Производственная практика</t>
        </is>
      </c>
      <c r="C515" s="9" t="inlineStr">
        <is>
          <t>Преддипломная практика</t>
        </is>
      </c>
      <c r="D515" s="9" t="inlineStr">
        <is>
          <t>Т11О-201М-19</t>
        </is>
      </c>
      <c r="E515" s="10" t="n">
        <v>15</v>
      </c>
      <c r="F515" s="9" t="n"/>
      <c r="G515" s="11" t="n">
        <v>0</v>
      </c>
      <c r="H515" s="9" t="inlineStr">
        <is>
          <t xml:space="preserve">81724     </t>
        </is>
      </c>
      <c r="I515" s="9" t="inlineStr">
        <is>
          <t xml:space="preserve">Галкин Евгений Владимирович </t>
        </is>
      </c>
      <c r="J515" s="9" t="inlineStr">
        <is>
          <t>доцент</t>
        </is>
      </c>
      <c r="K515" s="9" t="n"/>
      <c r="L515" s="9" t="inlineStr">
        <is>
          <t>кроме пятницы</t>
        </is>
      </c>
      <c r="M515" s="12">
        <f>SUMIFS($E$2:$E$1130,$A$2:$A$1130,"осень",$I$2:$I$1130,I515)</f>
        <v/>
      </c>
      <c r="N515" s="13">
        <f>SUMIFS($E$2:$E$1130,$A$2:$A$1130,"весна",$I$2:$I$1130,I515)</f>
        <v/>
      </c>
      <c r="O515" s="14">
        <f>M515+N515</f>
        <v/>
      </c>
      <c r="P515" s="15">
        <f>O515/$P$1</f>
        <v/>
      </c>
    </row>
    <row r="516" ht="15.75" customHeight="1" s="2">
      <c r="A516" s="117" t="inlineStr">
        <is>
          <t>осень</t>
        </is>
      </c>
      <c r="B516" s="9" t="inlineStr">
        <is>
          <t>Производственная практика</t>
        </is>
      </c>
      <c r="C516" s="9" t="inlineStr">
        <is>
          <t>Преддипломная практика</t>
        </is>
      </c>
      <c r="D516" s="9" t="inlineStr">
        <is>
          <t>Т11О-202М-19</t>
        </is>
      </c>
      <c r="E516" s="10" t="n">
        <v>13</v>
      </c>
      <c r="F516" s="9" t="n"/>
      <c r="G516" s="11" t="n">
        <v>0</v>
      </c>
      <c r="H516" s="9" t="inlineStr">
        <is>
          <t xml:space="preserve">82020     </t>
        </is>
      </c>
      <c r="I516" s="9" t="inlineStr">
        <is>
          <t xml:space="preserve">Варфоломеев Максим Сергеевич </t>
        </is>
      </c>
      <c r="J516" s="9" t="inlineStr">
        <is>
          <t>доцент</t>
        </is>
      </c>
      <c r="K516" s="9" t="n"/>
      <c r="L516" s="9" t="n"/>
      <c r="M516" s="12">
        <f>SUMIFS($E$2:$E$1130,$A$2:$A$1130,"осень",$I$2:$I$1130,I516)</f>
        <v/>
      </c>
      <c r="N516" s="13">
        <f>SUMIFS($E$2:$E$1130,$A$2:$A$1130,"весна",$I$2:$I$1130,I516)</f>
        <v/>
      </c>
      <c r="O516" s="14">
        <f>M516+N516</f>
        <v/>
      </c>
      <c r="P516" s="15">
        <f>O516/$P$1</f>
        <v/>
      </c>
    </row>
    <row r="517" ht="15.75" customHeight="1" s="2">
      <c r="A517" s="117" t="inlineStr">
        <is>
          <t>осень</t>
        </is>
      </c>
      <c r="B517" s="9" t="inlineStr">
        <is>
          <t>Производственная практика</t>
        </is>
      </c>
      <c r="C517" s="9" t="inlineStr">
        <is>
          <t>Преддипломная практика</t>
        </is>
      </c>
      <c r="D517" s="9" t="inlineStr">
        <is>
          <t>Т11О-203М-19</t>
        </is>
      </c>
      <c r="E517" s="10" t="n">
        <v>15</v>
      </c>
      <c r="F517" s="9" t="n"/>
      <c r="G517" s="11" t="n">
        <v>0</v>
      </c>
      <c r="H517" s="9" t="inlineStr">
        <is>
          <t xml:space="preserve">82060     </t>
        </is>
      </c>
      <c r="I517" s="9" t="inlineStr">
        <is>
          <t xml:space="preserve">Лозован Александр Александрович </t>
        </is>
      </c>
      <c r="J517" s="9" t="inlineStr">
        <is>
          <t>профессор</t>
        </is>
      </c>
      <c r="K517" s="9" t="n"/>
      <c r="L517" s="9" t="n"/>
      <c r="M517" s="12">
        <f>SUMIFS($E$2:$E$1130,$A$2:$A$1130,"осень",$I$2:$I$1130,I517)</f>
        <v/>
      </c>
      <c r="N517" s="13">
        <f>SUMIFS($E$2:$E$1130,$A$2:$A$1130,"весна",$I$2:$I$1130,I517)</f>
        <v/>
      </c>
      <c r="O517" s="14">
        <f>M517+N517</f>
        <v/>
      </c>
      <c r="P517" s="15">
        <f>O517/$P$1</f>
        <v/>
      </c>
    </row>
    <row r="518" ht="15.75" customHeight="1" s="2">
      <c r="A518" s="117" t="inlineStr">
        <is>
          <t>осень</t>
        </is>
      </c>
      <c r="B518" s="9" t="inlineStr">
        <is>
          <t>Производственная практика</t>
        </is>
      </c>
      <c r="C518" s="9" t="inlineStr">
        <is>
          <t>Преддипломная практика</t>
        </is>
      </c>
      <c r="D518" s="9" t="inlineStr">
        <is>
          <t>Т11О-204М-19</t>
        </is>
      </c>
      <c r="E518" s="10" t="n">
        <v>19</v>
      </c>
      <c r="F518" s="9" t="n"/>
      <c r="G518" s="11" t="n">
        <v>0</v>
      </c>
      <c r="H518" s="9" t="inlineStr">
        <is>
          <t xml:space="preserve">82056     </t>
        </is>
      </c>
      <c r="I518" s="9" t="inlineStr">
        <is>
          <t xml:space="preserve">Никитина Елена Владимировна </t>
        </is>
      </c>
      <c r="J518" s="9" t="n"/>
      <c r="K518" s="9" t="n"/>
      <c r="L518" s="9" t="inlineStr">
        <is>
          <t>пн-пт с 13:00</t>
        </is>
      </c>
      <c r="M518" s="12">
        <f>SUMIFS($E$2:$E$1130,$A$2:$A$1130,"осень",$I$2:$I$1130,I518)</f>
        <v/>
      </c>
      <c r="N518" s="13">
        <f>SUMIFS($E$2:$E$1130,$A$2:$A$1130,"весна",$I$2:$I$1130,I518)</f>
        <v/>
      </c>
      <c r="O518" s="14">
        <f>M518+N518</f>
        <v/>
      </c>
      <c r="P518" s="15">
        <f>O518/$P$1</f>
        <v/>
      </c>
    </row>
    <row r="519" ht="15.75" customHeight="1" s="2">
      <c r="A519" s="117" t="inlineStr">
        <is>
          <t>осень</t>
        </is>
      </c>
      <c r="B519" s="9" t="inlineStr">
        <is>
          <t>Педагогическая практика</t>
        </is>
      </c>
      <c r="C519" s="9" t="inlineStr">
        <is>
          <t>Преддипломная практика</t>
        </is>
      </c>
      <c r="D519" s="9" t="inlineStr">
        <is>
          <t>М9О-204М-19</t>
        </is>
      </c>
      <c r="E519" s="10" t="n">
        <v>28</v>
      </c>
      <c r="F519" s="9" t="n"/>
      <c r="G519" s="11" t="n">
        <v>0</v>
      </c>
      <c r="H519" s="21" t="inlineStr">
        <is>
          <t xml:space="preserve">82061     </t>
        </is>
      </c>
      <c r="I519" s="21" t="inlineStr">
        <is>
          <t xml:space="preserve">Моисеев Виктор Сергеевич </t>
        </is>
      </c>
      <c r="J519" s="9" t="n"/>
      <c r="K519" s="9" t="n"/>
      <c r="L519" s="9" t="n"/>
      <c r="M519" s="12">
        <f>SUMIFS($E$2:$E$1130,$A$2:$A$1130,"осень",$I$2:$I$1130,I519)</f>
        <v/>
      </c>
      <c r="N519" s="13">
        <f>SUMIFS($E$2:$E$1130,$A$2:$A$1130,"весна",$I$2:$I$1130,I519)</f>
        <v/>
      </c>
      <c r="O519" s="14">
        <f>M519+N519</f>
        <v/>
      </c>
      <c r="P519" s="15">
        <f>O519/$P$1</f>
        <v/>
      </c>
    </row>
    <row r="520" ht="15.75" customHeight="1" s="2">
      <c r="A520" s="117" t="inlineStr">
        <is>
          <t>осень</t>
        </is>
      </c>
      <c r="B520" s="9" t="inlineStr">
        <is>
          <t>Педагогическая практика</t>
        </is>
      </c>
      <c r="C520" s="9" t="inlineStr">
        <is>
          <t>Преддипломная практика</t>
        </is>
      </c>
      <c r="D520" s="9" t="inlineStr">
        <is>
          <t>Т11О-201М-19</t>
        </is>
      </c>
      <c r="E520" s="10" t="n">
        <v>15</v>
      </c>
      <c r="F520" s="9" t="n"/>
      <c r="G520" s="11" t="n">
        <v>0</v>
      </c>
      <c r="H520" s="21" t="inlineStr">
        <is>
          <t xml:space="preserve">82061     </t>
        </is>
      </c>
      <c r="I520" s="21" t="inlineStr">
        <is>
          <t xml:space="preserve">Моисеев Виктор Сергеевич </t>
        </is>
      </c>
      <c r="J520" s="9" t="n"/>
      <c r="K520" s="9" t="n"/>
      <c r="L520" s="9" t="n"/>
      <c r="M520" s="12">
        <f>SUMIFS($E$2:$E$1130,$A$2:$A$1130,"осень",$I$2:$I$1130,I520)</f>
        <v/>
      </c>
      <c r="N520" s="13">
        <f>SUMIFS($E$2:$E$1130,$A$2:$A$1130,"весна",$I$2:$I$1130,I520)</f>
        <v/>
      </c>
      <c r="O520" s="14">
        <f>M520+N520</f>
        <v/>
      </c>
      <c r="P520" s="15">
        <f>O520/$P$1</f>
        <v/>
      </c>
    </row>
    <row r="521" ht="15.75" customHeight="1" s="2">
      <c r="A521" s="117" t="inlineStr">
        <is>
          <t>осень</t>
        </is>
      </c>
      <c r="B521" s="9" t="inlineStr">
        <is>
          <t>Педагогическая практика</t>
        </is>
      </c>
      <c r="C521" s="9" t="inlineStr">
        <is>
          <t>Преддипломная практика</t>
        </is>
      </c>
      <c r="D521" s="9" t="inlineStr">
        <is>
          <t>Т11О-202М-19</t>
        </is>
      </c>
      <c r="E521" s="10" t="n">
        <v>13</v>
      </c>
      <c r="F521" s="9" t="n"/>
      <c r="G521" s="11" t="n">
        <v>0</v>
      </c>
      <c r="H521" s="21" t="inlineStr">
        <is>
          <t xml:space="preserve">82061     </t>
        </is>
      </c>
      <c r="I521" s="21" t="inlineStr">
        <is>
          <t xml:space="preserve">Моисеев Виктор Сергеевич </t>
        </is>
      </c>
      <c r="J521" s="9" t="n"/>
      <c r="K521" s="9" t="n"/>
      <c r="L521" s="9" t="n"/>
      <c r="M521" s="12">
        <f>SUMIFS($E$2:$E$1130,$A$2:$A$1130,"осень",$I$2:$I$1130,I521)</f>
        <v/>
      </c>
      <c r="N521" s="13">
        <f>SUMIFS($E$2:$E$1130,$A$2:$A$1130,"весна",$I$2:$I$1130,I521)</f>
        <v/>
      </c>
      <c r="O521" s="14">
        <f>M521+N521</f>
        <v/>
      </c>
      <c r="P521" s="15">
        <f>O521/$P$1</f>
        <v/>
      </c>
    </row>
    <row r="522" ht="15.75" customHeight="1" s="2">
      <c r="A522" s="117" t="inlineStr">
        <is>
          <t>осень</t>
        </is>
      </c>
      <c r="B522" s="9" t="inlineStr">
        <is>
          <t>Педагогическая практика</t>
        </is>
      </c>
      <c r="C522" s="9" t="inlineStr">
        <is>
          <t>Преддипломная практика</t>
        </is>
      </c>
      <c r="D522" s="9" t="inlineStr">
        <is>
          <t>Т11О-203М-19</t>
        </is>
      </c>
      <c r="E522" s="10" t="n">
        <v>15</v>
      </c>
      <c r="F522" s="9" t="n"/>
      <c r="G522" s="11" t="n">
        <v>0</v>
      </c>
      <c r="H522" s="21" t="inlineStr">
        <is>
          <t xml:space="preserve">82061     </t>
        </is>
      </c>
      <c r="I522" s="21" t="inlineStr">
        <is>
          <t xml:space="preserve">Моисеев Виктор Сергеевич </t>
        </is>
      </c>
      <c r="J522" s="9" t="n"/>
      <c r="K522" s="9" t="n"/>
      <c r="L522" s="9" t="n"/>
      <c r="M522" s="12">
        <f>SUMIFS($E$2:$E$1130,$A$2:$A$1130,"осень",$I$2:$I$1130,I522)</f>
        <v/>
      </c>
      <c r="N522" s="13">
        <f>SUMIFS($E$2:$E$1130,$A$2:$A$1130,"весна",$I$2:$I$1130,I522)</f>
        <v/>
      </c>
      <c r="O522" s="14">
        <f>M522+N522</f>
        <v/>
      </c>
      <c r="P522" s="15">
        <f>O522/$P$1</f>
        <v/>
      </c>
    </row>
    <row r="523" ht="15.75" customHeight="1" s="2">
      <c r="A523" s="117" t="inlineStr">
        <is>
          <t>осень</t>
        </is>
      </c>
      <c r="B523" s="9" t="inlineStr">
        <is>
          <t>Педагогическая практика</t>
        </is>
      </c>
      <c r="C523" s="9" t="inlineStr">
        <is>
          <t>Преддипломная практика</t>
        </is>
      </c>
      <c r="D523" s="9" t="inlineStr">
        <is>
          <t>Т11О-204М-19</t>
        </is>
      </c>
      <c r="E523" s="10" t="n">
        <v>19</v>
      </c>
      <c r="F523" s="9" t="n"/>
      <c r="G523" s="11" t="n">
        <v>0</v>
      </c>
      <c r="H523" s="21" t="inlineStr">
        <is>
          <t xml:space="preserve">82061     </t>
        </is>
      </c>
      <c r="I523" s="21" t="inlineStr">
        <is>
          <t xml:space="preserve">Моисеев Виктор Сергеевич </t>
        </is>
      </c>
      <c r="J523" s="9" t="n"/>
      <c r="K523" s="9" t="n"/>
      <c r="L523" s="9" t="n"/>
      <c r="M523" s="12">
        <f>SUMIFS($E$2:$E$1130,$A$2:$A$1130,"осень",$I$2:$I$1130,I523)</f>
        <v/>
      </c>
      <c r="N523" s="13">
        <f>SUMIFS($E$2:$E$1130,$A$2:$A$1130,"весна",$I$2:$I$1130,I523)</f>
        <v/>
      </c>
      <c r="O523" s="14">
        <f>M523+N523</f>
        <v/>
      </c>
      <c r="P523" s="15">
        <f>O523/$P$1</f>
        <v/>
      </c>
    </row>
    <row r="524" ht="15.75" customHeight="1" s="2">
      <c r="A524" s="117" t="inlineStr">
        <is>
          <t>осень</t>
        </is>
      </c>
      <c r="B524" s="21" t="inlineStr">
        <is>
          <t>Руководство магистрами</t>
        </is>
      </c>
      <c r="C524" s="21" t="inlineStr">
        <is>
          <t>Руководство магистрами</t>
        </is>
      </c>
      <c r="D524" s="21" t="inlineStr">
        <is>
          <t>Т11О-101М-20</t>
        </is>
      </c>
      <c r="E524" s="23" t="n">
        <v>30</v>
      </c>
      <c r="F524" s="24" t="n"/>
      <c r="G524" s="25" t="n">
        <v>0</v>
      </c>
      <c r="H524" s="24" t="inlineStr">
        <is>
          <t xml:space="preserve">81731     </t>
        </is>
      </c>
      <c r="I524" s="24" t="inlineStr">
        <is>
          <t xml:space="preserve">Беспалов Александр Владимирович </t>
        </is>
      </c>
      <c r="J524" s="24" t="inlineStr">
        <is>
          <t>доцент</t>
        </is>
      </c>
      <c r="K524" s="24" t="n"/>
      <c r="L524" s="24" t="inlineStr">
        <is>
          <t>2 чел</t>
        </is>
      </c>
      <c r="M524" s="12">
        <f>SUMIFS($E$2:$E$1130,$A$2:$A$1130,"осень",$I$2:$I$1130,I524)</f>
        <v/>
      </c>
      <c r="N524" s="13">
        <f>SUMIFS($E$2:$E$1130,$A$2:$A$1130,"весна",$I$2:$I$1130,I524)</f>
        <v/>
      </c>
      <c r="O524" s="14">
        <f>M524+N524</f>
        <v/>
      </c>
      <c r="P524" s="15">
        <f>O524/$P$1</f>
        <v/>
      </c>
    </row>
    <row r="525" ht="15.75" customHeight="1" s="2">
      <c r="A525" s="117" t="inlineStr">
        <is>
          <t>осень</t>
        </is>
      </c>
      <c r="B525" s="21" t="inlineStr">
        <is>
          <t>Руководство магистрами</t>
        </is>
      </c>
      <c r="C525" s="21" t="inlineStr">
        <is>
          <t>Руководство магистрами</t>
        </is>
      </c>
      <c r="D525" s="21" t="inlineStr">
        <is>
          <t>Т11О-101М-20</t>
        </is>
      </c>
      <c r="E525" s="23" t="n">
        <v>30</v>
      </c>
      <c r="F525" s="24" t="n"/>
      <c r="G525" s="25" t="n">
        <v>0</v>
      </c>
      <c r="H525" s="24" t="inlineStr">
        <is>
          <t xml:space="preserve">81728     </t>
        </is>
      </c>
      <c r="I525" s="24" t="inlineStr">
        <is>
          <t xml:space="preserve">Галкин Виктор Иванович </t>
        </is>
      </c>
      <c r="J525" s="24" t="inlineStr">
        <is>
          <t>профессор</t>
        </is>
      </c>
      <c r="K525" s="24" t="n"/>
      <c r="L525" s="24" t="inlineStr">
        <is>
          <t>2 чел</t>
        </is>
      </c>
      <c r="M525" s="12">
        <f>SUMIFS($E$2:$E$1130,$A$2:$A$1130,"осень",$I$2:$I$1130,I525)</f>
        <v/>
      </c>
      <c r="N525" s="13">
        <f>SUMIFS($E$2:$E$1130,$A$2:$A$1130,"весна",$I$2:$I$1130,I525)</f>
        <v/>
      </c>
      <c r="O525" s="14">
        <f>M525+N525</f>
        <v/>
      </c>
      <c r="P525" s="15">
        <f>O525/$P$1</f>
        <v/>
      </c>
    </row>
    <row r="526" ht="15.75" customHeight="1" s="2">
      <c r="A526" s="117" t="inlineStr">
        <is>
          <t>осень</t>
        </is>
      </c>
      <c r="B526" s="21" t="inlineStr">
        <is>
          <t>Руководство магистрами</t>
        </is>
      </c>
      <c r="C526" s="21" t="inlineStr">
        <is>
          <t>Руководство магистрами</t>
        </is>
      </c>
      <c r="D526" s="21" t="inlineStr">
        <is>
          <t>Т11О-101М-20</t>
        </is>
      </c>
      <c r="E526" s="23" t="n">
        <v>15</v>
      </c>
      <c r="F526" s="24" t="n"/>
      <c r="G526" s="25" t="n">
        <v>0</v>
      </c>
      <c r="H526" s="24" t="inlineStr">
        <is>
          <t xml:space="preserve">81732     </t>
        </is>
      </c>
      <c r="I526" s="24" t="inlineStr">
        <is>
          <t xml:space="preserve">Петров Анатолий Павлович </t>
        </is>
      </c>
      <c r="J526" s="24" t="inlineStr">
        <is>
          <t>профессор</t>
        </is>
      </c>
      <c r="K526" s="24" t="n"/>
      <c r="L526" s="24" t="inlineStr">
        <is>
          <t>1 чел</t>
        </is>
      </c>
      <c r="M526" s="12">
        <f>SUMIFS($E$2:$E$1130,$A$2:$A$1130,"осень",$I$2:$I$1130,I526)</f>
        <v/>
      </c>
      <c r="N526" s="13">
        <f>SUMIFS($E$2:$E$1130,$A$2:$A$1130,"весна",$I$2:$I$1130,I526)</f>
        <v/>
      </c>
      <c r="O526" s="14">
        <f>M526+N526</f>
        <v/>
      </c>
      <c r="P526" s="15">
        <f>O526/$P$1</f>
        <v/>
      </c>
    </row>
    <row r="527" ht="15.75" customHeight="1" s="2">
      <c r="A527" s="117" t="inlineStr">
        <is>
          <t>осень</t>
        </is>
      </c>
      <c r="B527" s="21" t="inlineStr">
        <is>
          <t>Руководство магистрами</t>
        </is>
      </c>
      <c r="C527" s="21" t="inlineStr">
        <is>
          <t>Руководство магистрами</t>
        </is>
      </c>
      <c r="D527" s="21" t="inlineStr">
        <is>
          <t>Т11О-101М-20</t>
        </is>
      </c>
      <c r="E527" s="23" t="n">
        <v>15</v>
      </c>
      <c r="F527" s="24" t="n"/>
      <c r="G527" s="25" t="n">
        <v>0</v>
      </c>
      <c r="H527" s="24" t="inlineStr">
        <is>
          <t xml:space="preserve">81730     </t>
        </is>
      </c>
      <c r="I527" s="24" t="inlineStr">
        <is>
          <t>Федоров Анатолий Александрович</t>
        </is>
      </c>
      <c r="J527" s="24" t="inlineStr">
        <is>
          <t>профессор</t>
        </is>
      </c>
      <c r="K527" s="24" t="n"/>
      <c r="L527" s="24" t="inlineStr">
        <is>
          <t>1 чел</t>
        </is>
      </c>
      <c r="M527" s="12">
        <f>SUMIFS($E$2:$E$1130,$A$2:$A$1130,"осень",$I$2:$I$1130,I527)</f>
        <v/>
      </c>
      <c r="N527" s="13">
        <f>SUMIFS($E$2:$E$1130,$A$2:$A$1130,"весна",$I$2:$I$1130,I527)</f>
        <v/>
      </c>
      <c r="O527" s="14">
        <f>M527+N527</f>
        <v/>
      </c>
      <c r="P527" s="15">
        <f>O527/$P$1</f>
        <v/>
      </c>
    </row>
    <row r="528" ht="15.75" customHeight="1" s="2">
      <c r="A528" s="117" t="inlineStr">
        <is>
          <t>осень</t>
        </is>
      </c>
      <c r="B528" s="21" t="inlineStr">
        <is>
          <t>Руководство магистрами</t>
        </is>
      </c>
      <c r="C528" s="21" t="inlineStr">
        <is>
          <t>Руководство магистрами</t>
        </is>
      </c>
      <c r="D528" s="21" t="inlineStr">
        <is>
          <t>Т11О-102М-20</t>
        </is>
      </c>
      <c r="E528" s="23" t="n">
        <v>15</v>
      </c>
      <c r="F528" s="9" t="n"/>
      <c r="G528" s="11" t="n">
        <v>0</v>
      </c>
      <c r="H528" s="9" t="inlineStr">
        <is>
          <t xml:space="preserve">82020     </t>
        </is>
      </c>
      <c r="I528" s="9" t="inlineStr">
        <is>
          <t xml:space="preserve">Варфоломеев Максим Сергеевич </t>
        </is>
      </c>
      <c r="J528" s="9" t="inlineStr">
        <is>
          <t>доцент</t>
        </is>
      </c>
      <c r="K528" s="9" t="n"/>
      <c r="L528" s="9" t="inlineStr">
        <is>
          <t>1 чел</t>
        </is>
      </c>
      <c r="M528" s="12">
        <f>SUMIFS($E$2:$E$1130,$A$2:$A$1130,"осень",$I$2:$I$1130,I528)</f>
        <v/>
      </c>
      <c r="N528" s="13">
        <f>SUMIFS($E$2:$E$1130,$A$2:$A$1130,"весна",$I$2:$I$1130,I528)</f>
        <v/>
      </c>
      <c r="O528" s="14">
        <f>M528+N528</f>
        <v/>
      </c>
      <c r="P528" s="15">
        <f>O528/$P$1</f>
        <v/>
      </c>
    </row>
    <row r="529" ht="15.75" customHeight="1" s="2">
      <c r="A529" s="117" t="inlineStr">
        <is>
          <t>осень</t>
        </is>
      </c>
      <c r="B529" s="21" t="inlineStr">
        <is>
          <t>Руководство магистрами</t>
        </is>
      </c>
      <c r="C529" s="21" t="inlineStr">
        <is>
          <t>Руководство магистрами</t>
        </is>
      </c>
      <c r="D529" s="21" t="inlineStr">
        <is>
          <t>Т11О-102М-20</t>
        </is>
      </c>
      <c r="E529" s="23" t="n">
        <v>15</v>
      </c>
      <c r="F529" s="9" t="n"/>
      <c r="G529" s="11" t="n">
        <v>0</v>
      </c>
      <c r="H529" s="9" t="inlineStr">
        <is>
          <t xml:space="preserve">82086     </t>
        </is>
      </c>
      <c r="I529" s="9" t="inlineStr">
        <is>
          <t xml:space="preserve">Смыков Андрей Федорович </t>
        </is>
      </c>
      <c r="J529" s="9" t="inlineStr">
        <is>
          <t>профессор</t>
        </is>
      </c>
      <c r="K529" s="9" t="n"/>
      <c r="L529" s="9" t="inlineStr">
        <is>
          <t>1 чел</t>
        </is>
      </c>
      <c r="M529" s="12">
        <f>SUMIFS($E$2:$E$1130,$A$2:$A$1130,"осень",$I$2:$I$1130,I529)</f>
        <v/>
      </c>
      <c r="N529" s="13">
        <f>SUMIFS($E$2:$E$1130,$A$2:$A$1130,"весна",$I$2:$I$1130,I529)</f>
        <v/>
      </c>
      <c r="O529" s="14">
        <f>M529+N529</f>
        <v/>
      </c>
      <c r="P529" s="15">
        <f>O529/$P$1</f>
        <v/>
      </c>
    </row>
    <row r="530" ht="15.75" customHeight="1" s="2">
      <c r="A530" s="117" t="inlineStr">
        <is>
          <t>осень</t>
        </is>
      </c>
      <c r="B530" s="21" t="inlineStr">
        <is>
          <t>Руководство магистрами</t>
        </is>
      </c>
      <c r="C530" s="21" t="inlineStr">
        <is>
          <t>Руководство магистрами</t>
        </is>
      </c>
      <c r="D530" s="21" t="inlineStr">
        <is>
          <t>Т11О-102М-20</t>
        </is>
      </c>
      <c r="E530" s="23" t="n">
        <v>15</v>
      </c>
      <c r="F530" s="9" t="n"/>
      <c r="G530" s="11" t="n">
        <v>0</v>
      </c>
      <c r="H530" s="9" t="inlineStr">
        <is>
          <t xml:space="preserve">89067     </t>
        </is>
      </c>
      <c r="I530" s="9" t="inlineStr">
        <is>
          <t xml:space="preserve">Ряховский Александр Павлович </t>
        </is>
      </c>
      <c r="J530" s="9" t="inlineStr">
        <is>
          <t>доцент</t>
        </is>
      </c>
      <c r="K530" s="9" t="n"/>
      <c r="L530" s="9" t="inlineStr">
        <is>
          <t>1 чел</t>
        </is>
      </c>
      <c r="M530" s="12">
        <f>SUMIFS($E$2:$E$1130,$A$2:$A$1130,"осень",$I$2:$I$1130,I530)</f>
        <v/>
      </c>
      <c r="N530" s="13">
        <f>SUMIFS($E$2:$E$1130,$A$2:$A$1130,"весна",$I$2:$I$1130,I530)</f>
        <v/>
      </c>
      <c r="O530" s="14">
        <f>M530+N530</f>
        <v/>
      </c>
      <c r="P530" s="15">
        <f>O530/$P$1</f>
        <v/>
      </c>
    </row>
    <row r="531" ht="15.75" customHeight="1" s="2">
      <c r="A531" s="117" t="inlineStr">
        <is>
          <t>осень</t>
        </is>
      </c>
      <c r="B531" s="21" t="inlineStr">
        <is>
          <t>Руководство магистрами</t>
        </is>
      </c>
      <c r="C531" s="21" t="inlineStr">
        <is>
          <t>Руководство магистрами</t>
        </is>
      </c>
      <c r="D531" s="21" t="inlineStr">
        <is>
          <t>Т11О-102М-20</t>
        </is>
      </c>
      <c r="E531" s="23" t="n">
        <v>15</v>
      </c>
      <c r="F531" s="9" t="n"/>
      <c r="G531" s="11" t="n">
        <v>0</v>
      </c>
      <c r="H531" s="9" t="inlineStr">
        <is>
          <t xml:space="preserve">82061     </t>
        </is>
      </c>
      <c r="I531" s="9" t="inlineStr">
        <is>
          <t xml:space="preserve">Моисеев Виктор Сергеевич </t>
        </is>
      </c>
      <c r="J531" s="9" t="n"/>
      <c r="K531" s="9" t="n"/>
      <c r="L531" s="9" t="inlineStr">
        <is>
          <t>1 чел</t>
        </is>
      </c>
      <c r="M531" s="12">
        <f>SUMIFS($E$2:$E$1130,$A$2:$A$1130,"осень",$I$2:$I$1130,I531)</f>
        <v/>
      </c>
      <c r="N531" s="13">
        <f>SUMIFS($E$2:$E$1130,$A$2:$A$1130,"весна",$I$2:$I$1130,I531)</f>
        <v/>
      </c>
      <c r="O531" s="14">
        <f>M531+N531</f>
        <v/>
      </c>
      <c r="P531" s="15">
        <f>O531/$P$1</f>
        <v/>
      </c>
    </row>
    <row r="532" ht="15.75" customHeight="1" s="2">
      <c r="A532" s="117" t="inlineStr">
        <is>
          <t>осень</t>
        </is>
      </c>
      <c r="B532" s="21" t="inlineStr">
        <is>
          <t>Руководство магистрами</t>
        </is>
      </c>
      <c r="C532" s="21" t="inlineStr">
        <is>
          <t>Руководство магистрами</t>
        </is>
      </c>
      <c r="D532" s="21" t="inlineStr">
        <is>
          <t>Т11О-102М-20</t>
        </is>
      </c>
      <c r="E532" s="23" t="n">
        <v>15</v>
      </c>
      <c r="F532" s="9" t="n"/>
      <c r="G532" s="11" t="n">
        <v>0</v>
      </c>
      <c r="H532" s="9" t="inlineStr">
        <is>
          <t xml:space="preserve">82018     </t>
        </is>
      </c>
      <c r="I532" s="9" t="inlineStr">
        <is>
          <t>Бережной Дмитрий Васильевич</t>
        </is>
      </c>
      <c r="J532" s="9" t="inlineStr">
        <is>
          <t>доцент</t>
        </is>
      </c>
      <c r="K532" s="9" t="n"/>
      <c r="L532" s="9" t="inlineStr">
        <is>
          <t>1 чел</t>
        </is>
      </c>
      <c r="M532" s="12">
        <f>SUMIFS($E$2:$E$1130,$A$2:$A$1130,"осень",$I$2:$I$1130,I532)</f>
        <v/>
      </c>
      <c r="N532" s="13">
        <f>SUMIFS($E$2:$E$1130,$A$2:$A$1130,"весна",$I$2:$I$1130,I532)</f>
        <v/>
      </c>
      <c r="O532" s="14">
        <f>M532+N532</f>
        <v/>
      </c>
      <c r="P532" s="15">
        <f>O532/$P$1</f>
        <v/>
      </c>
    </row>
    <row r="533" ht="15.75" customHeight="1" s="2">
      <c r="A533" s="117" t="inlineStr">
        <is>
          <t>осень</t>
        </is>
      </c>
      <c r="B533" s="21" t="inlineStr">
        <is>
          <t>Руководство магистрами</t>
        </is>
      </c>
      <c r="C533" s="21" t="inlineStr">
        <is>
          <t>Руководство магистрами</t>
        </is>
      </c>
      <c r="D533" s="21" t="inlineStr">
        <is>
          <t>Т11О-103М-20</t>
        </is>
      </c>
      <c r="E533" s="23" t="n">
        <v>30</v>
      </c>
      <c r="F533" s="9" t="n"/>
      <c r="G533" s="11" t="n">
        <v>0</v>
      </c>
      <c r="H533" s="9" t="inlineStr">
        <is>
          <t xml:space="preserve">82090     </t>
        </is>
      </c>
      <c r="I533" s="9" t="inlineStr">
        <is>
          <t xml:space="preserve">Барабанова Ольга Алексеевна </t>
        </is>
      </c>
      <c r="J533" s="9" t="n"/>
      <c r="K533" s="9" t="inlineStr">
        <is>
          <t>2 чел</t>
        </is>
      </c>
      <c r="L533" s="9" t="n"/>
      <c r="M533" s="12">
        <f>SUMIFS($E$2:$E$1130,$A$2:$A$1130,"осень",$I$2:$I$1130,I533)</f>
        <v/>
      </c>
      <c r="N533" s="13">
        <f>SUMIFS($E$2:$E$1130,$A$2:$A$1130,"весна",$I$2:$I$1130,I533)</f>
        <v/>
      </c>
      <c r="O533" s="14">
        <f>M533+N533</f>
        <v/>
      </c>
      <c r="P533" s="15">
        <f>O533/$P$1</f>
        <v/>
      </c>
    </row>
    <row r="534" ht="15.75" customHeight="1" s="2">
      <c r="A534" s="117" t="inlineStr">
        <is>
          <t>осень</t>
        </is>
      </c>
      <c r="B534" s="21" t="inlineStr">
        <is>
          <t>Руководство магистрами</t>
        </is>
      </c>
      <c r="C534" s="21" t="inlineStr">
        <is>
          <t>Руководство магистрами</t>
        </is>
      </c>
      <c r="D534" s="21" t="inlineStr">
        <is>
          <t>Т11О-103М-20</t>
        </is>
      </c>
      <c r="E534" s="23" t="n">
        <v>30</v>
      </c>
      <c r="F534" s="9" t="n"/>
      <c r="G534" s="11" t="n">
        <v>0</v>
      </c>
      <c r="H534" s="9" t="inlineStr">
        <is>
          <t xml:space="preserve">82066     </t>
        </is>
      </c>
      <c r="I534" s="9" t="inlineStr">
        <is>
          <t xml:space="preserve">Серов Михаил Михайлович </t>
        </is>
      </c>
      <c r="J534" s="9" t="inlineStr">
        <is>
          <t>профессор</t>
        </is>
      </c>
      <c r="K534" s="9" t="inlineStr">
        <is>
          <t>2 чел</t>
        </is>
      </c>
      <c r="L534" s="9" t="n"/>
      <c r="M534" s="12">
        <f>SUMIFS($E$2:$E$1130,$A$2:$A$1130,"осень",$I$2:$I$1130,I534)</f>
        <v/>
      </c>
      <c r="N534" s="13">
        <f>SUMIFS($E$2:$E$1130,$A$2:$A$1130,"весна",$I$2:$I$1130,I534)</f>
        <v/>
      </c>
      <c r="O534" s="14">
        <f>M534+N534</f>
        <v/>
      </c>
      <c r="P534" s="15">
        <f>O534/$P$1</f>
        <v/>
      </c>
    </row>
    <row r="535" ht="15.75" customHeight="1" s="2">
      <c r="A535" s="117" t="inlineStr">
        <is>
          <t>осень</t>
        </is>
      </c>
      <c r="B535" s="21" t="inlineStr">
        <is>
          <t>Руководство магистрами</t>
        </is>
      </c>
      <c r="C535" s="21" t="inlineStr">
        <is>
          <t>Руководство магистрами</t>
        </is>
      </c>
      <c r="D535" s="21" t="inlineStr">
        <is>
          <t>Т11О-103М-20</t>
        </is>
      </c>
      <c r="E535" s="23" t="n">
        <v>15</v>
      </c>
      <c r="F535" s="9" t="n"/>
      <c r="G535" s="11" t="n">
        <v>0</v>
      </c>
      <c r="H535" s="9" t="inlineStr">
        <is>
          <t xml:space="preserve">93685     </t>
        </is>
      </c>
      <c r="I535" s="9" t="inlineStr">
        <is>
          <t xml:space="preserve">Банишев Александр Федорович </t>
        </is>
      </c>
      <c r="J535" s="9" t="n"/>
      <c r="K535" s="9" t="inlineStr">
        <is>
          <t>1 чел</t>
        </is>
      </c>
      <c r="L535" s="9" t="n"/>
      <c r="M535" s="12">
        <f>SUMIFS($E$2:$E$1130,$A$2:$A$1130,"осень",$I$2:$I$1130,I535)</f>
        <v/>
      </c>
      <c r="N535" s="13">
        <f>SUMIFS($E$2:$E$1130,$A$2:$A$1130,"весна",$I$2:$I$1130,I535)</f>
        <v/>
      </c>
      <c r="O535" s="14">
        <f>M535+N535</f>
        <v/>
      </c>
      <c r="P535" s="15">
        <f>O535/$P$1</f>
        <v/>
      </c>
    </row>
    <row r="536" ht="15.75" customHeight="1" s="2">
      <c r="A536" s="117" t="inlineStr">
        <is>
          <t>осень</t>
        </is>
      </c>
      <c r="B536" s="21" t="inlineStr">
        <is>
          <t>Руководство магистрами</t>
        </is>
      </c>
      <c r="C536" s="21" t="inlineStr">
        <is>
          <t>Руководство магистрами</t>
        </is>
      </c>
      <c r="D536" s="21" t="inlineStr">
        <is>
          <t>Т11О-104М-20</t>
        </is>
      </c>
      <c r="E536" s="10" t="n">
        <v>30</v>
      </c>
      <c r="F536" s="9" t="n"/>
      <c r="G536" s="11" t="n">
        <v>0</v>
      </c>
      <c r="H536" s="9" t="inlineStr">
        <is>
          <t xml:space="preserve">82056     </t>
        </is>
      </c>
      <c r="I536" s="9" t="inlineStr">
        <is>
          <t xml:space="preserve">Никитина Елена Владимировна </t>
        </is>
      </c>
      <c r="J536" s="9" t="n"/>
      <c r="K536" s="9" t="inlineStr">
        <is>
          <t>2 чел</t>
        </is>
      </c>
      <c r="L536" s="9" t="inlineStr">
        <is>
          <t>пн-пт с 13:00</t>
        </is>
      </c>
      <c r="M536" s="12">
        <f>SUMIFS($E$2:$E$1130,$A$2:$A$1130,"осень",$I$2:$I$1130,I536)</f>
        <v/>
      </c>
      <c r="N536" s="13">
        <f>SUMIFS($E$2:$E$1130,$A$2:$A$1130,"весна",$I$2:$I$1130,I536)</f>
        <v/>
      </c>
      <c r="O536" s="14">
        <f>M536+N536</f>
        <v/>
      </c>
      <c r="P536" s="15">
        <f>O536/$P$1</f>
        <v/>
      </c>
    </row>
    <row r="537" ht="15.75" customHeight="1" s="2">
      <c r="A537" s="117" t="inlineStr">
        <is>
          <t>осень</t>
        </is>
      </c>
      <c r="B537" s="21" t="inlineStr">
        <is>
          <t>Руководство магистрами</t>
        </is>
      </c>
      <c r="C537" s="21" t="inlineStr">
        <is>
          <t>Руководство магистрами</t>
        </is>
      </c>
      <c r="D537" s="21" t="inlineStr">
        <is>
          <t>Т11О-104М-20</t>
        </is>
      </c>
      <c r="E537" s="10" t="n">
        <v>30</v>
      </c>
      <c r="F537" s="9" t="n"/>
      <c r="G537" s="11" t="n">
        <v>0</v>
      </c>
      <c r="H537" s="9" t="inlineStr">
        <is>
          <t xml:space="preserve">87438     </t>
        </is>
      </c>
      <c r="I537" s="9" t="inlineStr">
        <is>
          <t xml:space="preserve">Конкевич Валентин Юрьевич </t>
        </is>
      </c>
      <c r="J537" s="9" t="n"/>
      <c r="K537" s="9" t="inlineStr">
        <is>
          <t>2 чел</t>
        </is>
      </c>
      <c r="L537" s="9" t="n"/>
      <c r="M537" s="12">
        <f>SUMIFS($E$2:$E$1130,$A$2:$A$1130,"осень",$I$2:$I$1130,I537)</f>
        <v/>
      </c>
      <c r="N537" s="13">
        <f>SUMIFS($E$2:$E$1130,$A$2:$A$1130,"весна",$I$2:$I$1130,I537)</f>
        <v/>
      </c>
      <c r="O537" s="14">
        <f>M537+N537</f>
        <v/>
      </c>
      <c r="P537" s="15">
        <f>O537/$P$1</f>
        <v/>
      </c>
    </row>
    <row r="538" ht="15.75" customHeight="1" s="2">
      <c r="A538" s="117" t="inlineStr">
        <is>
          <t>осень</t>
        </is>
      </c>
      <c r="B538" s="21" t="inlineStr">
        <is>
          <t>Руководство магистрами</t>
        </is>
      </c>
      <c r="C538" s="21" t="inlineStr">
        <is>
          <t>Руководство магистрами</t>
        </is>
      </c>
      <c r="D538" s="21" t="inlineStr">
        <is>
          <t>Т11О-104М-20</t>
        </is>
      </c>
      <c r="E538" s="10" t="n">
        <v>15</v>
      </c>
      <c r="F538" s="9" t="n"/>
      <c r="G538" s="11" t="n">
        <v>0</v>
      </c>
      <c r="H538" s="9" t="inlineStr">
        <is>
          <t xml:space="preserve">92509     </t>
        </is>
      </c>
      <c r="I538" s="9" t="inlineStr">
        <is>
          <t xml:space="preserve">Пашков Игорь Николаевич </t>
        </is>
      </c>
      <c r="J538" s="9" t="n"/>
      <c r="K538" s="9" t="inlineStr">
        <is>
          <t>1 чел</t>
        </is>
      </c>
      <c r="L538" s="9" t="n"/>
      <c r="M538" s="12">
        <f>SUMIFS($E$2:$E$1130,$A$2:$A$1130,"осень",$I$2:$I$1130,I538)</f>
        <v/>
      </c>
      <c r="N538" s="13">
        <f>SUMIFS($E$2:$E$1130,$A$2:$A$1130,"весна",$I$2:$I$1130,I538)</f>
        <v/>
      </c>
      <c r="O538" s="14">
        <f>M538+N538</f>
        <v/>
      </c>
      <c r="P538" s="15">
        <f>O538/$P$1</f>
        <v/>
      </c>
    </row>
    <row r="539" ht="15.75" customHeight="1" s="2">
      <c r="A539" s="117" t="inlineStr">
        <is>
          <t>осень</t>
        </is>
      </c>
      <c r="B539" s="21" t="inlineStr">
        <is>
          <t>Руководство магистрами</t>
        </is>
      </c>
      <c r="C539" s="21" t="inlineStr">
        <is>
          <t>Руководство магистрами</t>
        </is>
      </c>
      <c r="D539" s="21" t="inlineStr">
        <is>
          <t>Т11О-104М-20</t>
        </is>
      </c>
      <c r="E539" s="10" t="n">
        <v>15</v>
      </c>
      <c r="F539" s="9" t="n"/>
      <c r="G539" s="11" t="n">
        <v>0</v>
      </c>
      <c r="H539" s="9" t="inlineStr">
        <is>
          <t xml:space="preserve">82023     </t>
        </is>
      </c>
      <c r="I539" s="9" t="inlineStr">
        <is>
          <t xml:space="preserve">Федоров Сергей Александрович </t>
        </is>
      </c>
      <c r="J539" s="9" t="n"/>
      <c r="K539" s="9" t="inlineStr">
        <is>
          <t>1 чел</t>
        </is>
      </c>
      <c r="L539" s="9" t="n"/>
      <c r="M539" s="12">
        <f>SUMIFS($E$2:$E$1130,$A$2:$A$1130,"осень",$I$2:$I$1130,I539)</f>
        <v/>
      </c>
      <c r="N539" s="13">
        <f>SUMIFS($E$2:$E$1130,$A$2:$A$1130,"весна",$I$2:$I$1130,I539)</f>
        <v/>
      </c>
      <c r="O539" s="14">
        <f>M539+N539</f>
        <v/>
      </c>
      <c r="P539" s="15">
        <f>O539/$P$1</f>
        <v/>
      </c>
    </row>
    <row r="540" ht="15.75" customHeight="1" s="2">
      <c r="A540" s="117" t="inlineStr">
        <is>
          <t>осень</t>
        </is>
      </c>
      <c r="B540" s="9" t="inlineStr">
        <is>
          <t>Руководство магистрами</t>
        </is>
      </c>
      <c r="C540" s="9" t="inlineStr">
        <is>
          <t>Руководство магистрами</t>
        </is>
      </c>
      <c r="D540" s="9" t="inlineStr">
        <is>
          <t>Т11О-201М-19</t>
        </is>
      </c>
      <c r="E540" s="10" t="n">
        <v>15</v>
      </c>
      <c r="F540" s="9" t="n"/>
      <c r="G540" s="11" t="n">
        <v>0</v>
      </c>
      <c r="H540" s="9" t="inlineStr">
        <is>
          <t xml:space="preserve">81731     </t>
        </is>
      </c>
      <c r="I540" s="24" t="inlineStr">
        <is>
          <t xml:space="preserve">Беспалов Александр Владимирович </t>
        </is>
      </c>
      <c r="J540" s="24" t="inlineStr">
        <is>
          <t>доцент</t>
        </is>
      </c>
      <c r="K540" s="9" t="n"/>
      <c r="L540" s="9" t="n"/>
      <c r="M540" s="12">
        <f>SUMIFS($E$2:$E$1130,$A$2:$A$1130,"осень",$I$2:$I$1130,I540)</f>
        <v/>
      </c>
      <c r="N540" s="13">
        <f>SUMIFS($E$2:$E$1130,$A$2:$A$1130,"весна",$I$2:$I$1130,I540)</f>
        <v/>
      </c>
      <c r="O540" s="14">
        <f>M540+N540</f>
        <v/>
      </c>
      <c r="P540" s="15">
        <f>O540/$P$1</f>
        <v/>
      </c>
    </row>
    <row r="541" ht="15.75" customHeight="1" s="2">
      <c r="A541" s="117" t="inlineStr">
        <is>
          <t>осень</t>
        </is>
      </c>
      <c r="B541" s="9" t="inlineStr">
        <is>
          <t>Руководство магистрами</t>
        </is>
      </c>
      <c r="C541" s="9" t="inlineStr">
        <is>
          <t>Руководство магистрами</t>
        </is>
      </c>
      <c r="D541" s="9" t="inlineStr">
        <is>
          <t>Т11О-201М-19</t>
        </is>
      </c>
      <c r="E541" s="10" t="n">
        <v>15</v>
      </c>
      <c r="F541" s="9" t="n"/>
      <c r="G541" s="11" t="n">
        <v>0</v>
      </c>
      <c r="H541" s="9" t="inlineStr">
        <is>
          <t xml:space="preserve">81728     </t>
        </is>
      </c>
      <c r="I541" s="9" t="inlineStr">
        <is>
          <t xml:space="preserve">Галкин Виктор Иванович </t>
        </is>
      </c>
      <c r="J541" s="9" t="inlineStr">
        <is>
          <t>профессор</t>
        </is>
      </c>
      <c r="K541" s="9" t="n"/>
      <c r="L541" s="9" t="n"/>
      <c r="M541" s="12">
        <f>SUMIFS($E$2:$E$1130,$A$2:$A$1130,"осень",$I$2:$I$1130,I541)</f>
        <v/>
      </c>
      <c r="N541" s="13">
        <f>SUMIFS($E$2:$E$1130,$A$2:$A$1130,"весна",$I$2:$I$1130,I541)</f>
        <v/>
      </c>
      <c r="O541" s="14">
        <f>M541+N541</f>
        <v/>
      </c>
      <c r="P541" s="15">
        <f>O541/$P$1</f>
        <v/>
      </c>
    </row>
    <row r="542" ht="15.75" customHeight="1" s="2">
      <c r="A542" s="117" t="inlineStr">
        <is>
          <t>осень</t>
        </is>
      </c>
      <c r="B542" s="9" t="inlineStr">
        <is>
          <t>Руководство магистрами</t>
        </is>
      </c>
      <c r="C542" s="9" t="inlineStr">
        <is>
          <t>Руководство магистрами</t>
        </is>
      </c>
      <c r="D542" s="9" t="inlineStr">
        <is>
          <t>Т11О-201М-19</t>
        </is>
      </c>
      <c r="E542" s="10" t="n">
        <v>15</v>
      </c>
      <c r="F542" s="9" t="n"/>
      <c r="G542" s="11" t="n">
        <v>0</v>
      </c>
      <c r="H542" s="9" t="inlineStr">
        <is>
          <t xml:space="preserve">81721     </t>
        </is>
      </c>
      <c r="I542" s="9" t="inlineStr">
        <is>
          <t xml:space="preserve">Преображенский Евгений Владимирович </t>
        </is>
      </c>
      <c r="J542" s="9" t="inlineStr">
        <is>
          <t>доцент</t>
        </is>
      </c>
      <c r="K542" s="9" t="n"/>
      <c r="L542" s="9" t="inlineStr">
        <is>
          <t>525 А</t>
        </is>
      </c>
      <c r="M542" s="12">
        <f>SUMIFS($E$2:$E$1130,$A$2:$A$1130,"осень",$I$2:$I$1130,I542)</f>
        <v/>
      </c>
      <c r="N542" s="13">
        <f>SUMIFS($E$2:$E$1130,$A$2:$A$1130,"весна",$I$2:$I$1130,I542)</f>
        <v/>
      </c>
      <c r="O542" s="14">
        <f>M542+N542</f>
        <v/>
      </c>
      <c r="P542" s="15">
        <f>O542/$P$1</f>
        <v/>
      </c>
    </row>
    <row r="543" ht="15.75" customHeight="1" s="2">
      <c r="A543" s="117" t="inlineStr">
        <is>
          <t>осень</t>
        </is>
      </c>
      <c r="B543" s="9" t="inlineStr">
        <is>
          <t>Руководство магистрами</t>
        </is>
      </c>
      <c r="C543" s="9" t="inlineStr">
        <is>
          <t>Руководство магистрами</t>
        </is>
      </c>
      <c r="D543" s="9" t="inlineStr">
        <is>
          <t>Т11О-201М-19</t>
        </is>
      </c>
      <c r="E543" s="10" t="n">
        <v>15</v>
      </c>
      <c r="F543" s="9" t="n"/>
      <c r="G543" s="11" t="n">
        <v>0</v>
      </c>
      <c r="H543" s="9" t="inlineStr">
        <is>
          <t xml:space="preserve">81732     </t>
        </is>
      </c>
      <c r="I543" s="9" t="inlineStr">
        <is>
          <t xml:space="preserve">Петров Анатолий Павлович </t>
        </is>
      </c>
      <c r="J543" s="9" t="inlineStr">
        <is>
          <t>профессор</t>
        </is>
      </c>
      <c r="K543" s="9" t="n"/>
      <c r="L543" s="9" t="n"/>
      <c r="M543" s="12">
        <f>SUMIFS($E$2:$E$1130,$A$2:$A$1130,"осень",$I$2:$I$1130,I543)</f>
        <v/>
      </c>
      <c r="N543" s="13">
        <f>SUMIFS($E$2:$E$1130,$A$2:$A$1130,"весна",$I$2:$I$1130,I543)</f>
        <v/>
      </c>
      <c r="O543" s="14">
        <f>M543+N543</f>
        <v/>
      </c>
      <c r="P543" s="15">
        <f>O543/$P$1</f>
        <v/>
      </c>
    </row>
    <row r="544" ht="15.75" customHeight="1" s="2">
      <c r="A544" s="117" t="inlineStr">
        <is>
          <t>осень</t>
        </is>
      </c>
      <c r="B544" s="9" t="inlineStr">
        <is>
          <t>Руководство магистрами</t>
        </is>
      </c>
      <c r="C544" s="9" t="inlineStr">
        <is>
          <t>Руководство магистрами</t>
        </is>
      </c>
      <c r="D544" s="9" t="inlineStr">
        <is>
          <t>Т11О-201М-19</t>
        </is>
      </c>
      <c r="E544" s="10" t="n">
        <v>30</v>
      </c>
      <c r="F544" s="9" t="n"/>
      <c r="G544" s="11" t="n">
        <v>0</v>
      </c>
      <c r="H544" s="9" t="inlineStr">
        <is>
          <t xml:space="preserve">81730     </t>
        </is>
      </c>
      <c r="I544" s="9" t="inlineStr">
        <is>
          <t>Федоров Анатолий Александрович</t>
        </is>
      </c>
      <c r="J544" s="9" t="inlineStr">
        <is>
          <t>профессор</t>
        </is>
      </c>
      <c r="K544" s="9" t="n"/>
      <c r="L544" s="9" t="n"/>
      <c r="M544" s="12">
        <f>SUMIFS($E$2:$E$1130,$A$2:$A$1130,"осень",$I$2:$I$1130,I544)</f>
        <v/>
      </c>
      <c r="N544" s="13">
        <f>SUMIFS($E$2:$E$1130,$A$2:$A$1130,"весна",$I$2:$I$1130,I544)</f>
        <v/>
      </c>
      <c r="O544" s="14">
        <f>M544+N544</f>
        <v/>
      </c>
      <c r="P544" s="15">
        <f>O544/$P$1</f>
        <v/>
      </c>
    </row>
    <row r="545" ht="15.75" customHeight="1" s="2">
      <c r="A545" s="117" t="inlineStr">
        <is>
          <t>осень</t>
        </is>
      </c>
      <c r="B545" s="9" t="inlineStr">
        <is>
          <t>Руководство магистрами</t>
        </is>
      </c>
      <c r="C545" s="9" t="inlineStr">
        <is>
          <t>Руководство магистрами</t>
        </is>
      </c>
      <c r="D545" s="9" t="inlineStr">
        <is>
          <t>Т11О-201М-19</t>
        </is>
      </c>
      <c r="E545" s="10" t="n">
        <v>15</v>
      </c>
      <c r="F545" s="9" t="n"/>
      <c r="G545" s="11" t="n">
        <v>0</v>
      </c>
      <c r="H545" s="9" t="inlineStr">
        <is>
          <t xml:space="preserve">81722     </t>
        </is>
      </c>
      <c r="I545" s="9" t="inlineStr">
        <is>
          <t xml:space="preserve">Шленский Алексей Геннадьевич </t>
        </is>
      </c>
      <c r="J545" s="9" t="inlineStr">
        <is>
          <t>доцент</t>
        </is>
      </c>
      <c r="K545" s="9" t="n"/>
      <c r="L545" s="9" t="n"/>
      <c r="M545" s="12">
        <f>SUMIFS($E$2:$E$1130,$A$2:$A$1130,"осень",$I$2:$I$1130,I545)</f>
        <v/>
      </c>
      <c r="N545" s="13">
        <f>SUMIFS($E$2:$E$1130,$A$2:$A$1130,"весна",$I$2:$I$1130,I545)</f>
        <v/>
      </c>
      <c r="O545" s="14">
        <f>M545+N545</f>
        <v/>
      </c>
      <c r="P545" s="15">
        <f>O545/$P$1</f>
        <v/>
      </c>
    </row>
    <row r="546" ht="15.75" customHeight="1" s="2">
      <c r="A546" s="117" t="inlineStr">
        <is>
          <t>осень</t>
        </is>
      </c>
      <c r="B546" s="21" t="inlineStr">
        <is>
          <t>Руководство магистрами</t>
        </is>
      </c>
      <c r="C546" s="21" t="inlineStr">
        <is>
          <t>Руководство магистрами</t>
        </is>
      </c>
      <c r="D546" s="21" t="inlineStr">
        <is>
          <t>Т11О-202М-19</t>
        </is>
      </c>
      <c r="E546" s="23" t="n">
        <v>15</v>
      </c>
      <c r="F546" s="9" t="n"/>
      <c r="G546" s="11" t="n">
        <v>0</v>
      </c>
      <c r="H546" s="9" t="inlineStr">
        <is>
          <t xml:space="preserve">82061     </t>
        </is>
      </c>
      <c r="I546" s="9" t="inlineStr">
        <is>
          <t xml:space="preserve">Петров Игорь Алексеевич </t>
        </is>
      </c>
      <c r="J546" s="9" t="inlineStr">
        <is>
          <t>доцент</t>
        </is>
      </c>
      <c r="K546" s="26" t="inlineStr">
        <is>
          <t>1 чел</t>
        </is>
      </c>
      <c r="L546" s="9" t="n"/>
      <c r="M546" s="12">
        <f>SUMIFS($E$2:$E$1130,$A$2:$A$1130,"осень",$I$2:$I$1130,I546)</f>
        <v/>
      </c>
      <c r="N546" s="13">
        <f>SUMIFS($E$2:$E$1130,$A$2:$A$1130,"весна",$I$2:$I$1130,I546)</f>
        <v/>
      </c>
      <c r="O546" s="14">
        <f>M546+N546</f>
        <v/>
      </c>
      <c r="P546" s="15">
        <f>O546/$P$1</f>
        <v/>
      </c>
    </row>
    <row r="547" ht="15.75" customHeight="1" s="2">
      <c r="A547" s="117" t="inlineStr">
        <is>
          <t>осень</t>
        </is>
      </c>
      <c r="B547" s="21" t="inlineStr">
        <is>
          <t>Руководство магистрами</t>
        </is>
      </c>
      <c r="C547" s="21" t="inlineStr">
        <is>
          <t>Руководство магистрами</t>
        </is>
      </c>
      <c r="D547" s="21" t="inlineStr">
        <is>
          <t>Т11О-202М-19</t>
        </is>
      </c>
      <c r="E547" s="23" t="n">
        <v>15</v>
      </c>
      <c r="F547" s="9" t="n"/>
      <c r="G547" s="11" t="n">
        <v>0</v>
      </c>
      <c r="H547" s="9" t="inlineStr">
        <is>
          <t xml:space="preserve">82020     </t>
        </is>
      </c>
      <c r="I547" s="9" t="inlineStr">
        <is>
          <t xml:space="preserve">Варфоломеев Максим Сергеевич </t>
        </is>
      </c>
      <c r="J547" s="9" t="n"/>
      <c r="K547" s="26" t="inlineStr">
        <is>
          <t>1 чел</t>
        </is>
      </c>
      <c r="L547" s="9" t="n"/>
      <c r="M547" s="12">
        <f>SUMIFS($E$2:$E$1130,$A$2:$A$1130,"осень",$I$2:$I$1130,I547)</f>
        <v/>
      </c>
      <c r="N547" s="13">
        <f>SUMIFS($E$2:$E$1130,$A$2:$A$1130,"весна",$I$2:$I$1130,I547)</f>
        <v/>
      </c>
      <c r="O547" s="14">
        <f>M547+N547</f>
        <v/>
      </c>
      <c r="P547" s="15">
        <f>O547/$P$1</f>
        <v/>
      </c>
    </row>
    <row r="548" ht="15.75" customHeight="1" s="2">
      <c r="A548" s="117" t="inlineStr">
        <is>
          <t>осень</t>
        </is>
      </c>
      <c r="B548" s="21" t="inlineStr">
        <is>
          <t>Руководство магистрами</t>
        </is>
      </c>
      <c r="C548" s="21" t="inlineStr">
        <is>
          <t>Руководство магистрами</t>
        </is>
      </c>
      <c r="D548" s="21" t="inlineStr">
        <is>
          <t>Т11О-202М-19</t>
        </is>
      </c>
      <c r="E548" s="23" t="n">
        <v>15</v>
      </c>
      <c r="F548" s="9" t="n"/>
      <c r="G548" s="11" t="n">
        <v>0</v>
      </c>
      <c r="H548" s="9" t="n"/>
      <c r="I548" s="9" t="inlineStr">
        <is>
          <t>Бережной Дмитрий Васильевич</t>
        </is>
      </c>
      <c r="J548" s="9" t="inlineStr">
        <is>
          <t>доцент</t>
        </is>
      </c>
      <c r="K548" s="26" t="inlineStr">
        <is>
          <t>1 чел</t>
        </is>
      </c>
      <c r="L548" s="9" t="inlineStr">
        <is>
          <t>кроме одного любого дня и субботы</t>
        </is>
      </c>
      <c r="M548" s="12">
        <f>SUMIFS($E$2:$E$1130,$A$2:$A$1130,"осень",$I$2:$I$1130,I548)</f>
        <v/>
      </c>
      <c r="N548" s="13">
        <f>SUMIFS($E$2:$E$1130,$A$2:$A$1130,"весна",$I$2:$I$1130,I548)</f>
        <v/>
      </c>
      <c r="O548" s="14">
        <f>M548+N548</f>
        <v/>
      </c>
      <c r="P548" s="15">
        <f>O548/$P$1</f>
        <v/>
      </c>
    </row>
    <row r="549" ht="15.75" customHeight="1" s="2">
      <c r="A549" s="117" t="inlineStr">
        <is>
          <t>осень</t>
        </is>
      </c>
      <c r="B549" s="21" t="inlineStr">
        <is>
          <t>Руководство магистрами</t>
        </is>
      </c>
      <c r="C549" s="21" t="inlineStr">
        <is>
          <t>Руководство магистрами</t>
        </is>
      </c>
      <c r="D549" s="21" t="inlineStr">
        <is>
          <t>Т11О-202М-19</t>
        </is>
      </c>
      <c r="E549" s="23" t="n">
        <v>15</v>
      </c>
      <c r="F549" s="9" t="n"/>
      <c r="G549" s="11" t="n">
        <v>0</v>
      </c>
      <c r="H549" s="9" t="inlineStr">
        <is>
          <t xml:space="preserve">89067     </t>
        </is>
      </c>
      <c r="I549" s="9" t="inlineStr">
        <is>
          <t xml:space="preserve">Смыков Андрей Федорович </t>
        </is>
      </c>
      <c r="J549" s="9" t="n"/>
      <c r="K549" s="26" t="inlineStr">
        <is>
          <t>1 чел</t>
        </is>
      </c>
      <c r="L549" s="9" t="inlineStr">
        <is>
          <t>только ПН, ЧТ</t>
        </is>
      </c>
      <c r="M549" s="12">
        <f>SUMIFS($E$2:$E$1130,$A$2:$A$1130,"осень",$I$2:$I$1130,I549)</f>
        <v/>
      </c>
      <c r="N549" s="13">
        <f>SUMIFS($E$2:$E$1130,$A$2:$A$1130,"весна",$I$2:$I$1130,I549)</f>
        <v/>
      </c>
      <c r="O549" s="14">
        <f>M549+N549</f>
        <v/>
      </c>
      <c r="P549" s="15">
        <f>O549/$P$1</f>
        <v/>
      </c>
    </row>
    <row r="550" ht="15.75" customHeight="1" s="2">
      <c r="A550" s="117" t="inlineStr">
        <is>
          <t>осень</t>
        </is>
      </c>
      <c r="B550" s="21" t="inlineStr">
        <is>
          <t>Руководство магистрами</t>
        </is>
      </c>
      <c r="C550" s="21" t="inlineStr">
        <is>
          <t>Руководство магистрами</t>
        </is>
      </c>
      <c r="D550" s="21" t="inlineStr">
        <is>
          <t>Т11О-202М-19</t>
        </is>
      </c>
      <c r="E550" s="23" t="n">
        <v>15</v>
      </c>
      <c r="F550" s="9" t="n"/>
      <c r="G550" s="11" t="n">
        <v>0</v>
      </c>
      <c r="H550" s="9" t="inlineStr">
        <is>
          <t xml:space="preserve">82086     </t>
        </is>
      </c>
      <c r="I550" s="9" t="inlineStr">
        <is>
          <t xml:space="preserve">Ряховский Александр Павлович </t>
        </is>
      </c>
      <c r="J550" s="9" t="n"/>
      <c r="K550" s="26" t="inlineStr">
        <is>
          <t>1 чел</t>
        </is>
      </c>
      <c r="L550" s="9" t="n"/>
      <c r="M550" s="12">
        <f>SUMIFS($E$2:$E$1130,$A$2:$A$1130,"осень",$I$2:$I$1130,I550)</f>
        <v/>
      </c>
      <c r="N550" s="13">
        <f>SUMIFS($E$2:$E$1130,$A$2:$A$1130,"весна",$I$2:$I$1130,I550)</f>
        <v/>
      </c>
      <c r="O550" s="14">
        <f>M550+N550</f>
        <v/>
      </c>
      <c r="P550" s="15">
        <f>O550/$P$1</f>
        <v/>
      </c>
    </row>
    <row r="551" ht="15.75" customHeight="1" s="2">
      <c r="A551" s="117" t="inlineStr">
        <is>
          <t>осень</t>
        </is>
      </c>
      <c r="B551" s="18" t="inlineStr">
        <is>
          <t>Руководство магистрами</t>
        </is>
      </c>
      <c r="C551" s="18" t="inlineStr">
        <is>
          <t>Руководство магистрами</t>
        </is>
      </c>
      <c r="D551" s="18" t="inlineStr">
        <is>
          <t>Т11О-202М-19</t>
        </is>
      </c>
      <c r="E551" s="19" t="n">
        <v>15</v>
      </c>
      <c r="F551" s="18" t="n"/>
      <c r="G551" s="27" t="n">
        <v>0</v>
      </c>
      <c r="H551" s="18" t="inlineStr">
        <is>
          <t xml:space="preserve">82086     </t>
        </is>
      </c>
      <c r="I551" s="20" t="inlineStr">
        <is>
          <t xml:space="preserve">Моисеев Виктор Сергеевич </t>
        </is>
      </c>
      <c r="J551" s="18" t="n"/>
      <c r="K551" s="18" t="n"/>
      <c r="L551" s="28" t="inlineStr">
        <is>
          <t>2 чел отчисление</t>
        </is>
      </c>
      <c r="M551" s="12">
        <f>SUMIFS($E$2:$E$1130,$A$2:$A$1130,"осень",$I$2:$I$1130,I551)</f>
        <v/>
      </c>
      <c r="N551" s="13">
        <f>SUMIFS($E$2:$E$1130,$A$2:$A$1130,"весна",$I$2:$I$1130,I551)</f>
        <v/>
      </c>
      <c r="O551" s="14">
        <f>M551+N551</f>
        <v/>
      </c>
      <c r="P551" s="15">
        <f>O551/$P$1</f>
        <v/>
      </c>
    </row>
    <row r="552" ht="15.75" customHeight="1" s="2">
      <c r="A552" s="117" t="inlineStr">
        <is>
          <t>осень</t>
        </is>
      </c>
      <c r="B552" s="9" t="inlineStr">
        <is>
          <t>Руководство магистрами</t>
        </is>
      </c>
      <c r="C552" s="9" t="inlineStr">
        <is>
          <t>Руководство магистрами</t>
        </is>
      </c>
      <c r="D552" s="9" t="inlineStr">
        <is>
          <t>Т11О-203М-19</t>
        </is>
      </c>
      <c r="E552" s="10" t="n">
        <v>15</v>
      </c>
      <c r="F552" s="9" t="n"/>
      <c r="G552" s="11" t="n">
        <v>0</v>
      </c>
      <c r="H552" s="9" t="inlineStr">
        <is>
          <t xml:space="preserve">82060     </t>
        </is>
      </c>
      <c r="I552" s="9" t="inlineStr">
        <is>
          <t xml:space="preserve">Лозован Александр Александрович </t>
        </is>
      </c>
      <c r="J552" s="9" t="inlineStr">
        <is>
          <t>профессор</t>
        </is>
      </c>
      <c r="K552" s="9" t="n"/>
      <c r="L552" s="9" t="n"/>
      <c r="M552" s="12">
        <f>SUMIFS($E$2:$E$1130,$A$2:$A$1130,"осень",$I$2:$I$1130,I552)</f>
        <v/>
      </c>
      <c r="N552" s="13">
        <f>SUMIFS($E$2:$E$1130,$A$2:$A$1130,"весна",$I$2:$I$1130,I552)</f>
        <v/>
      </c>
      <c r="O552" s="14">
        <f>M552+N552</f>
        <v/>
      </c>
      <c r="P552" s="15">
        <f>O552/$P$1</f>
        <v/>
      </c>
    </row>
    <row r="553" ht="15.75" customHeight="1" s="2">
      <c r="A553" s="117" t="inlineStr">
        <is>
          <t>осень</t>
        </is>
      </c>
      <c r="B553" s="9" t="inlineStr">
        <is>
          <t>Руководство магистрами</t>
        </is>
      </c>
      <c r="C553" s="9" t="inlineStr">
        <is>
          <t>Руководство магистрами</t>
        </is>
      </c>
      <c r="D553" s="9" t="inlineStr">
        <is>
          <t>Т11О-203М-19</t>
        </is>
      </c>
      <c r="E553" s="10" t="n">
        <v>30</v>
      </c>
      <c r="F553" s="9" t="n"/>
      <c r="G553" s="11" t="n">
        <v>0</v>
      </c>
      <c r="H553" s="9" t="inlineStr">
        <is>
          <t xml:space="preserve">82066     </t>
        </is>
      </c>
      <c r="I553" s="9" t="inlineStr">
        <is>
          <t xml:space="preserve">Серов Михаил Михайлович </t>
        </is>
      </c>
      <c r="J553" s="9" t="inlineStr">
        <is>
          <t>профессор</t>
        </is>
      </c>
      <c r="K553" s="9" t="n"/>
      <c r="L553" s="9" t="n"/>
      <c r="M553" s="12">
        <f>SUMIFS($E$2:$E$1130,$A$2:$A$1130,"осень",$I$2:$I$1130,I553)</f>
        <v/>
      </c>
      <c r="N553" s="13">
        <f>SUMIFS($E$2:$E$1130,$A$2:$A$1130,"весна",$I$2:$I$1130,I553)</f>
        <v/>
      </c>
      <c r="O553" s="14">
        <f>M553+N553</f>
        <v/>
      </c>
      <c r="P553" s="15">
        <f>O553/$P$1</f>
        <v/>
      </c>
    </row>
    <row r="554" ht="15.75" customHeight="1" s="2">
      <c r="A554" s="117" t="inlineStr">
        <is>
          <t>осень</t>
        </is>
      </c>
      <c r="B554" s="9" t="inlineStr">
        <is>
          <t>Руководство магистрами</t>
        </is>
      </c>
      <c r="C554" s="9" t="inlineStr">
        <is>
          <t>Руководство магистрами</t>
        </is>
      </c>
      <c r="D554" s="9" t="inlineStr">
        <is>
          <t>Т11О-203М-19</t>
        </is>
      </c>
      <c r="E554" s="10" t="n">
        <v>15</v>
      </c>
      <c r="F554" s="9" t="n"/>
      <c r="G554" s="11" t="n">
        <v>0</v>
      </c>
      <c r="H554" s="9" t="inlineStr">
        <is>
          <t xml:space="preserve">87438     </t>
        </is>
      </c>
      <c r="I554" s="9" t="inlineStr">
        <is>
          <t xml:space="preserve">Конкевич Валентин Юрьевич </t>
        </is>
      </c>
      <c r="J554" s="9" t="n"/>
      <c r="K554" s="9" t="n"/>
      <c r="L554" s="9" t="n"/>
      <c r="M554" s="12">
        <f>SUMIFS($E$2:$E$1130,$A$2:$A$1130,"осень",$I$2:$I$1130,I554)</f>
        <v/>
      </c>
      <c r="N554" s="13">
        <f>SUMIFS($E$2:$E$1130,$A$2:$A$1130,"весна",$I$2:$I$1130,I554)</f>
        <v/>
      </c>
      <c r="O554" s="14">
        <f>M554+N554</f>
        <v/>
      </c>
      <c r="P554" s="15">
        <f>O554/$P$1</f>
        <v/>
      </c>
    </row>
    <row r="555" ht="15.75" customHeight="1" s="2">
      <c r="A555" s="117" t="inlineStr">
        <is>
          <t>осень</t>
        </is>
      </c>
      <c r="B555" s="9" t="inlineStr">
        <is>
          <t>Руководство магистрами</t>
        </is>
      </c>
      <c r="C555" s="9" t="inlineStr">
        <is>
          <t>Руководство магистрами</t>
        </is>
      </c>
      <c r="D555" s="9" t="inlineStr">
        <is>
          <t>Т11О-203М-19</t>
        </is>
      </c>
      <c r="E555" s="10" t="n">
        <v>15</v>
      </c>
      <c r="F555" s="9" t="n"/>
      <c r="G555" s="11" t="n">
        <v>0</v>
      </c>
      <c r="H555" s="9" t="inlineStr">
        <is>
          <t xml:space="preserve">92509     </t>
        </is>
      </c>
      <c r="I555" s="9" t="inlineStr">
        <is>
          <t xml:space="preserve">Пашков Игорь Николаевич </t>
        </is>
      </c>
      <c r="J555" s="9" t="n"/>
      <c r="K555" s="9" t="n"/>
      <c r="L555" s="9" t="n"/>
      <c r="M555" s="12">
        <f>SUMIFS($E$2:$E$1130,$A$2:$A$1130,"осень",$I$2:$I$1130,I555)</f>
        <v/>
      </c>
      <c r="N555" s="13">
        <f>SUMIFS($E$2:$E$1130,$A$2:$A$1130,"весна",$I$2:$I$1130,I555)</f>
        <v/>
      </c>
      <c r="O555" s="14">
        <f>M555+N555</f>
        <v/>
      </c>
      <c r="P555" s="15">
        <f>O555/$P$1</f>
        <v/>
      </c>
    </row>
    <row r="556" ht="15.75" customHeight="1" s="2">
      <c r="A556" s="117" t="inlineStr">
        <is>
          <t>осень</t>
        </is>
      </c>
      <c r="B556" s="18" t="inlineStr">
        <is>
          <t>Руководство магистрами</t>
        </is>
      </c>
      <c r="C556" s="18" t="inlineStr">
        <is>
          <t>Руководство магистрами</t>
        </is>
      </c>
      <c r="D556" s="18" t="inlineStr">
        <is>
          <t>Т11О-203М-19</t>
        </is>
      </c>
      <c r="E556" s="19" t="n">
        <v>30</v>
      </c>
      <c r="F556" s="18" t="n"/>
      <c r="G556" s="27" t="n">
        <v>0</v>
      </c>
      <c r="H556" s="18" t="inlineStr">
        <is>
          <t xml:space="preserve">93685     </t>
        </is>
      </c>
      <c r="I556" s="30" t="inlineStr">
        <is>
          <t xml:space="preserve">Лозован Александр Александрович </t>
        </is>
      </c>
      <c r="J556" s="18" t="n"/>
      <c r="K556" s="18" t="n"/>
      <c r="L556" s="28" t="inlineStr">
        <is>
          <t>2 чел отчисление</t>
        </is>
      </c>
      <c r="M556" s="12">
        <f>SUMIFS($E$2:$E$1130,$A$2:$A$1130,"осень",$I$2:$I$1130,I556)</f>
        <v/>
      </c>
      <c r="N556" s="13">
        <f>SUMIFS($E$2:$E$1130,$A$2:$A$1130,"весна",$I$2:$I$1130,I556)</f>
        <v/>
      </c>
      <c r="O556" s="14">
        <f>M556+N556</f>
        <v/>
      </c>
      <c r="P556" s="15">
        <f>O556/$P$1</f>
        <v/>
      </c>
    </row>
    <row r="557" ht="15.75" customHeight="1" s="2">
      <c r="A557" s="117" t="inlineStr">
        <is>
          <t>осень</t>
        </is>
      </c>
      <c r="B557" s="21" t="inlineStr">
        <is>
          <t>Руководство магистрами</t>
        </is>
      </c>
      <c r="C557" s="21" t="inlineStr">
        <is>
          <t>Руководство магистрами</t>
        </is>
      </c>
      <c r="D557" s="21" t="inlineStr">
        <is>
          <t>Т11О-204М-19</t>
        </is>
      </c>
      <c r="E557" s="23" t="n">
        <v>45</v>
      </c>
      <c r="F557" s="9" t="n"/>
      <c r="G557" s="11" t="n">
        <v>0</v>
      </c>
      <c r="H557" s="9" t="inlineStr">
        <is>
          <t xml:space="preserve">82056     </t>
        </is>
      </c>
      <c r="I557" s="9" t="inlineStr">
        <is>
          <t xml:space="preserve">Никитина Елена Владимировна </t>
        </is>
      </c>
      <c r="J557" s="9" t="n"/>
      <c r="K557" s="9" t="inlineStr">
        <is>
          <t>3 чел</t>
        </is>
      </c>
      <c r="L557" s="9" t="inlineStr">
        <is>
          <t>пн-пт с 13:00</t>
        </is>
      </c>
      <c r="M557" s="12">
        <f>SUMIFS($E$2:$E$1130,$A$2:$A$1130,"осень",$I$2:$I$1130,I557)</f>
        <v/>
      </c>
      <c r="N557" s="13">
        <f>SUMIFS($E$2:$E$1130,$A$2:$A$1130,"весна",$I$2:$I$1130,I557)</f>
        <v/>
      </c>
      <c r="O557" s="14">
        <f>M557+N557</f>
        <v/>
      </c>
      <c r="P557" s="15">
        <f>O557/$P$1</f>
        <v/>
      </c>
    </row>
    <row r="558" ht="15.75" customHeight="1" s="2">
      <c r="A558" s="117" t="inlineStr">
        <is>
          <t>осень</t>
        </is>
      </c>
      <c r="B558" s="21" t="inlineStr">
        <is>
          <t>Руководство магистрами</t>
        </is>
      </c>
      <c r="C558" s="21" t="inlineStr">
        <is>
          <t>Руководство магистрами</t>
        </is>
      </c>
      <c r="D558" s="21" t="inlineStr">
        <is>
          <t>Т11О-204М-19</t>
        </is>
      </c>
      <c r="E558" s="23" t="n">
        <v>30</v>
      </c>
      <c r="F558" s="9" t="n"/>
      <c r="G558" s="11" t="n">
        <v>0</v>
      </c>
      <c r="H558" s="9" t="inlineStr">
        <is>
          <t xml:space="preserve">87438     </t>
        </is>
      </c>
      <c r="I558" s="9" t="inlineStr">
        <is>
          <t xml:space="preserve">Конкевич Валентин Юрьевич </t>
        </is>
      </c>
      <c r="J558" s="9" t="n"/>
      <c r="K558" s="9" t="inlineStr">
        <is>
          <t>2 чел</t>
        </is>
      </c>
      <c r="L558" s="9" t="n"/>
      <c r="M558" s="12">
        <f>SUMIFS($E$2:$E$1130,$A$2:$A$1130,"осень",$I$2:$I$1130,I558)</f>
        <v/>
      </c>
      <c r="N558" s="13">
        <f>SUMIFS($E$2:$E$1130,$A$2:$A$1130,"весна",$I$2:$I$1130,I558)</f>
        <v/>
      </c>
      <c r="O558" s="14">
        <f>M558+N558</f>
        <v/>
      </c>
      <c r="P558" s="15">
        <f>O558/$P$1</f>
        <v/>
      </c>
    </row>
    <row r="559" ht="15.75" customHeight="1" s="2">
      <c r="A559" s="117" t="inlineStr">
        <is>
          <t>осень</t>
        </is>
      </c>
      <c r="B559" s="21" t="inlineStr">
        <is>
          <t>Руководство магистрами</t>
        </is>
      </c>
      <c r="C559" s="21" t="inlineStr">
        <is>
          <t>Руководство магистрами</t>
        </is>
      </c>
      <c r="D559" s="21" t="inlineStr">
        <is>
          <t>Т11О-204М-19</t>
        </is>
      </c>
      <c r="E559" s="23" t="n">
        <v>30</v>
      </c>
      <c r="F559" s="9" t="n"/>
      <c r="G559" s="11" t="n">
        <v>0</v>
      </c>
      <c r="H559" s="9" t="inlineStr">
        <is>
          <t xml:space="preserve">82023     </t>
        </is>
      </c>
      <c r="I559" s="9" t="inlineStr">
        <is>
          <t xml:space="preserve">Федоров Сергей Александрович </t>
        </is>
      </c>
      <c r="J559" s="9" t="n"/>
      <c r="K559" s="9" t="inlineStr">
        <is>
          <t>2 чел</t>
        </is>
      </c>
      <c r="L559" s="9" t="n"/>
      <c r="M559" s="12">
        <f>SUMIFS($E$2:$E$1130,$A$2:$A$1130,"осень",$I$2:$I$1130,I559)</f>
        <v/>
      </c>
      <c r="N559" s="13">
        <f>SUMIFS($E$2:$E$1130,$A$2:$A$1130,"весна",$I$2:$I$1130,I559)</f>
        <v/>
      </c>
      <c r="O559" s="14">
        <f>M559+N559</f>
        <v/>
      </c>
      <c r="P559" s="15">
        <f>O559/$P$1</f>
        <v/>
      </c>
    </row>
    <row r="560" ht="15.75" customHeight="1" s="2">
      <c r="A560" s="117" t="inlineStr">
        <is>
          <t>осень</t>
        </is>
      </c>
      <c r="B560" s="21" t="inlineStr">
        <is>
          <t>Руководство магистрами</t>
        </is>
      </c>
      <c r="C560" s="21" t="inlineStr">
        <is>
          <t>Руководство магистрами</t>
        </is>
      </c>
      <c r="D560" s="21" t="inlineStr">
        <is>
          <t>Т11О-204М-19</t>
        </is>
      </c>
      <c r="E560" s="23" t="n">
        <v>30</v>
      </c>
      <c r="F560" s="9" t="n"/>
      <c r="G560" s="11" t="n">
        <v>0</v>
      </c>
      <c r="H560" s="9" t="inlineStr">
        <is>
          <t xml:space="preserve">92509     </t>
        </is>
      </c>
      <c r="I560" s="9" t="inlineStr">
        <is>
          <t xml:space="preserve">Пашков Игорь Николаевич </t>
        </is>
      </c>
      <c r="J560" s="9" t="n"/>
      <c r="K560" s="9" t="inlineStr">
        <is>
          <t>2 чел</t>
        </is>
      </c>
      <c r="L560" s="9" t="n"/>
      <c r="M560" s="12">
        <f>SUMIFS($E$2:$E$1130,$A$2:$A$1130,"осень",$I$2:$I$1130,I560)</f>
        <v/>
      </c>
      <c r="N560" s="13">
        <f>SUMIFS($E$2:$E$1130,$A$2:$A$1130,"весна",$I$2:$I$1130,I560)</f>
        <v/>
      </c>
      <c r="O560" s="14">
        <f>M560+N560</f>
        <v/>
      </c>
      <c r="P560" s="15">
        <f>O560/$P$1</f>
        <v/>
      </c>
    </row>
    <row r="561" ht="15.75" customHeight="1" s="2">
      <c r="A561" s="117" t="inlineStr">
        <is>
          <t>осень</t>
        </is>
      </c>
      <c r="B561" s="9" t="inlineStr">
        <is>
          <t>Руководство аспирантами</t>
        </is>
      </c>
      <c r="C561" s="9" t="inlineStr">
        <is>
          <t>Руководство аспирантами</t>
        </is>
      </c>
      <c r="D561" s="9" t="inlineStr">
        <is>
          <t>Т11О-107А-20</t>
        </is>
      </c>
      <c r="E561" s="10" t="n">
        <v>50</v>
      </c>
      <c r="F561" s="9" t="n"/>
      <c r="G561" s="11" t="n">
        <v>0</v>
      </c>
      <c r="H561" s="9" t="inlineStr">
        <is>
          <t xml:space="preserve">82060     </t>
        </is>
      </c>
      <c r="I561" s="9" t="inlineStr">
        <is>
          <t xml:space="preserve">Лозован Александр Александрович </t>
        </is>
      </c>
      <c r="J561" s="9" t="inlineStr">
        <is>
          <t>профессор</t>
        </is>
      </c>
      <c r="K561" s="9" t="n"/>
      <c r="L561" s="9" t="inlineStr">
        <is>
          <t>Жуковский+Митрофанов</t>
        </is>
      </c>
      <c r="M561" s="12">
        <f>SUMIFS($E$2:$E$1130,$A$2:$A$1130,"осень",$I$2:$I$1130,I561)</f>
        <v/>
      </c>
      <c r="N561" s="13">
        <f>SUMIFS($E$2:$E$1130,$A$2:$A$1130,"весна",$I$2:$I$1130,I561)</f>
        <v/>
      </c>
      <c r="O561" s="14">
        <f>M561+N561</f>
        <v/>
      </c>
      <c r="P561" s="15">
        <f>O561/$P$1</f>
        <v/>
      </c>
    </row>
    <row r="562" ht="15.75" customHeight="1" s="2">
      <c r="A562" s="117" t="inlineStr">
        <is>
          <t>осень</t>
        </is>
      </c>
      <c r="B562" s="9" t="inlineStr">
        <is>
          <t>Руководство аспирантами</t>
        </is>
      </c>
      <c r="C562" s="9" t="inlineStr">
        <is>
          <t>Руководство аспирантами</t>
        </is>
      </c>
      <c r="D562" s="9" t="inlineStr">
        <is>
          <t>Т1О-310А-18</t>
        </is>
      </c>
      <c r="E562" s="10" t="n">
        <v>25</v>
      </c>
      <c r="F562" s="9" t="n"/>
      <c r="G562" s="11" t="n">
        <v>0</v>
      </c>
      <c r="H562" s="9" t="inlineStr">
        <is>
          <t xml:space="preserve">81732     </t>
        </is>
      </c>
      <c r="I562" s="9" t="inlineStr">
        <is>
          <t xml:space="preserve">Петров Анатолий Павлович </t>
        </is>
      </c>
      <c r="J562" s="9" t="inlineStr">
        <is>
          <t>профессор</t>
        </is>
      </c>
      <c r="K562" s="9" t="n"/>
      <c r="L562" s="9" t="inlineStr">
        <is>
          <t>Захарова (Борунова) Татьяна Ивановна</t>
        </is>
      </c>
      <c r="M562" s="12">
        <f>SUMIFS($E$2:$E$1130,$A$2:$A$1130,"осень",$I$2:$I$1130,I562)</f>
        <v/>
      </c>
      <c r="N562" s="13">
        <f>SUMIFS($E$2:$E$1130,$A$2:$A$1130,"весна",$I$2:$I$1130,I562)</f>
        <v/>
      </c>
      <c r="O562" s="14">
        <f>M562+N562</f>
        <v/>
      </c>
      <c r="P562" s="15">
        <f>O562/$P$1</f>
        <v/>
      </c>
    </row>
    <row r="563" ht="15.75" customHeight="1" s="2">
      <c r="A563" s="117" t="inlineStr">
        <is>
          <t>осень</t>
        </is>
      </c>
      <c r="B563" s="9" t="inlineStr">
        <is>
          <t>Руководство аспирантами</t>
        </is>
      </c>
      <c r="C563" s="9" t="inlineStr">
        <is>
          <t>Руководство аспирантами</t>
        </is>
      </c>
      <c r="D563" s="9" t="inlineStr">
        <is>
          <t>Т1О-402А-17</t>
        </is>
      </c>
      <c r="E563" s="10" t="n">
        <v>50</v>
      </c>
      <c r="F563" s="9" t="n"/>
      <c r="G563" s="11" t="n">
        <v>0</v>
      </c>
      <c r="H563" s="9" t="inlineStr">
        <is>
          <t xml:space="preserve">92509     </t>
        </is>
      </c>
      <c r="I563" s="9" t="inlineStr">
        <is>
          <t xml:space="preserve">Пашков Игорь Николаевич </t>
        </is>
      </c>
      <c r="J563" s="9" t="n"/>
      <c r="K563" s="9" t="n"/>
      <c r="L563" s="9" t="inlineStr">
        <is>
          <t>Морозов Шаргаев</t>
        </is>
      </c>
      <c r="M563" s="12">
        <f>SUMIFS($E$2:$E$1130,$A$2:$A$1130,"осень",$I$2:$I$1130,I563)</f>
        <v/>
      </c>
      <c r="N563" s="13">
        <f>SUMIFS($E$2:$E$1130,$A$2:$A$1130,"весна",$I$2:$I$1130,I563)</f>
        <v/>
      </c>
      <c r="O563" s="14">
        <f>M563+N563</f>
        <v/>
      </c>
      <c r="P563" s="15">
        <f>O563/$P$1</f>
        <v/>
      </c>
    </row>
    <row r="564" ht="15.75" customHeight="1" s="2">
      <c r="A564" s="117" t="inlineStr">
        <is>
          <t>осень</t>
        </is>
      </c>
      <c r="B564" s="9" t="inlineStr">
        <is>
          <t>Руководство аспирантами</t>
        </is>
      </c>
      <c r="C564" s="9" t="inlineStr">
        <is>
          <t>Руководство аспирантами</t>
        </is>
      </c>
      <c r="D564" s="9" t="inlineStr">
        <is>
          <t>Т1О-407А-17</t>
        </is>
      </c>
      <c r="E564" s="10" t="n">
        <v>25</v>
      </c>
      <c r="F564" s="9" t="n"/>
      <c r="G564" s="11" t="n">
        <v>0</v>
      </c>
      <c r="H564" s="9" t="inlineStr">
        <is>
          <t xml:space="preserve">82060     </t>
        </is>
      </c>
      <c r="I564" s="9" t="inlineStr">
        <is>
          <t xml:space="preserve">Лозован Александр Александрович </t>
        </is>
      </c>
      <c r="J564" s="9" t="inlineStr">
        <is>
          <t>профессор</t>
        </is>
      </c>
      <c r="K564" s="9" t="n"/>
      <c r="L564" s="9" t="inlineStr">
        <is>
          <t>Павлов</t>
        </is>
      </c>
      <c r="M564" s="12">
        <f>SUMIFS($E$2:$E$1130,$A$2:$A$1130,"осень",$I$2:$I$1130,I564)</f>
        <v/>
      </c>
      <c r="N564" s="13">
        <f>SUMIFS($E$2:$E$1130,$A$2:$A$1130,"весна",$I$2:$I$1130,I564)</f>
        <v/>
      </c>
      <c r="O564" s="14">
        <f>M564+N564</f>
        <v/>
      </c>
      <c r="P564" s="15">
        <f>O564/$P$1</f>
        <v/>
      </c>
    </row>
    <row r="565" ht="15.75" customHeight="1" s="2">
      <c r="A565" s="117" t="inlineStr">
        <is>
          <t>осень</t>
        </is>
      </c>
      <c r="B565" s="9" t="inlineStr">
        <is>
          <t>Руководство аспирантами</t>
        </is>
      </c>
      <c r="C565" s="9" t="inlineStr">
        <is>
          <t>Руководство аспирантами</t>
        </is>
      </c>
      <c r="D565" s="9" t="inlineStr">
        <is>
          <t>Т11О-302А-18</t>
        </is>
      </c>
      <c r="E565" s="10" t="n">
        <v>25</v>
      </c>
      <c r="F565" s="9" t="n"/>
      <c r="G565" s="11" t="n">
        <v>0</v>
      </c>
      <c r="H565" s="9" t="inlineStr">
        <is>
          <t xml:space="preserve">92509     </t>
        </is>
      </c>
      <c r="I565" s="9" t="inlineStr">
        <is>
          <t xml:space="preserve">Пашков Игорь Николаевич </t>
        </is>
      </c>
      <c r="J565" s="9" t="n"/>
      <c r="K565" s="9" t="n"/>
      <c r="L565" s="9" t="inlineStr">
        <is>
          <t>Мисников Валерий Евгеньевич</t>
        </is>
      </c>
      <c r="M565" s="12">
        <f>SUMIFS($E$2:$E$1130,$A$2:$A$1130,"осень",$I$2:$I$1130,I565)</f>
        <v/>
      </c>
      <c r="N565" s="13">
        <f>SUMIFS($E$2:$E$1130,$A$2:$A$1130,"весна",$I$2:$I$1130,I565)</f>
        <v/>
      </c>
      <c r="O565" s="14">
        <f>M565+N565</f>
        <v/>
      </c>
      <c r="P565" s="15">
        <f>O565/$P$1</f>
        <v/>
      </c>
    </row>
    <row r="566" ht="15.75" customHeight="1" s="2">
      <c r="A566" s="117" t="inlineStr">
        <is>
          <t>осень</t>
        </is>
      </c>
      <c r="B566" s="9" t="inlineStr">
        <is>
          <t>Руководство аспирантами</t>
        </is>
      </c>
      <c r="C566" s="9" t="inlineStr">
        <is>
          <t>Руководство аспирантами</t>
        </is>
      </c>
      <c r="D566" s="9" t="inlineStr">
        <is>
          <t>Т11О-307А-18</t>
        </is>
      </c>
      <c r="E566" s="10" t="n">
        <v>75</v>
      </c>
      <c r="F566" s="9" t="n"/>
      <c r="G566" s="11" t="n">
        <v>0</v>
      </c>
      <c r="H566" s="9" t="inlineStr">
        <is>
          <t xml:space="preserve">82060     </t>
        </is>
      </c>
      <c r="I566" s="9" t="inlineStr">
        <is>
          <t xml:space="preserve">Лозован Александр Александрович </t>
        </is>
      </c>
      <c r="J566" s="9" t="inlineStr">
        <is>
          <t>профессор</t>
        </is>
      </c>
      <c r="K566" s="9" t="n"/>
      <c r="L566" s="9" t="inlineStr">
        <is>
          <t>Быкадоров Кубатина Иванов</t>
        </is>
      </c>
      <c r="M566" s="12">
        <f>SUMIFS($E$2:$E$1130,$A$2:$A$1130,"осень",$I$2:$I$1130,I566)</f>
        <v/>
      </c>
      <c r="N566" s="13">
        <f>SUMIFS($E$2:$E$1130,$A$2:$A$1130,"весна",$I$2:$I$1130,I566)</f>
        <v/>
      </c>
      <c r="O566" s="14">
        <f>M566+N566</f>
        <v/>
      </c>
      <c r="P566" s="15">
        <f>O566/$P$1</f>
        <v/>
      </c>
    </row>
    <row r="567" ht="15.75" customHeight="1" s="2">
      <c r="A567" s="117" t="inlineStr">
        <is>
          <t>осень</t>
        </is>
      </c>
      <c r="B567" s="9" t="inlineStr">
        <is>
          <t>Руководство аспирантами</t>
        </is>
      </c>
      <c r="C567" s="9" t="inlineStr">
        <is>
          <t>Руководство аспирантами</t>
        </is>
      </c>
      <c r="D567" s="9" t="inlineStr">
        <is>
          <t>Т11О-202А-19</t>
        </is>
      </c>
      <c r="E567" s="10" t="n">
        <v>25</v>
      </c>
      <c r="F567" s="9" t="n"/>
      <c r="G567" s="11" t="n">
        <v>0</v>
      </c>
      <c r="H567" s="9" t="inlineStr">
        <is>
          <t xml:space="preserve">92509     </t>
        </is>
      </c>
      <c r="I567" s="9" t="inlineStr">
        <is>
          <t xml:space="preserve">Пашков Игорь Николаевич </t>
        </is>
      </c>
      <c r="J567" s="9" t="n"/>
      <c r="K567" s="9" t="n"/>
      <c r="L567" s="9" t="inlineStr">
        <is>
          <t>Степанов Максим Александрович</t>
        </is>
      </c>
      <c r="M567" s="12">
        <f>SUMIFS($E$2:$E$1130,$A$2:$A$1130,"осень",$I$2:$I$1130,I567)</f>
        <v/>
      </c>
      <c r="N567" s="13">
        <f>SUMIFS($E$2:$E$1130,$A$2:$A$1130,"весна",$I$2:$I$1130,I567)</f>
        <v/>
      </c>
      <c r="O567" s="14">
        <f>M567+N567</f>
        <v/>
      </c>
      <c r="P567" s="15">
        <f>O567/$P$1</f>
        <v/>
      </c>
    </row>
    <row r="568" ht="15.75" customHeight="1" s="2">
      <c r="A568" s="117" t="inlineStr">
        <is>
          <t>осень</t>
        </is>
      </c>
      <c r="B568" s="9" t="inlineStr">
        <is>
          <t>Руководство аспирантами</t>
        </is>
      </c>
      <c r="C568" s="9" t="inlineStr">
        <is>
          <t>Руководство аспирантами</t>
        </is>
      </c>
      <c r="D568" s="9" t="inlineStr">
        <is>
          <t>Т11О-207А-19</t>
        </is>
      </c>
      <c r="E568" s="10" t="n">
        <v>25</v>
      </c>
      <c r="F568" s="9" t="n"/>
      <c r="G568" s="11" t="n">
        <v>0</v>
      </c>
      <c r="H568" s="9" t="inlineStr">
        <is>
          <t xml:space="preserve">82060     </t>
        </is>
      </c>
      <c r="I568" s="9" t="inlineStr">
        <is>
          <t xml:space="preserve">Лозован Александр Александрович </t>
        </is>
      </c>
      <c r="J568" s="9" t="inlineStr">
        <is>
          <t>профессор</t>
        </is>
      </c>
      <c r="K568" s="9" t="n"/>
      <c r="L568" s="9" t="inlineStr">
        <is>
          <t>Козлов</t>
        </is>
      </c>
      <c r="M568" s="12">
        <f>SUMIFS($E$2:$E$1130,$A$2:$A$1130,"осень",$I$2:$I$1130,I568)</f>
        <v/>
      </c>
      <c r="N568" s="13">
        <f>SUMIFS($E$2:$E$1130,$A$2:$A$1130,"весна",$I$2:$I$1130,I568)</f>
        <v/>
      </c>
      <c r="O568" s="14">
        <f>M568+N568</f>
        <v/>
      </c>
      <c r="P568" s="15">
        <f>O568/$P$1</f>
        <v/>
      </c>
    </row>
    <row r="569" ht="15.75" customHeight="1" s="2">
      <c r="A569" s="117" t="inlineStr">
        <is>
          <t>осень</t>
        </is>
      </c>
      <c r="B569" s="9" t="inlineStr">
        <is>
          <t>Руководство аспирантами</t>
        </is>
      </c>
      <c r="C569" s="9" t="inlineStr">
        <is>
          <t>Руководство аспирантами</t>
        </is>
      </c>
      <c r="D569" s="9" t="inlineStr">
        <is>
          <t>Т11О-207А-19</t>
        </is>
      </c>
      <c r="E569" s="10" t="n">
        <v>50</v>
      </c>
      <c r="F569" s="9" t="n"/>
      <c r="G569" s="11" t="n">
        <v>0</v>
      </c>
      <c r="H569" s="9" t="inlineStr">
        <is>
          <t xml:space="preserve">82066     </t>
        </is>
      </c>
      <c r="I569" s="9" t="inlineStr">
        <is>
          <t xml:space="preserve">Серов Михаил Михайлович </t>
        </is>
      </c>
      <c r="J569" s="9" t="inlineStr">
        <is>
          <t>профессор</t>
        </is>
      </c>
      <c r="K569" s="9" t="n"/>
      <c r="L569" s="9" t="inlineStr">
        <is>
          <t>Патрушев Ярошенко</t>
        </is>
      </c>
      <c r="M569" s="12">
        <f>SUMIFS($E$2:$E$1130,$A$2:$A$1130,"осень",$I$2:$I$1130,I569)</f>
        <v/>
      </c>
      <c r="N569" s="13">
        <f>SUMIFS($E$2:$E$1130,$A$2:$A$1130,"весна",$I$2:$I$1130,I569)</f>
        <v/>
      </c>
      <c r="O569" s="14">
        <f>M569+N569</f>
        <v/>
      </c>
      <c r="P569" s="15">
        <f>O569/$P$1</f>
        <v/>
      </c>
    </row>
    <row r="570" ht="15.75" customHeight="1" s="2">
      <c r="A570" s="32" t="inlineStr">
        <is>
          <t>весна</t>
        </is>
      </c>
      <c r="B570" s="9" t="inlineStr">
        <is>
          <t>ИДПО</t>
        </is>
      </c>
      <c r="C570" s="9" t="inlineStr">
        <is>
          <t>ИДПО</t>
        </is>
      </c>
      <c r="D570" s="9" t="n"/>
      <c r="E570" s="10" t="n">
        <v>75</v>
      </c>
      <c r="F570" s="9" t="n"/>
      <c r="G570" s="11" t="n">
        <v>0</v>
      </c>
      <c r="H570" s="9" t="inlineStr">
        <is>
          <t xml:space="preserve">89067     </t>
        </is>
      </c>
      <c r="I570" s="9" t="inlineStr">
        <is>
          <t xml:space="preserve">Ряховский Александр Павлович </t>
        </is>
      </c>
      <c r="J570" s="9" t="inlineStr">
        <is>
          <t>доцент</t>
        </is>
      </c>
      <c r="K570" s="9" t="n"/>
      <c r="L570" s="9" t="n"/>
      <c r="M570" s="12">
        <f>SUMIFS($E$2:$E$1130,$A$2:$A$1130,"осень",$I$2:$I$1130,I570)</f>
        <v/>
      </c>
      <c r="N570" s="13">
        <f>SUMIFS($E$2:$E$1130,$A$2:$A$1130,"весна",$I$2:$I$1130,I570)</f>
        <v/>
      </c>
      <c r="O570" s="14">
        <f>M570+N570</f>
        <v/>
      </c>
      <c r="P570" s="15">
        <f>O570/$P$1</f>
        <v/>
      </c>
    </row>
    <row r="571" ht="15.75" customHeight="1" s="2">
      <c r="A571" s="32" t="inlineStr">
        <is>
          <t>весна</t>
        </is>
      </c>
      <c r="B571" s="9" t="inlineStr">
        <is>
          <t>ИДПО</t>
        </is>
      </c>
      <c r="C571" s="9" t="inlineStr">
        <is>
          <t>ИДПО</t>
        </is>
      </c>
      <c r="D571" s="9" t="n"/>
      <c r="E571" s="10" t="n">
        <v>25</v>
      </c>
      <c r="F571" s="9" t="n"/>
      <c r="G571" s="11" t="n">
        <v>0</v>
      </c>
      <c r="H571" s="9" t="inlineStr">
        <is>
          <t xml:space="preserve">82026     </t>
        </is>
      </c>
      <c r="I571" s="9" t="inlineStr">
        <is>
          <t xml:space="preserve">Александрова Светлана Сергеевна </t>
        </is>
      </c>
      <c r="J571" s="9" t="inlineStr">
        <is>
          <t>доцент</t>
        </is>
      </c>
      <c r="K571" s="9" t="n"/>
      <c r="L571" s="9" t="n"/>
      <c r="M571" s="12">
        <f>SUMIFS($E$2:$E$1130,$A$2:$A$1130,"осень",$I$2:$I$1130,I571)</f>
        <v/>
      </c>
      <c r="N571" s="13">
        <f>SUMIFS($E$2:$E$1130,$A$2:$A$1130,"весна",$I$2:$I$1130,I571)</f>
        <v/>
      </c>
      <c r="O571" s="14">
        <f>M571+N571</f>
        <v/>
      </c>
      <c r="P571" s="15">
        <f>O571/$P$1</f>
        <v/>
      </c>
    </row>
    <row r="572" ht="15.75" customHeight="1" s="2">
      <c r="A572" s="32" t="inlineStr">
        <is>
          <t>весна</t>
        </is>
      </c>
      <c r="B572" s="9" t="inlineStr">
        <is>
          <t>ИДПО</t>
        </is>
      </c>
      <c r="C572" s="9" t="inlineStr">
        <is>
          <t>ИДПО</t>
        </is>
      </c>
      <c r="D572" s="9" t="n"/>
      <c r="E572" s="10" t="n">
        <v>50</v>
      </c>
      <c r="F572" s="9" t="n"/>
      <c r="G572" s="11" t="n">
        <v>0</v>
      </c>
      <c r="H572" s="9" t="inlineStr">
        <is>
          <t xml:space="preserve">82020     </t>
        </is>
      </c>
      <c r="I572" s="9" t="inlineStr">
        <is>
          <t xml:space="preserve">Варфоломеев Максим Сергеевич </t>
        </is>
      </c>
      <c r="J572" s="9" t="inlineStr">
        <is>
          <t>доцент</t>
        </is>
      </c>
      <c r="K572" s="9" t="n"/>
      <c r="L572" s="9" t="n"/>
      <c r="M572" s="12">
        <f>SUMIFS($E$2:$E$1130,$A$2:$A$1130,"осень",$I$2:$I$1130,I572)</f>
        <v/>
      </c>
      <c r="N572" s="13">
        <f>SUMIFS($E$2:$E$1130,$A$2:$A$1130,"весна",$I$2:$I$1130,I572)</f>
        <v/>
      </c>
      <c r="O572" s="14">
        <f>M572+N572</f>
        <v/>
      </c>
      <c r="P572" s="15">
        <f>O572/$P$1</f>
        <v/>
      </c>
    </row>
    <row r="573" ht="15.75" customHeight="1" s="2">
      <c r="A573" s="32" t="inlineStr">
        <is>
          <t>весна</t>
        </is>
      </c>
      <c r="B573" s="9" t="inlineStr">
        <is>
          <t>Руководство кафедрой</t>
        </is>
      </c>
      <c r="C573" s="9" t="inlineStr">
        <is>
          <t>Руководство кафедрой</t>
        </is>
      </c>
      <c r="D573" s="9" t="n"/>
      <c r="E573" s="10" t="n">
        <v>30</v>
      </c>
      <c r="F573" s="9" t="n"/>
      <c r="G573" s="11" t="n">
        <v>0</v>
      </c>
      <c r="H573" s="9" t="inlineStr">
        <is>
          <t xml:space="preserve">82061     </t>
        </is>
      </c>
      <c r="I573" s="9" t="inlineStr">
        <is>
          <t xml:space="preserve">Моисеев Виктор Сергеевич </t>
        </is>
      </c>
      <c r="J573" s="9" t="n"/>
      <c r="K573" s="9" t="n"/>
      <c r="L573" s="9" t="n"/>
      <c r="M573" s="12">
        <f>SUMIFS($E$2:$E$1130,$A$2:$A$1130,"осень",$I$2:$I$1130,I573)</f>
        <v/>
      </c>
      <c r="N573" s="13">
        <f>SUMIFS($E$2:$E$1130,$A$2:$A$1130,"весна",$I$2:$I$1130,I573)</f>
        <v/>
      </c>
      <c r="O573" s="14">
        <f>M573+N573</f>
        <v/>
      </c>
      <c r="P573" s="15">
        <f>O573/$P$1</f>
        <v/>
      </c>
    </row>
    <row r="574" ht="15.75" customHeight="1" s="2">
      <c r="A574" s="32" t="inlineStr">
        <is>
          <t>весна</t>
        </is>
      </c>
      <c r="B574" s="9" t="inlineStr">
        <is>
          <t>Информационные технологии в ОМД</t>
        </is>
      </c>
      <c r="C574" s="9" t="inlineStr">
        <is>
          <t>ЛК</t>
        </is>
      </c>
      <c r="D574" s="9" t="inlineStr">
        <is>
          <t>Т1О-401Б-17</t>
        </is>
      </c>
      <c r="E574" s="10" t="n">
        <v>24</v>
      </c>
      <c r="F574" s="9" t="inlineStr">
        <is>
          <t>06256</t>
        </is>
      </c>
      <c r="G574" s="10" t="n">
        <v>24</v>
      </c>
      <c r="H574" s="9" t="inlineStr">
        <is>
          <t xml:space="preserve">81720     </t>
        </is>
      </c>
      <c r="I574" s="9" t="inlineStr">
        <is>
          <t xml:space="preserve">Палтиевич Андрей Романович </t>
        </is>
      </c>
      <c r="J574" s="9" t="n"/>
      <c r="K574" s="9" t="n"/>
      <c r="L574" s="9" t="inlineStr">
        <is>
          <t>Кроме вторника</t>
        </is>
      </c>
      <c r="M574" s="12">
        <f>SUMIFS($E$2:$E$1130,$A$2:$A$1130,"осень",$I$2:$I$1130,I574)</f>
        <v/>
      </c>
      <c r="N574" s="13">
        <f>SUMIFS($E$2:$E$1130,$A$2:$A$1130,"весна",$I$2:$I$1130,I574)</f>
        <v/>
      </c>
      <c r="O574" s="14">
        <f>M574+N574</f>
        <v/>
      </c>
      <c r="P574" s="15">
        <f>O574/$P$1</f>
        <v/>
      </c>
    </row>
    <row r="575" ht="15.75" customHeight="1" s="2">
      <c r="A575" s="32" t="inlineStr">
        <is>
          <t>весна</t>
        </is>
      </c>
      <c r="B575" s="9" t="inlineStr">
        <is>
          <t>Информационные технологии в ОМД</t>
        </is>
      </c>
      <c r="C575" s="9" t="inlineStr">
        <is>
          <t>ЛР</t>
        </is>
      </c>
      <c r="D575" s="9" t="inlineStr">
        <is>
          <t>Т1О-401Б-17</t>
        </is>
      </c>
      <c r="E575" s="10" t="n">
        <v>80</v>
      </c>
      <c r="F575" s="9" t="inlineStr">
        <is>
          <t>06256</t>
        </is>
      </c>
      <c r="G575" s="10" t="n">
        <v>40</v>
      </c>
      <c r="H575" s="9" t="inlineStr">
        <is>
          <t xml:space="preserve">81720     </t>
        </is>
      </c>
      <c r="I575" s="9" t="inlineStr">
        <is>
          <t xml:space="preserve">Палтиевич Андрей Романович </t>
        </is>
      </c>
      <c r="J575" s="9" t="n"/>
      <c r="K575" s="9" t="n"/>
      <c r="L575" s="9" t="inlineStr">
        <is>
          <t>Кроме вторника</t>
        </is>
      </c>
      <c r="M575" s="12">
        <f>SUMIFS($E$2:$E$1130,$A$2:$A$1130,"осень",$I$2:$I$1130,I575)</f>
        <v/>
      </c>
      <c r="N575" s="13">
        <f>SUMIFS($E$2:$E$1130,$A$2:$A$1130,"весна",$I$2:$I$1130,I575)</f>
        <v/>
      </c>
      <c r="O575" s="14">
        <f>M575+N575</f>
        <v/>
      </c>
      <c r="P575" s="15">
        <f>O575/$P$1</f>
        <v/>
      </c>
    </row>
    <row r="576" ht="15.75" customHeight="1" s="2">
      <c r="A576" s="32" t="inlineStr">
        <is>
          <t>весна</t>
        </is>
      </c>
      <c r="B576" s="9" t="inlineStr">
        <is>
          <t>Информационные технологии в ОМД</t>
        </is>
      </c>
      <c r="C576" s="9" t="inlineStr">
        <is>
          <t>Зачет</t>
        </is>
      </c>
      <c r="D576" s="9" t="inlineStr">
        <is>
          <t>Т1О-401Б-17</t>
        </is>
      </c>
      <c r="E576" s="10" t="n">
        <v>6</v>
      </c>
      <c r="F576" s="9" t="inlineStr">
        <is>
          <t>06256</t>
        </is>
      </c>
      <c r="G576" s="11" t="n">
        <v>0</v>
      </c>
      <c r="H576" s="9" t="inlineStr">
        <is>
          <t xml:space="preserve">81720     </t>
        </is>
      </c>
      <c r="I576" s="9" t="inlineStr">
        <is>
          <t xml:space="preserve">Палтиевич Андрей Романович </t>
        </is>
      </c>
      <c r="J576" s="9" t="n"/>
      <c r="K576" s="9" t="n"/>
      <c r="L576" s="9" t="inlineStr">
        <is>
          <t>Кроме вторника</t>
        </is>
      </c>
      <c r="M576" s="12">
        <f>SUMIFS($E$2:$E$1130,$A$2:$A$1130,"осень",$I$2:$I$1130,I576)</f>
        <v/>
      </c>
      <c r="N576" s="13">
        <f>SUMIFS($E$2:$E$1130,$A$2:$A$1130,"весна",$I$2:$I$1130,I576)</f>
        <v/>
      </c>
      <c r="O576" s="14">
        <f>M576+N576</f>
        <v/>
      </c>
      <c r="P576" s="15">
        <f>O576/$P$1</f>
        <v/>
      </c>
    </row>
    <row r="577" ht="15.75" customHeight="1" s="2">
      <c r="A577" s="32" t="inlineStr">
        <is>
          <t>весна</t>
        </is>
      </c>
      <c r="B577" s="9" t="inlineStr">
        <is>
          <t>Информационные технологии в ОМД</t>
        </is>
      </c>
      <c r="C577" s="9" t="inlineStr">
        <is>
          <t>Консультация</t>
        </is>
      </c>
      <c r="D577" s="9" t="inlineStr">
        <is>
          <t>Т1О-401Б-17</t>
        </is>
      </c>
      <c r="E577" s="10" t="n">
        <v>1</v>
      </c>
      <c r="F577" s="9" t="inlineStr">
        <is>
          <t>06256</t>
        </is>
      </c>
      <c r="G577" s="11" t="n">
        <v>0</v>
      </c>
      <c r="H577" s="9" t="inlineStr">
        <is>
          <t xml:space="preserve">81720     </t>
        </is>
      </c>
      <c r="I577" s="9" t="inlineStr">
        <is>
          <t xml:space="preserve">Палтиевич Андрей Романович </t>
        </is>
      </c>
      <c r="J577" s="9" t="n"/>
      <c r="K577" s="9" t="n"/>
      <c r="L577" s="9" t="inlineStr">
        <is>
          <t>Кроме вторника</t>
        </is>
      </c>
      <c r="M577" s="12">
        <f>SUMIFS($E$2:$E$1130,$A$2:$A$1130,"осень",$I$2:$I$1130,I577)</f>
        <v/>
      </c>
      <c r="N577" s="13">
        <f>SUMIFS($E$2:$E$1130,$A$2:$A$1130,"весна",$I$2:$I$1130,I577)</f>
        <v/>
      </c>
      <c r="O577" s="14">
        <f>M577+N577</f>
        <v/>
      </c>
      <c r="P577" s="15">
        <f>O577/$P$1</f>
        <v/>
      </c>
    </row>
    <row r="578" ht="15.75" customHeight="1" s="2">
      <c r="A578" s="32" t="inlineStr">
        <is>
          <t>весна</t>
        </is>
      </c>
      <c r="B578" s="9" t="inlineStr">
        <is>
          <t>Теория кузнечно-штамповочного производства</t>
        </is>
      </c>
      <c r="C578" s="9" t="inlineStr">
        <is>
          <t>ЛК</t>
        </is>
      </c>
      <c r="D578" s="9" t="inlineStr">
        <is>
          <t>Т1В-412Б-17</t>
        </is>
      </c>
      <c r="E578" s="10" t="n">
        <v>22</v>
      </c>
      <c r="F578" s="9" t="inlineStr">
        <is>
          <t>08769</t>
        </is>
      </c>
      <c r="G578" s="10" t="n">
        <v>22</v>
      </c>
      <c r="H578" s="9" t="inlineStr">
        <is>
          <t xml:space="preserve">81729     </t>
        </is>
      </c>
      <c r="I578" s="9" t="inlineStr">
        <is>
          <t xml:space="preserve">Соколов Алексей Викторович </t>
        </is>
      </c>
      <c r="J578" s="9" t="inlineStr">
        <is>
          <t>доцент</t>
        </is>
      </c>
      <c r="K578" s="9" t="n"/>
      <c r="L578" s="9" t="n"/>
      <c r="M578" s="12">
        <f>SUMIFS($E$2:$E$1130,$A$2:$A$1130,"осень",$I$2:$I$1130,I578)</f>
        <v/>
      </c>
      <c r="N578" s="13">
        <f>SUMIFS($E$2:$E$1130,$A$2:$A$1130,"весна",$I$2:$I$1130,I578)</f>
        <v/>
      </c>
      <c r="O578" s="14">
        <f>M578+N578</f>
        <v/>
      </c>
      <c r="P578" s="15">
        <f>O578/$P$1</f>
        <v/>
      </c>
    </row>
    <row r="579" ht="15.75" customHeight="1" s="2">
      <c r="A579" s="32" t="inlineStr">
        <is>
          <t>весна</t>
        </is>
      </c>
      <c r="B579" s="9" t="inlineStr">
        <is>
          <t>Теория кузнечно-штамповочного производства</t>
        </is>
      </c>
      <c r="C579" s="9" t="inlineStr">
        <is>
          <t>ПЗ</t>
        </is>
      </c>
      <c r="D579" s="9" t="inlineStr">
        <is>
          <t>Т1В-412Б-17</t>
        </is>
      </c>
      <c r="E579" s="10" t="n">
        <v>28</v>
      </c>
      <c r="F579" s="9" t="inlineStr">
        <is>
          <t>08769</t>
        </is>
      </c>
      <c r="G579" s="10" t="n">
        <v>28</v>
      </c>
      <c r="H579" s="9" t="inlineStr">
        <is>
          <t xml:space="preserve">81729     </t>
        </is>
      </c>
      <c r="I579" s="9" t="inlineStr">
        <is>
          <t xml:space="preserve">Соколов Алексей Викторович </t>
        </is>
      </c>
      <c r="J579" s="9" t="inlineStr">
        <is>
          <t>доцент</t>
        </is>
      </c>
      <c r="K579" s="9" t="n"/>
      <c r="L579" s="9" t="n"/>
      <c r="M579" s="12">
        <f>SUMIFS($E$2:$E$1130,$A$2:$A$1130,"осень",$I$2:$I$1130,I579)</f>
        <v/>
      </c>
      <c r="N579" s="13">
        <f>SUMIFS($E$2:$E$1130,$A$2:$A$1130,"весна",$I$2:$I$1130,I579)</f>
        <v/>
      </c>
      <c r="O579" s="14">
        <f>M579+N579</f>
        <v/>
      </c>
      <c r="P579" s="15">
        <f>O579/$P$1</f>
        <v/>
      </c>
    </row>
    <row r="580" ht="15.75" customHeight="1" s="2">
      <c r="A580" s="32" t="inlineStr">
        <is>
          <t>весна</t>
        </is>
      </c>
      <c r="B580" s="9" t="inlineStr">
        <is>
          <t>Теория кузнечно-штамповочного производства</t>
        </is>
      </c>
      <c r="C580" s="9" t="inlineStr">
        <is>
          <t>Зачет</t>
        </is>
      </c>
      <c r="D580" s="9" t="inlineStr">
        <is>
          <t>Т1В-412Б-17</t>
        </is>
      </c>
      <c r="E580" s="10" t="n">
        <v>4</v>
      </c>
      <c r="F580" s="9" t="inlineStr">
        <is>
          <t>08769</t>
        </is>
      </c>
      <c r="G580" s="11" t="n">
        <v>0</v>
      </c>
      <c r="H580" s="9" t="inlineStr">
        <is>
          <t xml:space="preserve">81729     </t>
        </is>
      </c>
      <c r="I580" s="9" t="inlineStr">
        <is>
          <t xml:space="preserve">Соколов Алексей Викторович </t>
        </is>
      </c>
      <c r="J580" s="9" t="inlineStr">
        <is>
          <t>доцент</t>
        </is>
      </c>
      <c r="K580" s="9" t="n"/>
      <c r="L580" s="9" t="n"/>
      <c r="M580" s="12">
        <f>SUMIFS($E$2:$E$1130,$A$2:$A$1130,"осень",$I$2:$I$1130,I580)</f>
        <v/>
      </c>
      <c r="N580" s="13">
        <f>SUMIFS($E$2:$E$1130,$A$2:$A$1130,"весна",$I$2:$I$1130,I580)</f>
        <v/>
      </c>
      <c r="O580" s="14">
        <f>M580+N580</f>
        <v/>
      </c>
      <c r="P580" s="15">
        <f>O580/$P$1</f>
        <v/>
      </c>
    </row>
    <row r="581" ht="15.75" customHeight="1" s="2">
      <c r="A581" s="32" t="inlineStr">
        <is>
          <t>весна</t>
        </is>
      </c>
      <c r="B581" s="9" t="inlineStr">
        <is>
          <t>Теория кузнечно-штамповочного производства</t>
        </is>
      </c>
      <c r="C581" s="9" t="inlineStr">
        <is>
          <t>Консультация</t>
        </is>
      </c>
      <c r="D581" s="9" t="inlineStr">
        <is>
          <t>Т1В-412Б-17</t>
        </is>
      </c>
      <c r="E581" s="10" t="n">
        <v>2</v>
      </c>
      <c r="F581" s="9" t="inlineStr">
        <is>
          <t>08769</t>
        </is>
      </c>
      <c r="G581" s="11" t="n">
        <v>0</v>
      </c>
      <c r="H581" s="9" t="inlineStr">
        <is>
          <t xml:space="preserve">81729     </t>
        </is>
      </c>
      <c r="I581" s="9" t="inlineStr">
        <is>
          <t xml:space="preserve">Соколов Алексей Викторович </t>
        </is>
      </c>
      <c r="J581" s="9" t="inlineStr">
        <is>
          <t>доцент</t>
        </is>
      </c>
      <c r="K581" s="9" t="n"/>
      <c r="L581" s="9" t="n"/>
      <c r="M581" s="12">
        <f>SUMIFS($E$2:$E$1130,$A$2:$A$1130,"осень",$I$2:$I$1130,I581)</f>
        <v/>
      </c>
      <c r="N581" s="13">
        <f>SUMIFS($E$2:$E$1130,$A$2:$A$1130,"весна",$I$2:$I$1130,I581)</f>
        <v/>
      </c>
      <c r="O581" s="14">
        <f>M581+N581</f>
        <v/>
      </c>
      <c r="P581" s="15">
        <f>O581/$P$1</f>
        <v/>
      </c>
    </row>
    <row r="582" ht="15.75" customHeight="1" s="2">
      <c r="A582" s="32" t="inlineStr">
        <is>
          <t>весна</t>
        </is>
      </c>
      <c r="B582" s="9" t="inlineStr">
        <is>
          <t>Теория и технология гидропрессования</t>
        </is>
      </c>
      <c r="C582" s="9" t="inlineStr">
        <is>
          <t>ЛК</t>
        </is>
      </c>
      <c r="D582" s="9" t="inlineStr">
        <is>
          <t>Т1В-412Б-17</t>
        </is>
      </c>
      <c r="E582" s="10" t="n">
        <v>22</v>
      </c>
      <c r="F582" s="9" t="inlineStr">
        <is>
          <t>08769</t>
        </is>
      </c>
      <c r="G582" s="10" t="n">
        <v>22</v>
      </c>
      <c r="H582" s="9" t="inlineStr">
        <is>
          <t xml:space="preserve">81730     </t>
        </is>
      </c>
      <c r="I582" s="9" t="inlineStr">
        <is>
          <t>Федоров Анатолий Александрович</t>
        </is>
      </c>
      <c r="J582" s="9" t="inlineStr">
        <is>
          <t>профессор</t>
        </is>
      </c>
      <c r="K582" s="9" t="n"/>
      <c r="L582" s="9" t="n"/>
      <c r="M582" s="12">
        <f>SUMIFS($E$2:$E$1130,$A$2:$A$1130,"осень",$I$2:$I$1130,I582)</f>
        <v/>
      </c>
      <c r="N582" s="13">
        <f>SUMIFS($E$2:$E$1130,$A$2:$A$1130,"весна",$I$2:$I$1130,I582)</f>
        <v/>
      </c>
      <c r="O582" s="14">
        <f>M582+N582</f>
        <v/>
      </c>
      <c r="P582" s="15">
        <f>O582/$P$1</f>
        <v/>
      </c>
    </row>
    <row r="583" ht="15.75" customHeight="1" s="2">
      <c r="A583" s="32" t="inlineStr">
        <is>
          <t>весна</t>
        </is>
      </c>
      <c r="B583" s="9" t="inlineStr">
        <is>
          <t>Теория и технология гидропрессования</t>
        </is>
      </c>
      <c r="C583" s="9" t="inlineStr">
        <is>
          <t>ПЗ</t>
        </is>
      </c>
      <c r="D583" s="9" t="inlineStr">
        <is>
          <t>Т1В-412Б-17</t>
        </is>
      </c>
      <c r="E583" s="10" t="n">
        <v>28</v>
      </c>
      <c r="F583" s="9" t="inlineStr">
        <is>
          <t>08769</t>
        </is>
      </c>
      <c r="G583" s="10" t="n">
        <v>28</v>
      </c>
      <c r="H583" s="9" t="inlineStr">
        <is>
          <t xml:space="preserve">93584     </t>
        </is>
      </c>
      <c r="I583" s="9" t="inlineStr">
        <is>
          <t xml:space="preserve">Комаров Роман Сергеевич </t>
        </is>
      </c>
      <c r="J583" s="9" t="n"/>
      <c r="K583" s="9" t="n"/>
      <c r="L583" s="9" t="n"/>
      <c r="M583" s="12">
        <f>SUMIFS($E$2:$E$1130,$A$2:$A$1130,"осень",$I$2:$I$1130,I583)</f>
        <v/>
      </c>
      <c r="N583" s="13">
        <f>SUMIFS($E$2:$E$1130,$A$2:$A$1130,"весна",$I$2:$I$1130,I583)</f>
        <v/>
      </c>
      <c r="O583" s="14">
        <f>M583+N583</f>
        <v/>
      </c>
      <c r="P583" s="15">
        <f>O583/$P$1</f>
        <v/>
      </c>
    </row>
    <row r="584" ht="15.75" customHeight="1" s="2">
      <c r="A584" s="32" t="inlineStr">
        <is>
          <t>весна</t>
        </is>
      </c>
      <c r="B584" s="9" t="inlineStr">
        <is>
          <t>Теория и технология гидропрессования</t>
        </is>
      </c>
      <c r="C584" s="9" t="inlineStr">
        <is>
          <t>Экзамен</t>
        </is>
      </c>
      <c r="D584" s="9" t="inlineStr">
        <is>
          <t>Т1В-412Б-17</t>
        </is>
      </c>
      <c r="E584" s="10" t="n">
        <v>6</v>
      </c>
      <c r="F584" s="9" t="inlineStr">
        <is>
          <t>08769</t>
        </is>
      </c>
      <c r="G584" s="11" t="n">
        <v>0</v>
      </c>
      <c r="H584" s="9" t="inlineStr">
        <is>
          <t xml:space="preserve">81730     </t>
        </is>
      </c>
      <c r="I584" s="9" t="inlineStr">
        <is>
          <t>Федоров Анатолий Александрович</t>
        </is>
      </c>
      <c r="J584" s="9" t="inlineStr">
        <is>
          <t>профессор</t>
        </is>
      </c>
      <c r="K584" s="9" t="n"/>
      <c r="L584" s="9" t="n"/>
      <c r="M584" s="12">
        <f>SUMIFS($E$2:$E$1130,$A$2:$A$1130,"осень",$I$2:$I$1130,I584)</f>
        <v/>
      </c>
      <c r="N584" s="13">
        <f>SUMIFS($E$2:$E$1130,$A$2:$A$1130,"весна",$I$2:$I$1130,I584)</f>
        <v/>
      </c>
      <c r="O584" s="14">
        <f>M584+N584</f>
        <v/>
      </c>
      <c r="P584" s="15">
        <f>O584/$P$1</f>
        <v/>
      </c>
    </row>
    <row r="585" ht="15.75" customHeight="1" s="2">
      <c r="A585" s="32" t="inlineStr">
        <is>
          <t>весна</t>
        </is>
      </c>
      <c r="B585" s="9" t="inlineStr">
        <is>
          <t>Теория и технология гидропрессования</t>
        </is>
      </c>
      <c r="C585" s="9" t="inlineStr">
        <is>
          <t>Консультация</t>
        </is>
      </c>
      <c r="D585" s="9" t="inlineStr">
        <is>
          <t>Т1В-412Б-17</t>
        </is>
      </c>
      <c r="E585" s="10" t="n">
        <v>4</v>
      </c>
      <c r="F585" s="9" t="inlineStr">
        <is>
          <t>08769</t>
        </is>
      </c>
      <c r="G585" s="11" t="n">
        <v>0</v>
      </c>
      <c r="H585" s="9" t="inlineStr">
        <is>
          <t xml:space="preserve">91812     </t>
        </is>
      </c>
      <c r="I585" s="9" t="inlineStr">
        <is>
          <t xml:space="preserve">Комаров Роман Сергеевич </t>
        </is>
      </c>
      <c r="J585" s="9" t="inlineStr">
        <is>
          <t>ассистент</t>
        </is>
      </c>
      <c r="K585" s="9" t="n"/>
      <c r="L585" s="9" t="n"/>
      <c r="M585" s="12">
        <f>SUMIFS($E$2:$E$1130,$A$2:$A$1130,"осень",$I$2:$I$1130,I585)</f>
        <v/>
      </c>
      <c r="N585" s="13">
        <f>SUMIFS($E$2:$E$1130,$A$2:$A$1130,"весна",$I$2:$I$1130,I585)</f>
        <v/>
      </c>
      <c r="O585" s="14">
        <f>M585+N585</f>
        <v/>
      </c>
      <c r="P585" s="15">
        <f>O585/$P$1</f>
        <v/>
      </c>
    </row>
    <row r="586" ht="15.75" customHeight="1" s="2">
      <c r="A586" s="32" t="inlineStr">
        <is>
          <t>весна</t>
        </is>
      </c>
      <c r="B586" s="9" t="inlineStr">
        <is>
          <t>Теория пластичности</t>
        </is>
      </c>
      <c r="C586" s="9" t="inlineStr">
        <is>
          <t>ЛК</t>
        </is>
      </c>
      <c r="D586" s="9" t="inlineStr">
        <is>
          <t>Т11О-101М-20</t>
        </is>
      </c>
      <c r="E586" s="10" t="n">
        <v>12</v>
      </c>
      <c r="F586" s="9" t="inlineStr">
        <is>
          <t>04489</t>
        </is>
      </c>
      <c r="G586" s="10" t="n">
        <v>12</v>
      </c>
      <c r="H586" s="9" t="inlineStr">
        <is>
          <t xml:space="preserve">81730     </t>
        </is>
      </c>
      <c r="I586" s="9" t="inlineStr">
        <is>
          <t>Федоров Анатолий Александрович</t>
        </is>
      </c>
      <c r="J586" s="9" t="inlineStr">
        <is>
          <t>профессор</t>
        </is>
      </c>
      <c r="K586" s="9" t="n"/>
      <c r="L586" s="9" t="n"/>
      <c r="M586" s="12">
        <f>SUMIFS($E$2:$E$1130,$A$2:$A$1130,"осень",$I$2:$I$1130,I586)</f>
        <v/>
      </c>
      <c r="N586" s="13">
        <f>SUMIFS($E$2:$E$1130,$A$2:$A$1130,"весна",$I$2:$I$1130,I586)</f>
        <v/>
      </c>
      <c r="O586" s="14">
        <f>M586+N586</f>
        <v/>
      </c>
      <c r="P586" s="15">
        <f>O586/$P$1</f>
        <v/>
      </c>
    </row>
    <row r="587" ht="15.75" customHeight="1" s="2">
      <c r="A587" s="32" t="inlineStr">
        <is>
          <t>весна</t>
        </is>
      </c>
      <c r="B587" s="9" t="inlineStr">
        <is>
          <t>Теория пластичности</t>
        </is>
      </c>
      <c r="C587" s="9" t="inlineStr">
        <is>
          <t>ПЗ</t>
        </is>
      </c>
      <c r="D587" s="9" t="inlineStr">
        <is>
          <t>Т11О-101М-20</t>
        </is>
      </c>
      <c r="E587" s="10" t="n">
        <v>22</v>
      </c>
      <c r="F587" s="9" t="inlineStr">
        <is>
          <t>04489</t>
        </is>
      </c>
      <c r="G587" s="10" t="n">
        <v>22</v>
      </c>
      <c r="H587" s="9" t="inlineStr">
        <is>
          <t xml:space="preserve">81730     </t>
        </is>
      </c>
      <c r="I587" s="9" t="inlineStr">
        <is>
          <t>Федоров Анатолий Александрович</t>
        </is>
      </c>
      <c r="J587" s="9" t="inlineStr">
        <is>
          <t>профессор</t>
        </is>
      </c>
      <c r="K587" s="9" t="n"/>
      <c r="L587" s="9" t="n"/>
      <c r="M587" s="12">
        <f>SUMIFS($E$2:$E$1130,$A$2:$A$1130,"осень",$I$2:$I$1130,I587)</f>
        <v/>
      </c>
      <c r="N587" s="13">
        <f>SUMIFS($E$2:$E$1130,$A$2:$A$1130,"весна",$I$2:$I$1130,I587)</f>
        <v/>
      </c>
      <c r="O587" s="14">
        <f>M587+N587</f>
        <v/>
      </c>
      <c r="P587" s="15">
        <f>O587/$P$1</f>
        <v/>
      </c>
    </row>
    <row r="588" ht="15.75" customHeight="1" s="2">
      <c r="A588" s="32" t="inlineStr">
        <is>
          <t>весна</t>
        </is>
      </c>
      <c r="B588" s="9" t="inlineStr">
        <is>
          <t>Теория пластичности</t>
        </is>
      </c>
      <c r="C588" s="9" t="inlineStr">
        <is>
          <t>Зачет</t>
        </is>
      </c>
      <c r="D588" s="9" t="inlineStr">
        <is>
          <t>Т11О-101М-20</t>
        </is>
      </c>
      <c r="E588" s="10" t="n">
        <v>2</v>
      </c>
      <c r="F588" s="9" t="inlineStr">
        <is>
          <t>04489</t>
        </is>
      </c>
      <c r="G588" s="11" t="n">
        <v>0</v>
      </c>
      <c r="H588" s="9" t="inlineStr">
        <is>
          <t xml:space="preserve">81730     </t>
        </is>
      </c>
      <c r="I588" s="9" t="inlineStr">
        <is>
          <t>Федоров Анатолий Александрович</t>
        </is>
      </c>
      <c r="J588" s="9" t="inlineStr">
        <is>
          <t>профессор</t>
        </is>
      </c>
      <c r="K588" s="9" t="n"/>
      <c r="L588" s="9" t="n"/>
      <c r="M588" s="12">
        <f>SUMIFS($E$2:$E$1130,$A$2:$A$1130,"осень",$I$2:$I$1130,I588)</f>
        <v/>
      </c>
      <c r="N588" s="13">
        <f>SUMIFS($E$2:$E$1130,$A$2:$A$1130,"весна",$I$2:$I$1130,I588)</f>
        <v/>
      </c>
      <c r="O588" s="14">
        <f>M588+N588</f>
        <v/>
      </c>
      <c r="P588" s="15">
        <f>O588/$P$1</f>
        <v/>
      </c>
    </row>
    <row r="589" ht="15.75" customHeight="1" s="2">
      <c r="A589" s="32" t="inlineStr">
        <is>
          <t>весна</t>
        </is>
      </c>
      <c r="B589" s="9" t="inlineStr">
        <is>
          <t>Теория пластичности</t>
        </is>
      </c>
      <c r="C589" s="9" t="inlineStr">
        <is>
          <t>Консультация</t>
        </is>
      </c>
      <c r="D589" s="9" t="inlineStr">
        <is>
          <t>Т11О-101М-20</t>
        </is>
      </c>
      <c r="E589" s="10" t="n">
        <v>1</v>
      </c>
      <c r="F589" s="9" t="inlineStr">
        <is>
          <t>04489</t>
        </is>
      </c>
      <c r="G589" s="11" t="n">
        <v>0</v>
      </c>
      <c r="H589" s="9" t="inlineStr">
        <is>
          <t xml:space="preserve">81730     </t>
        </is>
      </c>
      <c r="I589" s="9" t="inlineStr">
        <is>
          <t>Федоров Анатолий Александрович</t>
        </is>
      </c>
      <c r="J589" s="9" t="inlineStr">
        <is>
          <t>профессор</t>
        </is>
      </c>
      <c r="K589" s="9" t="n"/>
      <c r="L589" s="9" t="n"/>
      <c r="M589" s="12">
        <f>SUMIFS($E$2:$E$1130,$A$2:$A$1130,"осень",$I$2:$I$1130,I589)</f>
        <v/>
      </c>
      <c r="N589" s="13">
        <f>SUMIFS($E$2:$E$1130,$A$2:$A$1130,"весна",$I$2:$I$1130,I589)</f>
        <v/>
      </c>
      <c r="O589" s="14">
        <f>M589+N589</f>
        <v/>
      </c>
      <c r="P589" s="15">
        <f>O589/$P$1</f>
        <v/>
      </c>
    </row>
    <row r="590" ht="15.75" customHeight="1" s="2">
      <c r="A590" s="32" t="inlineStr">
        <is>
          <t>весна</t>
        </is>
      </c>
      <c r="B590" s="9" t="inlineStr">
        <is>
          <t>Металлургия конструкционных материалов из гранулируемых сплавов</t>
        </is>
      </c>
      <c r="C590" s="9" t="inlineStr">
        <is>
          <t>ЛК</t>
        </is>
      </c>
      <c r="D590" s="9" t="inlineStr">
        <is>
          <t>Т11О-201М-19, Т11О-202М-19, Т11О-203М-19, Т11О-204М-19</t>
        </is>
      </c>
      <c r="E590" s="10" t="n">
        <v>16</v>
      </c>
      <c r="F590" s="9" t="inlineStr">
        <is>
          <t>07987</t>
        </is>
      </c>
      <c r="G590" s="10" t="n">
        <v>16</v>
      </c>
      <c r="H590" s="9" t="inlineStr">
        <is>
          <t xml:space="preserve">87438     </t>
        </is>
      </c>
      <c r="I590" s="9" t="inlineStr">
        <is>
          <t xml:space="preserve">Конкевич Валентин Юрьевич </t>
        </is>
      </c>
      <c r="J590" s="9" t="n"/>
      <c r="K590" s="9" t="n"/>
      <c r="L590" s="9" t="n"/>
      <c r="M590" s="12">
        <f>SUMIFS($E$2:$E$1130,$A$2:$A$1130,"осень",$I$2:$I$1130,I590)</f>
        <v/>
      </c>
      <c r="N590" s="13">
        <f>SUMIFS($E$2:$E$1130,$A$2:$A$1130,"весна",$I$2:$I$1130,I590)</f>
        <v/>
      </c>
      <c r="O590" s="14">
        <f>M590+N590</f>
        <v/>
      </c>
      <c r="P590" s="15">
        <f>O590/$P$1</f>
        <v/>
      </c>
    </row>
    <row r="591" ht="15.75" customHeight="1" s="2">
      <c r="A591" s="32" t="inlineStr">
        <is>
          <t>весна</t>
        </is>
      </c>
      <c r="B591" s="9" t="inlineStr">
        <is>
          <t>Металлургия конструкционных материалов из гранулируемых сплавов</t>
        </is>
      </c>
      <c r="C591" s="9" t="inlineStr">
        <is>
          <t>КР</t>
        </is>
      </c>
      <c r="D591" s="9" t="inlineStr">
        <is>
          <t>Т11О-201М-19</t>
        </is>
      </c>
      <c r="E591" s="10" t="n">
        <v>21</v>
      </c>
      <c r="F591" s="9" t="inlineStr">
        <is>
          <t>07987</t>
        </is>
      </c>
      <c r="G591" s="11" t="n">
        <v>0</v>
      </c>
      <c r="H591" s="9" t="inlineStr">
        <is>
          <t xml:space="preserve">87438     </t>
        </is>
      </c>
      <c r="I591" s="9" t="inlineStr">
        <is>
          <t xml:space="preserve">Конкевич Валентин Юрьевич </t>
        </is>
      </c>
      <c r="J591" s="9" t="n"/>
      <c r="K591" s="9" t="n"/>
      <c r="L591" s="9" t="n"/>
      <c r="M591" s="12">
        <f>SUMIFS($E$2:$E$1130,$A$2:$A$1130,"осень",$I$2:$I$1130,I591)</f>
        <v/>
      </c>
      <c r="N591" s="13">
        <f>SUMIFS($E$2:$E$1130,$A$2:$A$1130,"весна",$I$2:$I$1130,I591)</f>
        <v/>
      </c>
      <c r="O591" s="14">
        <f>M591+N591</f>
        <v/>
      </c>
      <c r="P591" s="15">
        <f>O591/$P$1</f>
        <v/>
      </c>
    </row>
    <row r="592" ht="15.75" customHeight="1" s="2">
      <c r="A592" s="32" t="inlineStr">
        <is>
          <t>весна</t>
        </is>
      </c>
      <c r="B592" s="9" t="inlineStr">
        <is>
          <t>Металлургия конструкционных материалов из гранулируемых сплавов</t>
        </is>
      </c>
      <c r="C592" s="9" t="inlineStr">
        <is>
          <t>КР</t>
        </is>
      </c>
      <c r="D592" s="9" t="inlineStr">
        <is>
          <t>Т11О-202М-19</t>
        </is>
      </c>
      <c r="E592" s="10" t="n">
        <v>18</v>
      </c>
      <c r="F592" s="9" t="inlineStr">
        <is>
          <t>07987</t>
        </is>
      </c>
      <c r="G592" s="11" t="n">
        <v>0</v>
      </c>
      <c r="H592" s="9" t="inlineStr">
        <is>
          <t xml:space="preserve">87438     </t>
        </is>
      </c>
      <c r="I592" s="9" t="inlineStr">
        <is>
          <t xml:space="preserve">Конкевич Валентин Юрьевич </t>
        </is>
      </c>
      <c r="J592" s="9" t="n"/>
      <c r="K592" s="9" t="n"/>
      <c r="L592" s="9" t="n"/>
      <c r="M592" s="12">
        <f>SUMIFS($E$2:$E$1130,$A$2:$A$1130,"осень",$I$2:$I$1130,I592)</f>
        <v/>
      </c>
      <c r="N592" s="13">
        <f>SUMIFS($E$2:$E$1130,$A$2:$A$1130,"весна",$I$2:$I$1130,I592)</f>
        <v/>
      </c>
      <c r="O592" s="14">
        <f>M592+N592</f>
        <v/>
      </c>
      <c r="P592" s="15">
        <f>O592/$P$1</f>
        <v/>
      </c>
    </row>
    <row r="593" ht="15.75" customHeight="1" s="2">
      <c r="A593" s="32" t="inlineStr">
        <is>
          <t>весна</t>
        </is>
      </c>
      <c r="B593" s="9" t="inlineStr">
        <is>
          <t>Металлургия конструкционных материалов из гранулируемых сплавов</t>
        </is>
      </c>
      <c r="C593" s="9" t="inlineStr">
        <is>
          <t>КР</t>
        </is>
      </c>
      <c r="D593" s="9" t="inlineStr">
        <is>
          <t>Т11О-203М-19</t>
        </is>
      </c>
      <c r="E593" s="10" t="n">
        <v>21</v>
      </c>
      <c r="F593" s="9" t="inlineStr">
        <is>
          <t>07987</t>
        </is>
      </c>
      <c r="G593" s="11" t="n">
        <v>0</v>
      </c>
      <c r="H593" s="9" t="inlineStr">
        <is>
          <t xml:space="preserve">87438     </t>
        </is>
      </c>
      <c r="I593" s="9" t="inlineStr">
        <is>
          <t xml:space="preserve">Конкевич Валентин Юрьевич </t>
        </is>
      </c>
      <c r="J593" s="9" t="n"/>
      <c r="K593" s="9" t="n"/>
      <c r="L593" s="9" t="n"/>
      <c r="M593" s="12">
        <f>SUMIFS($E$2:$E$1130,$A$2:$A$1130,"осень",$I$2:$I$1130,I593)</f>
        <v/>
      </c>
      <c r="N593" s="13">
        <f>SUMIFS($E$2:$E$1130,$A$2:$A$1130,"весна",$I$2:$I$1130,I593)</f>
        <v/>
      </c>
      <c r="O593" s="14">
        <f>M593+N593</f>
        <v/>
      </c>
      <c r="P593" s="15">
        <f>O593/$P$1</f>
        <v/>
      </c>
    </row>
    <row r="594" ht="15.75" customHeight="1" s="2">
      <c r="A594" s="32" t="inlineStr">
        <is>
          <t>весна</t>
        </is>
      </c>
      <c r="B594" s="9" t="inlineStr">
        <is>
          <t>Металлургия конструкционных материалов из гранулируемых сплавов</t>
        </is>
      </c>
      <c r="C594" s="9" t="inlineStr">
        <is>
          <t>КР</t>
        </is>
      </c>
      <c r="D594" s="9" t="inlineStr">
        <is>
          <t>Т11О-204М-19</t>
        </is>
      </c>
      <c r="E594" s="10" t="n">
        <v>27</v>
      </c>
      <c r="F594" s="9" t="inlineStr">
        <is>
          <t>07987</t>
        </is>
      </c>
      <c r="G594" s="11" t="n">
        <v>0</v>
      </c>
      <c r="H594" s="9" t="inlineStr">
        <is>
          <t xml:space="preserve">87438     </t>
        </is>
      </c>
      <c r="I594" s="9" t="inlineStr">
        <is>
          <t xml:space="preserve">Конкевич Валентин Юрьевич </t>
        </is>
      </c>
      <c r="J594" s="9" t="n"/>
      <c r="K594" s="9" t="n"/>
      <c r="L594" s="9" t="n"/>
      <c r="M594" s="12">
        <f>SUMIFS($E$2:$E$1130,$A$2:$A$1130,"осень",$I$2:$I$1130,I594)</f>
        <v/>
      </c>
      <c r="N594" s="13">
        <f>SUMIFS($E$2:$E$1130,$A$2:$A$1130,"весна",$I$2:$I$1130,I594)</f>
        <v/>
      </c>
      <c r="O594" s="14">
        <f>M594+N594</f>
        <v/>
      </c>
      <c r="P594" s="15">
        <f>O594/$P$1</f>
        <v/>
      </c>
    </row>
    <row r="595" ht="15.75" customHeight="1" s="2">
      <c r="A595" s="32" t="inlineStr">
        <is>
          <t>весна</t>
        </is>
      </c>
      <c r="B595" s="9" t="inlineStr">
        <is>
          <t>Металлургия конструкционных материалов из гранулируемых сплавов</t>
        </is>
      </c>
      <c r="C595" s="9" t="inlineStr">
        <is>
          <t>ПЗ</t>
        </is>
      </c>
      <c r="D595" s="9" t="inlineStr">
        <is>
          <t>Т11О-201М-19</t>
        </is>
      </c>
      <c r="E595" s="10" t="n">
        <v>12</v>
      </c>
      <c r="F595" s="9" t="inlineStr">
        <is>
          <t>07987</t>
        </is>
      </c>
      <c r="G595" s="10" t="n">
        <v>44</v>
      </c>
      <c r="H595" s="9" t="n"/>
      <c r="I595" s="9" t="inlineStr">
        <is>
          <t xml:space="preserve">Никитина Елена Владимировна </t>
        </is>
      </c>
      <c r="J595" s="9" t="n"/>
      <c r="K595" s="9" t="n"/>
      <c r="L595" s="9" t="n"/>
      <c r="M595" s="12">
        <f>SUMIFS($E$2:$E$1130,$A$2:$A$1130,"осень",$I$2:$I$1130,I595)</f>
        <v/>
      </c>
      <c r="N595" s="13">
        <f>SUMIFS($E$2:$E$1130,$A$2:$A$1130,"весна",$I$2:$I$1130,I595)</f>
        <v/>
      </c>
      <c r="O595" s="14">
        <f>M595+N595</f>
        <v/>
      </c>
      <c r="P595" s="15">
        <f>O595/$P$1</f>
        <v/>
      </c>
    </row>
    <row r="596" ht="15.75" customHeight="1" s="2">
      <c r="A596" s="32" t="inlineStr">
        <is>
          <t>весна</t>
        </is>
      </c>
      <c r="B596" s="9" t="inlineStr">
        <is>
          <t>Металлургия конструкционных материалов из гранулируемых сплавов</t>
        </is>
      </c>
      <c r="C596" s="9" t="inlineStr">
        <is>
          <t>ПЗ</t>
        </is>
      </c>
      <c r="D596" s="9" t="inlineStr">
        <is>
          <t>Т11О-201М-19</t>
        </is>
      </c>
      <c r="E596" s="10" t="n">
        <v>32</v>
      </c>
      <c r="F596" s="9" t="inlineStr">
        <is>
          <t>07987</t>
        </is>
      </c>
      <c r="G596" s="10" t="n">
        <v>44</v>
      </c>
      <c r="H596" s="9" t="inlineStr">
        <is>
          <t xml:space="preserve">87438     </t>
        </is>
      </c>
      <c r="I596" s="9" t="inlineStr">
        <is>
          <t xml:space="preserve">Конкевич Валентин Юрьевич </t>
        </is>
      </c>
      <c r="J596" s="9" t="n"/>
      <c r="K596" s="9" t="n"/>
      <c r="L596" s="9" t="n"/>
      <c r="M596" s="12">
        <f>SUMIFS($E$2:$E$1130,$A$2:$A$1130,"осень",$I$2:$I$1130,I596)</f>
        <v/>
      </c>
      <c r="N596" s="13">
        <f>SUMIFS($E$2:$E$1130,$A$2:$A$1130,"весна",$I$2:$I$1130,I596)</f>
        <v/>
      </c>
      <c r="O596" s="14">
        <f>M596+N596</f>
        <v/>
      </c>
      <c r="P596" s="15">
        <f>O596/$P$1</f>
        <v/>
      </c>
    </row>
    <row r="597" ht="15.75" customHeight="1" s="2">
      <c r="A597" s="32" t="inlineStr">
        <is>
          <t>весна</t>
        </is>
      </c>
      <c r="B597" s="9" t="inlineStr">
        <is>
          <t>Металлургия конструкционных материалов из гранулируемых сплавов</t>
        </is>
      </c>
      <c r="C597" s="9" t="inlineStr">
        <is>
          <t>ПЗ</t>
        </is>
      </c>
      <c r="D597" s="9" t="inlineStr">
        <is>
          <t>Т11О-202М-19</t>
        </is>
      </c>
      <c r="E597" s="10" t="n">
        <v>12</v>
      </c>
      <c r="F597" s="9" t="inlineStr">
        <is>
          <t>07987</t>
        </is>
      </c>
      <c r="G597" s="10" t="n">
        <v>44</v>
      </c>
      <c r="H597" s="9" t="n"/>
      <c r="I597" s="9" t="inlineStr">
        <is>
          <t xml:space="preserve">Никитина Елена Владимировна </t>
        </is>
      </c>
      <c r="J597" s="9" t="n"/>
      <c r="K597" s="9" t="n"/>
      <c r="L597" s="9" t="n"/>
      <c r="M597" s="12">
        <f>SUMIFS($E$2:$E$1130,$A$2:$A$1130,"осень",$I$2:$I$1130,I597)</f>
        <v/>
      </c>
      <c r="N597" s="13">
        <f>SUMIFS($E$2:$E$1130,$A$2:$A$1130,"весна",$I$2:$I$1130,I597)</f>
        <v/>
      </c>
      <c r="O597" s="14">
        <f>M597+N597</f>
        <v/>
      </c>
      <c r="P597" s="15">
        <f>O597/$P$1</f>
        <v/>
      </c>
    </row>
    <row r="598" ht="15.75" customHeight="1" s="2">
      <c r="A598" s="32" t="inlineStr">
        <is>
          <t>весна</t>
        </is>
      </c>
      <c r="B598" s="9" t="inlineStr">
        <is>
          <t>Металлургия конструкционных материалов из гранулируемых сплавов</t>
        </is>
      </c>
      <c r="C598" s="9" t="inlineStr">
        <is>
          <t>ПЗ</t>
        </is>
      </c>
      <c r="D598" s="9" t="inlineStr">
        <is>
          <t>Т11О-202М-19</t>
        </is>
      </c>
      <c r="E598" s="10" t="n">
        <v>32</v>
      </c>
      <c r="F598" s="9" t="inlineStr">
        <is>
          <t>07987</t>
        </is>
      </c>
      <c r="G598" s="10" t="n">
        <v>44</v>
      </c>
      <c r="H598" s="9" t="inlineStr">
        <is>
          <t xml:space="preserve">87438     </t>
        </is>
      </c>
      <c r="I598" s="9" t="inlineStr">
        <is>
          <t xml:space="preserve">Конкевич Валентин Юрьевич </t>
        </is>
      </c>
      <c r="J598" s="9" t="n"/>
      <c r="K598" s="9" t="n"/>
      <c r="L598" s="9" t="n"/>
      <c r="M598" s="12">
        <f>SUMIFS($E$2:$E$1130,$A$2:$A$1130,"осень",$I$2:$I$1130,I598)</f>
        <v/>
      </c>
      <c r="N598" s="13">
        <f>SUMIFS($E$2:$E$1130,$A$2:$A$1130,"весна",$I$2:$I$1130,I598)</f>
        <v/>
      </c>
      <c r="O598" s="14">
        <f>M598+N598</f>
        <v/>
      </c>
      <c r="P598" s="15">
        <f>O598/$P$1</f>
        <v/>
      </c>
    </row>
    <row r="599" ht="15.75" customHeight="1" s="2">
      <c r="A599" s="32" t="inlineStr">
        <is>
          <t>весна</t>
        </is>
      </c>
      <c r="B599" s="9" t="inlineStr">
        <is>
          <t>Металлургия конструкционных материалов из гранулируемых сплавов</t>
        </is>
      </c>
      <c r="C599" s="9" t="inlineStr">
        <is>
          <t>ПЗ</t>
        </is>
      </c>
      <c r="D599" s="9" t="inlineStr">
        <is>
          <t>Т11О-203М-19</t>
        </is>
      </c>
      <c r="E599" s="10" t="n">
        <v>12</v>
      </c>
      <c r="F599" s="9" t="inlineStr">
        <is>
          <t>07987</t>
        </is>
      </c>
      <c r="G599" s="10" t="n">
        <v>44</v>
      </c>
      <c r="H599" s="9" t="n"/>
      <c r="I599" s="9" t="inlineStr">
        <is>
          <t xml:space="preserve">Никитина Елена Владимировна </t>
        </is>
      </c>
      <c r="J599" s="9" t="n"/>
      <c r="K599" s="9" t="n"/>
      <c r="L599" s="9" t="n"/>
      <c r="M599" s="12">
        <f>SUMIFS($E$2:$E$1130,$A$2:$A$1130,"осень",$I$2:$I$1130,I599)</f>
        <v/>
      </c>
      <c r="N599" s="13">
        <f>SUMIFS($E$2:$E$1130,$A$2:$A$1130,"весна",$I$2:$I$1130,I599)</f>
        <v/>
      </c>
      <c r="O599" s="14">
        <f>M599+N599</f>
        <v/>
      </c>
      <c r="P599" s="15">
        <f>O599/$P$1</f>
        <v/>
      </c>
    </row>
    <row r="600" ht="15.75" customHeight="1" s="2">
      <c r="A600" s="32" t="inlineStr">
        <is>
          <t>весна</t>
        </is>
      </c>
      <c r="B600" s="9" t="inlineStr">
        <is>
          <t>Металлургия конструкционных материалов из гранулируемых сплавов</t>
        </is>
      </c>
      <c r="C600" s="9" t="inlineStr">
        <is>
          <t>ПЗ</t>
        </is>
      </c>
      <c r="D600" s="9" t="inlineStr">
        <is>
          <t>Т11О-203М-19</t>
        </is>
      </c>
      <c r="E600" s="10" t="n">
        <v>32</v>
      </c>
      <c r="F600" s="9" t="inlineStr">
        <is>
          <t>07987</t>
        </is>
      </c>
      <c r="G600" s="10" t="n">
        <v>44</v>
      </c>
      <c r="H600" s="9" t="inlineStr">
        <is>
          <t xml:space="preserve">87438     </t>
        </is>
      </c>
      <c r="I600" s="9" t="inlineStr">
        <is>
          <t xml:space="preserve">Конкевич Валентин Юрьевич </t>
        </is>
      </c>
      <c r="J600" s="9" t="n"/>
      <c r="K600" s="9" t="n"/>
      <c r="L600" s="9" t="n"/>
      <c r="M600" s="12">
        <f>SUMIFS($E$2:$E$1130,$A$2:$A$1130,"осень",$I$2:$I$1130,I600)</f>
        <v/>
      </c>
      <c r="N600" s="13">
        <f>SUMIFS($E$2:$E$1130,$A$2:$A$1130,"весна",$I$2:$I$1130,I600)</f>
        <v/>
      </c>
      <c r="O600" s="14">
        <f>M600+N600</f>
        <v/>
      </c>
      <c r="P600" s="15">
        <f>O600/$P$1</f>
        <v/>
      </c>
    </row>
    <row r="601" ht="15.75" customHeight="1" s="2">
      <c r="A601" s="32" t="inlineStr">
        <is>
          <t>весна</t>
        </is>
      </c>
      <c r="B601" s="9" t="inlineStr">
        <is>
          <t>Металлургия конструкционных материалов из гранулируемых сплавов</t>
        </is>
      </c>
      <c r="C601" s="9" t="inlineStr">
        <is>
          <t>ПЗ</t>
        </is>
      </c>
      <c r="D601" s="9" t="inlineStr">
        <is>
          <t>Т11О-204М-19</t>
        </is>
      </c>
      <c r="E601" s="10" t="n">
        <v>12</v>
      </c>
      <c r="F601" s="9" t="inlineStr">
        <is>
          <t>07987</t>
        </is>
      </c>
      <c r="G601" s="10" t="n">
        <v>44</v>
      </c>
      <c r="H601" s="9" t="n"/>
      <c r="I601" s="9" t="inlineStr">
        <is>
          <t xml:space="preserve">Никитина Елена Владимировна </t>
        </is>
      </c>
      <c r="J601" s="9" t="n"/>
      <c r="K601" s="9" t="n"/>
      <c r="L601" s="9" t="n"/>
      <c r="M601" s="12">
        <f>SUMIFS($E$2:$E$1130,$A$2:$A$1130,"осень",$I$2:$I$1130,I601)</f>
        <v/>
      </c>
      <c r="N601" s="13">
        <f>SUMIFS($E$2:$E$1130,$A$2:$A$1130,"весна",$I$2:$I$1130,I601)</f>
        <v/>
      </c>
      <c r="O601" s="14">
        <f>M601+N601</f>
        <v/>
      </c>
      <c r="P601" s="15">
        <f>O601/$P$1</f>
        <v/>
      </c>
    </row>
    <row r="602" ht="15.75" customHeight="1" s="2">
      <c r="A602" s="32" t="inlineStr">
        <is>
          <t>весна</t>
        </is>
      </c>
      <c r="B602" s="9" t="inlineStr">
        <is>
          <t>Металлургия конструкционных материалов из гранулируемых сплавов</t>
        </is>
      </c>
      <c r="C602" s="9" t="inlineStr">
        <is>
          <t>ПЗ</t>
        </is>
      </c>
      <c r="D602" s="9" t="inlineStr">
        <is>
          <t>Т11О-204М-19</t>
        </is>
      </c>
      <c r="E602" s="10" t="n">
        <v>32</v>
      </c>
      <c r="F602" s="9" t="inlineStr">
        <is>
          <t>07987</t>
        </is>
      </c>
      <c r="G602" s="10" t="n">
        <v>44</v>
      </c>
      <c r="H602" s="9" t="inlineStr">
        <is>
          <t xml:space="preserve">87438     </t>
        </is>
      </c>
      <c r="I602" s="9" t="inlineStr">
        <is>
          <t xml:space="preserve">Конкевич Валентин Юрьевич </t>
        </is>
      </c>
      <c r="J602" s="9" t="n"/>
      <c r="K602" s="9" t="n"/>
      <c r="L602" s="9" t="n"/>
      <c r="M602" s="12">
        <f>SUMIFS($E$2:$E$1130,$A$2:$A$1130,"осень",$I$2:$I$1130,I602)</f>
        <v/>
      </c>
      <c r="N602" s="13">
        <f>SUMIFS($E$2:$E$1130,$A$2:$A$1130,"весна",$I$2:$I$1130,I602)</f>
        <v/>
      </c>
      <c r="O602" s="14">
        <f>M602+N602</f>
        <v/>
      </c>
      <c r="P602" s="15">
        <f>O602/$P$1</f>
        <v/>
      </c>
    </row>
    <row r="603" ht="15.75" customHeight="1" s="2">
      <c r="A603" s="32" t="inlineStr">
        <is>
          <t>весна</t>
        </is>
      </c>
      <c r="B603" s="9" t="inlineStr">
        <is>
          <t>Металлургия конструкционных материалов из гранулируемых сплавов</t>
        </is>
      </c>
      <c r="C603" s="9" t="inlineStr">
        <is>
          <t>Экзамен</t>
        </is>
      </c>
      <c r="D603" s="9" t="inlineStr">
        <is>
          <t>Т11О-201М-19</t>
        </is>
      </c>
      <c r="E603" s="10" t="n">
        <v>4</v>
      </c>
      <c r="F603" s="9" t="inlineStr">
        <is>
          <t>07987</t>
        </is>
      </c>
      <c r="G603" s="11" t="n">
        <v>0</v>
      </c>
      <c r="H603" s="9" t="inlineStr">
        <is>
          <t xml:space="preserve">87438     </t>
        </is>
      </c>
      <c r="I603" s="9" t="inlineStr">
        <is>
          <t xml:space="preserve">Конкевич Валентин Юрьевич </t>
        </is>
      </c>
      <c r="J603" s="9" t="n"/>
      <c r="K603" s="9" t="n"/>
      <c r="L603" s="9" t="n"/>
      <c r="M603" s="12">
        <f>SUMIFS($E$2:$E$1130,$A$2:$A$1130,"осень",$I$2:$I$1130,I603)</f>
        <v/>
      </c>
      <c r="N603" s="13">
        <f>SUMIFS($E$2:$E$1130,$A$2:$A$1130,"весна",$I$2:$I$1130,I603)</f>
        <v/>
      </c>
      <c r="O603" s="14">
        <f>M603+N603</f>
        <v/>
      </c>
      <c r="P603" s="15">
        <f>O603/$P$1</f>
        <v/>
      </c>
    </row>
    <row r="604" ht="15.75" customHeight="1" s="2">
      <c r="A604" s="32" t="inlineStr">
        <is>
          <t>весна</t>
        </is>
      </c>
      <c r="B604" s="9" t="inlineStr">
        <is>
          <t>Металлургия конструкционных материалов из гранулируемых сплавов</t>
        </is>
      </c>
      <c r="C604" s="9" t="inlineStr">
        <is>
          <t>Экзамен</t>
        </is>
      </c>
      <c r="D604" s="9" t="inlineStr">
        <is>
          <t>Т11О-202М-19</t>
        </is>
      </c>
      <c r="E604" s="10" t="n">
        <v>3</v>
      </c>
      <c r="F604" s="9" t="inlineStr">
        <is>
          <t>07987</t>
        </is>
      </c>
      <c r="G604" s="11" t="n">
        <v>0</v>
      </c>
      <c r="H604" s="9" t="inlineStr">
        <is>
          <t xml:space="preserve">87438     </t>
        </is>
      </c>
      <c r="I604" s="9" t="inlineStr">
        <is>
          <t xml:space="preserve">Конкевич Валентин Юрьевич </t>
        </is>
      </c>
      <c r="J604" s="9" t="n"/>
      <c r="K604" s="9" t="n"/>
      <c r="L604" s="9" t="n"/>
      <c r="M604" s="12">
        <f>SUMIFS($E$2:$E$1130,$A$2:$A$1130,"осень",$I$2:$I$1130,I604)</f>
        <v/>
      </c>
      <c r="N604" s="13">
        <f>SUMIFS($E$2:$E$1130,$A$2:$A$1130,"весна",$I$2:$I$1130,I604)</f>
        <v/>
      </c>
      <c r="O604" s="14">
        <f>M604+N604</f>
        <v/>
      </c>
      <c r="P604" s="15">
        <f>O604/$P$1</f>
        <v/>
      </c>
    </row>
    <row r="605" ht="15.75" customHeight="1" s="2">
      <c r="A605" s="32" t="inlineStr">
        <is>
          <t>весна</t>
        </is>
      </c>
      <c r="B605" s="9" t="inlineStr">
        <is>
          <t>Металлургия конструкционных материалов из гранулируемых сплавов</t>
        </is>
      </c>
      <c r="C605" s="9" t="inlineStr">
        <is>
          <t>Экзамен</t>
        </is>
      </c>
      <c r="D605" s="9" t="inlineStr">
        <is>
          <t>Т11О-203М-19</t>
        </is>
      </c>
      <c r="E605" s="10" t="n">
        <v>4</v>
      </c>
      <c r="F605" s="9" t="inlineStr">
        <is>
          <t>07987</t>
        </is>
      </c>
      <c r="G605" s="11" t="n">
        <v>0</v>
      </c>
      <c r="H605" s="9" t="inlineStr">
        <is>
          <t xml:space="preserve">87438     </t>
        </is>
      </c>
      <c r="I605" s="9" t="inlineStr">
        <is>
          <t xml:space="preserve">Конкевич Валентин Юрьевич </t>
        </is>
      </c>
      <c r="J605" s="9" t="n"/>
      <c r="K605" s="9" t="n"/>
      <c r="L605" s="9" t="n"/>
      <c r="M605" s="12">
        <f>SUMIFS($E$2:$E$1130,$A$2:$A$1130,"осень",$I$2:$I$1130,I605)</f>
        <v/>
      </c>
      <c r="N605" s="13">
        <f>SUMIFS($E$2:$E$1130,$A$2:$A$1130,"весна",$I$2:$I$1130,I605)</f>
        <v/>
      </c>
      <c r="O605" s="14">
        <f>M605+N605</f>
        <v/>
      </c>
      <c r="P605" s="15">
        <f>O605/$P$1</f>
        <v/>
      </c>
    </row>
    <row r="606" ht="15.75" customHeight="1" s="2">
      <c r="A606" s="32" t="inlineStr">
        <is>
          <t>весна</t>
        </is>
      </c>
      <c r="B606" s="9" t="inlineStr">
        <is>
          <t>Металлургия конструкционных материалов из гранулируемых сплавов</t>
        </is>
      </c>
      <c r="C606" s="9" t="inlineStr">
        <is>
          <t>Экзамен</t>
        </is>
      </c>
      <c r="D606" s="9" t="inlineStr">
        <is>
          <t>Т11О-204М-19</t>
        </is>
      </c>
      <c r="E606" s="10" t="n">
        <v>5</v>
      </c>
      <c r="F606" s="9" t="inlineStr">
        <is>
          <t>07987</t>
        </is>
      </c>
      <c r="G606" s="11" t="n">
        <v>0</v>
      </c>
      <c r="H606" s="9" t="inlineStr">
        <is>
          <t xml:space="preserve">87438     </t>
        </is>
      </c>
      <c r="I606" s="9" t="inlineStr">
        <is>
          <t xml:space="preserve">Конкевич Валентин Юрьевич </t>
        </is>
      </c>
      <c r="J606" s="9" t="n"/>
      <c r="K606" s="9" t="n"/>
      <c r="L606" s="9" t="n"/>
      <c r="M606" s="12">
        <f>SUMIFS($E$2:$E$1130,$A$2:$A$1130,"осень",$I$2:$I$1130,I606)</f>
        <v/>
      </c>
      <c r="N606" s="13">
        <f>SUMIFS($E$2:$E$1130,$A$2:$A$1130,"весна",$I$2:$I$1130,I606)</f>
        <v/>
      </c>
      <c r="O606" s="14">
        <f>M606+N606</f>
        <v/>
      </c>
      <c r="P606" s="15">
        <f>O606/$P$1</f>
        <v/>
      </c>
    </row>
    <row r="607" ht="15.75" customHeight="1" s="2">
      <c r="A607" s="32" t="inlineStr">
        <is>
          <t>весна</t>
        </is>
      </c>
      <c r="B607" s="9" t="inlineStr">
        <is>
          <t>Металлургия конструкционных материалов из гранулируемых сплавов</t>
        </is>
      </c>
      <c r="C607" s="9" t="inlineStr">
        <is>
          <t>Консультация</t>
        </is>
      </c>
      <c r="D607" s="9" t="inlineStr">
        <is>
          <t>Т11О-201М-19</t>
        </is>
      </c>
      <c r="E607" s="10" t="n">
        <v>3</v>
      </c>
      <c r="F607" s="9" t="inlineStr">
        <is>
          <t>07987</t>
        </is>
      </c>
      <c r="G607" s="11" t="n">
        <v>0</v>
      </c>
      <c r="H607" s="9" t="inlineStr">
        <is>
          <t xml:space="preserve">87438     </t>
        </is>
      </c>
      <c r="I607" s="9" t="inlineStr">
        <is>
          <t xml:space="preserve">Конкевич Валентин Юрьевич </t>
        </is>
      </c>
      <c r="J607" s="9" t="n"/>
      <c r="K607" s="9" t="n"/>
      <c r="L607" s="9" t="n"/>
      <c r="M607" s="12">
        <f>SUMIFS($E$2:$E$1130,$A$2:$A$1130,"осень",$I$2:$I$1130,I607)</f>
        <v/>
      </c>
      <c r="N607" s="13">
        <f>SUMIFS($E$2:$E$1130,$A$2:$A$1130,"весна",$I$2:$I$1130,I607)</f>
        <v/>
      </c>
      <c r="O607" s="14">
        <f>M607+N607</f>
        <v/>
      </c>
      <c r="P607" s="15">
        <f>O607/$P$1</f>
        <v/>
      </c>
    </row>
    <row r="608" ht="15.75" customHeight="1" s="2">
      <c r="A608" s="32" t="inlineStr">
        <is>
          <t>весна</t>
        </is>
      </c>
      <c r="B608" s="9" t="inlineStr">
        <is>
          <t>Металлургия конструкционных материалов из гранулируемых сплавов</t>
        </is>
      </c>
      <c r="C608" s="9" t="inlineStr">
        <is>
          <t>Консультация</t>
        </is>
      </c>
      <c r="D608" s="9" t="inlineStr">
        <is>
          <t>Т11О-202М-19</t>
        </is>
      </c>
      <c r="E608" s="10" t="n">
        <v>3</v>
      </c>
      <c r="F608" s="9" t="inlineStr">
        <is>
          <t>07987</t>
        </is>
      </c>
      <c r="G608" s="11" t="n">
        <v>0</v>
      </c>
      <c r="H608" s="9" t="inlineStr">
        <is>
          <t xml:space="preserve">87438     </t>
        </is>
      </c>
      <c r="I608" s="9" t="inlineStr">
        <is>
          <t xml:space="preserve">Конкевич Валентин Юрьевич </t>
        </is>
      </c>
      <c r="J608" s="9" t="n"/>
      <c r="K608" s="9" t="n"/>
      <c r="L608" s="9" t="n"/>
      <c r="M608" s="12">
        <f>SUMIFS($E$2:$E$1130,$A$2:$A$1130,"осень",$I$2:$I$1130,I608)</f>
        <v/>
      </c>
      <c r="N608" s="13">
        <f>SUMIFS($E$2:$E$1130,$A$2:$A$1130,"весна",$I$2:$I$1130,I608)</f>
        <v/>
      </c>
      <c r="O608" s="14">
        <f>M608+N608</f>
        <v/>
      </c>
      <c r="P608" s="15">
        <f>O608/$P$1</f>
        <v/>
      </c>
    </row>
    <row r="609" ht="15.75" customHeight="1" s="2">
      <c r="A609" s="32" t="inlineStr">
        <is>
          <t>весна</t>
        </is>
      </c>
      <c r="B609" s="9" t="inlineStr">
        <is>
          <t>Металлургия конструкционных материалов из гранулируемых сплавов</t>
        </is>
      </c>
      <c r="C609" s="9" t="inlineStr">
        <is>
          <t>Консультация</t>
        </is>
      </c>
      <c r="D609" s="9" t="inlineStr">
        <is>
          <t>Т11О-203М-19</t>
        </is>
      </c>
      <c r="E609" s="10" t="n">
        <v>3</v>
      </c>
      <c r="F609" s="9" t="inlineStr">
        <is>
          <t>07987</t>
        </is>
      </c>
      <c r="G609" s="11" t="n">
        <v>0</v>
      </c>
      <c r="H609" s="9" t="inlineStr">
        <is>
          <t xml:space="preserve">87438     </t>
        </is>
      </c>
      <c r="I609" s="9" t="inlineStr">
        <is>
          <t xml:space="preserve">Конкевич Валентин Юрьевич </t>
        </is>
      </c>
      <c r="J609" s="9" t="n"/>
      <c r="K609" s="9" t="n"/>
      <c r="L609" s="9" t="n"/>
      <c r="M609" s="12">
        <f>SUMIFS($E$2:$E$1130,$A$2:$A$1130,"осень",$I$2:$I$1130,I609)</f>
        <v/>
      </c>
      <c r="N609" s="13">
        <f>SUMIFS($E$2:$E$1130,$A$2:$A$1130,"весна",$I$2:$I$1130,I609)</f>
        <v/>
      </c>
      <c r="O609" s="14">
        <f>M609+N609</f>
        <v/>
      </c>
      <c r="P609" s="15">
        <f>O609/$P$1</f>
        <v/>
      </c>
    </row>
    <row r="610" ht="15.75" customHeight="1" s="2">
      <c r="A610" s="32" t="inlineStr">
        <is>
          <t>весна</t>
        </is>
      </c>
      <c r="B610" s="9" t="inlineStr">
        <is>
          <t>Металлургия конструкционных материалов из гранулируемых сплавов</t>
        </is>
      </c>
      <c r="C610" s="9" t="inlineStr">
        <is>
          <t>Консультация</t>
        </is>
      </c>
      <c r="D610" s="9" t="inlineStr">
        <is>
          <t>Т11О-204М-19</t>
        </is>
      </c>
      <c r="E610" s="10" t="n">
        <v>3</v>
      </c>
      <c r="F610" s="9" t="inlineStr">
        <is>
          <t>07987</t>
        </is>
      </c>
      <c r="G610" s="11" t="n">
        <v>0</v>
      </c>
      <c r="H610" s="9" t="inlineStr">
        <is>
          <t xml:space="preserve">87438     </t>
        </is>
      </c>
      <c r="I610" s="9" t="inlineStr">
        <is>
          <t xml:space="preserve">Конкевич Валентин Юрьевич </t>
        </is>
      </c>
      <c r="J610" s="9" t="n"/>
      <c r="K610" s="9" t="n"/>
      <c r="L610" s="9" t="n"/>
      <c r="M610" s="12">
        <f>SUMIFS($E$2:$E$1130,$A$2:$A$1130,"осень",$I$2:$I$1130,I610)</f>
        <v/>
      </c>
      <c r="N610" s="13">
        <f>SUMIFS($E$2:$E$1130,$A$2:$A$1130,"весна",$I$2:$I$1130,I610)</f>
        <v/>
      </c>
      <c r="O610" s="14">
        <f>M610+N610</f>
        <v/>
      </c>
      <c r="P610" s="15">
        <f>O610/$P$1</f>
        <v/>
      </c>
    </row>
    <row r="611" ht="15.75" customHeight="1" s="2">
      <c r="A611" s="32" t="inlineStr">
        <is>
          <t>весна</t>
        </is>
      </c>
      <c r="B611" s="9" t="inlineStr">
        <is>
          <t>Оборудование и технологии аддитивного производства</t>
        </is>
      </c>
      <c r="C611" s="9" t="inlineStr">
        <is>
          <t>ЛК</t>
        </is>
      </c>
      <c r="D611" s="9" t="inlineStr">
        <is>
          <t>М9О-204М-19</t>
        </is>
      </c>
      <c r="E611" s="10" t="n">
        <v>18</v>
      </c>
      <c r="F611" s="9" t="inlineStr">
        <is>
          <t>12598</t>
        </is>
      </c>
      <c r="G611" s="10" t="n">
        <v>18</v>
      </c>
      <c r="H611" s="9" t="inlineStr">
        <is>
          <t xml:space="preserve">89068     </t>
        </is>
      </c>
      <c r="I611" s="9" t="inlineStr">
        <is>
          <t xml:space="preserve">Петров Игорь Алексеевич </t>
        </is>
      </c>
      <c r="J611" s="9" t="inlineStr">
        <is>
          <t>доцент</t>
        </is>
      </c>
      <c r="K611" s="9" t="n"/>
      <c r="L611" s="9" t="n"/>
      <c r="M611" s="12">
        <f>SUMIFS($E$2:$E$1130,$A$2:$A$1130,"осень",$I$2:$I$1130,I611)</f>
        <v/>
      </c>
      <c r="N611" s="13">
        <f>SUMIFS($E$2:$E$1130,$A$2:$A$1130,"весна",$I$2:$I$1130,I611)</f>
        <v/>
      </c>
      <c r="O611" s="14">
        <f>M611+N611</f>
        <v/>
      </c>
      <c r="P611" s="15">
        <f>O611/$P$1</f>
        <v/>
      </c>
    </row>
    <row r="612" ht="15.75" customHeight="1" s="2">
      <c r="A612" s="32" t="inlineStr">
        <is>
          <t>весна</t>
        </is>
      </c>
      <c r="B612" s="9" t="inlineStr">
        <is>
          <t>Оборудование и технологии аддитивного производства</t>
        </is>
      </c>
      <c r="C612" s="9" t="inlineStr">
        <is>
          <t>ПЗ</t>
        </is>
      </c>
      <c r="D612" s="9" t="inlineStr">
        <is>
          <t>М9О-204М-19</t>
        </is>
      </c>
      <c r="E612" s="10" t="n">
        <v>46</v>
      </c>
      <c r="F612" s="9" t="inlineStr">
        <is>
          <t>12598</t>
        </is>
      </c>
      <c r="G612" s="10" t="n">
        <v>46</v>
      </c>
      <c r="H612" s="21" t="n"/>
      <c r="I612" s="21" t="inlineStr">
        <is>
          <t>Шляпцева Анастасия Дмитриевна</t>
        </is>
      </c>
      <c r="J612" s="21" t="n"/>
      <c r="K612" s="9" t="n"/>
      <c r="L612" s="9" t="n"/>
      <c r="M612" s="12">
        <f>SUMIFS($E$2:$E$1130,$A$2:$A$1130,"осень",$I$2:$I$1130,I612)</f>
        <v/>
      </c>
      <c r="N612" s="13">
        <f>SUMIFS($E$2:$E$1130,$A$2:$A$1130,"весна",$I$2:$I$1130,I612)</f>
        <v/>
      </c>
      <c r="O612" s="14">
        <f>M612+N612</f>
        <v/>
      </c>
      <c r="P612" s="15">
        <f>O612/$P$1</f>
        <v/>
      </c>
    </row>
    <row r="613" ht="15.75" customHeight="1" s="2">
      <c r="A613" s="32" t="inlineStr">
        <is>
          <t>весна</t>
        </is>
      </c>
      <c r="B613" s="9" t="inlineStr">
        <is>
          <t>Оборудование и технологии аддитивного производства</t>
        </is>
      </c>
      <c r="C613" s="9" t="inlineStr">
        <is>
          <t>Экзамен</t>
        </is>
      </c>
      <c r="D613" s="9" t="inlineStr">
        <is>
          <t>М9О-204М-19</t>
        </is>
      </c>
      <c r="E613" s="10" t="n">
        <v>4</v>
      </c>
      <c r="F613" s="9" t="inlineStr">
        <is>
          <t>12598</t>
        </is>
      </c>
      <c r="G613" s="11" t="n">
        <v>0</v>
      </c>
      <c r="H613" s="9" t="inlineStr">
        <is>
          <t xml:space="preserve">89068     </t>
        </is>
      </c>
      <c r="I613" s="9" t="inlineStr">
        <is>
          <t xml:space="preserve">Петров Игорь Алексеевич </t>
        </is>
      </c>
      <c r="J613" s="9" t="inlineStr">
        <is>
          <t>доцент</t>
        </is>
      </c>
      <c r="K613" s="9" t="n"/>
      <c r="L613" s="9" t="n"/>
      <c r="M613" s="12">
        <f>SUMIFS($E$2:$E$1130,$A$2:$A$1130,"осень",$I$2:$I$1130,I613)</f>
        <v/>
      </c>
      <c r="N613" s="13">
        <f>SUMIFS($E$2:$E$1130,$A$2:$A$1130,"весна",$I$2:$I$1130,I613)</f>
        <v/>
      </c>
      <c r="O613" s="14">
        <f>M613+N613</f>
        <v/>
      </c>
      <c r="P613" s="15">
        <f>O613/$P$1</f>
        <v/>
      </c>
    </row>
    <row r="614" ht="15.75" customHeight="1" s="2">
      <c r="A614" s="32" t="inlineStr">
        <is>
          <t>весна</t>
        </is>
      </c>
      <c r="B614" s="9" t="inlineStr">
        <is>
          <t>Оборудование и технологии аддитивного производства</t>
        </is>
      </c>
      <c r="C614" s="9" t="inlineStr">
        <is>
          <t>Консультация</t>
        </is>
      </c>
      <c r="D614" s="9" t="inlineStr">
        <is>
          <t>М9О-204М-19</t>
        </is>
      </c>
      <c r="E614" s="10" t="n">
        <v>3</v>
      </c>
      <c r="F614" s="9" t="inlineStr">
        <is>
          <t>12598</t>
        </is>
      </c>
      <c r="G614" s="11" t="n">
        <v>0</v>
      </c>
      <c r="H614" s="9" t="inlineStr">
        <is>
          <t xml:space="preserve">89068     </t>
        </is>
      </c>
      <c r="I614" s="9" t="inlineStr">
        <is>
          <t xml:space="preserve">Петров Игорь Алексеевич </t>
        </is>
      </c>
      <c r="J614" s="9" t="inlineStr">
        <is>
          <t>доцент</t>
        </is>
      </c>
      <c r="K614" s="9" t="n"/>
      <c r="L614" s="9" t="n"/>
      <c r="M614" s="12">
        <f>SUMIFS($E$2:$E$1130,$A$2:$A$1130,"осень",$I$2:$I$1130,I614)</f>
        <v/>
      </c>
      <c r="N614" s="13">
        <f>SUMIFS($E$2:$E$1130,$A$2:$A$1130,"весна",$I$2:$I$1130,I614)</f>
        <v/>
      </c>
      <c r="O614" s="14">
        <f>M614+N614</f>
        <v/>
      </c>
      <c r="P614" s="15">
        <f>O614/$P$1</f>
        <v/>
      </c>
    </row>
    <row r="615" ht="15.75" customHeight="1" s="2">
      <c r="A615" s="32" t="inlineStr">
        <is>
          <t>весна</t>
        </is>
      </c>
      <c r="B615" s="9" t="inlineStr">
        <is>
          <t>Моделирование и информационные технологии процессов аддитивного производства</t>
        </is>
      </c>
      <c r="C615" s="9" t="inlineStr">
        <is>
          <t>ЛК</t>
        </is>
      </c>
      <c r="D615" s="9" t="inlineStr">
        <is>
          <t>М9О-204М-19</t>
        </is>
      </c>
      <c r="E615" s="10" t="n">
        <v>18</v>
      </c>
      <c r="F615" s="9" t="inlineStr">
        <is>
          <t>12598</t>
        </is>
      </c>
      <c r="G615" s="10" t="n">
        <v>18</v>
      </c>
      <c r="H615" s="9" t="inlineStr">
        <is>
          <t xml:space="preserve">81720     </t>
        </is>
      </c>
      <c r="I615" s="9" t="inlineStr">
        <is>
          <t xml:space="preserve">Палтиевич Андрей Романович </t>
        </is>
      </c>
      <c r="J615" s="9" t="n"/>
      <c r="K615" s="9" t="n"/>
      <c r="L615" s="9" t="n"/>
      <c r="M615" s="12">
        <f>SUMIFS($E$2:$E$1130,$A$2:$A$1130,"осень",$I$2:$I$1130,I615)</f>
        <v/>
      </c>
      <c r="N615" s="13">
        <f>SUMIFS($E$2:$E$1130,$A$2:$A$1130,"весна",$I$2:$I$1130,I615)</f>
        <v/>
      </c>
      <c r="O615" s="14">
        <f>M615+N615</f>
        <v/>
      </c>
      <c r="P615" s="15">
        <f>O615/$P$1</f>
        <v/>
      </c>
    </row>
    <row r="616" ht="15.75" customHeight="1" s="2">
      <c r="A616" s="32" t="inlineStr">
        <is>
          <t>весна</t>
        </is>
      </c>
      <c r="B616" s="9" t="inlineStr">
        <is>
          <t>Моделирование и информационные технологии процессов аддитивного производства</t>
        </is>
      </c>
      <c r="C616" s="9" t="inlineStr">
        <is>
          <t>ПЗ</t>
        </is>
      </c>
      <c r="D616" s="9" t="inlineStr">
        <is>
          <t>М9О-204М-19</t>
        </is>
      </c>
      <c r="E616" s="10" t="n">
        <v>46</v>
      </c>
      <c r="F616" s="9" t="inlineStr">
        <is>
          <t>12598</t>
        </is>
      </c>
      <c r="G616" s="10" t="n">
        <v>46</v>
      </c>
      <c r="H616" s="9" t="inlineStr">
        <is>
          <t xml:space="preserve">81720     </t>
        </is>
      </c>
      <c r="I616" s="9" t="inlineStr">
        <is>
          <t xml:space="preserve">Палтиевич Андрей Романович </t>
        </is>
      </c>
      <c r="J616" s="9" t="n"/>
      <c r="K616" s="9" t="n"/>
      <c r="L616" s="9" t="n"/>
      <c r="M616" s="12">
        <f>SUMIFS($E$2:$E$1130,$A$2:$A$1130,"осень",$I$2:$I$1130,I616)</f>
        <v/>
      </c>
      <c r="N616" s="13">
        <f>SUMIFS($E$2:$E$1130,$A$2:$A$1130,"весна",$I$2:$I$1130,I616)</f>
        <v/>
      </c>
      <c r="O616" s="14">
        <f>M616+N616</f>
        <v/>
      </c>
      <c r="P616" s="15">
        <f>O616/$P$1</f>
        <v/>
      </c>
    </row>
    <row r="617" ht="15.75" customHeight="1" s="2">
      <c r="A617" s="32" t="inlineStr">
        <is>
          <t>весна</t>
        </is>
      </c>
      <c r="B617" s="9" t="inlineStr">
        <is>
          <t>Моделирование и информационные технологии процессов аддитивного производства</t>
        </is>
      </c>
      <c r="C617" s="9" t="inlineStr">
        <is>
          <t>Экзамен</t>
        </is>
      </c>
      <c r="D617" s="9" t="inlineStr">
        <is>
          <t>М9О-204М-19</t>
        </is>
      </c>
      <c r="E617" s="10" t="n">
        <v>4</v>
      </c>
      <c r="F617" s="9" t="inlineStr">
        <is>
          <t>12598</t>
        </is>
      </c>
      <c r="G617" s="11" t="n">
        <v>0</v>
      </c>
      <c r="H617" s="9" t="inlineStr">
        <is>
          <t xml:space="preserve">81720     </t>
        </is>
      </c>
      <c r="I617" s="9" t="inlineStr">
        <is>
          <t xml:space="preserve">Палтиевич Андрей Романович </t>
        </is>
      </c>
      <c r="J617" s="9" t="n"/>
      <c r="K617" s="9" t="n"/>
      <c r="L617" s="9" t="n"/>
      <c r="M617" s="12">
        <f>SUMIFS($E$2:$E$1130,$A$2:$A$1130,"осень",$I$2:$I$1130,I617)</f>
        <v/>
      </c>
      <c r="N617" s="13">
        <f>SUMIFS($E$2:$E$1130,$A$2:$A$1130,"весна",$I$2:$I$1130,I617)</f>
        <v/>
      </c>
      <c r="O617" s="14">
        <f>M617+N617</f>
        <v/>
      </c>
      <c r="P617" s="15">
        <f>O617/$P$1</f>
        <v/>
      </c>
    </row>
    <row r="618" ht="15.75" customHeight="1" s="2">
      <c r="A618" s="32" t="inlineStr">
        <is>
          <t>весна</t>
        </is>
      </c>
      <c r="B618" s="9" t="inlineStr">
        <is>
          <t>Моделирование и информационные технологии процессов аддитивного производства</t>
        </is>
      </c>
      <c r="C618" s="9" t="inlineStr">
        <is>
          <t>Консультация</t>
        </is>
      </c>
      <c r="D618" s="9" t="inlineStr">
        <is>
          <t>М9О-204М-19</t>
        </is>
      </c>
      <c r="E618" s="10" t="n">
        <v>3</v>
      </c>
      <c r="F618" s="9" t="inlineStr">
        <is>
          <t>12598</t>
        </is>
      </c>
      <c r="G618" s="11" t="n">
        <v>0</v>
      </c>
      <c r="H618" s="9" t="inlineStr">
        <is>
          <t xml:space="preserve">81720     </t>
        </is>
      </c>
      <c r="I618" s="9" t="inlineStr">
        <is>
          <t xml:space="preserve">Палтиевич Андрей Романович </t>
        </is>
      </c>
      <c r="J618" s="9" t="n"/>
      <c r="K618" s="9" t="n"/>
      <c r="L618" s="9" t="n"/>
      <c r="M618" s="12">
        <f>SUMIFS($E$2:$E$1130,$A$2:$A$1130,"осень",$I$2:$I$1130,I618)</f>
        <v/>
      </c>
      <c r="N618" s="13">
        <f>SUMIFS($E$2:$E$1130,$A$2:$A$1130,"весна",$I$2:$I$1130,I618)</f>
        <v/>
      </c>
      <c r="O618" s="14">
        <f>M618+N618</f>
        <v/>
      </c>
      <c r="P618" s="15">
        <f>O618/$P$1</f>
        <v/>
      </c>
    </row>
    <row r="619" ht="15.75" customHeight="1" s="2">
      <c r="A619" s="32" t="inlineStr">
        <is>
          <t>весна</t>
        </is>
      </c>
      <c r="B619" s="9" t="inlineStr">
        <is>
          <t>Автоматизация управления жизненным циклом продукции</t>
        </is>
      </c>
      <c r="C619" s="9" t="inlineStr">
        <is>
          <t>ЛК</t>
        </is>
      </c>
      <c r="D619" s="9" t="inlineStr">
        <is>
          <t>Т1О-404Б-17</t>
        </is>
      </c>
      <c r="E619" s="10" t="n">
        <v>16</v>
      </c>
      <c r="F619" s="9" t="inlineStr">
        <is>
          <t>08770</t>
        </is>
      </c>
      <c r="G619" s="10" t="n">
        <v>16</v>
      </c>
      <c r="H619" s="9" t="inlineStr">
        <is>
          <t xml:space="preserve">81728     </t>
        </is>
      </c>
      <c r="I619" s="9" t="inlineStr">
        <is>
          <t xml:space="preserve">Галкин Виктор Иванович </t>
        </is>
      </c>
      <c r="J619" s="9" t="inlineStr">
        <is>
          <t>профессор</t>
        </is>
      </c>
      <c r="K619" s="9" t="n"/>
      <c r="L619" s="9" t="n"/>
      <c r="M619" s="12">
        <f>SUMIFS($E$2:$E$1130,$A$2:$A$1130,"осень",$I$2:$I$1130,I619)</f>
        <v/>
      </c>
      <c r="N619" s="13">
        <f>SUMIFS($E$2:$E$1130,$A$2:$A$1130,"весна",$I$2:$I$1130,I619)</f>
        <v/>
      </c>
      <c r="O619" s="14">
        <f>M619+N619</f>
        <v/>
      </c>
      <c r="P619" s="15">
        <f>O619/$P$1</f>
        <v/>
      </c>
    </row>
    <row r="620" ht="15.75" customHeight="1" s="2">
      <c r="A620" s="32" t="inlineStr">
        <is>
          <t>весна</t>
        </is>
      </c>
      <c r="B620" s="9" t="inlineStr">
        <is>
          <t>Автоматизация управления жизненным циклом продукции</t>
        </is>
      </c>
      <c r="C620" s="9" t="inlineStr">
        <is>
          <t>ПЗ</t>
        </is>
      </c>
      <c r="D620" s="9" t="inlineStr">
        <is>
          <t>Т1О-404Б-17</t>
        </is>
      </c>
      <c r="E620" s="10" t="n">
        <v>16</v>
      </c>
      <c r="F620" s="9" t="inlineStr">
        <is>
          <t>08770</t>
        </is>
      </c>
      <c r="G620" s="10" t="n">
        <v>16</v>
      </c>
      <c r="H620" s="9" t="inlineStr">
        <is>
          <t xml:space="preserve">81728     </t>
        </is>
      </c>
      <c r="I620" s="9" t="inlineStr">
        <is>
          <t xml:space="preserve">Галкин Виктор Иванович </t>
        </is>
      </c>
      <c r="J620" s="9" t="inlineStr">
        <is>
          <t>профессор</t>
        </is>
      </c>
      <c r="K620" s="9" t="n"/>
      <c r="L620" s="9" t="n"/>
      <c r="M620" s="12">
        <f>SUMIFS($E$2:$E$1130,$A$2:$A$1130,"осень",$I$2:$I$1130,I620)</f>
        <v/>
      </c>
      <c r="N620" s="13">
        <f>SUMIFS($E$2:$E$1130,$A$2:$A$1130,"весна",$I$2:$I$1130,I620)</f>
        <v/>
      </c>
      <c r="O620" s="14">
        <f>M620+N620</f>
        <v/>
      </c>
      <c r="P620" s="15">
        <f>O620/$P$1</f>
        <v/>
      </c>
    </row>
    <row r="621" ht="15.75" customHeight="1" s="2">
      <c r="A621" s="32" t="inlineStr">
        <is>
          <t>весна</t>
        </is>
      </c>
      <c r="B621" s="9" t="inlineStr">
        <is>
          <t>Автоматизация управления жизненным циклом продукции</t>
        </is>
      </c>
      <c r="C621" s="9" t="inlineStr">
        <is>
          <t>Зачет</t>
        </is>
      </c>
      <c r="D621" s="9" t="inlineStr">
        <is>
          <t>Т1О-404Б-17</t>
        </is>
      </c>
      <c r="E621" s="10" t="n">
        <v>8</v>
      </c>
      <c r="F621" s="9" t="inlineStr">
        <is>
          <t>08770</t>
        </is>
      </c>
      <c r="G621" s="11" t="n">
        <v>0</v>
      </c>
      <c r="H621" s="9" t="inlineStr">
        <is>
          <t xml:space="preserve">81728     </t>
        </is>
      </c>
      <c r="I621" s="9" t="inlineStr">
        <is>
          <t xml:space="preserve">Галкин Виктор Иванович </t>
        </is>
      </c>
      <c r="J621" s="9" t="inlineStr">
        <is>
          <t>профессор</t>
        </is>
      </c>
      <c r="K621" s="9" t="n"/>
      <c r="L621" s="9" t="n"/>
      <c r="M621" s="12">
        <f>SUMIFS($E$2:$E$1130,$A$2:$A$1130,"осень",$I$2:$I$1130,I621)</f>
        <v/>
      </c>
      <c r="N621" s="13">
        <f>SUMIFS($E$2:$E$1130,$A$2:$A$1130,"весна",$I$2:$I$1130,I621)</f>
        <v/>
      </c>
      <c r="O621" s="14">
        <f>M621+N621</f>
        <v/>
      </c>
      <c r="P621" s="15">
        <f>O621/$P$1</f>
        <v/>
      </c>
    </row>
    <row r="622" ht="15.75" customHeight="1" s="2">
      <c r="A622" s="32" t="inlineStr">
        <is>
          <t>весна</t>
        </is>
      </c>
      <c r="B622" s="9" t="inlineStr">
        <is>
          <t>Автоматизация управления жизненным циклом продукции</t>
        </is>
      </c>
      <c r="C622" s="9" t="inlineStr">
        <is>
          <t>Консультация</t>
        </is>
      </c>
      <c r="D622" s="9" t="inlineStr">
        <is>
          <t>Т1О-404Б-17</t>
        </is>
      </c>
      <c r="E622" s="10" t="n">
        <v>1</v>
      </c>
      <c r="F622" s="9" t="inlineStr">
        <is>
          <t>08770</t>
        </is>
      </c>
      <c r="G622" s="11" t="n">
        <v>0</v>
      </c>
      <c r="H622" s="9" t="inlineStr">
        <is>
          <t xml:space="preserve">81728     </t>
        </is>
      </c>
      <c r="I622" s="9" t="inlineStr">
        <is>
          <t xml:space="preserve">Галкин Виктор Иванович </t>
        </is>
      </c>
      <c r="J622" s="9" t="inlineStr">
        <is>
          <t>профессор</t>
        </is>
      </c>
      <c r="K622" s="9" t="n"/>
      <c r="L622" s="9" t="n"/>
      <c r="M622" s="12">
        <f>SUMIFS($E$2:$E$1130,$A$2:$A$1130,"осень",$I$2:$I$1130,I622)</f>
        <v/>
      </c>
      <c r="N622" s="13">
        <f>SUMIFS($E$2:$E$1130,$A$2:$A$1130,"весна",$I$2:$I$1130,I622)</f>
        <v/>
      </c>
      <c r="O622" s="14">
        <f>M622+N622</f>
        <v/>
      </c>
      <c r="P622" s="15">
        <f>O622/$P$1</f>
        <v/>
      </c>
    </row>
    <row r="623" ht="15.75" customHeight="1" s="2">
      <c r="A623" s="32" t="inlineStr">
        <is>
          <t>весна</t>
        </is>
      </c>
      <c r="B623" s="9" t="inlineStr">
        <is>
          <t>Вычислительные машины и сети</t>
        </is>
      </c>
      <c r="C623" s="9" t="inlineStr">
        <is>
          <t>ЛК</t>
        </is>
      </c>
      <c r="D623" s="9" t="inlineStr">
        <is>
          <t>Т11О-103Б-20</t>
        </is>
      </c>
      <c r="E623" s="10" t="n">
        <v>14</v>
      </c>
      <c r="F623" s="9" t="inlineStr">
        <is>
          <t>13288</t>
        </is>
      </c>
      <c r="G623" s="10" t="n">
        <v>14</v>
      </c>
      <c r="H623" s="9" t="inlineStr">
        <is>
          <t xml:space="preserve">81721     </t>
        </is>
      </c>
      <c r="I623" s="9" t="inlineStr">
        <is>
          <t xml:space="preserve">Преображенский Евгений Владимирович </t>
        </is>
      </c>
      <c r="J623" s="9" t="inlineStr">
        <is>
          <t>доцент</t>
        </is>
      </c>
      <c r="K623" s="9" t="n"/>
      <c r="L623" s="9" t="n"/>
      <c r="M623" s="12">
        <f>SUMIFS($E$2:$E$1130,$A$2:$A$1130,"осень",$I$2:$I$1130,I623)</f>
        <v/>
      </c>
      <c r="N623" s="13">
        <f>SUMIFS($E$2:$E$1130,$A$2:$A$1130,"весна",$I$2:$I$1130,I623)</f>
        <v/>
      </c>
      <c r="O623" s="14">
        <f>M623+N623</f>
        <v/>
      </c>
      <c r="P623" s="15">
        <f>O623/$P$1</f>
        <v/>
      </c>
    </row>
    <row r="624" ht="15.75" customHeight="1" s="2">
      <c r="A624" s="32" t="inlineStr">
        <is>
          <t>весна</t>
        </is>
      </c>
      <c r="B624" s="9" t="inlineStr">
        <is>
          <t>Вычислительные машины и сети</t>
        </is>
      </c>
      <c r="C624" s="9" t="inlineStr">
        <is>
          <t>ПЗ</t>
        </is>
      </c>
      <c r="D624" s="9" t="inlineStr">
        <is>
          <t>Т11О-103Б-20</t>
        </is>
      </c>
      <c r="E624" s="10" t="n">
        <v>16</v>
      </c>
      <c r="F624" s="9" t="inlineStr">
        <is>
          <t>13288</t>
        </is>
      </c>
      <c r="G624" s="10" t="n">
        <v>16</v>
      </c>
      <c r="H624" s="9" t="inlineStr">
        <is>
          <t xml:space="preserve">81721     </t>
        </is>
      </c>
      <c r="I624" s="9" t="inlineStr">
        <is>
          <t xml:space="preserve">Преображенский Евгений Владимирович </t>
        </is>
      </c>
      <c r="J624" s="9" t="inlineStr">
        <is>
          <t>доцент</t>
        </is>
      </c>
      <c r="K624" s="9" t="n"/>
      <c r="L624" s="9" t="n"/>
      <c r="M624" s="12">
        <f>SUMIFS($E$2:$E$1130,$A$2:$A$1130,"осень",$I$2:$I$1130,I624)</f>
        <v/>
      </c>
      <c r="N624" s="13">
        <f>SUMIFS($E$2:$E$1130,$A$2:$A$1130,"весна",$I$2:$I$1130,I624)</f>
        <v/>
      </c>
      <c r="O624" s="14">
        <f>M624+N624</f>
        <v/>
      </c>
      <c r="P624" s="15">
        <f>O624/$P$1</f>
        <v/>
      </c>
    </row>
    <row r="625" ht="15.75" customHeight="1" s="2">
      <c r="A625" s="32" t="inlineStr">
        <is>
          <t>весна</t>
        </is>
      </c>
      <c r="B625" s="9" t="inlineStr">
        <is>
          <t>Вычислительные машины и сети</t>
        </is>
      </c>
      <c r="C625" s="9" t="inlineStr">
        <is>
          <t>Зачет</t>
        </is>
      </c>
      <c r="D625" s="9" t="inlineStr">
        <is>
          <t>Т11О-103Б-20</t>
        </is>
      </c>
      <c r="E625" s="10" t="n">
        <v>5</v>
      </c>
      <c r="F625" s="9" t="inlineStr">
        <is>
          <t>13288</t>
        </is>
      </c>
      <c r="G625" s="11" t="n">
        <v>0</v>
      </c>
      <c r="H625" s="9" t="inlineStr">
        <is>
          <t xml:space="preserve">81721     </t>
        </is>
      </c>
      <c r="I625" s="9" t="inlineStr">
        <is>
          <t xml:space="preserve">Преображенский Евгений Владимирович </t>
        </is>
      </c>
      <c r="J625" s="9" t="inlineStr">
        <is>
          <t>доцент</t>
        </is>
      </c>
      <c r="K625" s="9" t="n"/>
      <c r="L625" s="9" t="n"/>
      <c r="M625" s="12">
        <f>SUMIFS($E$2:$E$1130,$A$2:$A$1130,"осень",$I$2:$I$1130,I625)</f>
        <v/>
      </c>
      <c r="N625" s="13">
        <f>SUMIFS($E$2:$E$1130,$A$2:$A$1130,"весна",$I$2:$I$1130,I625)</f>
        <v/>
      </c>
      <c r="O625" s="14">
        <f>M625+N625</f>
        <v/>
      </c>
      <c r="P625" s="15">
        <f>O625/$P$1</f>
        <v/>
      </c>
    </row>
    <row r="626" ht="15.75" customHeight="1" s="2">
      <c r="A626" s="32" t="inlineStr">
        <is>
          <t>весна</t>
        </is>
      </c>
      <c r="B626" s="9" t="inlineStr">
        <is>
          <t>Вычислительные машины и сети</t>
        </is>
      </c>
      <c r="C626" s="9" t="inlineStr">
        <is>
          <t>Консультация</t>
        </is>
      </c>
      <c r="D626" s="9" t="inlineStr">
        <is>
          <t>Т11О-103Б-20</t>
        </is>
      </c>
      <c r="E626" s="10" t="n">
        <v>1</v>
      </c>
      <c r="F626" s="9" t="inlineStr">
        <is>
          <t>13288</t>
        </is>
      </c>
      <c r="G626" s="11" t="n">
        <v>0</v>
      </c>
      <c r="H626" s="9" t="inlineStr">
        <is>
          <t xml:space="preserve">81721     </t>
        </is>
      </c>
      <c r="I626" s="9" t="inlineStr">
        <is>
          <t xml:space="preserve">Преображенский Евгений Владимирович </t>
        </is>
      </c>
      <c r="J626" s="9" t="inlineStr">
        <is>
          <t>доцент</t>
        </is>
      </c>
      <c r="K626" s="9" t="n"/>
      <c r="L626" s="9" t="n"/>
      <c r="M626" s="12">
        <f>SUMIFS($E$2:$E$1130,$A$2:$A$1130,"осень",$I$2:$I$1130,I626)</f>
        <v/>
      </c>
      <c r="N626" s="13">
        <f>SUMIFS($E$2:$E$1130,$A$2:$A$1130,"весна",$I$2:$I$1130,I626)</f>
        <v/>
      </c>
      <c r="O626" s="14">
        <f>M626+N626</f>
        <v/>
      </c>
      <c r="P626" s="15">
        <f>O626/$P$1</f>
        <v/>
      </c>
    </row>
    <row r="627" ht="15.75" customHeight="1" s="2">
      <c r="A627" s="32" t="inlineStr">
        <is>
          <t>весна</t>
        </is>
      </c>
      <c r="B627" s="9" t="inlineStr">
        <is>
          <t>Контроль качества отливок</t>
        </is>
      </c>
      <c r="C627" s="9" t="inlineStr">
        <is>
          <t>ЛК</t>
        </is>
      </c>
      <c r="D627" s="9" t="inlineStr">
        <is>
          <t>Т11О-102М-20</t>
        </is>
      </c>
      <c r="E627" s="10" t="n">
        <v>18</v>
      </c>
      <c r="F627" s="9" t="inlineStr">
        <is>
          <t>06201</t>
        </is>
      </c>
      <c r="G627" s="10" t="n">
        <v>18</v>
      </c>
      <c r="H627" s="9" t="inlineStr">
        <is>
          <t xml:space="preserve">82020     </t>
        </is>
      </c>
      <c r="I627" s="9" t="inlineStr">
        <is>
          <t xml:space="preserve">Варфоломеев Максим Сергеевич </t>
        </is>
      </c>
      <c r="J627" s="9" t="inlineStr">
        <is>
          <t>доцент</t>
        </is>
      </c>
      <c r="K627" s="9" t="n"/>
      <c r="L627" s="9" t="n"/>
      <c r="M627" s="12">
        <f>SUMIFS($E$2:$E$1130,$A$2:$A$1130,"осень",$I$2:$I$1130,I627)</f>
        <v/>
      </c>
      <c r="N627" s="13">
        <f>SUMIFS($E$2:$E$1130,$A$2:$A$1130,"весна",$I$2:$I$1130,I627)</f>
        <v/>
      </c>
      <c r="O627" s="14">
        <f>M627+N627</f>
        <v/>
      </c>
      <c r="P627" s="15">
        <f>O627/$P$1</f>
        <v/>
      </c>
    </row>
    <row r="628" ht="15.75" customHeight="1" s="2">
      <c r="A628" s="32" t="inlineStr">
        <is>
          <t>весна</t>
        </is>
      </c>
      <c r="B628" s="9" t="inlineStr">
        <is>
          <t>Контроль качества отливок</t>
        </is>
      </c>
      <c r="C628" s="9" t="inlineStr">
        <is>
          <t>Зачет с оценкой</t>
        </is>
      </c>
      <c r="D628" s="9" t="inlineStr">
        <is>
          <t>Т11О-102М-20</t>
        </is>
      </c>
      <c r="E628" s="10" t="n">
        <v>2</v>
      </c>
      <c r="F628" s="9" t="inlineStr">
        <is>
          <t>06201</t>
        </is>
      </c>
      <c r="G628" s="11" t="n">
        <v>0</v>
      </c>
      <c r="H628" s="9" t="inlineStr">
        <is>
          <t xml:space="preserve">82020     </t>
        </is>
      </c>
      <c r="I628" s="9" t="inlineStr">
        <is>
          <t xml:space="preserve">Варфоломеев Максим Сергеевич </t>
        </is>
      </c>
      <c r="J628" s="9" t="inlineStr">
        <is>
          <t>доцент</t>
        </is>
      </c>
      <c r="K628" s="9" t="n"/>
      <c r="L628" s="9" t="n"/>
      <c r="M628" s="12">
        <f>SUMIFS($E$2:$E$1130,$A$2:$A$1130,"осень",$I$2:$I$1130,I628)</f>
        <v/>
      </c>
      <c r="N628" s="13">
        <f>SUMIFS($E$2:$E$1130,$A$2:$A$1130,"весна",$I$2:$I$1130,I628)</f>
        <v/>
      </c>
      <c r="O628" s="14">
        <f>M628+N628</f>
        <v/>
      </c>
      <c r="P628" s="15">
        <f>O628/$P$1</f>
        <v/>
      </c>
    </row>
    <row r="629" ht="15.75" customHeight="1" s="2">
      <c r="A629" s="32" t="inlineStr">
        <is>
          <t>весна</t>
        </is>
      </c>
      <c r="B629" s="9" t="inlineStr">
        <is>
          <t>Контроль качества отливок</t>
        </is>
      </c>
      <c r="C629" s="9" t="inlineStr">
        <is>
          <t>ПЗ</t>
        </is>
      </c>
      <c r="D629" s="9" t="inlineStr">
        <is>
          <t>Т11О-102М-20</t>
        </is>
      </c>
      <c r="E629" s="10" t="n">
        <v>34</v>
      </c>
      <c r="F629" s="9" t="inlineStr">
        <is>
          <t>06201</t>
        </is>
      </c>
      <c r="G629" s="10" t="n">
        <v>34</v>
      </c>
      <c r="H629" s="9" t="inlineStr">
        <is>
          <t xml:space="preserve">82020     </t>
        </is>
      </c>
      <c r="I629" s="9" t="inlineStr">
        <is>
          <t xml:space="preserve">Варфоломеев Максим Сергеевич </t>
        </is>
      </c>
      <c r="J629" s="9" t="inlineStr">
        <is>
          <t>доцент</t>
        </is>
      </c>
      <c r="K629" s="9" t="n"/>
      <c r="L629" s="9" t="n"/>
      <c r="M629" s="12">
        <f>SUMIFS($E$2:$E$1130,$A$2:$A$1130,"осень",$I$2:$I$1130,I629)</f>
        <v/>
      </c>
      <c r="N629" s="13">
        <f>SUMIFS($E$2:$E$1130,$A$2:$A$1130,"весна",$I$2:$I$1130,I629)</f>
        <v/>
      </c>
      <c r="O629" s="14">
        <f>M629+N629</f>
        <v/>
      </c>
      <c r="P629" s="15">
        <f>O629/$P$1</f>
        <v/>
      </c>
    </row>
    <row r="630" ht="15.75" customHeight="1" s="2">
      <c r="A630" s="32" t="inlineStr">
        <is>
          <t>весна</t>
        </is>
      </c>
      <c r="B630" s="9" t="inlineStr">
        <is>
          <t>Контроль качества отливок</t>
        </is>
      </c>
      <c r="C630" s="9" t="inlineStr">
        <is>
          <t>ЛР</t>
        </is>
      </c>
      <c r="D630" s="9" t="inlineStr">
        <is>
          <t>Т11О-102М-20</t>
        </is>
      </c>
      <c r="E630" s="10" t="n">
        <v>16</v>
      </c>
      <c r="F630" s="9" t="inlineStr">
        <is>
          <t>06201</t>
        </is>
      </c>
      <c r="G630" s="10" t="n">
        <v>16</v>
      </c>
      <c r="H630" s="9" t="inlineStr">
        <is>
          <t xml:space="preserve">82020     </t>
        </is>
      </c>
      <c r="I630" s="9" t="inlineStr">
        <is>
          <t xml:space="preserve">Варфоломеев Максим Сергеевич </t>
        </is>
      </c>
      <c r="J630" s="9" t="inlineStr">
        <is>
          <t>доцент</t>
        </is>
      </c>
      <c r="K630" s="9" t="n"/>
      <c r="L630" s="9" t="n"/>
      <c r="M630" s="12">
        <f>SUMIFS($E$2:$E$1130,$A$2:$A$1130,"осень",$I$2:$I$1130,I630)</f>
        <v/>
      </c>
      <c r="N630" s="13">
        <f>SUMIFS($E$2:$E$1130,$A$2:$A$1130,"весна",$I$2:$I$1130,I630)</f>
        <v/>
      </c>
      <c r="O630" s="14">
        <f>M630+N630</f>
        <v/>
      </c>
      <c r="P630" s="15">
        <f>O630/$P$1</f>
        <v/>
      </c>
    </row>
    <row r="631" ht="15.75" customHeight="1" s="2">
      <c r="A631" s="32" t="inlineStr">
        <is>
          <t>весна</t>
        </is>
      </c>
      <c r="B631" s="9" t="inlineStr">
        <is>
          <t>Контроль качества отливок</t>
        </is>
      </c>
      <c r="C631" s="9" t="inlineStr">
        <is>
          <t>Консультация</t>
        </is>
      </c>
      <c r="D631" s="9" t="inlineStr">
        <is>
          <t>Т11О-102М-20</t>
        </is>
      </c>
      <c r="E631" s="10" t="n">
        <v>1</v>
      </c>
      <c r="F631" s="9" t="inlineStr">
        <is>
          <t>06201</t>
        </is>
      </c>
      <c r="G631" s="11" t="n">
        <v>0</v>
      </c>
      <c r="H631" s="9" t="inlineStr">
        <is>
          <t xml:space="preserve">82020     </t>
        </is>
      </c>
      <c r="I631" s="9" t="inlineStr">
        <is>
          <t xml:space="preserve">Варфоломеев Максим Сергеевич </t>
        </is>
      </c>
      <c r="J631" s="9" t="inlineStr">
        <is>
          <t>доцент</t>
        </is>
      </c>
      <c r="K631" s="9" t="n"/>
      <c r="L631" s="9" t="n"/>
      <c r="M631" s="12">
        <f>SUMIFS($E$2:$E$1130,$A$2:$A$1130,"осень",$I$2:$I$1130,I631)</f>
        <v/>
      </c>
      <c r="N631" s="13">
        <f>SUMIFS($E$2:$E$1130,$A$2:$A$1130,"весна",$I$2:$I$1130,I631)</f>
        <v/>
      </c>
      <c r="O631" s="14">
        <f>M631+N631</f>
        <v/>
      </c>
      <c r="P631" s="15">
        <f>O631/$P$1</f>
        <v/>
      </c>
    </row>
    <row r="632" ht="15.75" customHeight="1" s="2">
      <c r="A632" s="32" t="inlineStr">
        <is>
          <t>весна</t>
        </is>
      </c>
      <c r="B632" s="9" t="inlineStr">
        <is>
          <t>САПР и АСУ ТП в металлургии</t>
        </is>
      </c>
      <c r="C632" s="9" t="inlineStr">
        <is>
          <t>ЛК</t>
        </is>
      </c>
      <c r="D632" s="9" t="inlineStr">
        <is>
          <t>Т11О-102М-20</t>
        </is>
      </c>
      <c r="E632" s="10" t="n">
        <v>12</v>
      </c>
      <c r="F632" s="9" t="inlineStr">
        <is>
          <t>06201</t>
        </is>
      </c>
      <c r="G632" s="10" t="n">
        <v>12</v>
      </c>
      <c r="H632" s="9" t="inlineStr">
        <is>
          <t xml:space="preserve">82086     </t>
        </is>
      </c>
      <c r="I632" s="9" t="inlineStr">
        <is>
          <t xml:space="preserve">Смыков Андрей Федорович </t>
        </is>
      </c>
      <c r="J632" s="9" t="inlineStr">
        <is>
          <t>профессор</t>
        </is>
      </c>
      <c r="K632" s="9" t="n"/>
      <c r="L632" s="9" t="n"/>
      <c r="M632" s="12">
        <f>SUMIFS($E$2:$E$1130,$A$2:$A$1130,"осень",$I$2:$I$1130,I632)</f>
        <v/>
      </c>
      <c r="N632" s="13">
        <f>SUMIFS($E$2:$E$1130,$A$2:$A$1130,"весна",$I$2:$I$1130,I632)</f>
        <v/>
      </c>
      <c r="O632" s="14">
        <f>M632+N632</f>
        <v/>
      </c>
      <c r="P632" s="15">
        <f>O632/$P$1</f>
        <v/>
      </c>
    </row>
    <row r="633" ht="15.75" customHeight="1" s="2">
      <c r="A633" s="32" t="inlineStr">
        <is>
          <t>весна</t>
        </is>
      </c>
      <c r="B633" s="9" t="inlineStr">
        <is>
          <t>САПР и АСУ ТП в металлургии</t>
        </is>
      </c>
      <c r="C633" s="9" t="inlineStr">
        <is>
          <t>КР</t>
        </is>
      </c>
      <c r="D633" s="9" t="inlineStr">
        <is>
          <t>Т11О-102М-20</t>
        </is>
      </c>
      <c r="E633" s="10" t="n">
        <v>15</v>
      </c>
      <c r="F633" s="9" t="inlineStr">
        <is>
          <t>06201</t>
        </is>
      </c>
      <c r="G633" s="11" t="n">
        <v>0</v>
      </c>
      <c r="H633" s="9" t="inlineStr">
        <is>
          <t xml:space="preserve">82086     </t>
        </is>
      </c>
      <c r="I633" s="9" t="inlineStr">
        <is>
          <t xml:space="preserve">Смыков Андрей Федорович </t>
        </is>
      </c>
      <c r="J633" s="9" t="inlineStr">
        <is>
          <t>профессор</t>
        </is>
      </c>
      <c r="K633" s="9" t="n"/>
      <c r="L633" s="9" t="n"/>
      <c r="M633" s="12">
        <f>SUMIFS($E$2:$E$1130,$A$2:$A$1130,"осень",$I$2:$I$1130,I633)</f>
        <v/>
      </c>
      <c r="N633" s="13">
        <f>SUMIFS($E$2:$E$1130,$A$2:$A$1130,"весна",$I$2:$I$1130,I633)</f>
        <v/>
      </c>
      <c r="O633" s="14">
        <f>M633+N633</f>
        <v/>
      </c>
      <c r="P633" s="15">
        <f>O633/$P$1</f>
        <v/>
      </c>
    </row>
    <row r="634" ht="15.75" customHeight="1" s="2">
      <c r="A634" s="32" t="inlineStr">
        <is>
          <t>весна</t>
        </is>
      </c>
      <c r="B634" s="9" t="inlineStr">
        <is>
          <t>САПР и АСУ ТП в металлургии</t>
        </is>
      </c>
      <c r="C634" s="9" t="inlineStr">
        <is>
          <t>Зачет с оценкой</t>
        </is>
      </c>
      <c r="D634" s="9" t="inlineStr">
        <is>
          <t>Т11О-102М-20</t>
        </is>
      </c>
      <c r="E634" s="10" t="n">
        <v>2</v>
      </c>
      <c r="F634" s="9" t="inlineStr">
        <is>
          <t>06201</t>
        </is>
      </c>
      <c r="G634" s="11" t="n">
        <v>0</v>
      </c>
      <c r="H634" s="9" t="inlineStr">
        <is>
          <t xml:space="preserve">82086     </t>
        </is>
      </c>
      <c r="I634" s="9" t="inlineStr">
        <is>
          <t xml:space="preserve">Смыков Андрей Федорович </t>
        </is>
      </c>
      <c r="J634" s="9" t="inlineStr">
        <is>
          <t>профессор</t>
        </is>
      </c>
      <c r="K634" s="9" t="n"/>
      <c r="L634" s="9" t="n"/>
      <c r="M634" s="12">
        <f>SUMIFS($E$2:$E$1130,$A$2:$A$1130,"осень",$I$2:$I$1130,I634)</f>
        <v/>
      </c>
      <c r="N634" s="13">
        <f>SUMIFS($E$2:$E$1130,$A$2:$A$1130,"весна",$I$2:$I$1130,I634)</f>
        <v/>
      </c>
      <c r="O634" s="14">
        <f>M634+N634</f>
        <v/>
      </c>
      <c r="P634" s="15">
        <f>O634/$P$1</f>
        <v/>
      </c>
    </row>
    <row r="635" ht="15.75" customHeight="1" s="2">
      <c r="A635" s="32" t="inlineStr">
        <is>
          <t>весна</t>
        </is>
      </c>
      <c r="B635" s="9" t="inlineStr">
        <is>
          <t>САПР и АСУ ТП в металлургии</t>
        </is>
      </c>
      <c r="C635" s="9" t="inlineStr">
        <is>
          <t>ПЗ</t>
        </is>
      </c>
      <c r="D635" s="9" t="inlineStr">
        <is>
          <t>Т11О-102М-20</t>
        </is>
      </c>
      <c r="E635" s="10" t="n">
        <v>14</v>
      </c>
      <c r="F635" s="9" t="inlineStr">
        <is>
          <t>06201</t>
        </is>
      </c>
      <c r="G635" s="10" t="n">
        <v>14</v>
      </c>
      <c r="H635" s="9" t="inlineStr">
        <is>
          <t xml:space="preserve">82086     </t>
        </is>
      </c>
      <c r="I635" s="9" t="inlineStr">
        <is>
          <t xml:space="preserve">Смыков Андрей Федорович </t>
        </is>
      </c>
      <c r="J635" s="9" t="inlineStr">
        <is>
          <t>профессор</t>
        </is>
      </c>
      <c r="K635" s="9" t="n"/>
      <c r="L635" s="9" t="n"/>
      <c r="M635" s="12">
        <f>SUMIFS($E$2:$E$1130,$A$2:$A$1130,"осень",$I$2:$I$1130,I635)</f>
        <v/>
      </c>
      <c r="N635" s="13">
        <f>SUMIFS($E$2:$E$1130,$A$2:$A$1130,"весна",$I$2:$I$1130,I635)</f>
        <v/>
      </c>
      <c r="O635" s="14">
        <f>M635+N635</f>
        <v/>
      </c>
      <c r="P635" s="15">
        <f>O635/$P$1</f>
        <v/>
      </c>
    </row>
    <row r="636" ht="15.75" customHeight="1" s="2">
      <c r="A636" s="32" t="inlineStr">
        <is>
          <t>весна</t>
        </is>
      </c>
      <c r="B636" s="9" t="inlineStr">
        <is>
          <t>САПР и АСУ ТП в металлургии</t>
        </is>
      </c>
      <c r="C636" s="9" t="inlineStr">
        <is>
          <t>ЛР</t>
        </is>
      </c>
      <c r="D636" s="9" t="inlineStr">
        <is>
          <t>Т11О-102М-20</t>
        </is>
      </c>
      <c r="E636" s="10" t="n">
        <v>24</v>
      </c>
      <c r="F636" s="9" t="inlineStr">
        <is>
          <t>06201</t>
        </is>
      </c>
      <c r="G636" s="10" t="n">
        <v>24</v>
      </c>
      <c r="H636" s="9" t="inlineStr">
        <is>
          <t xml:space="preserve">82086     </t>
        </is>
      </c>
      <c r="I636" s="9" t="inlineStr">
        <is>
          <t xml:space="preserve">Смыков Андрей Федорович </t>
        </is>
      </c>
      <c r="J636" s="9" t="inlineStr">
        <is>
          <t>профессор</t>
        </is>
      </c>
      <c r="K636" s="9" t="n"/>
      <c r="L636" s="9" t="n"/>
      <c r="M636" s="12">
        <f>SUMIFS($E$2:$E$1130,$A$2:$A$1130,"осень",$I$2:$I$1130,I636)</f>
        <v/>
      </c>
      <c r="N636" s="13">
        <f>SUMIFS($E$2:$E$1130,$A$2:$A$1130,"весна",$I$2:$I$1130,I636)</f>
        <v/>
      </c>
      <c r="O636" s="14">
        <f>M636+N636</f>
        <v/>
      </c>
      <c r="P636" s="15">
        <f>O636/$P$1</f>
        <v/>
      </c>
    </row>
    <row r="637" ht="15.75" customHeight="1" s="2">
      <c r="A637" s="32" t="inlineStr">
        <is>
          <t>весна</t>
        </is>
      </c>
      <c r="B637" s="9" t="inlineStr">
        <is>
          <t>САПР и АСУ ТП в металлургии</t>
        </is>
      </c>
      <c r="C637" s="9" t="inlineStr">
        <is>
          <t>Консультация</t>
        </is>
      </c>
      <c r="D637" s="9" t="inlineStr">
        <is>
          <t>Т11О-102М-20</t>
        </is>
      </c>
      <c r="E637" s="10" t="n">
        <v>1</v>
      </c>
      <c r="F637" s="9" t="inlineStr">
        <is>
          <t>06201</t>
        </is>
      </c>
      <c r="G637" s="11" t="n">
        <v>0</v>
      </c>
      <c r="H637" s="9" t="inlineStr">
        <is>
          <t xml:space="preserve">82086     </t>
        </is>
      </c>
      <c r="I637" s="9" t="inlineStr">
        <is>
          <t xml:space="preserve">Смыков Андрей Федорович </t>
        </is>
      </c>
      <c r="J637" s="9" t="inlineStr">
        <is>
          <t>профессор</t>
        </is>
      </c>
      <c r="K637" s="9" t="n"/>
      <c r="L637" s="9" t="n"/>
      <c r="M637" s="12">
        <f>SUMIFS($E$2:$E$1130,$A$2:$A$1130,"осень",$I$2:$I$1130,I637)</f>
        <v/>
      </c>
      <c r="N637" s="13">
        <f>SUMIFS($E$2:$E$1130,$A$2:$A$1130,"весна",$I$2:$I$1130,I637)</f>
        <v/>
      </c>
      <c r="O637" s="14">
        <f>M637+N637</f>
        <v/>
      </c>
      <c r="P637" s="15">
        <f>O637/$P$1</f>
        <v/>
      </c>
    </row>
    <row r="638" ht="15.75" customHeight="1" s="2">
      <c r="A638" s="32" t="inlineStr">
        <is>
          <t>весна</t>
        </is>
      </c>
      <c r="B638" s="9" t="inlineStr">
        <is>
          <t>Электрофизические технологии обработки материалов</t>
        </is>
      </c>
      <c r="C638" s="9" t="inlineStr">
        <is>
          <t>ЛК</t>
        </is>
      </c>
      <c r="D638" s="9" t="inlineStr">
        <is>
          <t>Т11О-103М-20</t>
        </is>
      </c>
      <c r="E638" s="10" t="n">
        <v>18</v>
      </c>
      <c r="F638" s="9" t="inlineStr">
        <is>
          <t>06203</t>
        </is>
      </c>
      <c r="G638" s="10" t="n">
        <v>18</v>
      </c>
      <c r="H638" s="9" t="inlineStr">
        <is>
          <t xml:space="preserve">93689     </t>
        </is>
      </c>
      <c r="I638" s="9" t="inlineStr">
        <is>
          <t xml:space="preserve">Ленковец Александр Сергеевич </t>
        </is>
      </c>
      <c r="J638" s="9" t="n"/>
      <c r="K638" s="9" t="n"/>
      <c r="L638" s="9" t="n"/>
      <c r="M638" s="12">
        <f>SUMIFS($E$2:$E$1130,$A$2:$A$1130,"осень",$I$2:$I$1130,I638)</f>
        <v/>
      </c>
      <c r="N638" s="13">
        <f>SUMIFS($E$2:$E$1130,$A$2:$A$1130,"весна",$I$2:$I$1130,I638)</f>
        <v/>
      </c>
      <c r="O638" s="14">
        <f>M638+N638</f>
        <v/>
      </c>
      <c r="P638" s="15">
        <f>O638/$P$1</f>
        <v/>
      </c>
    </row>
    <row r="639" ht="15.75" customHeight="1" s="2">
      <c r="A639" s="32" t="inlineStr">
        <is>
          <t>весна</t>
        </is>
      </c>
      <c r="B639" s="9" t="inlineStr">
        <is>
          <t>Электрофизические технологии обработки материалов</t>
        </is>
      </c>
      <c r="C639" s="9" t="inlineStr">
        <is>
          <t>КР</t>
        </is>
      </c>
      <c r="D639" s="9" t="inlineStr">
        <is>
          <t>Т11О-103М-20</t>
        </is>
      </c>
      <c r="E639" s="10" t="n">
        <v>15</v>
      </c>
      <c r="F639" s="9" t="inlineStr">
        <is>
          <t>06203</t>
        </is>
      </c>
      <c r="G639" s="11" t="n">
        <v>0</v>
      </c>
      <c r="H639" s="9" t="inlineStr">
        <is>
          <t xml:space="preserve">93689     </t>
        </is>
      </c>
      <c r="I639" s="9" t="inlineStr">
        <is>
          <t xml:space="preserve">Ленковец Александр Сергеевич </t>
        </is>
      </c>
      <c r="J639" s="9" t="n"/>
      <c r="K639" s="9" t="n"/>
      <c r="L639" s="9" t="n"/>
      <c r="M639" s="12">
        <f>SUMIFS($E$2:$E$1130,$A$2:$A$1130,"осень",$I$2:$I$1130,I639)</f>
        <v/>
      </c>
      <c r="N639" s="13">
        <f>SUMIFS($E$2:$E$1130,$A$2:$A$1130,"весна",$I$2:$I$1130,I639)</f>
        <v/>
      </c>
      <c r="O639" s="14">
        <f>M639+N639</f>
        <v/>
      </c>
      <c r="P639" s="15">
        <f>O639/$P$1</f>
        <v/>
      </c>
    </row>
    <row r="640" ht="15.75" customHeight="1" s="2">
      <c r="A640" s="32" t="inlineStr">
        <is>
          <t>весна</t>
        </is>
      </c>
      <c r="B640" s="9" t="inlineStr">
        <is>
          <t>Электрофизические технологии обработки материалов</t>
        </is>
      </c>
      <c r="C640" s="9" t="inlineStr">
        <is>
          <t>Зачет с оценкой</t>
        </is>
      </c>
      <c r="D640" s="9" t="inlineStr">
        <is>
          <t>Т11О-103М-20</t>
        </is>
      </c>
      <c r="E640" s="10" t="n">
        <v>2</v>
      </c>
      <c r="F640" s="9" t="inlineStr">
        <is>
          <t>06203</t>
        </is>
      </c>
      <c r="G640" s="11" t="n">
        <v>0</v>
      </c>
      <c r="H640" s="9" t="inlineStr">
        <is>
          <t xml:space="preserve">93689     </t>
        </is>
      </c>
      <c r="I640" s="9" t="inlineStr">
        <is>
          <t xml:space="preserve">Ленковец Александр Сергеевич </t>
        </is>
      </c>
      <c r="J640" s="9" t="n"/>
      <c r="K640" s="9" t="n"/>
      <c r="L640" s="9" t="n"/>
      <c r="M640" s="12">
        <f>SUMIFS($E$2:$E$1130,$A$2:$A$1130,"осень",$I$2:$I$1130,I640)</f>
        <v/>
      </c>
      <c r="N640" s="13">
        <f>SUMIFS($E$2:$E$1130,$A$2:$A$1130,"весна",$I$2:$I$1130,I640)</f>
        <v/>
      </c>
      <c r="O640" s="14">
        <f>M640+N640</f>
        <v/>
      </c>
      <c r="P640" s="15">
        <f>O640/$P$1</f>
        <v/>
      </c>
    </row>
    <row r="641" ht="15.75" customHeight="1" s="2">
      <c r="A641" s="32" t="inlineStr">
        <is>
          <t>весна</t>
        </is>
      </c>
      <c r="B641" s="9" t="inlineStr">
        <is>
          <t>Электрофизические технологии обработки материалов</t>
        </is>
      </c>
      <c r="C641" s="9" t="inlineStr">
        <is>
          <t>ПЗ</t>
        </is>
      </c>
      <c r="D641" s="9" t="inlineStr">
        <is>
          <t>Т11О-103М-20</t>
        </is>
      </c>
      <c r="E641" s="10" t="n">
        <v>36</v>
      </c>
      <c r="F641" s="9" t="inlineStr">
        <is>
          <t>06203</t>
        </is>
      </c>
      <c r="G641" s="10" t="n">
        <v>36</v>
      </c>
      <c r="H641" s="9" t="inlineStr">
        <is>
          <t xml:space="preserve">93689     </t>
        </is>
      </c>
      <c r="I641" s="9" t="inlineStr">
        <is>
          <t xml:space="preserve">Ленковец Александр Сергеевич </t>
        </is>
      </c>
      <c r="J641" s="9" t="n"/>
      <c r="K641" s="9" t="n"/>
      <c r="L641" s="9" t="n"/>
      <c r="M641" s="12">
        <f>SUMIFS($E$2:$E$1130,$A$2:$A$1130,"осень",$I$2:$I$1130,I641)</f>
        <v/>
      </c>
      <c r="N641" s="13">
        <f>SUMIFS($E$2:$E$1130,$A$2:$A$1130,"весна",$I$2:$I$1130,I641)</f>
        <v/>
      </c>
      <c r="O641" s="14">
        <f>M641+N641</f>
        <v/>
      </c>
      <c r="P641" s="15">
        <f>O641/$P$1</f>
        <v/>
      </c>
    </row>
    <row r="642" ht="15.75" customHeight="1" s="2">
      <c r="A642" s="32" t="inlineStr">
        <is>
          <t>весна</t>
        </is>
      </c>
      <c r="B642" s="9" t="inlineStr">
        <is>
          <t>Электрофизические технологии обработки материалов</t>
        </is>
      </c>
      <c r="C642" s="9" t="inlineStr">
        <is>
          <t>ЛР</t>
        </is>
      </c>
      <c r="D642" s="9" t="inlineStr">
        <is>
          <t>Т11О-103М-20</t>
        </is>
      </c>
      <c r="E642" s="10" t="n">
        <v>12</v>
      </c>
      <c r="F642" s="9" t="inlineStr">
        <is>
          <t>06203</t>
        </is>
      </c>
      <c r="G642" s="10" t="n">
        <v>12</v>
      </c>
      <c r="H642" s="9" t="inlineStr">
        <is>
          <t xml:space="preserve">82060     </t>
        </is>
      </c>
      <c r="I642" s="9" t="inlineStr">
        <is>
          <t xml:space="preserve">Лозован Александр Александрович </t>
        </is>
      </c>
      <c r="J642" s="9" t="inlineStr">
        <is>
          <t>профессор</t>
        </is>
      </c>
      <c r="K642" s="9" t="n"/>
      <c r="L642" s="9" t="n"/>
      <c r="M642" s="12">
        <f>SUMIFS($E$2:$E$1130,$A$2:$A$1130,"осень",$I$2:$I$1130,I642)</f>
        <v/>
      </c>
      <c r="N642" s="13">
        <f>SUMIFS($E$2:$E$1130,$A$2:$A$1130,"весна",$I$2:$I$1130,I642)</f>
        <v/>
      </c>
      <c r="O642" s="14">
        <f>M642+N642</f>
        <v/>
      </c>
      <c r="P642" s="15">
        <f>O642/$P$1</f>
        <v/>
      </c>
    </row>
    <row r="643" ht="15.75" customHeight="1" s="2">
      <c r="A643" s="32" t="inlineStr">
        <is>
          <t>весна</t>
        </is>
      </c>
      <c r="B643" s="9" t="inlineStr">
        <is>
          <t>Электрофизические технологии обработки материалов</t>
        </is>
      </c>
      <c r="C643" s="9" t="inlineStr">
        <is>
          <t>Консультация</t>
        </is>
      </c>
      <c r="D643" s="9" t="inlineStr">
        <is>
          <t>Т11О-103М-20</t>
        </is>
      </c>
      <c r="E643" s="10" t="n">
        <v>1</v>
      </c>
      <c r="F643" s="9" t="inlineStr">
        <is>
          <t>06203</t>
        </is>
      </c>
      <c r="G643" s="11" t="n">
        <v>0</v>
      </c>
      <c r="H643" s="9" t="inlineStr">
        <is>
          <t xml:space="preserve">93689     </t>
        </is>
      </c>
      <c r="I643" s="9" t="inlineStr">
        <is>
          <t xml:space="preserve">Ленковец Александр Сергеевич </t>
        </is>
      </c>
      <c r="J643" s="9" t="n"/>
      <c r="K643" s="9" t="n"/>
      <c r="L643" s="9" t="n"/>
      <c r="M643" s="12">
        <f>SUMIFS($E$2:$E$1130,$A$2:$A$1130,"осень",$I$2:$I$1130,I643)</f>
        <v/>
      </c>
      <c r="N643" s="13">
        <f>SUMIFS($E$2:$E$1130,$A$2:$A$1130,"весна",$I$2:$I$1130,I643)</f>
        <v/>
      </c>
      <c r="O643" s="14">
        <f>M643+N643</f>
        <v/>
      </c>
      <c r="P643" s="15">
        <f>O643/$P$1</f>
        <v/>
      </c>
    </row>
    <row r="644" ht="15.75" customHeight="1" s="2">
      <c r="A644" s="32" t="inlineStr">
        <is>
          <t>весна</t>
        </is>
      </c>
      <c r="B644" s="9" t="inlineStr">
        <is>
          <t>Процессы порошковой металлургии</t>
        </is>
      </c>
      <c r="C644" s="9" t="inlineStr">
        <is>
          <t>ЛК</t>
        </is>
      </c>
      <c r="D644" s="9" t="inlineStr">
        <is>
          <t>Т11О-103М-20</t>
        </is>
      </c>
      <c r="E644" s="10" t="n">
        <v>24</v>
      </c>
      <c r="F644" s="9" t="inlineStr">
        <is>
          <t>06203</t>
        </is>
      </c>
      <c r="G644" s="10" t="n">
        <v>24</v>
      </c>
      <c r="H644" s="9" t="inlineStr">
        <is>
          <t xml:space="preserve">82066     </t>
        </is>
      </c>
      <c r="I644" s="9" t="inlineStr">
        <is>
          <t xml:space="preserve">Серов Михаил Михайлович </t>
        </is>
      </c>
      <c r="J644" s="9" t="inlineStr">
        <is>
          <t>профессор</t>
        </is>
      </c>
      <c r="K644" s="9" t="n"/>
      <c r="L644" s="9" t="n"/>
      <c r="M644" s="12">
        <f>SUMIFS($E$2:$E$1130,$A$2:$A$1130,"осень",$I$2:$I$1130,I644)</f>
        <v/>
      </c>
      <c r="N644" s="13">
        <f>SUMIFS($E$2:$E$1130,$A$2:$A$1130,"весна",$I$2:$I$1130,I644)</f>
        <v/>
      </c>
      <c r="O644" s="14">
        <f>M644+N644</f>
        <v/>
      </c>
      <c r="P644" s="15">
        <f>O644/$P$1</f>
        <v/>
      </c>
    </row>
    <row r="645" ht="15.75" customHeight="1" s="2">
      <c r="A645" s="32" t="inlineStr">
        <is>
          <t>весна</t>
        </is>
      </c>
      <c r="B645" s="9" t="inlineStr">
        <is>
          <t>Процессы порошковой металлургии</t>
        </is>
      </c>
      <c r="C645" s="9" t="inlineStr">
        <is>
          <t>ЛК</t>
        </is>
      </c>
      <c r="D645" s="9" t="inlineStr">
        <is>
          <t>Т11О-301Б-18, Т11О-302Б-18</t>
        </is>
      </c>
      <c r="E645" s="10" t="n">
        <v>32</v>
      </c>
      <c r="F645" s="9" t="inlineStr">
        <is>
          <t>08947</t>
        </is>
      </c>
      <c r="G645" s="10" t="n">
        <v>32</v>
      </c>
      <c r="H645" s="9" t="inlineStr">
        <is>
          <t xml:space="preserve">82066     </t>
        </is>
      </c>
      <c r="I645" s="9" t="inlineStr">
        <is>
          <t xml:space="preserve">Серов Михаил Михайлович </t>
        </is>
      </c>
      <c r="J645" s="9" t="inlineStr">
        <is>
          <t>профессор</t>
        </is>
      </c>
      <c r="K645" s="9" t="n"/>
      <c r="L645" s="9" t="n"/>
      <c r="M645" s="12">
        <f>SUMIFS($E$2:$E$1130,$A$2:$A$1130,"осень",$I$2:$I$1130,I645)</f>
        <v/>
      </c>
      <c r="N645" s="13">
        <f>SUMIFS($E$2:$E$1130,$A$2:$A$1130,"весна",$I$2:$I$1130,I645)</f>
        <v/>
      </c>
      <c r="O645" s="14">
        <f>M645+N645</f>
        <v/>
      </c>
      <c r="P645" s="15">
        <f>O645/$P$1</f>
        <v/>
      </c>
    </row>
    <row r="646" ht="15.75" customHeight="1" s="2">
      <c r="A646" s="32" t="inlineStr">
        <is>
          <t>весна</t>
        </is>
      </c>
      <c r="B646" s="9" t="inlineStr">
        <is>
          <t>Процессы порошковой металлургии</t>
        </is>
      </c>
      <c r="C646" s="9" t="inlineStr">
        <is>
          <t>КР</t>
        </is>
      </c>
      <c r="D646" s="9" t="inlineStr">
        <is>
          <t>Т11О-103М-20</t>
        </is>
      </c>
      <c r="E646" s="10" t="n">
        <v>15</v>
      </c>
      <c r="F646" s="9" t="inlineStr">
        <is>
          <t>06203</t>
        </is>
      </c>
      <c r="G646" s="11" t="n">
        <v>0</v>
      </c>
      <c r="H646" s="9" t="inlineStr">
        <is>
          <t xml:space="preserve">82066     </t>
        </is>
      </c>
      <c r="I646" s="9" t="inlineStr">
        <is>
          <t xml:space="preserve">Серов Михаил Михайлович </t>
        </is>
      </c>
      <c r="J646" s="9" t="inlineStr">
        <is>
          <t>профессор</t>
        </is>
      </c>
      <c r="K646" s="9" t="n"/>
      <c r="L646" s="9" t="n"/>
      <c r="M646" s="12">
        <f>SUMIFS($E$2:$E$1130,$A$2:$A$1130,"осень",$I$2:$I$1130,I646)</f>
        <v/>
      </c>
      <c r="N646" s="13">
        <f>SUMIFS($E$2:$E$1130,$A$2:$A$1130,"весна",$I$2:$I$1130,I646)</f>
        <v/>
      </c>
      <c r="O646" s="14">
        <f>M646+N646</f>
        <v/>
      </c>
      <c r="P646" s="15">
        <f>O646/$P$1</f>
        <v/>
      </c>
    </row>
    <row r="647" ht="15.75" customHeight="1" s="2">
      <c r="A647" s="32" t="inlineStr">
        <is>
          <t>весна</t>
        </is>
      </c>
      <c r="B647" s="9" t="inlineStr">
        <is>
          <t>Процессы порошковой металлургии</t>
        </is>
      </c>
      <c r="C647" s="9" t="inlineStr">
        <is>
          <t>ПЗ</t>
        </is>
      </c>
      <c r="D647" s="9" t="inlineStr">
        <is>
          <t>Т11О-103М-20</t>
        </is>
      </c>
      <c r="E647" s="10" t="n">
        <v>32</v>
      </c>
      <c r="F647" s="9" t="inlineStr">
        <is>
          <t>06203</t>
        </is>
      </c>
      <c r="G647" s="10" t="n">
        <v>32</v>
      </c>
      <c r="H647" s="9" t="inlineStr">
        <is>
          <t xml:space="preserve">82066     </t>
        </is>
      </c>
      <c r="I647" s="9" t="inlineStr">
        <is>
          <t xml:space="preserve">Серов Михаил Михайлович </t>
        </is>
      </c>
      <c r="J647" s="9" t="inlineStr">
        <is>
          <t>профессор</t>
        </is>
      </c>
      <c r="K647" s="9" t="n"/>
      <c r="L647" s="9" t="n"/>
      <c r="M647" s="12">
        <f>SUMIFS($E$2:$E$1130,$A$2:$A$1130,"осень",$I$2:$I$1130,I647)</f>
        <v/>
      </c>
      <c r="N647" s="13">
        <f>SUMIFS($E$2:$E$1130,$A$2:$A$1130,"весна",$I$2:$I$1130,I647)</f>
        <v/>
      </c>
      <c r="O647" s="14">
        <f>M647+N647</f>
        <v/>
      </c>
      <c r="P647" s="15">
        <f>O647/$P$1</f>
        <v/>
      </c>
    </row>
    <row r="648" ht="15.75" customHeight="1" s="2">
      <c r="A648" s="32" t="inlineStr">
        <is>
          <t>весна</t>
        </is>
      </c>
      <c r="B648" s="9" t="inlineStr">
        <is>
          <t>Процессы порошковой металлургии</t>
        </is>
      </c>
      <c r="C648" s="9" t="inlineStr">
        <is>
          <t>ПЗ</t>
        </is>
      </c>
      <c r="D648" s="9" t="inlineStr">
        <is>
          <t>Т11О-301Б-18</t>
        </is>
      </c>
      <c r="E648" s="10" t="n">
        <v>20</v>
      </c>
      <c r="F648" s="9" t="inlineStr">
        <is>
          <t>08947</t>
        </is>
      </c>
      <c r="G648" s="10" t="n">
        <v>20</v>
      </c>
      <c r="H648" s="9" t="inlineStr">
        <is>
          <t xml:space="preserve">82066     </t>
        </is>
      </c>
      <c r="I648" s="9" t="inlineStr">
        <is>
          <t xml:space="preserve">Серов Михаил Михайлович </t>
        </is>
      </c>
      <c r="J648" s="9" t="inlineStr">
        <is>
          <t>профессор</t>
        </is>
      </c>
      <c r="K648" s="9" t="n"/>
      <c r="L648" s="9" t="n"/>
      <c r="M648" s="12">
        <f>SUMIFS($E$2:$E$1130,$A$2:$A$1130,"осень",$I$2:$I$1130,I648)</f>
        <v/>
      </c>
      <c r="N648" s="13">
        <f>SUMIFS($E$2:$E$1130,$A$2:$A$1130,"весна",$I$2:$I$1130,I648)</f>
        <v/>
      </c>
      <c r="O648" s="14">
        <f>M648+N648</f>
        <v/>
      </c>
      <c r="P648" s="15">
        <f>O648/$P$1</f>
        <v/>
      </c>
    </row>
    <row r="649" ht="15.75" customHeight="1" s="2">
      <c r="A649" s="32" t="inlineStr">
        <is>
          <t>весна</t>
        </is>
      </c>
      <c r="B649" s="9" t="inlineStr">
        <is>
          <t>Процессы порошковой металлургии</t>
        </is>
      </c>
      <c r="C649" s="9" t="inlineStr">
        <is>
          <t>ПЗ</t>
        </is>
      </c>
      <c r="D649" s="9" t="inlineStr">
        <is>
          <t>Т11О-302Б-18</t>
        </is>
      </c>
      <c r="E649" s="10" t="n">
        <v>20</v>
      </c>
      <c r="F649" s="9" t="inlineStr">
        <is>
          <t>08947</t>
        </is>
      </c>
      <c r="G649" s="10" t="n">
        <v>20</v>
      </c>
      <c r="H649" s="9" t="inlineStr">
        <is>
          <t xml:space="preserve">82066     </t>
        </is>
      </c>
      <c r="I649" s="9" t="inlineStr">
        <is>
          <t xml:space="preserve">Серов Михаил Михайлович </t>
        </is>
      </c>
      <c r="J649" s="9" t="inlineStr">
        <is>
          <t>профессор</t>
        </is>
      </c>
      <c r="K649" s="9" t="n"/>
      <c r="L649" s="9" t="n"/>
      <c r="M649" s="12">
        <f>SUMIFS($E$2:$E$1130,$A$2:$A$1130,"осень",$I$2:$I$1130,I649)</f>
        <v/>
      </c>
      <c r="N649" s="13">
        <f>SUMIFS($E$2:$E$1130,$A$2:$A$1130,"весна",$I$2:$I$1130,I649)</f>
        <v/>
      </c>
      <c r="O649" s="14">
        <f>M649+N649</f>
        <v/>
      </c>
      <c r="P649" s="15">
        <f>O649/$P$1</f>
        <v/>
      </c>
    </row>
    <row r="650" ht="15.75" customHeight="1" s="2">
      <c r="A650" s="32" t="inlineStr">
        <is>
          <t>весна</t>
        </is>
      </c>
      <c r="B650" s="9" t="inlineStr">
        <is>
          <t>Процессы порошковой металлургии</t>
        </is>
      </c>
      <c r="C650" s="9" t="inlineStr">
        <is>
          <t>ЛР</t>
        </is>
      </c>
      <c r="D650" s="9" t="inlineStr">
        <is>
          <t>Т11О-103М-20</t>
        </is>
      </c>
      <c r="E650" s="10" t="n">
        <v>8</v>
      </c>
      <c r="F650" s="9" t="inlineStr">
        <is>
          <t>06203</t>
        </is>
      </c>
      <c r="G650" s="10" t="n">
        <v>8</v>
      </c>
      <c r="H650" s="9" t="inlineStr">
        <is>
          <t xml:space="preserve">82066     </t>
        </is>
      </c>
      <c r="I650" s="9" t="inlineStr">
        <is>
          <t xml:space="preserve">Серов Михаил Михайлович </t>
        </is>
      </c>
      <c r="J650" s="9" t="inlineStr">
        <is>
          <t>профессор</t>
        </is>
      </c>
      <c r="K650" s="9" t="n"/>
      <c r="L650" s="9" t="n"/>
      <c r="M650" s="12">
        <f>SUMIFS($E$2:$E$1130,$A$2:$A$1130,"осень",$I$2:$I$1130,I650)</f>
        <v/>
      </c>
      <c r="N650" s="13">
        <f>SUMIFS($E$2:$E$1130,$A$2:$A$1130,"весна",$I$2:$I$1130,I650)</f>
        <v/>
      </c>
      <c r="O650" s="14">
        <f>M650+N650</f>
        <v/>
      </c>
      <c r="P650" s="15">
        <f>O650/$P$1</f>
        <v/>
      </c>
    </row>
    <row r="651" ht="15.75" customHeight="1" s="2">
      <c r="A651" s="32" t="inlineStr">
        <is>
          <t>весна</t>
        </is>
      </c>
      <c r="B651" s="9" t="inlineStr">
        <is>
          <t>Процессы порошковой металлургии</t>
        </is>
      </c>
      <c r="C651" s="9" t="inlineStr">
        <is>
          <t>ЛР</t>
        </is>
      </c>
      <c r="D651" s="9" t="inlineStr">
        <is>
          <t>Т11О-301Б-18</t>
        </is>
      </c>
      <c r="E651" s="10" t="n">
        <v>32</v>
      </c>
      <c r="F651" s="9" t="inlineStr">
        <is>
          <t>08947</t>
        </is>
      </c>
      <c r="G651" s="10" t="n">
        <v>16</v>
      </c>
      <c r="H651" s="9" t="inlineStr">
        <is>
          <t xml:space="preserve">82066     </t>
        </is>
      </c>
      <c r="I651" s="9" t="inlineStr">
        <is>
          <t xml:space="preserve">Серов Михаил Михайлович </t>
        </is>
      </c>
      <c r="J651" s="9" t="inlineStr">
        <is>
          <t>профессор</t>
        </is>
      </c>
      <c r="K651" s="9" t="n"/>
      <c r="L651" s="9" t="n"/>
      <c r="M651" s="12">
        <f>SUMIFS($E$2:$E$1130,$A$2:$A$1130,"осень",$I$2:$I$1130,I651)</f>
        <v/>
      </c>
      <c r="N651" s="13">
        <f>SUMIFS($E$2:$E$1130,$A$2:$A$1130,"весна",$I$2:$I$1130,I651)</f>
        <v/>
      </c>
      <c r="O651" s="14">
        <f>M651+N651</f>
        <v/>
      </c>
      <c r="P651" s="15">
        <f>O651/$P$1</f>
        <v/>
      </c>
    </row>
    <row r="652" ht="15.75" customHeight="1" s="2">
      <c r="A652" s="32" t="inlineStr">
        <is>
          <t>весна</t>
        </is>
      </c>
      <c r="B652" s="9" t="inlineStr">
        <is>
          <t>Процессы порошковой металлургии</t>
        </is>
      </c>
      <c r="C652" s="9" t="inlineStr">
        <is>
          <t>ЛР</t>
        </is>
      </c>
      <c r="D652" s="9" t="inlineStr">
        <is>
          <t>Т11О-302Б-18</t>
        </is>
      </c>
      <c r="E652" s="10" t="n">
        <v>16</v>
      </c>
      <c r="F652" s="9" t="inlineStr">
        <is>
          <t>08947</t>
        </is>
      </c>
      <c r="G652" s="10" t="n">
        <v>16</v>
      </c>
      <c r="H652" s="9" t="inlineStr">
        <is>
          <t xml:space="preserve">82066     </t>
        </is>
      </c>
      <c r="I652" s="9" t="inlineStr">
        <is>
          <t xml:space="preserve">Серов Михаил Михайлович </t>
        </is>
      </c>
      <c r="J652" s="9" t="inlineStr">
        <is>
          <t>профессор</t>
        </is>
      </c>
      <c r="K652" s="9" t="n"/>
      <c r="L652" s="9" t="n"/>
      <c r="M652" s="12">
        <f>SUMIFS($E$2:$E$1130,$A$2:$A$1130,"осень",$I$2:$I$1130,I652)</f>
        <v/>
      </c>
      <c r="N652" s="13">
        <f>SUMIFS($E$2:$E$1130,$A$2:$A$1130,"весна",$I$2:$I$1130,I652)</f>
        <v/>
      </c>
      <c r="O652" s="14">
        <f>M652+N652</f>
        <v/>
      </c>
      <c r="P652" s="15">
        <f>O652/$P$1</f>
        <v/>
      </c>
    </row>
    <row r="653" ht="15.75" customHeight="1" s="2">
      <c r="A653" s="32" t="inlineStr">
        <is>
          <t>весна</t>
        </is>
      </c>
      <c r="B653" s="9" t="inlineStr">
        <is>
          <t>Процессы порошковой металлургии</t>
        </is>
      </c>
      <c r="C653" s="9" t="inlineStr">
        <is>
          <t>Экзамен</t>
        </is>
      </c>
      <c r="D653" s="9" t="inlineStr">
        <is>
          <t>Т11О-103М-20</t>
        </is>
      </c>
      <c r="E653" s="10" t="n">
        <v>3</v>
      </c>
      <c r="F653" s="9" t="inlineStr">
        <is>
          <t>06203</t>
        </is>
      </c>
      <c r="G653" s="11" t="n">
        <v>0</v>
      </c>
      <c r="H653" s="9" t="inlineStr">
        <is>
          <t xml:space="preserve">82066     </t>
        </is>
      </c>
      <c r="I653" s="9" t="inlineStr">
        <is>
          <t xml:space="preserve">Серов Михаил Михайлович </t>
        </is>
      </c>
      <c r="J653" s="9" t="inlineStr">
        <is>
          <t>профессор</t>
        </is>
      </c>
      <c r="K653" s="9" t="n"/>
      <c r="L653" s="9" t="n"/>
      <c r="M653" s="12">
        <f>SUMIFS($E$2:$E$1130,$A$2:$A$1130,"осень",$I$2:$I$1130,I653)</f>
        <v/>
      </c>
      <c r="N653" s="13">
        <f>SUMIFS($E$2:$E$1130,$A$2:$A$1130,"весна",$I$2:$I$1130,I653)</f>
        <v/>
      </c>
      <c r="O653" s="14">
        <f>M653+N653</f>
        <v/>
      </c>
      <c r="P653" s="15">
        <f>O653/$P$1</f>
        <v/>
      </c>
    </row>
    <row r="654" ht="15.75" customHeight="1" s="2">
      <c r="A654" s="32" t="inlineStr">
        <is>
          <t>весна</t>
        </is>
      </c>
      <c r="B654" s="9" t="inlineStr">
        <is>
          <t>Процессы порошковой металлургии</t>
        </is>
      </c>
      <c r="C654" s="9" t="inlineStr">
        <is>
          <t>Экзамен</t>
        </is>
      </c>
      <c r="D654" s="9" t="inlineStr">
        <is>
          <t>Т11О-301Б-18</t>
        </is>
      </c>
      <c r="E654" s="10" t="n">
        <v>9</v>
      </c>
      <c r="F654" s="9" t="inlineStr">
        <is>
          <t>08947</t>
        </is>
      </c>
      <c r="G654" s="11" t="n">
        <v>0</v>
      </c>
      <c r="H654" s="9" t="inlineStr">
        <is>
          <t xml:space="preserve">82066     </t>
        </is>
      </c>
      <c r="I654" s="9" t="inlineStr">
        <is>
          <t xml:space="preserve">Серов Михаил Михайлович </t>
        </is>
      </c>
      <c r="J654" s="9" t="inlineStr">
        <is>
          <t>профессор</t>
        </is>
      </c>
      <c r="K654" s="9" t="n"/>
      <c r="L654" s="9" t="n"/>
      <c r="M654" s="12">
        <f>SUMIFS($E$2:$E$1130,$A$2:$A$1130,"осень",$I$2:$I$1130,I654)</f>
        <v/>
      </c>
      <c r="N654" s="13">
        <f>SUMIFS($E$2:$E$1130,$A$2:$A$1130,"весна",$I$2:$I$1130,I654)</f>
        <v/>
      </c>
      <c r="O654" s="14">
        <f>M654+N654</f>
        <v/>
      </c>
      <c r="P654" s="15">
        <f>O654/$P$1</f>
        <v/>
      </c>
    </row>
    <row r="655" ht="15.75" customHeight="1" s="2">
      <c r="A655" s="32" t="inlineStr">
        <is>
          <t>весна</t>
        </is>
      </c>
      <c r="B655" s="9" t="inlineStr">
        <is>
          <t>Процессы порошковой металлургии</t>
        </is>
      </c>
      <c r="C655" s="9" t="inlineStr">
        <is>
          <t>Экзамен</t>
        </is>
      </c>
      <c r="D655" s="9" t="inlineStr">
        <is>
          <t>Т11О-302Б-18</t>
        </is>
      </c>
      <c r="E655" s="10" t="n">
        <v>7</v>
      </c>
      <c r="F655" s="9" t="inlineStr">
        <is>
          <t>08947</t>
        </is>
      </c>
      <c r="G655" s="11" t="n">
        <v>0</v>
      </c>
      <c r="H655" s="9" t="inlineStr">
        <is>
          <t xml:space="preserve">82066     </t>
        </is>
      </c>
      <c r="I655" s="9" t="inlineStr">
        <is>
          <t xml:space="preserve">Серов Михаил Михайлович </t>
        </is>
      </c>
      <c r="J655" s="9" t="inlineStr">
        <is>
          <t>профессор</t>
        </is>
      </c>
      <c r="K655" s="9" t="n"/>
      <c r="L655" s="9" t="n"/>
      <c r="M655" s="12">
        <f>SUMIFS($E$2:$E$1130,$A$2:$A$1130,"осень",$I$2:$I$1130,I655)</f>
        <v/>
      </c>
      <c r="N655" s="13">
        <f>SUMIFS($E$2:$E$1130,$A$2:$A$1130,"весна",$I$2:$I$1130,I655)</f>
        <v/>
      </c>
      <c r="O655" s="14">
        <f>M655+N655</f>
        <v/>
      </c>
      <c r="P655" s="15">
        <f>O655/$P$1</f>
        <v/>
      </c>
    </row>
    <row r="656" ht="15.75" customHeight="1" s="2">
      <c r="A656" s="32" t="inlineStr">
        <is>
          <t>весна</t>
        </is>
      </c>
      <c r="B656" s="9" t="inlineStr">
        <is>
          <t>Процессы порошковой металлургии</t>
        </is>
      </c>
      <c r="C656" s="9" t="inlineStr">
        <is>
          <t>Консультация</t>
        </is>
      </c>
      <c r="D656" s="9" t="inlineStr">
        <is>
          <t>Т11О-103М-20</t>
        </is>
      </c>
      <c r="E656" s="10" t="n">
        <v>3</v>
      </c>
      <c r="F656" s="9" t="inlineStr">
        <is>
          <t>06203</t>
        </is>
      </c>
      <c r="G656" s="11" t="n">
        <v>0</v>
      </c>
      <c r="H656" s="9" t="inlineStr">
        <is>
          <t xml:space="preserve">82066     </t>
        </is>
      </c>
      <c r="I656" s="9" t="inlineStr">
        <is>
          <t xml:space="preserve">Серов Михаил Михайлович </t>
        </is>
      </c>
      <c r="J656" s="9" t="inlineStr">
        <is>
          <t>профессор</t>
        </is>
      </c>
      <c r="K656" s="9" t="n"/>
      <c r="L656" s="9" t="n"/>
      <c r="M656" s="12">
        <f>SUMIFS($E$2:$E$1130,$A$2:$A$1130,"осень",$I$2:$I$1130,I656)</f>
        <v/>
      </c>
      <c r="N656" s="13">
        <f>SUMIFS($E$2:$E$1130,$A$2:$A$1130,"весна",$I$2:$I$1130,I656)</f>
        <v/>
      </c>
      <c r="O656" s="14">
        <f>M656+N656</f>
        <v/>
      </c>
      <c r="P656" s="15">
        <f>O656/$P$1</f>
        <v/>
      </c>
    </row>
    <row r="657" ht="15.75" customHeight="1" s="2">
      <c r="A657" s="32" t="inlineStr">
        <is>
          <t>весна</t>
        </is>
      </c>
      <c r="B657" s="9" t="inlineStr">
        <is>
          <t>Процессы порошковой металлургии</t>
        </is>
      </c>
      <c r="C657" s="9" t="inlineStr">
        <is>
          <t>Консультация</t>
        </is>
      </c>
      <c r="D657" s="9" t="inlineStr">
        <is>
          <t>Т11О-301Б-18</t>
        </is>
      </c>
      <c r="E657" s="10" t="n">
        <v>4</v>
      </c>
      <c r="F657" s="9" t="inlineStr">
        <is>
          <t>08947</t>
        </is>
      </c>
      <c r="G657" s="11" t="n">
        <v>0</v>
      </c>
      <c r="H657" s="9" t="inlineStr">
        <is>
          <t xml:space="preserve">82066     </t>
        </is>
      </c>
      <c r="I657" s="9" t="inlineStr">
        <is>
          <t xml:space="preserve">Серов Михаил Михайлович </t>
        </is>
      </c>
      <c r="J657" s="9" t="inlineStr">
        <is>
          <t>профессор</t>
        </is>
      </c>
      <c r="K657" s="9" t="n"/>
      <c r="L657" s="9" t="n"/>
      <c r="M657" s="12">
        <f>SUMIFS($E$2:$E$1130,$A$2:$A$1130,"осень",$I$2:$I$1130,I657)</f>
        <v/>
      </c>
      <c r="N657" s="13">
        <f>SUMIFS($E$2:$E$1130,$A$2:$A$1130,"весна",$I$2:$I$1130,I657)</f>
        <v/>
      </c>
      <c r="O657" s="14">
        <f>M657+N657</f>
        <v/>
      </c>
      <c r="P657" s="15">
        <f>O657/$P$1</f>
        <v/>
      </c>
    </row>
    <row r="658" ht="15.75" customHeight="1" s="2">
      <c r="A658" s="32" t="inlineStr">
        <is>
          <t>весна</t>
        </is>
      </c>
      <c r="B658" s="9" t="inlineStr">
        <is>
          <t>Процессы порошковой металлургии</t>
        </is>
      </c>
      <c r="C658" s="9" t="inlineStr">
        <is>
          <t>Консультация</t>
        </is>
      </c>
      <c r="D658" s="9" t="inlineStr">
        <is>
          <t>Т11О-302Б-18</t>
        </is>
      </c>
      <c r="E658" s="10" t="n">
        <v>4</v>
      </c>
      <c r="F658" s="9" t="inlineStr">
        <is>
          <t>08947</t>
        </is>
      </c>
      <c r="G658" s="11" t="n">
        <v>0</v>
      </c>
      <c r="H658" s="9" t="inlineStr">
        <is>
          <t xml:space="preserve">82066     </t>
        </is>
      </c>
      <c r="I658" s="9" t="inlineStr">
        <is>
          <t xml:space="preserve">Серов Михаил Михайлович </t>
        </is>
      </c>
      <c r="J658" s="9" t="inlineStr">
        <is>
          <t>профессор</t>
        </is>
      </c>
      <c r="K658" s="9" t="n"/>
      <c r="L658" s="9" t="n"/>
      <c r="M658" s="12">
        <f>SUMIFS($E$2:$E$1130,$A$2:$A$1130,"осень",$I$2:$I$1130,I658)</f>
        <v/>
      </c>
      <c r="N658" s="13">
        <f>SUMIFS($E$2:$E$1130,$A$2:$A$1130,"весна",$I$2:$I$1130,I658)</f>
        <v/>
      </c>
      <c r="O658" s="14">
        <f>M658+N658</f>
        <v/>
      </c>
      <c r="P658" s="15">
        <f>O658/$P$1</f>
        <v/>
      </c>
    </row>
    <row r="659" ht="15.75" customHeight="1" s="2">
      <c r="A659" s="32" t="inlineStr">
        <is>
          <t>весна</t>
        </is>
      </c>
      <c r="B659" s="9" t="inlineStr">
        <is>
          <t>Технология и оборудование сварки давлением</t>
        </is>
      </c>
      <c r="C659" s="9" t="inlineStr">
        <is>
          <t>ЛК</t>
        </is>
      </c>
      <c r="D659" s="9" t="inlineStr">
        <is>
          <t>Т1О-401Б-17</t>
        </is>
      </c>
      <c r="E659" s="10" t="n">
        <v>24</v>
      </c>
      <c r="F659" s="9" t="inlineStr">
        <is>
          <t>06256</t>
        </is>
      </c>
      <c r="G659" s="10" t="n">
        <v>24</v>
      </c>
      <c r="H659" s="9" t="inlineStr">
        <is>
          <t xml:space="preserve">82056     </t>
        </is>
      </c>
      <c r="I659" s="9" t="inlineStr">
        <is>
          <t xml:space="preserve">Никитина Елена Владимировна </t>
        </is>
      </c>
      <c r="J659" s="9" t="n"/>
      <c r="K659" s="9" t="n"/>
      <c r="L659" s="9" t="n"/>
      <c r="M659" s="12">
        <f>SUMIFS($E$2:$E$1130,$A$2:$A$1130,"осень",$I$2:$I$1130,I659)</f>
        <v/>
      </c>
      <c r="N659" s="13">
        <f>SUMIFS($E$2:$E$1130,$A$2:$A$1130,"весна",$I$2:$I$1130,I659)</f>
        <v/>
      </c>
      <c r="O659" s="14">
        <f>M659+N659</f>
        <v/>
      </c>
      <c r="P659" s="15">
        <f>O659/$P$1</f>
        <v/>
      </c>
    </row>
    <row r="660" ht="15.75" customHeight="1" s="2">
      <c r="A660" s="32" t="inlineStr">
        <is>
          <t>весна</t>
        </is>
      </c>
      <c r="B660" s="9" t="inlineStr">
        <is>
          <t>Технология и оборудование сварки давлением</t>
        </is>
      </c>
      <c r="C660" s="9" t="inlineStr">
        <is>
          <t>ПЗ</t>
        </is>
      </c>
      <c r="D660" s="9" t="inlineStr">
        <is>
          <t>Т1О-401Б-17</t>
        </is>
      </c>
      <c r="E660" s="10" t="n">
        <v>12</v>
      </c>
      <c r="F660" s="9" t="inlineStr">
        <is>
          <t>06256</t>
        </is>
      </c>
      <c r="G660" s="10" t="n">
        <v>12</v>
      </c>
      <c r="H660" s="9" t="inlineStr">
        <is>
          <t xml:space="preserve">82056     </t>
        </is>
      </c>
      <c r="I660" s="9" t="inlineStr">
        <is>
          <t xml:space="preserve">Никитина Елена Владимировна </t>
        </is>
      </c>
      <c r="J660" s="9" t="n"/>
      <c r="K660" s="9" t="n"/>
      <c r="L660" s="9" t="n"/>
      <c r="M660" s="12">
        <f>SUMIFS($E$2:$E$1130,$A$2:$A$1130,"осень",$I$2:$I$1130,I660)</f>
        <v/>
      </c>
      <c r="N660" s="13">
        <f>SUMIFS($E$2:$E$1130,$A$2:$A$1130,"весна",$I$2:$I$1130,I660)</f>
        <v/>
      </c>
      <c r="O660" s="14">
        <f>M660+N660</f>
        <v/>
      </c>
      <c r="P660" s="15">
        <f>O660/$P$1</f>
        <v/>
      </c>
    </row>
    <row r="661" ht="15.75" customHeight="1" s="2">
      <c r="A661" s="32" t="inlineStr">
        <is>
          <t>весна</t>
        </is>
      </c>
      <c r="B661" s="9" t="inlineStr">
        <is>
          <t>Технология и оборудование сварки давлением</t>
        </is>
      </c>
      <c r="C661" s="9" t="inlineStr">
        <is>
          <t>ЛР</t>
        </is>
      </c>
      <c r="D661" s="9" t="inlineStr">
        <is>
          <t>Т1О-401Б-17</t>
        </is>
      </c>
      <c r="E661" s="10" t="n">
        <v>56</v>
      </c>
      <c r="F661" s="9" t="inlineStr">
        <is>
          <t>06256</t>
        </is>
      </c>
      <c r="G661" s="10" t="n">
        <v>28</v>
      </c>
      <c r="H661" s="9" t="inlineStr">
        <is>
          <t xml:space="preserve">82056     </t>
        </is>
      </c>
      <c r="I661" s="9" t="inlineStr">
        <is>
          <t xml:space="preserve">Никитина Елена Владимировна </t>
        </is>
      </c>
      <c r="J661" s="9" t="n"/>
      <c r="K661" s="9" t="n"/>
      <c r="L661" s="9" t="n"/>
      <c r="M661" s="12">
        <f>SUMIFS($E$2:$E$1130,$A$2:$A$1130,"осень",$I$2:$I$1130,I661)</f>
        <v/>
      </c>
      <c r="N661" s="13">
        <f>SUMIFS($E$2:$E$1130,$A$2:$A$1130,"весна",$I$2:$I$1130,I661)</f>
        <v/>
      </c>
      <c r="O661" s="14">
        <f>M661+N661</f>
        <v/>
      </c>
      <c r="P661" s="15">
        <f>O661/$P$1</f>
        <v/>
      </c>
    </row>
    <row r="662" ht="15.75" customHeight="1" s="2">
      <c r="A662" s="32" t="inlineStr">
        <is>
          <t>весна</t>
        </is>
      </c>
      <c r="B662" s="9" t="inlineStr">
        <is>
          <t>Технология и оборудование сварки давлением</t>
        </is>
      </c>
      <c r="C662" s="9" t="inlineStr">
        <is>
          <t>Экзамен</t>
        </is>
      </c>
      <c r="D662" s="9" t="inlineStr">
        <is>
          <t>Т1О-401Б-17</t>
        </is>
      </c>
      <c r="E662" s="10" t="n">
        <v>8</v>
      </c>
      <c r="F662" s="9" t="inlineStr">
        <is>
          <t>06256</t>
        </is>
      </c>
      <c r="G662" s="11" t="n">
        <v>0</v>
      </c>
      <c r="H662" s="9" t="inlineStr">
        <is>
          <t xml:space="preserve">82056     </t>
        </is>
      </c>
      <c r="I662" s="9" t="inlineStr">
        <is>
          <t xml:space="preserve">Никитина Елена Владимировна </t>
        </is>
      </c>
      <c r="J662" s="9" t="n"/>
      <c r="K662" s="9" t="n"/>
      <c r="L662" s="9" t="n"/>
      <c r="M662" s="12">
        <f>SUMIFS($E$2:$E$1130,$A$2:$A$1130,"осень",$I$2:$I$1130,I662)</f>
        <v/>
      </c>
      <c r="N662" s="13">
        <f>SUMIFS($E$2:$E$1130,$A$2:$A$1130,"весна",$I$2:$I$1130,I662)</f>
        <v/>
      </c>
      <c r="O662" s="14">
        <f>M662+N662</f>
        <v/>
      </c>
      <c r="P662" s="15">
        <f>O662/$P$1</f>
        <v/>
      </c>
    </row>
    <row r="663" ht="15.75" customHeight="1" s="2">
      <c r="A663" s="32" t="inlineStr">
        <is>
          <t>весна</t>
        </is>
      </c>
      <c r="B663" s="9" t="inlineStr">
        <is>
          <t>Технология и оборудование сварки давлением</t>
        </is>
      </c>
      <c r="C663" s="9" t="inlineStr">
        <is>
          <t>Консультация</t>
        </is>
      </c>
      <c r="D663" s="9" t="inlineStr">
        <is>
          <t>Т1О-401Б-17</t>
        </is>
      </c>
      <c r="E663" s="10" t="n">
        <v>3</v>
      </c>
      <c r="F663" s="9" t="inlineStr">
        <is>
          <t>06256</t>
        </is>
      </c>
      <c r="G663" s="11" t="n">
        <v>0</v>
      </c>
      <c r="H663" s="9" t="inlineStr">
        <is>
          <t xml:space="preserve">82056     </t>
        </is>
      </c>
      <c r="I663" s="9" t="inlineStr">
        <is>
          <t xml:space="preserve">Никитина Елена Владимировна </t>
        </is>
      </c>
      <c r="J663" s="9" t="n"/>
      <c r="K663" s="9" t="n"/>
      <c r="L663" s="9" t="n"/>
      <c r="M663" s="12">
        <f>SUMIFS($E$2:$E$1130,$A$2:$A$1130,"осень",$I$2:$I$1130,I663)</f>
        <v/>
      </c>
      <c r="N663" s="13">
        <f>SUMIFS($E$2:$E$1130,$A$2:$A$1130,"весна",$I$2:$I$1130,I663)</f>
        <v/>
      </c>
      <c r="O663" s="14">
        <f>M663+N663</f>
        <v/>
      </c>
      <c r="P663" s="15">
        <f>O663/$P$1</f>
        <v/>
      </c>
    </row>
    <row r="664" ht="15.75" customHeight="1" s="2">
      <c r="A664" s="32" t="inlineStr">
        <is>
          <t>весна</t>
        </is>
      </c>
      <c r="B664" s="9" t="inlineStr">
        <is>
          <t>Теория металлургических процессов</t>
        </is>
      </c>
      <c r="C664" s="9" t="inlineStr">
        <is>
          <t>ЛК</t>
        </is>
      </c>
      <c r="D664" s="9" t="inlineStr">
        <is>
          <t>Т11О-301Б-18, Т11О-302Б-18</t>
        </is>
      </c>
      <c r="E664" s="10" t="n">
        <v>32</v>
      </c>
      <c r="F664" s="9" t="inlineStr">
        <is>
          <t>08947</t>
        </is>
      </c>
      <c r="G664" s="10" t="n">
        <v>32</v>
      </c>
      <c r="H664" s="9" t="inlineStr">
        <is>
          <t xml:space="preserve">95790     </t>
        </is>
      </c>
      <c r="I664" s="9" t="inlineStr">
        <is>
          <t>Шляпцева Анастасия Дмитриевна</t>
        </is>
      </c>
      <c r="J664" s="9" t="inlineStr">
        <is>
          <t>доцент</t>
        </is>
      </c>
      <c r="K664" s="9" t="n"/>
      <c r="L664" s="9" t="n"/>
      <c r="M664" s="12">
        <f>SUMIFS($E$2:$E$1130,$A$2:$A$1130,"осень",$I$2:$I$1130,I664)</f>
        <v/>
      </c>
      <c r="N664" s="13">
        <f>SUMIFS($E$2:$E$1130,$A$2:$A$1130,"весна",$I$2:$I$1130,I664)</f>
        <v/>
      </c>
      <c r="O664" s="14">
        <f>M664+N664</f>
        <v/>
      </c>
      <c r="P664" s="15">
        <f>O664/$P$1</f>
        <v/>
      </c>
    </row>
    <row r="665" ht="15.75" customHeight="1" s="2">
      <c r="A665" s="32" t="inlineStr">
        <is>
          <t>весна</t>
        </is>
      </c>
      <c r="B665" s="9" t="inlineStr">
        <is>
          <t>Теория металлургических процессов</t>
        </is>
      </c>
      <c r="C665" s="9" t="inlineStr">
        <is>
          <t>Зачет с оценкой</t>
        </is>
      </c>
      <c r="D665" s="9" t="inlineStr">
        <is>
          <t>Т11О-301Б-18</t>
        </is>
      </c>
      <c r="E665" s="10" t="n">
        <v>6</v>
      </c>
      <c r="F665" s="9" t="inlineStr">
        <is>
          <t>08947</t>
        </is>
      </c>
      <c r="G665" s="11" t="n">
        <v>0</v>
      </c>
      <c r="H665" s="9" t="inlineStr">
        <is>
          <t xml:space="preserve">95790     </t>
        </is>
      </c>
      <c r="I665" s="9" t="inlineStr">
        <is>
          <t>Шляпцева Анастасия Дмитриевна</t>
        </is>
      </c>
      <c r="J665" s="9" t="inlineStr">
        <is>
          <t>доцент</t>
        </is>
      </c>
      <c r="K665" s="9" t="n"/>
      <c r="L665" s="9" t="n"/>
      <c r="M665" s="12">
        <f>SUMIFS($E$2:$E$1130,$A$2:$A$1130,"осень",$I$2:$I$1130,I665)</f>
        <v/>
      </c>
      <c r="N665" s="13">
        <f>SUMIFS($E$2:$E$1130,$A$2:$A$1130,"весна",$I$2:$I$1130,I665)</f>
        <v/>
      </c>
      <c r="O665" s="14">
        <f>M665+N665</f>
        <v/>
      </c>
      <c r="P665" s="15">
        <f>O665/$P$1</f>
        <v/>
      </c>
    </row>
    <row r="666" ht="15.75" customHeight="1" s="2">
      <c r="A666" s="32" t="inlineStr">
        <is>
          <t>весна</t>
        </is>
      </c>
      <c r="B666" s="9" t="inlineStr">
        <is>
          <t>Теория металлургических процессов</t>
        </is>
      </c>
      <c r="C666" s="9" t="inlineStr">
        <is>
          <t>Зачет с оценкой</t>
        </is>
      </c>
      <c r="D666" s="9" t="inlineStr">
        <is>
          <t>Т11О-302Б-18</t>
        </is>
      </c>
      <c r="E666" s="10" t="n">
        <v>5</v>
      </c>
      <c r="F666" s="9" t="inlineStr">
        <is>
          <t>08947</t>
        </is>
      </c>
      <c r="G666" s="11" t="n">
        <v>0</v>
      </c>
      <c r="H666" s="9" t="inlineStr">
        <is>
          <t xml:space="preserve">95790     </t>
        </is>
      </c>
      <c r="I666" s="9" t="inlineStr">
        <is>
          <t>Шляпцева Анастасия Дмитриевна</t>
        </is>
      </c>
      <c r="J666" s="9" t="inlineStr">
        <is>
          <t>доцент</t>
        </is>
      </c>
      <c r="K666" s="9" t="n"/>
      <c r="L666" s="9" t="n"/>
      <c r="M666" s="12">
        <f>SUMIFS($E$2:$E$1130,$A$2:$A$1130,"осень",$I$2:$I$1130,I666)</f>
        <v/>
      </c>
      <c r="N666" s="13">
        <f>SUMIFS($E$2:$E$1130,$A$2:$A$1130,"весна",$I$2:$I$1130,I666)</f>
        <v/>
      </c>
      <c r="O666" s="14">
        <f>M666+N666</f>
        <v/>
      </c>
      <c r="P666" s="15">
        <f>O666/$P$1</f>
        <v/>
      </c>
    </row>
    <row r="667" ht="15.75" customHeight="1" s="2">
      <c r="A667" s="32" t="inlineStr">
        <is>
          <t>весна</t>
        </is>
      </c>
      <c r="B667" s="9" t="inlineStr">
        <is>
          <t>Теория металлургических процессов</t>
        </is>
      </c>
      <c r="C667" s="9" t="inlineStr">
        <is>
          <t>ПЗ</t>
        </is>
      </c>
      <c r="D667" s="9" t="inlineStr">
        <is>
          <t>Т11О-301Б-18</t>
        </is>
      </c>
      <c r="E667" s="10" t="n">
        <v>16</v>
      </c>
      <c r="F667" s="9" t="inlineStr">
        <is>
          <t>08947</t>
        </is>
      </c>
      <c r="G667" s="10" t="n">
        <v>16</v>
      </c>
      <c r="H667" s="9" t="inlineStr">
        <is>
          <t xml:space="preserve">95790     </t>
        </is>
      </c>
      <c r="I667" s="9" t="inlineStr">
        <is>
          <t>Шляпцева Анастасия Дмитриевна</t>
        </is>
      </c>
      <c r="J667" s="9" t="n"/>
      <c r="K667" s="9" t="n"/>
      <c r="L667" s="9" t="n"/>
      <c r="M667" s="12">
        <f>SUMIFS($E$2:$E$1130,$A$2:$A$1130,"осень",$I$2:$I$1130,I667)</f>
        <v/>
      </c>
      <c r="N667" s="13">
        <f>SUMIFS($E$2:$E$1130,$A$2:$A$1130,"весна",$I$2:$I$1130,I667)</f>
        <v/>
      </c>
      <c r="O667" s="14">
        <f>M667+N667</f>
        <v/>
      </c>
      <c r="P667" s="15">
        <f>O667/$P$1</f>
        <v/>
      </c>
    </row>
    <row r="668" ht="15.75" customHeight="1" s="2">
      <c r="A668" s="32" t="inlineStr">
        <is>
          <t>весна</t>
        </is>
      </c>
      <c r="B668" s="9" t="inlineStr">
        <is>
          <t>Теория металлургических процессов</t>
        </is>
      </c>
      <c r="C668" s="9" t="inlineStr">
        <is>
          <t>ПЗ</t>
        </is>
      </c>
      <c r="D668" s="9" t="inlineStr">
        <is>
          <t>Т11О-302Б-18</t>
        </is>
      </c>
      <c r="E668" s="10" t="n">
        <v>16</v>
      </c>
      <c r="F668" s="9" t="inlineStr">
        <is>
          <t>08947</t>
        </is>
      </c>
      <c r="G668" s="10" t="n">
        <v>16</v>
      </c>
      <c r="H668" s="9" t="inlineStr">
        <is>
          <t xml:space="preserve">95790     </t>
        </is>
      </c>
      <c r="I668" s="9" t="inlineStr">
        <is>
          <t>Шляпцева Анастасия Дмитриевна</t>
        </is>
      </c>
      <c r="J668" s="9" t="n"/>
      <c r="K668" s="9" t="n"/>
      <c r="L668" s="9" t="n"/>
      <c r="M668" s="12">
        <f>SUMIFS($E$2:$E$1130,$A$2:$A$1130,"осень",$I$2:$I$1130,I668)</f>
        <v/>
      </c>
      <c r="N668" s="13">
        <f>SUMIFS($E$2:$E$1130,$A$2:$A$1130,"весна",$I$2:$I$1130,I668)</f>
        <v/>
      </c>
      <c r="O668" s="14">
        <f>M668+N668</f>
        <v/>
      </c>
      <c r="P668" s="15">
        <f>O668/$P$1</f>
        <v/>
      </c>
    </row>
    <row r="669" ht="15.75" customHeight="1" s="2">
      <c r="A669" s="32" t="inlineStr">
        <is>
          <t>весна</t>
        </is>
      </c>
      <c r="B669" s="9" t="inlineStr">
        <is>
          <t>Теория металлургических процессов</t>
        </is>
      </c>
      <c r="C669" s="9" t="inlineStr">
        <is>
          <t>ЛР</t>
        </is>
      </c>
      <c r="D669" s="9" t="inlineStr">
        <is>
          <t>Т11О-301Б-18</t>
        </is>
      </c>
      <c r="E669" s="10" t="n">
        <v>32</v>
      </c>
      <c r="F669" s="9" t="inlineStr">
        <is>
          <t>08947</t>
        </is>
      </c>
      <c r="G669" s="10" t="n">
        <v>16</v>
      </c>
      <c r="H669" s="9" t="inlineStr">
        <is>
          <t xml:space="preserve">95790     </t>
        </is>
      </c>
      <c r="I669" s="9" t="inlineStr">
        <is>
          <t>Шляпцева Анастасия Дмитриевна</t>
        </is>
      </c>
      <c r="J669" s="9" t="n"/>
      <c r="K669" s="9" t="n"/>
      <c r="L669" s="9" t="n"/>
      <c r="M669" s="12">
        <f>SUMIFS($E$2:$E$1130,$A$2:$A$1130,"осень",$I$2:$I$1130,I669)</f>
        <v/>
      </c>
      <c r="N669" s="13">
        <f>SUMIFS($E$2:$E$1130,$A$2:$A$1130,"весна",$I$2:$I$1130,I669)</f>
        <v/>
      </c>
      <c r="O669" s="14">
        <f>M669+N669</f>
        <v/>
      </c>
      <c r="P669" s="15">
        <f>O669/$P$1</f>
        <v/>
      </c>
    </row>
    <row r="670" ht="15.75" customHeight="1" s="2">
      <c r="A670" s="32" t="inlineStr">
        <is>
          <t>весна</t>
        </is>
      </c>
      <c r="B670" s="9" t="inlineStr">
        <is>
          <t>Теория металлургических процессов</t>
        </is>
      </c>
      <c r="C670" s="9" t="inlineStr">
        <is>
          <t>ЛР</t>
        </is>
      </c>
      <c r="D670" s="9" t="inlineStr">
        <is>
          <t>Т11О-302Б-18</t>
        </is>
      </c>
      <c r="E670" s="10" t="n">
        <v>16</v>
      </c>
      <c r="F670" s="9" t="inlineStr">
        <is>
          <t>08947</t>
        </is>
      </c>
      <c r="G670" s="10" t="n">
        <v>16</v>
      </c>
      <c r="H670" s="9" t="inlineStr">
        <is>
          <t xml:space="preserve">95790     </t>
        </is>
      </c>
      <c r="I670" s="9" t="inlineStr">
        <is>
          <t>Шляпцева Анастасия Дмитриевна</t>
        </is>
      </c>
      <c r="J670" s="9" t="n"/>
      <c r="K670" s="9" t="n"/>
      <c r="L670" s="9" t="n"/>
      <c r="M670" s="12">
        <f>SUMIFS($E$2:$E$1130,$A$2:$A$1130,"осень",$I$2:$I$1130,I670)</f>
        <v/>
      </c>
      <c r="N670" s="13">
        <f>SUMIFS($E$2:$E$1130,$A$2:$A$1130,"весна",$I$2:$I$1130,I670)</f>
        <v/>
      </c>
      <c r="O670" s="14">
        <f>M670+N670</f>
        <v/>
      </c>
      <c r="P670" s="15">
        <f>O670/$P$1</f>
        <v/>
      </c>
    </row>
    <row r="671" ht="15.75" customHeight="1" s="2">
      <c r="A671" s="32" t="inlineStr">
        <is>
          <t>весна</t>
        </is>
      </c>
      <c r="B671" s="9" t="inlineStr">
        <is>
          <t>Теория металлургических процессов</t>
        </is>
      </c>
      <c r="C671" s="9" t="inlineStr">
        <is>
          <t>Консультация</t>
        </is>
      </c>
      <c r="D671" s="9" t="inlineStr">
        <is>
          <t>Т11О-301Б-18</t>
        </is>
      </c>
      <c r="E671" s="10" t="n">
        <v>2</v>
      </c>
      <c r="F671" s="9" t="inlineStr">
        <is>
          <t>08947</t>
        </is>
      </c>
      <c r="G671" s="11" t="n">
        <v>0</v>
      </c>
      <c r="H671" s="9" t="inlineStr">
        <is>
          <t xml:space="preserve">95790     </t>
        </is>
      </c>
      <c r="I671" s="9" t="inlineStr">
        <is>
          <t>Шляпцева Анастасия Дмитриевна</t>
        </is>
      </c>
      <c r="J671" s="9" t="n"/>
      <c r="K671" s="9" t="n"/>
      <c r="L671" s="9" t="n"/>
      <c r="M671" s="12">
        <f>SUMIFS($E$2:$E$1130,$A$2:$A$1130,"осень",$I$2:$I$1130,I671)</f>
        <v/>
      </c>
      <c r="N671" s="13">
        <f>SUMIFS($E$2:$E$1130,$A$2:$A$1130,"весна",$I$2:$I$1130,I671)</f>
        <v/>
      </c>
      <c r="O671" s="14">
        <f>M671+N671</f>
        <v/>
      </c>
      <c r="P671" s="15">
        <f>O671/$P$1</f>
        <v/>
      </c>
    </row>
    <row r="672" ht="15.75" customHeight="1" s="2">
      <c r="A672" s="32" t="inlineStr">
        <is>
          <t>весна</t>
        </is>
      </c>
      <c r="B672" s="9" t="inlineStr">
        <is>
          <t>Теория металлургических процессов</t>
        </is>
      </c>
      <c r="C672" s="9" t="inlineStr">
        <is>
          <t>Консультация</t>
        </is>
      </c>
      <c r="D672" s="9" t="inlineStr">
        <is>
          <t>Т11О-302Б-18</t>
        </is>
      </c>
      <c r="E672" s="10" t="n">
        <v>2</v>
      </c>
      <c r="F672" s="9" t="inlineStr">
        <is>
          <t>08947</t>
        </is>
      </c>
      <c r="G672" s="11" t="n">
        <v>0</v>
      </c>
      <c r="H672" s="9" t="inlineStr">
        <is>
          <t xml:space="preserve">95790     </t>
        </is>
      </c>
      <c r="I672" s="9" t="inlineStr">
        <is>
          <t>Шляпцева Анастасия Дмитриевна</t>
        </is>
      </c>
      <c r="J672" s="9" t="n"/>
      <c r="K672" s="9" t="n"/>
      <c r="L672" s="9" t="n"/>
      <c r="M672" s="12">
        <f>SUMIFS($E$2:$E$1130,$A$2:$A$1130,"осень",$I$2:$I$1130,I672)</f>
        <v/>
      </c>
      <c r="N672" s="13">
        <f>SUMIFS($E$2:$E$1130,$A$2:$A$1130,"весна",$I$2:$I$1130,I672)</f>
        <v/>
      </c>
      <c r="O672" s="14">
        <f>M672+N672</f>
        <v/>
      </c>
      <c r="P672" s="15">
        <f>O672/$P$1</f>
        <v/>
      </c>
    </row>
    <row r="673" ht="15.75" customHeight="1" s="2">
      <c r="A673" s="32" t="inlineStr">
        <is>
          <t>весна</t>
        </is>
      </c>
      <c r="B673" s="9" t="inlineStr">
        <is>
          <t>Технология литейного производства</t>
        </is>
      </c>
      <c r="C673" s="9" t="inlineStr">
        <is>
          <t>ЛК</t>
        </is>
      </c>
      <c r="D673" s="9" t="inlineStr">
        <is>
          <t>Т11О-301Б-18, Т11О-302Б-18</t>
        </is>
      </c>
      <c r="E673" s="10" t="n">
        <v>32</v>
      </c>
      <c r="F673" s="9" t="inlineStr">
        <is>
          <t>08947</t>
        </is>
      </c>
      <c r="G673" s="10" t="n">
        <v>32</v>
      </c>
      <c r="H673" s="9" t="inlineStr">
        <is>
          <t xml:space="preserve">82061     </t>
        </is>
      </c>
      <c r="I673" s="9" t="inlineStr">
        <is>
          <t xml:space="preserve">Моисеев Виктор Сергеевич </t>
        </is>
      </c>
      <c r="J673" s="9" t="n"/>
      <c r="K673" s="9" t="n"/>
      <c r="L673" s="9" t="n"/>
      <c r="M673" s="12">
        <f>SUMIFS($E$2:$E$1130,$A$2:$A$1130,"осень",$I$2:$I$1130,I673)</f>
        <v/>
      </c>
      <c r="N673" s="13">
        <f>SUMIFS($E$2:$E$1130,$A$2:$A$1130,"весна",$I$2:$I$1130,I673)</f>
        <v/>
      </c>
      <c r="O673" s="14">
        <f>M673+N673</f>
        <v/>
      </c>
      <c r="P673" s="15">
        <f>O673/$P$1</f>
        <v/>
      </c>
    </row>
    <row r="674" ht="15.75" customHeight="1" s="2">
      <c r="A674" s="32" t="inlineStr">
        <is>
          <t>весна</t>
        </is>
      </c>
      <c r="B674" s="9" t="inlineStr">
        <is>
          <t>Технология литейного производства</t>
        </is>
      </c>
      <c r="C674" s="9" t="inlineStr">
        <is>
          <t>ПЗ</t>
        </is>
      </c>
      <c r="D674" s="9" t="inlineStr">
        <is>
          <t>Т11О-301Б-18</t>
        </is>
      </c>
      <c r="E674" s="10" t="n">
        <v>20</v>
      </c>
      <c r="F674" s="9" t="inlineStr">
        <is>
          <t>08947</t>
        </is>
      </c>
      <c r="G674" s="10" t="n">
        <v>20</v>
      </c>
      <c r="H674" s="9" t="inlineStr">
        <is>
          <t xml:space="preserve">82061     </t>
        </is>
      </c>
      <c r="I674" s="9" t="inlineStr">
        <is>
          <t xml:space="preserve">Моисеев Виктор Сергеевич </t>
        </is>
      </c>
      <c r="J674" s="9" t="n"/>
      <c r="K674" s="9" t="n"/>
      <c r="L674" s="9" t="n"/>
      <c r="M674" s="12">
        <f>SUMIFS($E$2:$E$1130,$A$2:$A$1130,"осень",$I$2:$I$1130,I674)</f>
        <v/>
      </c>
      <c r="N674" s="13">
        <f>SUMIFS($E$2:$E$1130,$A$2:$A$1130,"весна",$I$2:$I$1130,I674)</f>
        <v/>
      </c>
      <c r="O674" s="14">
        <f>M674+N674</f>
        <v/>
      </c>
      <c r="P674" s="15">
        <f>O674/$P$1</f>
        <v/>
      </c>
    </row>
    <row r="675" ht="15.75" customHeight="1" s="2">
      <c r="A675" s="32" t="inlineStr">
        <is>
          <t>весна</t>
        </is>
      </c>
      <c r="B675" s="9" t="inlineStr">
        <is>
          <t>Технология литейного производства</t>
        </is>
      </c>
      <c r="C675" s="9" t="inlineStr">
        <is>
          <t>ПЗ</t>
        </is>
      </c>
      <c r="D675" s="9" t="inlineStr">
        <is>
          <t>Т11О-302Б-18</t>
        </is>
      </c>
      <c r="E675" s="10" t="n">
        <v>20</v>
      </c>
      <c r="F675" s="9" t="inlineStr">
        <is>
          <t>08947</t>
        </is>
      </c>
      <c r="G675" s="10" t="n">
        <v>20</v>
      </c>
      <c r="H675" s="9" t="inlineStr">
        <is>
          <t xml:space="preserve">82061     </t>
        </is>
      </c>
      <c r="I675" s="9" t="inlineStr">
        <is>
          <t xml:space="preserve">Моисеев Виктор Сергеевич </t>
        </is>
      </c>
      <c r="J675" s="9" t="n"/>
      <c r="K675" s="9" t="n"/>
      <c r="L675" s="9" t="n"/>
      <c r="M675" s="12">
        <f>SUMIFS($E$2:$E$1130,$A$2:$A$1130,"осень",$I$2:$I$1130,I675)</f>
        <v/>
      </c>
      <c r="N675" s="13">
        <f>SUMIFS($E$2:$E$1130,$A$2:$A$1130,"весна",$I$2:$I$1130,I675)</f>
        <v/>
      </c>
      <c r="O675" s="14">
        <f>M675+N675</f>
        <v/>
      </c>
      <c r="P675" s="15">
        <f>O675/$P$1</f>
        <v/>
      </c>
    </row>
    <row r="676" ht="15.75" customHeight="1" s="2">
      <c r="A676" s="32" t="inlineStr">
        <is>
          <t>весна</t>
        </is>
      </c>
      <c r="B676" s="21" t="inlineStr">
        <is>
          <t>Технология литейного производства</t>
        </is>
      </c>
      <c r="C676" s="21" t="inlineStr">
        <is>
          <t>ЛР</t>
        </is>
      </c>
      <c r="D676" s="21" t="inlineStr">
        <is>
          <t>Т11О-301Б-18</t>
        </is>
      </c>
      <c r="E676" s="23" t="n">
        <v>16</v>
      </c>
      <c r="F676" s="9" t="inlineStr">
        <is>
          <t>08947</t>
        </is>
      </c>
      <c r="G676" s="10" t="n">
        <v>16</v>
      </c>
      <c r="H676" s="9" t="inlineStr">
        <is>
          <t xml:space="preserve">82061     </t>
        </is>
      </c>
      <c r="I676" s="9" t="inlineStr">
        <is>
          <t xml:space="preserve">Моисеев Виктор Сергеевич </t>
        </is>
      </c>
      <c r="J676" s="9" t="n"/>
      <c r="K676" s="9" t="n"/>
      <c r="L676" s="9" t="n"/>
      <c r="M676" s="12">
        <f>SUMIFS($E$2:$E$1130,$A$2:$A$1130,"осень",$I$2:$I$1130,I676)</f>
        <v/>
      </c>
      <c r="N676" s="13">
        <f>SUMIFS($E$2:$E$1130,$A$2:$A$1130,"весна",$I$2:$I$1130,I676)</f>
        <v/>
      </c>
      <c r="O676" s="14">
        <f>M676+N676</f>
        <v/>
      </c>
      <c r="P676" s="15">
        <f>O676/$P$1</f>
        <v/>
      </c>
    </row>
    <row r="677" ht="15.75" customHeight="1" s="2">
      <c r="A677" s="32" t="inlineStr">
        <is>
          <t>весна</t>
        </is>
      </c>
      <c r="B677" s="21" t="inlineStr">
        <is>
          <t>Технология литейного производства</t>
        </is>
      </c>
      <c r="C677" s="21" t="inlineStr">
        <is>
          <t>ЛР</t>
        </is>
      </c>
      <c r="D677" s="21" t="inlineStr">
        <is>
          <t>Т11О-301Б-18</t>
        </is>
      </c>
      <c r="E677" s="23" t="n">
        <v>16</v>
      </c>
      <c r="F677" s="9" t="inlineStr">
        <is>
          <t>08947</t>
        </is>
      </c>
      <c r="G677" s="10" t="n">
        <v>16</v>
      </c>
      <c r="H677" s="9" t="inlineStr">
        <is>
          <t xml:space="preserve">89068     </t>
        </is>
      </c>
      <c r="I677" s="9" t="inlineStr">
        <is>
          <t xml:space="preserve">Петров Игорь Алексеевич </t>
        </is>
      </c>
      <c r="J677" s="9" t="inlineStr">
        <is>
          <t>доцент</t>
        </is>
      </c>
      <c r="K677" s="9" t="n"/>
      <c r="L677" s="9" t="n"/>
      <c r="M677" s="12">
        <f>SUMIFS($E$2:$E$1130,$A$2:$A$1130,"осень",$I$2:$I$1130,I677)</f>
        <v/>
      </c>
      <c r="N677" s="13">
        <f>SUMIFS($E$2:$E$1130,$A$2:$A$1130,"весна",$I$2:$I$1130,I677)</f>
        <v/>
      </c>
      <c r="O677" s="14">
        <f>M677+N677</f>
        <v/>
      </c>
      <c r="P677" s="15">
        <f>O677/$P$1</f>
        <v/>
      </c>
    </row>
    <row r="678" ht="15.75" customHeight="1" s="2">
      <c r="A678" s="32" t="inlineStr">
        <is>
          <t>весна</t>
        </is>
      </c>
      <c r="B678" s="9" t="inlineStr">
        <is>
          <t>Технология литейного производства</t>
        </is>
      </c>
      <c r="C678" s="9" t="inlineStr">
        <is>
          <t>ЛР</t>
        </is>
      </c>
      <c r="D678" s="9" t="inlineStr">
        <is>
          <t>Т11О-302Б-18</t>
        </is>
      </c>
      <c r="E678" s="10" t="n">
        <v>16</v>
      </c>
      <c r="F678" s="9" t="inlineStr">
        <is>
          <t>08947</t>
        </is>
      </c>
      <c r="G678" s="10" t="n">
        <v>16</v>
      </c>
      <c r="H678" s="9" t="inlineStr">
        <is>
          <t xml:space="preserve">89068     </t>
        </is>
      </c>
      <c r="I678" s="9" t="inlineStr">
        <is>
          <t xml:space="preserve">Петров Игорь Алексеевич </t>
        </is>
      </c>
      <c r="J678" s="9" t="inlineStr">
        <is>
          <t>доцент</t>
        </is>
      </c>
      <c r="K678" s="9" t="n"/>
      <c r="L678" s="9" t="n"/>
      <c r="M678" s="12">
        <f>SUMIFS($E$2:$E$1130,$A$2:$A$1130,"осень",$I$2:$I$1130,I678)</f>
        <v/>
      </c>
      <c r="N678" s="13">
        <f>SUMIFS($E$2:$E$1130,$A$2:$A$1130,"весна",$I$2:$I$1130,I678)</f>
        <v/>
      </c>
      <c r="O678" s="14">
        <f>M678+N678</f>
        <v/>
      </c>
      <c r="P678" s="15">
        <f>O678/$P$1</f>
        <v/>
      </c>
    </row>
    <row r="679" ht="15.75" customHeight="1" s="2">
      <c r="A679" s="32" t="inlineStr">
        <is>
          <t>весна</t>
        </is>
      </c>
      <c r="B679" s="9" t="inlineStr">
        <is>
          <t>Технология литейного производства</t>
        </is>
      </c>
      <c r="C679" s="9" t="inlineStr">
        <is>
          <t>Экзамен</t>
        </is>
      </c>
      <c r="D679" s="9" t="inlineStr">
        <is>
          <t>Т11О-301Б-18</t>
        </is>
      </c>
      <c r="E679" s="10" t="n">
        <v>9</v>
      </c>
      <c r="F679" s="9" t="inlineStr">
        <is>
          <t>08947</t>
        </is>
      </c>
      <c r="G679" s="11" t="n">
        <v>0</v>
      </c>
      <c r="H679" s="9" t="inlineStr">
        <is>
          <t xml:space="preserve">82061     </t>
        </is>
      </c>
      <c r="I679" s="9" t="inlineStr">
        <is>
          <t xml:space="preserve">Моисеев Виктор Сергеевич </t>
        </is>
      </c>
      <c r="J679" s="9" t="n"/>
      <c r="K679" s="9" t="n"/>
      <c r="L679" s="9" t="n"/>
      <c r="M679" s="12">
        <f>SUMIFS($E$2:$E$1130,$A$2:$A$1130,"осень",$I$2:$I$1130,I679)</f>
        <v/>
      </c>
      <c r="N679" s="13">
        <f>SUMIFS($E$2:$E$1130,$A$2:$A$1130,"весна",$I$2:$I$1130,I679)</f>
        <v/>
      </c>
      <c r="O679" s="14">
        <f>M679+N679</f>
        <v/>
      </c>
      <c r="P679" s="15">
        <f>O679/$P$1</f>
        <v/>
      </c>
    </row>
    <row r="680" ht="15.75" customHeight="1" s="2">
      <c r="A680" s="32" t="inlineStr">
        <is>
          <t>весна</t>
        </is>
      </c>
      <c r="B680" s="9" t="inlineStr">
        <is>
          <t>Технология литейного производства</t>
        </is>
      </c>
      <c r="C680" s="9" t="inlineStr">
        <is>
          <t>Экзамен</t>
        </is>
      </c>
      <c r="D680" s="9" t="inlineStr">
        <is>
          <t>Т11О-302Б-18</t>
        </is>
      </c>
      <c r="E680" s="10" t="n">
        <v>7</v>
      </c>
      <c r="F680" s="9" t="inlineStr">
        <is>
          <t>08947</t>
        </is>
      </c>
      <c r="G680" s="11" t="n">
        <v>0</v>
      </c>
      <c r="H680" s="9" t="inlineStr">
        <is>
          <t xml:space="preserve">82061     </t>
        </is>
      </c>
      <c r="I680" s="9" t="inlineStr">
        <is>
          <t xml:space="preserve">Моисеев Виктор Сергеевич </t>
        </is>
      </c>
      <c r="J680" s="9" t="n"/>
      <c r="K680" s="9" t="n"/>
      <c r="L680" s="9" t="n"/>
      <c r="M680" s="12">
        <f>SUMIFS($E$2:$E$1130,$A$2:$A$1130,"осень",$I$2:$I$1130,I680)</f>
        <v/>
      </c>
      <c r="N680" s="13">
        <f>SUMIFS($E$2:$E$1130,$A$2:$A$1130,"весна",$I$2:$I$1130,I680)</f>
        <v/>
      </c>
      <c r="O680" s="14">
        <f>M680+N680</f>
        <v/>
      </c>
      <c r="P680" s="15">
        <f>O680/$P$1</f>
        <v/>
      </c>
    </row>
    <row r="681" ht="15.75" customHeight="1" s="2">
      <c r="A681" s="32" t="inlineStr">
        <is>
          <t>весна</t>
        </is>
      </c>
      <c r="B681" s="9" t="inlineStr">
        <is>
          <t>Технология литейного производства</t>
        </is>
      </c>
      <c r="C681" s="9" t="inlineStr">
        <is>
          <t>Консультация</t>
        </is>
      </c>
      <c r="D681" s="9" t="inlineStr">
        <is>
          <t>Т11О-301Б-18</t>
        </is>
      </c>
      <c r="E681" s="10" t="n">
        <v>4</v>
      </c>
      <c r="F681" s="9" t="inlineStr">
        <is>
          <t>08947</t>
        </is>
      </c>
      <c r="G681" s="11" t="n">
        <v>0</v>
      </c>
      <c r="H681" s="9" t="inlineStr">
        <is>
          <t xml:space="preserve">82061     </t>
        </is>
      </c>
      <c r="I681" s="9" t="inlineStr">
        <is>
          <t xml:space="preserve">Моисеев Виктор Сергеевич </t>
        </is>
      </c>
      <c r="J681" s="9" t="n"/>
      <c r="K681" s="9" t="n"/>
      <c r="L681" s="9" t="n"/>
      <c r="M681" s="12">
        <f>SUMIFS($E$2:$E$1130,$A$2:$A$1130,"осень",$I$2:$I$1130,I681)</f>
        <v/>
      </c>
      <c r="N681" s="13">
        <f>SUMIFS($E$2:$E$1130,$A$2:$A$1130,"весна",$I$2:$I$1130,I681)</f>
        <v/>
      </c>
      <c r="O681" s="14">
        <f>M681+N681</f>
        <v/>
      </c>
      <c r="P681" s="15">
        <f>O681/$P$1</f>
        <v/>
      </c>
    </row>
    <row r="682" ht="15.75" customHeight="1" s="2">
      <c r="A682" s="32" t="inlineStr">
        <is>
          <t>весна</t>
        </is>
      </c>
      <c r="B682" s="9" t="inlineStr">
        <is>
          <t>Технология литейного производства</t>
        </is>
      </c>
      <c r="C682" s="9" t="inlineStr">
        <is>
          <t>Консультация</t>
        </is>
      </c>
      <c r="D682" s="9" t="inlineStr">
        <is>
          <t>Т11О-302Б-18</t>
        </is>
      </c>
      <c r="E682" s="10" t="n">
        <v>4</v>
      </c>
      <c r="F682" s="9" t="inlineStr">
        <is>
          <t>08947</t>
        </is>
      </c>
      <c r="G682" s="11" t="n">
        <v>0</v>
      </c>
      <c r="H682" s="9" t="inlineStr">
        <is>
          <t xml:space="preserve">82061     </t>
        </is>
      </c>
      <c r="I682" s="9" t="inlineStr">
        <is>
          <t xml:space="preserve">Моисеев Виктор Сергеевич </t>
        </is>
      </c>
      <c r="J682" s="9" t="n"/>
      <c r="K682" s="9" t="n"/>
      <c r="L682" s="9" t="n"/>
      <c r="M682" s="12">
        <f>SUMIFS($E$2:$E$1130,$A$2:$A$1130,"осень",$I$2:$I$1130,I682)</f>
        <v/>
      </c>
      <c r="N682" s="13">
        <f>SUMIFS($E$2:$E$1130,$A$2:$A$1130,"весна",$I$2:$I$1130,I682)</f>
        <v/>
      </c>
      <c r="O682" s="14">
        <f>M682+N682</f>
        <v/>
      </c>
      <c r="P682" s="15">
        <f>O682/$P$1</f>
        <v/>
      </c>
    </row>
    <row r="683" ht="15.75" customHeight="1" s="2">
      <c r="A683" s="32" t="inlineStr">
        <is>
          <t>весна</t>
        </is>
      </c>
      <c r="B683" s="9" t="inlineStr">
        <is>
          <t>Теоретические основы, технология и оборудование пайки</t>
        </is>
      </c>
      <c r="C683" s="9" t="inlineStr">
        <is>
          <t>ЛК</t>
        </is>
      </c>
      <c r="D683" s="9" t="inlineStr">
        <is>
          <t>Т1О-401Б-17</t>
        </is>
      </c>
      <c r="E683" s="10" t="n">
        <v>24</v>
      </c>
      <c r="F683" s="9" t="inlineStr">
        <is>
          <t>06256</t>
        </is>
      </c>
      <c r="G683" s="10" t="n">
        <v>24</v>
      </c>
      <c r="H683" s="9" t="inlineStr">
        <is>
          <t xml:space="preserve">82023     </t>
        </is>
      </c>
      <c r="I683" s="9" t="inlineStr">
        <is>
          <t xml:space="preserve">Федоров Сергей Александрович </t>
        </is>
      </c>
      <c r="J683" s="9" t="n"/>
      <c r="K683" s="9" t="n"/>
      <c r="L683" s="9" t="n"/>
      <c r="M683" s="12">
        <f>SUMIFS($E$2:$E$1130,$A$2:$A$1130,"осень",$I$2:$I$1130,I683)</f>
        <v/>
      </c>
      <c r="N683" s="13">
        <f>SUMIFS($E$2:$E$1130,$A$2:$A$1130,"весна",$I$2:$I$1130,I683)</f>
        <v/>
      </c>
      <c r="O683" s="14">
        <f>M683+N683</f>
        <v/>
      </c>
      <c r="P683" s="15">
        <f>O683/$P$1</f>
        <v/>
      </c>
    </row>
    <row r="684" ht="15.75" customHeight="1" s="2">
      <c r="A684" s="32" t="inlineStr">
        <is>
          <t>весна</t>
        </is>
      </c>
      <c r="B684" s="9" t="inlineStr">
        <is>
          <t>Теоретические основы, технология и оборудование пайки</t>
        </is>
      </c>
      <c r="C684" s="9" t="inlineStr">
        <is>
          <t>ПЗ</t>
        </is>
      </c>
      <c r="D684" s="9" t="inlineStr">
        <is>
          <t>Т1О-401Б-17</t>
        </is>
      </c>
      <c r="E684" s="10" t="n">
        <v>12</v>
      </c>
      <c r="F684" s="9" t="inlineStr">
        <is>
          <t>06256</t>
        </is>
      </c>
      <c r="G684" s="10" t="n">
        <v>12</v>
      </c>
      <c r="H684" s="9" t="inlineStr">
        <is>
          <t xml:space="preserve">82023     </t>
        </is>
      </c>
      <c r="I684" s="9" t="inlineStr">
        <is>
          <t xml:space="preserve">Федоров Сергей Александрович </t>
        </is>
      </c>
      <c r="J684" s="9" t="n"/>
      <c r="K684" s="9" t="n"/>
      <c r="L684" s="9" t="n"/>
      <c r="M684" s="12">
        <f>SUMIFS($E$2:$E$1130,$A$2:$A$1130,"осень",$I$2:$I$1130,I684)</f>
        <v/>
      </c>
      <c r="N684" s="13">
        <f>SUMIFS($E$2:$E$1130,$A$2:$A$1130,"весна",$I$2:$I$1130,I684)</f>
        <v/>
      </c>
      <c r="O684" s="14">
        <f>M684+N684</f>
        <v/>
      </c>
      <c r="P684" s="15">
        <f>O684/$P$1</f>
        <v/>
      </c>
    </row>
    <row r="685" ht="15.75" customHeight="1" s="2">
      <c r="A685" s="32" t="inlineStr">
        <is>
          <t>весна</t>
        </is>
      </c>
      <c r="B685" s="9" t="inlineStr">
        <is>
          <t>Теоретические основы, технология и оборудование пайки</t>
        </is>
      </c>
      <c r="C685" s="9" t="inlineStr">
        <is>
          <t>ЛР</t>
        </is>
      </c>
      <c r="D685" s="9" t="inlineStr">
        <is>
          <t>Т1О-401Б-17</t>
        </is>
      </c>
      <c r="E685" s="10" t="n">
        <v>56</v>
      </c>
      <c r="F685" s="9" t="inlineStr">
        <is>
          <t>06256</t>
        </is>
      </c>
      <c r="G685" s="10" t="n">
        <v>28</v>
      </c>
      <c r="H685" s="9" t="inlineStr">
        <is>
          <t xml:space="preserve">82023     </t>
        </is>
      </c>
      <c r="I685" s="9" t="inlineStr">
        <is>
          <t xml:space="preserve">Федоров Сергей Александрович </t>
        </is>
      </c>
      <c r="J685" s="9" t="n"/>
      <c r="K685" s="9" t="n"/>
      <c r="L685" s="9" t="n"/>
      <c r="M685" s="12">
        <f>SUMIFS($E$2:$E$1130,$A$2:$A$1130,"осень",$I$2:$I$1130,I685)</f>
        <v/>
      </c>
      <c r="N685" s="13">
        <f>SUMIFS($E$2:$E$1130,$A$2:$A$1130,"весна",$I$2:$I$1130,I685)</f>
        <v/>
      </c>
      <c r="O685" s="14">
        <f>M685+N685</f>
        <v/>
      </c>
      <c r="P685" s="15">
        <f>O685/$P$1</f>
        <v/>
      </c>
    </row>
    <row r="686" ht="15.75" customHeight="1" s="2">
      <c r="A686" s="32" t="inlineStr">
        <is>
          <t>весна</t>
        </is>
      </c>
      <c r="B686" s="9" t="inlineStr">
        <is>
          <t>Теоретические основы, технология и оборудование пайки</t>
        </is>
      </c>
      <c r="C686" s="9" t="inlineStr">
        <is>
          <t>Экзамен</t>
        </is>
      </c>
      <c r="D686" s="9" t="inlineStr">
        <is>
          <t>Т1О-401Б-17</t>
        </is>
      </c>
      <c r="E686" s="10" t="n">
        <v>8</v>
      </c>
      <c r="F686" s="9" t="inlineStr">
        <is>
          <t>06256</t>
        </is>
      </c>
      <c r="G686" s="11" t="n">
        <v>0</v>
      </c>
      <c r="H686" s="9" t="inlineStr">
        <is>
          <t xml:space="preserve">82023     </t>
        </is>
      </c>
      <c r="I686" s="9" t="inlineStr">
        <is>
          <t xml:space="preserve">Федоров Сергей Александрович </t>
        </is>
      </c>
      <c r="J686" s="9" t="n"/>
      <c r="K686" s="9" t="n"/>
      <c r="L686" s="9" t="n"/>
      <c r="M686" s="12">
        <f>SUMIFS($E$2:$E$1130,$A$2:$A$1130,"осень",$I$2:$I$1130,I686)</f>
        <v/>
      </c>
      <c r="N686" s="13">
        <f>SUMIFS($E$2:$E$1130,$A$2:$A$1130,"весна",$I$2:$I$1130,I686)</f>
        <v/>
      </c>
      <c r="O686" s="14">
        <f>M686+N686</f>
        <v/>
      </c>
      <c r="P686" s="15">
        <f>O686/$P$1</f>
        <v/>
      </c>
    </row>
    <row r="687" ht="15.75" customHeight="1" s="2">
      <c r="A687" s="32" t="inlineStr">
        <is>
          <t>весна</t>
        </is>
      </c>
      <c r="B687" s="9" t="inlineStr">
        <is>
          <t>Теоретические основы, технология и оборудование пайки</t>
        </is>
      </c>
      <c r="C687" s="9" t="inlineStr">
        <is>
          <t>Консультация</t>
        </is>
      </c>
      <c r="D687" s="9" t="inlineStr">
        <is>
          <t>Т1О-401Б-17</t>
        </is>
      </c>
      <c r="E687" s="10" t="n">
        <v>3</v>
      </c>
      <c r="F687" s="9" t="inlineStr">
        <is>
          <t>06256</t>
        </is>
      </c>
      <c r="G687" s="11" t="n">
        <v>0</v>
      </c>
      <c r="H687" s="9" t="inlineStr">
        <is>
          <t xml:space="preserve">82023     </t>
        </is>
      </c>
      <c r="I687" s="9" t="inlineStr">
        <is>
          <t xml:space="preserve">Федоров Сергей Александрович </t>
        </is>
      </c>
      <c r="J687" s="9" t="n"/>
      <c r="K687" s="9" t="n"/>
      <c r="L687" s="9" t="n"/>
      <c r="M687" s="12">
        <f>SUMIFS($E$2:$E$1130,$A$2:$A$1130,"осень",$I$2:$I$1130,I687)</f>
        <v/>
      </c>
      <c r="N687" s="13">
        <f>SUMIFS($E$2:$E$1130,$A$2:$A$1130,"весна",$I$2:$I$1130,I687)</f>
        <v/>
      </c>
      <c r="O687" s="14">
        <f>M687+N687</f>
        <v/>
      </c>
      <c r="P687" s="15">
        <f>O687/$P$1</f>
        <v/>
      </c>
    </row>
    <row r="688" ht="15.75" customHeight="1" s="2">
      <c r="A688" s="32" t="inlineStr">
        <is>
          <t>весна</t>
        </is>
      </c>
      <c r="B688" s="9" t="inlineStr">
        <is>
          <t>Методы и средства подготовки научно-технической и конструкторской документации</t>
        </is>
      </c>
      <c r="C688" s="9" t="inlineStr">
        <is>
          <t>ЛК</t>
        </is>
      </c>
      <c r="D688" s="9" t="inlineStr">
        <is>
          <t>Т1О-404Б-17</t>
        </is>
      </c>
      <c r="E688" s="10" t="n">
        <v>24</v>
      </c>
      <c r="F688" s="9" t="inlineStr">
        <is>
          <t>08770</t>
        </is>
      </c>
      <c r="G688" s="10" t="n">
        <v>24</v>
      </c>
      <c r="H688" s="9" t="inlineStr">
        <is>
          <t xml:space="preserve">81725     </t>
        </is>
      </c>
      <c r="I688" s="9" t="inlineStr">
        <is>
          <t xml:space="preserve">Еремеев Николай Владимирович </t>
        </is>
      </c>
      <c r="J688" s="9" t="inlineStr">
        <is>
          <t>доцент</t>
        </is>
      </c>
      <c r="K688" s="9" t="n"/>
      <c r="L688" s="9" t="n"/>
      <c r="M688" s="12">
        <f>SUMIFS($E$2:$E$1130,$A$2:$A$1130,"осень",$I$2:$I$1130,I688)</f>
        <v/>
      </c>
      <c r="N688" s="13">
        <f>SUMIFS($E$2:$E$1130,$A$2:$A$1130,"весна",$I$2:$I$1130,I688)</f>
        <v/>
      </c>
      <c r="O688" s="14">
        <f>M688+N688</f>
        <v/>
      </c>
      <c r="P688" s="15">
        <f>O688/$P$1</f>
        <v/>
      </c>
    </row>
    <row r="689" ht="15.75" customHeight="1" s="2">
      <c r="A689" s="32" t="inlineStr">
        <is>
          <t>весна</t>
        </is>
      </c>
      <c r="B689" s="9" t="inlineStr">
        <is>
          <t>Методы и средства подготовки научно-технической и конструкторской документации</t>
        </is>
      </c>
      <c r="C689" s="9" t="inlineStr">
        <is>
          <t>Зачет с оценкой</t>
        </is>
      </c>
      <c r="D689" s="9" t="inlineStr">
        <is>
          <t>Т1О-404Б-17</t>
        </is>
      </c>
      <c r="E689" s="10" t="n">
        <v>8</v>
      </c>
      <c r="F689" s="9" t="inlineStr">
        <is>
          <t>08770</t>
        </is>
      </c>
      <c r="G689" s="11" t="n">
        <v>0</v>
      </c>
      <c r="H689" s="9" t="inlineStr">
        <is>
          <t xml:space="preserve">81725     </t>
        </is>
      </c>
      <c r="I689" s="9" t="inlineStr">
        <is>
          <t xml:space="preserve">Еремеев Николай Владимирович </t>
        </is>
      </c>
      <c r="J689" s="9" t="inlineStr">
        <is>
          <t>доцент</t>
        </is>
      </c>
      <c r="K689" s="9" t="n"/>
      <c r="L689" s="9" t="n"/>
      <c r="M689" s="12">
        <f>SUMIFS($E$2:$E$1130,$A$2:$A$1130,"осень",$I$2:$I$1130,I689)</f>
        <v/>
      </c>
      <c r="N689" s="13">
        <f>SUMIFS($E$2:$E$1130,$A$2:$A$1130,"весна",$I$2:$I$1130,I689)</f>
        <v/>
      </c>
      <c r="O689" s="14">
        <f>M689+N689</f>
        <v/>
      </c>
      <c r="P689" s="15">
        <f>O689/$P$1</f>
        <v/>
      </c>
    </row>
    <row r="690" ht="15.75" customHeight="1" s="2">
      <c r="A690" s="32" t="inlineStr">
        <is>
          <t>весна</t>
        </is>
      </c>
      <c r="B690" s="9" t="inlineStr">
        <is>
          <t>Методы и средства подготовки научно-технической и конструкторской документации</t>
        </is>
      </c>
      <c r="C690" s="9" t="inlineStr">
        <is>
          <t>ПЗ</t>
        </is>
      </c>
      <c r="D690" s="9" t="inlineStr">
        <is>
          <t>Т1О-404Б-17</t>
        </is>
      </c>
      <c r="E690" s="10" t="n">
        <v>16</v>
      </c>
      <c r="F690" s="9" t="inlineStr">
        <is>
          <t>08770</t>
        </is>
      </c>
      <c r="G690" s="10" t="n">
        <v>16</v>
      </c>
      <c r="H690" s="9" t="inlineStr">
        <is>
          <t xml:space="preserve">81725     </t>
        </is>
      </c>
      <c r="I690" s="9" t="inlineStr">
        <is>
          <t xml:space="preserve">Еремеев Николай Владимирович </t>
        </is>
      </c>
      <c r="J690" s="9" t="inlineStr">
        <is>
          <t>доцент</t>
        </is>
      </c>
      <c r="K690" s="9" t="n"/>
      <c r="L690" s="9" t="n"/>
      <c r="M690" s="12">
        <f>SUMIFS($E$2:$E$1130,$A$2:$A$1130,"осень",$I$2:$I$1130,I690)</f>
        <v/>
      </c>
      <c r="N690" s="13">
        <f>SUMIFS($E$2:$E$1130,$A$2:$A$1130,"весна",$I$2:$I$1130,I690)</f>
        <v/>
      </c>
      <c r="O690" s="14">
        <f>M690+N690</f>
        <v/>
      </c>
      <c r="P690" s="15">
        <f>O690/$P$1</f>
        <v/>
      </c>
    </row>
    <row r="691" ht="15.75" customHeight="1" s="2">
      <c r="A691" s="32" t="inlineStr">
        <is>
          <t>весна</t>
        </is>
      </c>
      <c r="B691" s="9" t="inlineStr">
        <is>
          <t>Методы и средства подготовки научно-технической и конструкторской документации</t>
        </is>
      </c>
      <c r="C691" s="9" t="inlineStr">
        <is>
          <t>ЛР</t>
        </is>
      </c>
      <c r="D691" s="9" t="inlineStr">
        <is>
          <t>Т1О-404Б-17</t>
        </is>
      </c>
      <c r="E691" s="10" t="n">
        <v>32</v>
      </c>
      <c r="F691" s="9" t="inlineStr">
        <is>
          <t>08770</t>
        </is>
      </c>
      <c r="G691" s="10" t="n">
        <v>16</v>
      </c>
      <c r="H691" s="9" t="inlineStr">
        <is>
          <t xml:space="preserve">81725     </t>
        </is>
      </c>
      <c r="I691" s="9" t="inlineStr">
        <is>
          <t xml:space="preserve">Еремеев Николай Владимирович </t>
        </is>
      </c>
      <c r="J691" s="9" t="inlineStr">
        <is>
          <t>доцент</t>
        </is>
      </c>
      <c r="K691" s="9" t="n"/>
      <c r="L691" s="9" t="n"/>
      <c r="M691" s="12">
        <f>SUMIFS($E$2:$E$1130,$A$2:$A$1130,"осень",$I$2:$I$1130,I691)</f>
        <v/>
      </c>
      <c r="N691" s="13">
        <f>SUMIFS($E$2:$E$1130,$A$2:$A$1130,"весна",$I$2:$I$1130,I691)</f>
        <v/>
      </c>
      <c r="O691" s="14">
        <f>M691+N691</f>
        <v/>
      </c>
      <c r="P691" s="15">
        <f>O691/$P$1</f>
        <v/>
      </c>
    </row>
    <row r="692" ht="15.75" customHeight="1" s="2">
      <c r="A692" s="32" t="inlineStr">
        <is>
          <t>весна</t>
        </is>
      </c>
      <c r="B692" s="9" t="inlineStr">
        <is>
          <t>Методы и средства подготовки научно-технической и конструкторской документации</t>
        </is>
      </c>
      <c r="C692" s="9" t="inlineStr">
        <is>
          <t>Консультация</t>
        </is>
      </c>
      <c r="D692" s="9" t="inlineStr">
        <is>
          <t>Т1О-404Б-17</t>
        </is>
      </c>
      <c r="E692" s="10" t="n">
        <v>1</v>
      </c>
      <c r="F692" s="9" t="inlineStr">
        <is>
          <t>08770</t>
        </is>
      </c>
      <c r="G692" s="11" t="n">
        <v>0</v>
      </c>
      <c r="H692" s="9" t="inlineStr">
        <is>
          <t xml:space="preserve">81725     </t>
        </is>
      </c>
      <c r="I692" s="9" t="inlineStr">
        <is>
          <t xml:space="preserve">Еремеев Николай Владимирович </t>
        </is>
      </c>
      <c r="J692" s="9" t="inlineStr">
        <is>
          <t>доцент</t>
        </is>
      </c>
      <c r="K692" s="9" t="n"/>
      <c r="L692" s="9" t="n"/>
      <c r="M692" s="12">
        <f>SUMIFS($E$2:$E$1130,$A$2:$A$1130,"осень",$I$2:$I$1130,I692)</f>
        <v/>
      </c>
      <c r="N692" s="13">
        <f>SUMIFS($E$2:$E$1130,$A$2:$A$1130,"весна",$I$2:$I$1130,I692)</f>
        <v/>
      </c>
      <c r="O692" s="14">
        <f>M692+N692</f>
        <v/>
      </c>
      <c r="P692" s="15">
        <f>O692/$P$1</f>
        <v/>
      </c>
    </row>
    <row r="693" ht="15.75" customHeight="1" s="2">
      <c r="A693" s="32" t="inlineStr">
        <is>
          <t>весна</t>
        </is>
      </c>
      <c r="B693" s="9" t="inlineStr">
        <is>
          <t>Производство отливок из титановых сплавов</t>
        </is>
      </c>
      <c r="C693" s="9" t="inlineStr">
        <is>
          <t>ЛК</t>
        </is>
      </c>
      <c r="D693" s="9" t="inlineStr">
        <is>
          <t>Т11О-102М-20</t>
        </is>
      </c>
      <c r="E693" s="10" t="n">
        <v>18</v>
      </c>
      <c r="F693" s="9" t="inlineStr">
        <is>
          <t>06201</t>
        </is>
      </c>
      <c r="G693" s="10" t="n">
        <v>18</v>
      </c>
      <c r="H693" s="9" t="inlineStr">
        <is>
          <t xml:space="preserve">82018     </t>
        </is>
      </c>
      <c r="I693" s="9" t="inlineStr">
        <is>
          <t>Бережной Дмитрий Васильевич</t>
        </is>
      </c>
      <c r="J693" s="9" t="inlineStr">
        <is>
          <t>доцент</t>
        </is>
      </c>
      <c r="K693" s="9" t="n"/>
      <c r="L693" s="9" t="n"/>
      <c r="M693" s="12">
        <f>SUMIFS($E$2:$E$1130,$A$2:$A$1130,"осень",$I$2:$I$1130,I693)</f>
        <v/>
      </c>
      <c r="N693" s="13">
        <f>SUMIFS($E$2:$E$1130,$A$2:$A$1130,"весна",$I$2:$I$1130,I693)</f>
        <v/>
      </c>
      <c r="O693" s="14">
        <f>M693+N693</f>
        <v/>
      </c>
      <c r="P693" s="15">
        <f>O693/$P$1</f>
        <v/>
      </c>
    </row>
    <row r="694" ht="15.75" customHeight="1" s="2">
      <c r="A694" s="32" t="inlineStr">
        <is>
          <t>весна</t>
        </is>
      </c>
      <c r="B694" s="9" t="inlineStr">
        <is>
          <t>Производство отливок из титановых сплавов</t>
        </is>
      </c>
      <c r="C694" s="9" t="inlineStr">
        <is>
          <t>КР</t>
        </is>
      </c>
      <c r="D694" s="9" t="inlineStr">
        <is>
          <t>Т11О-102М-20</t>
        </is>
      </c>
      <c r="E694" s="10" t="n">
        <v>15</v>
      </c>
      <c r="F694" s="9" t="inlineStr">
        <is>
          <t>06201</t>
        </is>
      </c>
      <c r="G694" s="11" t="n">
        <v>0</v>
      </c>
      <c r="H694" s="9" t="inlineStr">
        <is>
          <t xml:space="preserve">82018     </t>
        </is>
      </c>
      <c r="I694" s="9" t="inlineStr">
        <is>
          <t>Бережной Дмитрий Васильевич</t>
        </is>
      </c>
      <c r="J694" s="9" t="inlineStr">
        <is>
          <t>доцент</t>
        </is>
      </c>
      <c r="K694" s="9" t="n"/>
      <c r="L694" s="9" t="n"/>
      <c r="M694" s="12">
        <f>SUMIFS($E$2:$E$1130,$A$2:$A$1130,"осень",$I$2:$I$1130,I694)</f>
        <v/>
      </c>
      <c r="N694" s="13">
        <f>SUMIFS($E$2:$E$1130,$A$2:$A$1130,"весна",$I$2:$I$1130,I694)</f>
        <v/>
      </c>
      <c r="O694" s="14">
        <f>M694+N694</f>
        <v/>
      </c>
      <c r="P694" s="15">
        <f>O694/$P$1</f>
        <v/>
      </c>
    </row>
    <row r="695" ht="15.75" customHeight="1" s="2">
      <c r="A695" s="32" t="inlineStr">
        <is>
          <t>весна</t>
        </is>
      </c>
      <c r="B695" s="9" t="inlineStr">
        <is>
          <t>Производство отливок из титановых сплавов</t>
        </is>
      </c>
      <c r="C695" s="9" t="inlineStr">
        <is>
          <t>Зачет с оценкой</t>
        </is>
      </c>
      <c r="D695" s="9" t="inlineStr">
        <is>
          <t>Т11О-102М-20</t>
        </is>
      </c>
      <c r="E695" s="10" t="n">
        <v>2</v>
      </c>
      <c r="F695" s="9" t="inlineStr">
        <is>
          <t>06201</t>
        </is>
      </c>
      <c r="G695" s="11" t="n">
        <v>0</v>
      </c>
      <c r="H695" s="9" t="inlineStr">
        <is>
          <t xml:space="preserve">82018     </t>
        </is>
      </c>
      <c r="I695" s="9" t="inlineStr">
        <is>
          <t>Бережной Дмитрий Васильевич</t>
        </is>
      </c>
      <c r="J695" s="9" t="inlineStr">
        <is>
          <t>доцент</t>
        </is>
      </c>
      <c r="K695" s="9" t="n"/>
      <c r="L695" s="9" t="n"/>
      <c r="M695" s="12">
        <f>SUMIFS($E$2:$E$1130,$A$2:$A$1130,"осень",$I$2:$I$1130,I695)</f>
        <v/>
      </c>
      <c r="N695" s="13">
        <f>SUMIFS($E$2:$E$1130,$A$2:$A$1130,"весна",$I$2:$I$1130,I695)</f>
        <v/>
      </c>
      <c r="O695" s="14">
        <f>M695+N695</f>
        <v/>
      </c>
      <c r="P695" s="15">
        <f>O695/$P$1</f>
        <v/>
      </c>
    </row>
    <row r="696" ht="15.75" customHeight="1" s="2">
      <c r="A696" s="32" t="inlineStr">
        <is>
          <t>весна</t>
        </is>
      </c>
      <c r="B696" s="9" t="inlineStr">
        <is>
          <t>Производство отливок из титановых сплавов</t>
        </is>
      </c>
      <c r="C696" s="9" t="inlineStr">
        <is>
          <t>ПЗ</t>
        </is>
      </c>
      <c r="D696" s="9" t="inlineStr">
        <is>
          <t>Т11О-102М-20</t>
        </is>
      </c>
      <c r="E696" s="10" t="n">
        <v>44</v>
      </c>
      <c r="F696" s="9" t="inlineStr">
        <is>
          <t>06201</t>
        </is>
      </c>
      <c r="G696" s="10" t="n">
        <v>44</v>
      </c>
      <c r="H696" s="9" t="inlineStr">
        <is>
          <t xml:space="preserve">82018     </t>
        </is>
      </c>
      <c r="I696" s="9" t="inlineStr">
        <is>
          <t>Бережной Дмитрий Васильевич</t>
        </is>
      </c>
      <c r="J696" s="9" t="inlineStr">
        <is>
          <t>доцент</t>
        </is>
      </c>
      <c r="K696" s="9" t="n"/>
      <c r="L696" s="9" t="n"/>
      <c r="M696" s="12">
        <f>SUMIFS($E$2:$E$1130,$A$2:$A$1130,"осень",$I$2:$I$1130,I696)</f>
        <v/>
      </c>
      <c r="N696" s="13">
        <f>SUMIFS($E$2:$E$1130,$A$2:$A$1130,"весна",$I$2:$I$1130,I696)</f>
        <v/>
      </c>
      <c r="O696" s="14">
        <f>M696+N696</f>
        <v/>
      </c>
      <c r="P696" s="15">
        <f>O696/$P$1</f>
        <v/>
      </c>
    </row>
    <row r="697" ht="15.75" customHeight="1" s="2">
      <c r="A697" s="32" t="inlineStr">
        <is>
          <t>весна</t>
        </is>
      </c>
      <c r="B697" s="9" t="inlineStr">
        <is>
          <t>Производство отливок из титановых сплавов</t>
        </is>
      </c>
      <c r="C697" s="9" t="inlineStr">
        <is>
          <t>Консультация</t>
        </is>
      </c>
      <c r="D697" s="9" t="inlineStr">
        <is>
          <t>Т11О-102М-20</t>
        </is>
      </c>
      <c r="E697" s="10" t="n">
        <v>1</v>
      </c>
      <c r="F697" s="9" t="inlineStr">
        <is>
          <t>06201</t>
        </is>
      </c>
      <c r="G697" s="11" t="n">
        <v>0</v>
      </c>
      <c r="H697" s="9" t="inlineStr">
        <is>
          <t xml:space="preserve">82018     </t>
        </is>
      </c>
      <c r="I697" s="9" t="inlineStr">
        <is>
          <t>Бережной Дмитрий Васильевич</t>
        </is>
      </c>
      <c r="J697" s="9" t="inlineStr">
        <is>
          <t>доцент</t>
        </is>
      </c>
      <c r="K697" s="9" t="n"/>
      <c r="L697" s="9" t="n"/>
      <c r="M697" s="12">
        <f>SUMIFS($E$2:$E$1130,$A$2:$A$1130,"осень",$I$2:$I$1130,I697)</f>
        <v/>
      </c>
      <c r="N697" s="13">
        <f>SUMIFS($E$2:$E$1130,$A$2:$A$1130,"весна",$I$2:$I$1130,I697)</f>
        <v/>
      </c>
      <c r="O697" s="14">
        <f>M697+N697</f>
        <v/>
      </c>
      <c r="P697" s="15">
        <f>O697/$P$1</f>
        <v/>
      </c>
    </row>
    <row r="698" ht="15.75" customHeight="1" s="2">
      <c r="A698" s="32" t="inlineStr">
        <is>
          <t>весна</t>
        </is>
      </c>
      <c r="B698" s="9" t="inlineStr">
        <is>
          <t>Современные технологии сварки плавлением</t>
        </is>
      </c>
      <c r="C698" s="9" t="inlineStr">
        <is>
          <t>ЛК</t>
        </is>
      </c>
      <c r="D698" s="9" t="inlineStr">
        <is>
          <t>Т11О-104М-20</t>
        </is>
      </c>
      <c r="E698" s="10" t="n">
        <v>12</v>
      </c>
      <c r="F698" s="9" t="inlineStr">
        <is>
          <t>04595</t>
        </is>
      </c>
      <c r="G698" s="10" t="n">
        <v>12</v>
      </c>
      <c r="H698" s="9" t="inlineStr">
        <is>
          <t xml:space="preserve">89090     </t>
        </is>
      </c>
      <c r="I698" s="9" t="inlineStr">
        <is>
          <t>Степанов Владимир Валерьевич</t>
        </is>
      </c>
      <c r="J698" s="9" t="n"/>
      <c r="K698" s="9" t="n"/>
      <c r="L698" s="9" t="n"/>
      <c r="M698" s="12">
        <f>SUMIFS($E$2:$E$1130,$A$2:$A$1130,"осень",$I$2:$I$1130,I698)</f>
        <v/>
      </c>
      <c r="N698" s="13">
        <f>SUMIFS($E$2:$E$1130,$A$2:$A$1130,"весна",$I$2:$I$1130,I698)</f>
        <v/>
      </c>
      <c r="O698" s="14">
        <f>M698+N698</f>
        <v/>
      </c>
      <c r="P698" s="15">
        <f>O698/$P$1</f>
        <v/>
      </c>
    </row>
    <row r="699" ht="15.75" customHeight="1" s="2">
      <c r="A699" s="32" t="inlineStr">
        <is>
          <t>весна</t>
        </is>
      </c>
      <c r="B699" s="9" t="inlineStr">
        <is>
          <t>Современные технологии сварки плавлением</t>
        </is>
      </c>
      <c r="C699" s="9" t="inlineStr">
        <is>
          <t>ПЗ</t>
        </is>
      </c>
      <c r="D699" s="9" t="inlineStr">
        <is>
          <t>Т11О-104М-20</t>
        </is>
      </c>
      <c r="E699" s="10" t="n">
        <v>36</v>
      </c>
      <c r="F699" s="9" t="inlineStr">
        <is>
          <t>04595</t>
        </is>
      </c>
      <c r="G699" s="10" t="n">
        <v>36</v>
      </c>
      <c r="H699" s="9" t="inlineStr">
        <is>
          <t xml:space="preserve">89090     </t>
        </is>
      </c>
      <c r="I699" s="9" t="inlineStr">
        <is>
          <t>Степанов Владимир Валерьевич</t>
        </is>
      </c>
      <c r="J699" s="9" t="n"/>
      <c r="K699" s="9" t="n"/>
      <c r="L699" s="9" t="n"/>
      <c r="M699" s="12">
        <f>SUMIFS($E$2:$E$1130,$A$2:$A$1130,"осень",$I$2:$I$1130,I699)</f>
        <v/>
      </c>
      <c r="N699" s="13">
        <f>SUMIFS($E$2:$E$1130,$A$2:$A$1130,"весна",$I$2:$I$1130,I699)</f>
        <v/>
      </c>
      <c r="O699" s="14">
        <f>M699+N699</f>
        <v/>
      </c>
      <c r="P699" s="15">
        <f>O699/$P$1</f>
        <v/>
      </c>
    </row>
    <row r="700" ht="15.75" customHeight="1" s="2">
      <c r="A700" s="32" t="inlineStr">
        <is>
          <t>весна</t>
        </is>
      </c>
      <c r="B700" s="9" t="inlineStr">
        <is>
          <t>Современные технологии сварки плавлением</t>
        </is>
      </c>
      <c r="C700" s="9" t="inlineStr">
        <is>
          <t>Экзамен</t>
        </is>
      </c>
      <c r="D700" s="9" t="inlineStr">
        <is>
          <t>Т11О-104М-20</t>
        </is>
      </c>
      <c r="E700" s="10" t="n">
        <v>3</v>
      </c>
      <c r="F700" s="9" t="inlineStr">
        <is>
          <t>04595</t>
        </is>
      </c>
      <c r="G700" s="11" t="n">
        <v>0</v>
      </c>
      <c r="H700" s="9" t="inlineStr">
        <is>
          <t xml:space="preserve">89090     </t>
        </is>
      </c>
      <c r="I700" s="9" t="inlineStr">
        <is>
          <t>Степанов Владимир Валерьевич</t>
        </is>
      </c>
      <c r="J700" s="9" t="n"/>
      <c r="K700" s="9" t="n"/>
      <c r="L700" s="9" t="n"/>
      <c r="M700" s="12">
        <f>SUMIFS($E$2:$E$1130,$A$2:$A$1130,"осень",$I$2:$I$1130,I700)</f>
        <v/>
      </c>
      <c r="N700" s="13">
        <f>SUMIFS($E$2:$E$1130,$A$2:$A$1130,"весна",$I$2:$I$1130,I700)</f>
        <v/>
      </c>
      <c r="O700" s="14">
        <f>M700+N700</f>
        <v/>
      </c>
      <c r="P700" s="15">
        <f>O700/$P$1</f>
        <v/>
      </c>
    </row>
    <row r="701" ht="15.75" customHeight="1" s="2">
      <c r="A701" s="32" t="inlineStr">
        <is>
          <t>весна</t>
        </is>
      </c>
      <c r="B701" s="9" t="inlineStr">
        <is>
          <t>Современные технологии сварки плавлением</t>
        </is>
      </c>
      <c r="C701" s="9" t="inlineStr">
        <is>
          <t>Консультация</t>
        </is>
      </c>
      <c r="D701" s="9" t="inlineStr">
        <is>
          <t>Т11О-104М-20</t>
        </is>
      </c>
      <c r="E701" s="10" t="n">
        <v>3</v>
      </c>
      <c r="F701" s="9" t="inlineStr">
        <is>
          <t>04595</t>
        </is>
      </c>
      <c r="G701" s="11" t="n">
        <v>0</v>
      </c>
      <c r="H701" s="9" t="inlineStr">
        <is>
          <t xml:space="preserve">89090     </t>
        </is>
      </c>
      <c r="I701" s="9" t="inlineStr">
        <is>
          <t>Степанов Владимир Валерьевич</t>
        </is>
      </c>
      <c r="J701" s="9" t="n"/>
      <c r="K701" s="9" t="n"/>
      <c r="L701" s="9" t="n"/>
      <c r="M701" s="12">
        <f>SUMIFS($E$2:$E$1130,$A$2:$A$1130,"осень",$I$2:$I$1130,I701)</f>
        <v/>
      </c>
      <c r="N701" s="13">
        <f>SUMIFS($E$2:$E$1130,$A$2:$A$1130,"весна",$I$2:$I$1130,I701)</f>
        <v/>
      </c>
      <c r="O701" s="14">
        <f>M701+N701</f>
        <v/>
      </c>
      <c r="P701" s="15">
        <f>O701/$P$1</f>
        <v/>
      </c>
    </row>
    <row r="702" ht="15.75" customHeight="1" s="2">
      <c r="A702" s="32" t="inlineStr">
        <is>
          <t>весна</t>
        </is>
      </c>
      <c r="B702" s="9" t="inlineStr">
        <is>
          <t>Современные технологии сварки давлением</t>
        </is>
      </c>
      <c r="C702" s="9" t="inlineStr">
        <is>
          <t>ЛК</t>
        </is>
      </c>
      <c r="D702" s="9" t="inlineStr">
        <is>
          <t>Т11О-104М-20</t>
        </is>
      </c>
      <c r="E702" s="10" t="n">
        <v>8</v>
      </c>
      <c r="F702" s="9" t="inlineStr">
        <is>
          <t>04595</t>
        </is>
      </c>
      <c r="G702" s="10" t="n">
        <v>8</v>
      </c>
      <c r="H702" s="9" t="inlineStr">
        <is>
          <t xml:space="preserve">82075     </t>
        </is>
      </c>
      <c r="I702" s="9" t="inlineStr">
        <is>
          <t>Сидякин Виталий Александрович</t>
        </is>
      </c>
      <c r="J702" s="9" t="n"/>
      <c r="K702" s="9" t="n"/>
      <c r="L702" s="9" t="n"/>
      <c r="M702" s="12">
        <f>SUMIFS($E$2:$E$1130,$A$2:$A$1130,"осень",$I$2:$I$1130,I702)</f>
        <v/>
      </c>
      <c r="N702" s="13">
        <f>SUMIFS($E$2:$E$1130,$A$2:$A$1130,"весна",$I$2:$I$1130,I702)</f>
        <v/>
      </c>
      <c r="O702" s="14">
        <f>M702+N702</f>
        <v/>
      </c>
      <c r="P702" s="15">
        <f>O702/$P$1</f>
        <v/>
      </c>
    </row>
    <row r="703" ht="15.75" customHeight="1" s="2">
      <c r="A703" s="32" t="inlineStr">
        <is>
          <t>весна</t>
        </is>
      </c>
      <c r="B703" s="9" t="inlineStr">
        <is>
          <t>Современные технологии сварки давлением</t>
        </is>
      </c>
      <c r="C703" s="9" t="inlineStr">
        <is>
          <t>ПЗ</t>
        </is>
      </c>
      <c r="D703" s="9" t="inlineStr">
        <is>
          <t>Т11О-104М-20</t>
        </is>
      </c>
      <c r="E703" s="10" t="n">
        <v>28</v>
      </c>
      <c r="F703" s="9" t="inlineStr">
        <is>
          <t>04595</t>
        </is>
      </c>
      <c r="G703" s="10" t="n">
        <v>28</v>
      </c>
      <c r="H703" s="9" t="inlineStr">
        <is>
          <t xml:space="preserve">82075     </t>
        </is>
      </c>
      <c r="I703" s="9" t="inlineStr">
        <is>
          <t>Сидякин Виталий Александрович</t>
        </is>
      </c>
      <c r="J703" s="9" t="n"/>
      <c r="K703" s="9" t="n"/>
      <c r="L703" s="9" t="n"/>
      <c r="M703" s="12">
        <f>SUMIFS($E$2:$E$1130,$A$2:$A$1130,"осень",$I$2:$I$1130,I703)</f>
        <v/>
      </c>
      <c r="N703" s="13">
        <f>SUMIFS($E$2:$E$1130,$A$2:$A$1130,"весна",$I$2:$I$1130,I703)</f>
        <v/>
      </c>
      <c r="O703" s="14">
        <f>M703+N703</f>
        <v/>
      </c>
      <c r="P703" s="15">
        <f>O703/$P$1</f>
        <v/>
      </c>
    </row>
    <row r="704" ht="15.75" customHeight="1" s="2">
      <c r="A704" s="32" t="inlineStr">
        <is>
          <t>весна</t>
        </is>
      </c>
      <c r="B704" s="9" t="inlineStr">
        <is>
          <t>Современные технологии сварки давлением</t>
        </is>
      </c>
      <c r="C704" s="9" t="inlineStr">
        <is>
          <t>Экзамен</t>
        </is>
      </c>
      <c r="D704" s="9" t="inlineStr">
        <is>
          <t>Т11О-104М-20</t>
        </is>
      </c>
      <c r="E704" s="10" t="n">
        <v>3</v>
      </c>
      <c r="F704" s="9" t="inlineStr">
        <is>
          <t>04595</t>
        </is>
      </c>
      <c r="G704" s="11" t="n">
        <v>0</v>
      </c>
      <c r="H704" s="9" t="inlineStr">
        <is>
          <t xml:space="preserve">82075     </t>
        </is>
      </c>
      <c r="I704" s="9" t="inlineStr">
        <is>
          <t>Сидякин Виталий Александрович</t>
        </is>
      </c>
      <c r="J704" s="9" t="n"/>
      <c r="K704" s="9" t="n"/>
      <c r="L704" s="9" t="n"/>
      <c r="M704" s="12">
        <f>SUMIFS($E$2:$E$1130,$A$2:$A$1130,"осень",$I$2:$I$1130,I704)</f>
        <v/>
      </c>
      <c r="N704" s="13">
        <f>SUMIFS($E$2:$E$1130,$A$2:$A$1130,"весна",$I$2:$I$1130,I704)</f>
        <v/>
      </c>
      <c r="O704" s="14">
        <f>M704+N704</f>
        <v/>
      </c>
      <c r="P704" s="15">
        <f>O704/$P$1</f>
        <v/>
      </c>
    </row>
    <row r="705" ht="15.75" customHeight="1" s="2">
      <c r="A705" s="32" t="inlineStr">
        <is>
          <t>весна</t>
        </is>
      </c>
      <c r="B705" s="9" t="inlineStr">
        <is>
          <t>Современные технологии сварки давлением</t>
        </is>
      </c>
      <c r="C705" s="9" t="inlineStr">
        <is>
          <t>Консультация</t>
        </is>
      </c>
      <c r="D705" s="9" t="inlineStr">
        <is>
          <t>Т11О-104М-20</t>
        </is>
      </c>
      <c r="E705" s="10" t="n">
        <v>2</v>
      </c>
      <c r="F705" s="9" t="inlineStr">
        <is>
          <t>04595</t>
        </is>
      </c>
      <c r="G705" s="11" t="n">
        <v>0</v>
      </c>
      <c r="H705" s="9" t="inlineStr">
        <is>
          <t xml:space="preserve">82075     </t>
        </is>
      </c>
      <c r="I705" s="9" t="inlineStr">
        <is>
          <t>Сидякин Виталий Александрович</t>
        </is>
      </c>
      <c r="J705" s="9" t="n"/>
      <c r="K705" s="9" t="n"/>
      <c r="L705" s="9" t="n"/>
      <c r="M705" s="12">
        <f>SUMIFS($E$2:$E$1130,$A$2:$A$1130,"осень",$I$2:$I$1130,I705)</f>
        <v/>
      </c>
      <c r="N705" s="13">
        <f>SUMIFS($E$2:$E$1130,$A$2:$A$1130,"весна",$I$2:$I$1130,I705)</f>
        <v/>
      </c>
      <c r="O705" s="14">
        <f>M705+N705</f>
        <v/>
      </c>
      <c r="P705" s="15">
        <f>O705/$P$1</f>
        <v/>
      </c>
    </row>
    <row r="706" ht="15.75" customHeight="1" s="2">
      <c r="A706" s="32" t="inlineStr">
        <is>
          <t>весна</t>
        </is>
      </c>
      <c r="B706" s="9" t="inlineStr">
        <is>
          <t>Современные технологии пайки</t>
        </is>
      </c>
      <c r="C706" s="9" t="inlineStr">
        <is>
          <t>ЛК</t>
        </is>
      </c>
      <c r="D706" s="9" t="inlineStr">
        <is>
          <t>Т11О-104М-20</t>
        </is>
      </c>
      <c r="E706" s="10" t="n">
        <v>8</v>
      </c>
      <c r="F706" s="9" t="inlineStr">
        <is>
          <t>04595</t>
        </is>
      </c>
      <c r="G706" s="10" t="n">
        <v>8</v>
      </c>
      <c r="H706" s="9" t="inlineStr">
        <is>
          <t xml:space="preserve">92509     </t>
        </is>
      </c>
      <c r="I706" s="9" t="inlineStr">
        <is>
          <t xml:space="preserve">Пашков Игорь Николаевич </t>
        </is>
      </c>
      <c r="J706" s="9" t="n"/>
      <c r="K706" s="9" t="n"/>
      <c r="L706" s="9" t="n"/>
      <c r="M706" s="12">
        <f>SUMIFS($E$2:$E$1130,$A$2:$A$1130,"осень",$I$2:$I$1130,I706)</f>
        <v/>
      </c>
      <c r="N706" s="13">
        <f>SUMIFS($E$2:$E$1130,$A$2:$A$1130,"весна",$I$2:$I$1130,I706)</f>
        <v/>
      </c>
      <c r="O706" s="14">
        <f>M706+N706</f>
        <v/>
      </c>
      <c r="P706" s="15">
        <f>O706/$P$1</f>
        <v/>
      </c>
    </row>
    <row r="707" ht="15.75" customHeight="1" s="2">
      <c r="A707" s="32" t="inlineStr">
        <is>
          <t>весна</t>
        </is>
      </c>
      <c r="B707" s="9" t="inlineStr">
        <is>
          <t>Современные технологии пайки</t>
        </is>
      </c>
      <c r="C707" s="9" t="inlineStr">
        <is>
          <t>КР</t>
        </is>
      </c>
      <c r="D707" s="9" t="inlineStr">
        <is>
          <t>Т11О-104М-20</t>
        </is>
      </c>
      <c r="E707" s="10" t="n">
        <v>18</v>
      </c>
      <c r="F707" s="9" t="inlineStr">
        <is>
          <t>04595</t>
        </is>
      </c>
      <c r="G707" s="11" t="n">
        <v>0</v>
      </c>
      <c r="H707" s="9" t="inlineStr">
        <is>
          <t xml:space="preserve">92509     </t>
        </is>
      </c>
      <c r="I707" s="9" t="inlineStr">
        <is>
          <t xml:space="preserve">Пашков Игорь Николаевич </t>
        </is>
      </c>
      <c r="J707" s="9" t="n"/>
      <c r="K707" s="9" t="n"/>
      <c r="L707" s="9" t="n"/>
      <c r="M707" s="12">
        <f>SUMIFS($E$2:$E$1130,$A$2:$A$1130,"осень",$I$2:$I$1130,I707)</f>
        <v/>
      </c>
      <c r="N707" s="13">
        <f>SUMIFS($E$2:$E$1130,$A$2:$A$1130,"весна",$I$2:$I$1130,I707)</f>
        <v/>
      </c>
      <c r="O707" s="14">
        <f>M707+N707</f>
        <v/>
      </c>
      <c r="P707" s="15">
        <f>O707/$P$1</f>
        <v/>
      </c>
    </row>
    <row r="708" ht="15.75" customHeight="1" s="2">
      <c r="A708" s="32" t="inlineStr">
        <is>
          <t>весна</t>
        </is>
      </c>
      <c r="B708" s="9" t="inlineStr">
        <is>
          <t>Современные технологии пайки</t>
        </is>
      </c>
      <c r="C708" s="9" t="inlineStr">
        <is>
          <t>Зачет с оценкой</t>
        </is>
      </c>
      <c r="D708" s="9" t="inlineStr">
        <is>
          <t>Т11О-104М-20</t>
        </is>
      </c>
      <c r="E708" s="10" t="n">
        <v>2</v>
      </c>
      <c r="F708" s="9" t="inlineStr">
        <is>
          <t>04595</t>
        </is>
      </c>
      <c r="G708" s="11" t="n">
        <v>0</v>
      </c>
      <c r="H708" s="9" t="inlineStr">
        <is>
          <t xml:space="preserve">92509     </t>
        </is>
      </c>
      <c r="I708" s="9" t="inlineStr">
        <is>
          <t xml:space="preserve">Пашков Игорь Николаевич </t>
        </is>
      </c>
      <c r="J708" s="9" t="n"/>
      <c r="K708" s="9" t="n"/>
      <c r="L708" s="9" t="n"/>
      <c r="M708" s="12">
        <f>SUMIFS($E$2:$E$1130,$A$2:$A$1130,"осень",$I$2:$I$1130,I708)</f>
        <v/>
      </c>
      <c r="N708" s="13">
        <f>SUMIFS($E$2:$E$1130,$A$2:$A$1130,"весна",$I$2:$I$1130,I708)</f>
        <v/>
      </c>
      <c r="O708" s="14">
        <f>M708+N708</f>
        <v/>
      </c>
      <c r="P708" s="15">
        <f>O708/$P$1</f>
        <v/>
      </c>
    </row>
    <row r="709" ht="15.75" customHeight="1" s="2">
      <c r="A709" s="32" t="inlineStr">
        <is>
          <t>весна</t>
        </is>
      </c>
      <c r="B709" s="9" t="inlineStr">
        <is>
          <t>Современные технологии пайки</t>
        </is>
      </c>
      <c r="C709" s="9" t="inlineStr">
        <is>
          <t>ПЗ</t>
        </is>
      </c>
      <c r="D709" s="9" t="inlineStr">
        <is>
          <t>Т11О-104М-20</t>
        </is>
      </c>
      <c r="E709" s="10" t="n">
        <v>28</v>
      </c>
      <c r="F709" s="9" t="inlineStr">
        <is>
          <t>04595</t>
        </is>
      </c>
      <c r="G709" s="10" t="n">
        <v>28</v>
      </c>
      <c r="H709" s="9" t="inlineStr">
        <is>
          <t xml:space="preserve">92509     </t>
        </is>
      </c>
      <c r="I709" s="9" t="inlineStr">
        <is>
          <t xml:space="preserve">Пашков Игорь Николаевич </t>
        </is>
      </c>
      <c r="J709" s="9" t="n"/>
      <c r="K709" s="9" t="n"/>
      <c r="L709" s="9" t="n"/>
      <c r="M709" s="12">
        <f>SUMIFS($E$2:$E$1130,$A$2:$A$1130,"осень",$I$2:$I$1130,I709)</f>
        <v/>
      </c>
      <c r="N709" s="13">
        <f>SUMIFS($E$2:$E$1130,$A$2:$A$1130,"весна",$I$2:$I$1130,I709)</f>
        <v/>
      </c>
      <c r="O709" s="14">
        <f>M709+N709</f>
        <v/>
      </c>
      <c r="P709" s="15">
        <f>O709/$P$1</f>
        <v/>
      </c>
    </row>
    <row r="710" ht="15.75" customHeight="1" s="2">
      <c r="A710" s="32" t="inlineStr">
        <is>
          <t>весна</t>
        </is>
      </c>
      <c r="B710" s="9" t="inlineStr">
        <is>
          <t>Разработка ресурсосберегающих технологий диффузионной сварки</t>
        </is>
      </c>
      <c r="C710" s="9" t="inlineStr">
        <is>
          <t>ЛК</t>
        </is>
      </c>
      <c r="D710" s="9" t="inlineStr">
        <is>
          <t>Т11О-103М-20</t>
        </is>
      </c>
      <c r="E710" s="10" t="n">
        <v>12</v>
      </c>
      <c r="F710" s="9" t="inlineStr">
        <is>
          <t>06203</t>
        </is>
      </c>
      <c r="G710" s="10" t="n">
        <v>12</v>
      </c>
      <c r="H710" s="9" t="inlineStr">
        <is>
          <t xml:space="preserve">82090     </t>
        </is>
      </c>
      <c r="I710" s="9" t="inlineStr">
        <is>
          <t xml:space="preserve">Барабанова Ольга Алексеевна </t>
        </is>
      </c>
      <c r="J710" s="9" t="n"/>
      <c r="K710" s="9" t="n"/>
      <c r="L710" s="9" t="n"/>
      <c r="M710" s="12">
        <f>SUMIFS($E$2:$E$1130,$A$2:$A$1130,"осень",$I$2:$I$1130,I710)</f>
        <v/>
      </c>
      <c r="N710" s="13">
        <f>SUMIFS($E$2:$E$1130,$A$2:$A$1130,"весна",$I$2:$I$1130,I710)</f>
        <v/>
      </c>
      <c r="O710" s="14">
        <f>M710+N710</f>
        <v/>
      </c>
      <c r="P710" s="15">
        <f>O710/$P$1</f>
        <v/>
      </c>
    </row>
    <row r="711" ht="15.75" customHeight="1" s="2">
      <c r="A711" s="32" t="inlineStr">
        <is>
          <t>весна</t>
        </is>
      </c>
      <c r="B711" s="9" t="inlineStr">
        <is>
          <t>Разработка ресурсосберегающих технологий диффузионной сварки</t>
        </is>
      </c>
      <c r="C711" s="9" t="inlineStr">
        <is>
          <t>Зачет с оценкой</t>
        </is>
      </c>
      <c r="D711" s="9" t="inlineStr">
        <is>
          <t>Т11О-103М-20</t>
        </is>
      </c>
      <c r="E711" s="10" t="n">
        <v>2</v>
      </c>
      <c r="F711" s="9" t="inlineStr">
        <is>
          <t>06203</t>
        </is>
      </c>
      <c r="G711" s="11" t="n">
        <v>0</v>
      </c>
      <c r="H711" s="9" t="inlineStr">
        <is>
          <t xml:space="preserve">82090     </t>
        </is>
      </c>
      <c r="I711" s="9" t="inlineStr">
        <is>
          <t xml:space="preserve">Барабанова Ольга Алексеевна </t>
        </is>
      </c>
      <c r="J711" s="9" t="n"/>
      <c r="K711" s="9" t="n"/>
      <c r="L711" s="9" t="n"/>
      <c r="M711" s="12">
        <f>SUMIFS($E$2:$E$1130,$A$2:$A$1130,"осень",$I$2:$I$1130,I711)</f>
        <v/>
      </c>
      <c r="N711" s="13">
        <f>SUMIFS($E$2:$E$1130,$A$2:$A$1130,"весна",$I$2:$I$1130,I711)</f>
        <v/>
      </c>
      <c r="O711" s="14">
        <f>M711+N711</f>
        <v/>
      </c>
      <c r="P711" s="15">
        <f>O711/$P$1</f>
        <v/>
      </c>
    </row>
    <row r="712" ht="15.75" customHeight="1" s="2">
      <c r="A712" s="32" t="inlineStr">
        <is>
          <t>весна</t>
        </is>
      </c>
      <c r="B712" s="9" t="inlineStr">
        <is>
          <t>Разработка ресурсосберегающих технологий диффузионной сварки</t>
        </is>
      </c>
      <c r="C712" s="9" t="inlineStr">
        <is>
          <t>ПЗ</t>
        </is>
      </c>
      <c r="D712" s="9" t="inlineStr">
        <is>
          <t>Т11О-103М-20</t>
        </is>
      </c>
      <c r="E712" s="10" t="n">
        <v>24</v>
      </c>
      <c r="F712" s="9" t="inlineStr">
        <is>
          <t>06203</t>
        </is>
      </c>
      <c r="G712" s="10" t="n">
        <v>24</v>
      </c>
      <c r="H712" s="9" t="inlineStr">
        <is>
          <t xml:space="preserve">82090     </t>
        </is>
      </c>
      <c r="I712" s="9" t="inlineStr">
        <is>
          <t xml:space="preserve">Барабанова Ольга Алексеевна </t>
        </is>
      </c>
      <c r="J712" s="9" t="n"/>
      <c r="K712" s="9" t="n"/>
      <c r="L712" s="9" t="n"/>
      <c r="M712" s="12">
        <f>SUMIFS($E$2:$E$1130,$A$2:$A$1130,"осень",$I$2:$I$1130,I712)</f>
        <v/>
      </c>
      <c r="N712" s="13">
        <f>SUMIFS($E$2:$E$1130,$A$2:$A$1130,"весна",$I$2:$I$1130,I712)</f>
        <v/>
      </c>
      <c r="O712" s="14">
        <f>M712+N712</f>
        <v/>
      </c>
      <c r="P712" s="15">
        <f>O712/$P$1</f>
        <v/>
      </c>
    </row>
    <row r="713" ht="15.75" customHeight="1" s="2">
      <c r="A713" s="32" t="inlineStr">
        <is>
          <t>весна</t>
        </is>
      </c>
      <c r="B713" s="9" t="inlineStr">
        <is>
          <t>Разработка ресурсосберегающих технологий диффузионной сварки</t>
        </is>
      </c>
      <c r="C713" s="9" t="inlineStr">
        <is>
          <t>Консультация</t>
        </is>
      </c>
      <c r="D713" s="9" t="inlineStr">
        <is>
          <t>Т11О-103М-20</t>
        </is>
      </c>
      <c r="E713" s="10" t="n">
        <v>1</v>
      </c>
      <c r="F713" s="9" t="inlineStr">
        <is>
          <t>06203</t>
        </is>
      </c>
      <c r="G713" s="11" t="n">
        <v>0</v>
      </c>
      <c r="H713" s="9" t="inlineStr">
        <is>
          <t xml:space="preserve">82090     </t>
        </is>
      </c>
      <c r="I713" s="9" t="inlineStr">
        <is>
          <t xml:space="preserve">Барабанова Ольга Алексеевна </t>
        </is>
      </c>
      <c r="J713" s="9" t="n"/>
      <c r="K713" s="9" t="n"/>
      <c r="L713" s="9" t="n"/>
      <c r="M713" s="12">
        <f>SUMIFS($E$2:$E$1130,$A$2:$A$1130,"осень",$I$2:$I$1130,I713)</f>
        <v/>
      </c>
      <c r="N713" s="13">
        <f>SUMIFS($E$2:$E$1130,$A$2:$A$1130,"весна",$I$2:$I$1130,I713)</f>
        <v/>
      </c>
      <c r="O713" s="14">
        <f>M713+N713</f>
        <v/>
      </c>
      <c r="P713" s="15">
        <f>O713/$P$1</f>
        <v/>
      </c>
    </row>
    <row r="714" ht="15.75" customHeight="1" s="2">
      <c r="A714" s="32" t="inlineStr">
        <is>
          <t>весна</t>
        </is>
      </c>
      <c r="B714" s="9" t="inlineStr">
        <is>
          <t>Общая металлургия</t>
        </is>
      </c>
      <c r="C714" s="9" t="inlineStr">
        <is>
          <t>ЛК</t>
        </is>
      </c>
      <c r="D714" s="9" t="inlineStr">
        <is>
          <t>Т11О-101Б-20, Т11О-102Б-20</t>
        </is>
      </c>
      <c r="E714" s="10" t="n">
        <v>24</v>
      </c>
      <c r="F714" s="9" t="inlineStr">
        <is>
          <t>13524</t>
        </is>
      </c>
      <c r="G714" s="10" t="n">
        <v>24</v>
      </c>
      <c r="H714" s="9" t="inlineStr">
        <is>
          <t xml:space="preserve">82022     </t>
        </is>
      </c>
      <c r="I714" s="9" t="inlineStr">
        <is>
          <t xml:space="preserve">Телицына Ольга Валентиновна </t>
        </is>
      </c>
      <c r="J714" s="9" t="n"/>
      <c r="K714" s="9" t="n"/>
      <c r="L714" s="9" t="n"/>
      <c r="M714" s="12">
        <f>SUMIFS($E$2:$E$1130,$A$2:$A$1130,"осень",$I$2:$I$1130,I714)</f>
        <v/>
      </c>
      <c r="N714" s="13">
        <f>SUMIFS($E$2:$E$1130,$A$2:$A$1130,"весна",$I$2:$I$1130,I714)</f>
        <v/>
      </c>
      <c r="O714" s="14">
        <f>M714+N714</f>
        <v/>
      </c>
      <c r="P714" s="15">
        <f>O714/$P$1</f>
        <v/>
      </c>
    </row>
    <row r="715" ht="15.75" customHeight="1" s="2">
      <c r="A715" s="32" t="inlineStr">
        <is>
          <t>весна</t>
        </is>
      </c>
      <c r="B715" s="9" t="inlineStr">
        <is>
          <t>Общая металлургия</t>
        </is>
      </c>
      <c r="C715" s="9" t="inlineStr">
        <is>
          <t>ЛК</t>
        </is>
      </c>
      <c r="D715" s="9" t="inlineStr">
        <is>
          <t>Т11О-201Б-19, Т11О-202Б-19</t>
        </is>
      </c>
      <c r="E715" s="10" t="n">
        <v>24</v>
      </c>
      <c r="F715" s="9" t="inlineStr">
        <is>
          <t>08947</t>
        </is>
      </c>
      <c r="G715" s="10" t="n">
        <v>24</v>
      </c>
      <c r="H715" s="9" t="inlineStr">
        <is>
          <t xml:space="preserve">82022     </t>
        </is>
      </c>
      <c r="I715" s="9" t="inlineStr">
        <is>
          <t xml:space="preserve">Телицына Ольга Валентиновна </t>
        </is>
      </c>
      <c r="J715" s="9" t="n"/>
      <c r="K715" s="9" t="n"/>
      <c r="L715" s="9" t="n"/>
      <c r="M715" s="12">
        <f>SUMIFS($E$2:$E$1130,$A$2:$A$1130,"осень",$I$2:$I$1130,I715)</f>
        <v/>
      </c>
      <c r="N715" s="13">
        <f>SUMIFS($E$2:$E$1130,$A$2:$A$1130,"весна",$I$2:$I$1130,I715)</f>
        <v/>
      </c>
      <c r="O715" s="14">
        <f>M715+N715</f>
        <v/>
      </c>
      <c r="P715" s="15">
        <f>O715/$P$1</f>
        <v/>
      </c>
    </row>
    <row r="716" ht="15.75" customHeight="1" s="2">
      <c r="A716" s="32" t="inlineStr">
        <is>
          <t>весна</t>
        </is>
      </c>
      <c r="B716" s="9" t="inlineStr">
        <is>
          <t>Общая металлургия</t>
        </is>
      </c>
      <c r="C716" s="9" t="inlineStr">
        <is>
          <t>Зачет с оценкой</t>
        </is>
      </c>
      <c r="D716" s="9" t="inlineStr">
        <is>
          <t>Т11О-201Б-19</t>
        </is>
      </c>
      <c r="E716" s="10" t="n">
        <v>6</v>
      </c>
      <c r="F716" s="9" t="inlineStr">
        <is>
          <t>08947</t>
        </is>
      </c>
      <c r="G716" s="11" t="n">
        <v>0</v>
      </c>
      <c r="H716" s="9" t="inlineStr">
        <is>
          <t xml:space="preserve">82022     </t>
        </is>
      </c>
      <c r="I716" s="9" t="inlineStr">
        <is>
          <t xml:space="preserve">Телицына Ольга Валентиновна </t>
        </is>
      </c>
      <c r="J716" s="9" t="n"/>
      <c r="K716" s="9" t="n"/>
      <c r="L716" s="9" t="n"/>
      <c r="M716" s="12">
        <f>SUMIFS($E$2:$E$1130,$A$2:$A$1130,"осень",$I$2:$I$1130,I716)</f>
        <v/>
      </c>
      <c r="N716" s="13">
        <f>SUMIFS($E$2:$E$1130,$A$2:$A$1130,"весна",$I$2:$I$1130,I716)</f>
        <v/>
      </c>
      <c r="O716" s="14">
        <f>M716+N716</f>
        <v/>
      </c>
      <c r="P716" s="15">
        <f>O716/$P$1</f>
        <v/>
      </c>
    </row>
    <row r="717" ht="15.75" customHeight="1" s="2">
      <c r="A717" s="32" t="inlineStr">
        <is>
          <t>весна</t>
        </is>
      </c>
      <c r="B717" s="9" t="inlineStr">
        <is>
          <t>Общая металлургия</t>
        </is>
      </c>
      <c r="C717" s="9" t="inlineStr">
        <is>
          <t>Зачет с оценкой</t>
        </is>
      </c>
      <c r="D717" s="9" t="inlineStr">
        <is>
          <t>Т11О-202Б-19</t>
        </is>
      </c>
      <c r="E717" s="10" t="n">
        <v>8</v>
      </c>
      <c r="F717" s="9" t="inlineStr">
        <is>
          <t>08947</t>
        </is>
      </c>
      <c r="G717" s="11" t="n">
        <v>0</v>
      </c>
      <c r="H717" s="9" t="inlineStr">
        <is>
          <t xml:space="preserve">82022     </t>
        </is>
      </c>
      <c r="I717" s="9" t="inlineStr">
        <is>
          <t xml:space="preserve">Телицына Ольга Валентиновна </t>
        </is>
      </c>
      <c r="J717" s="9" t="n"/>
      <c r="K717" s="9" t="n"/>
      <c r="L717" s="9" t="n"/>
      <c r="M717" s="12">
        <f>SUMIFS($E$2:$E$1130,$A$2:$A$1130,"осень",$I$2:$I$1130,I717)</f>
        <v/>
      </c>
      <c r="N717" s="13">
        <f>SUMIFS($E$2:$E$1130,$A$2:$A$1130,"весна",$I$2:$I$1130,I717)</f>
        <v/>
      </c>
      <c r="O717" s="14">
        <f>M717+N717</f>
        <v/>
      </c>
      <c r="P717" s="15">
        <f>O717/$P$1</f>
        <v/>
      </c>
    </row>
    <row r="718" ht="15.75" customHeight="1" s="2">
      <c r="A718" s="32" t="inlineStr">
        <is>
          <t>весна</t>
        </is>
      </c>
      <c r="B718" s="9" t="inlineStr">
        <is>
          <t>Общая металлургия</t>
        </is>
      </c>
      <c r="C718" s="9" t="inlineStr">
        <is>
          <t>ПЗ</t>
        </is>
      </c>
      <c r="D718" s="9" t="inlineStr">
        <is>
          <t>Т11О-101Б-20</t>
        </is>
      </c>
      <c r="E718" s="10" t="n">
        <v>26</v>
      </c>
      <c r="F718" s="9" t="inlineStr">
        <is>
          <t>13524</t>
        </is>
      </c>
      <c r="G718" s="10" t="n">
        <v>26</v>
      </c>
      <c r="H718" s="9" t="inlineStr">
        <is>
          <t xml:space="preserve">82022     </t>
        </is>
      </c>
      <c r="I718" s="9" t="inlineStr">
        <is>
          <t xml:space="preserve">Телицына Ольга Валентиновна </t>
        </is>
      </c>
      <c r="J718" s="9" t="n"/>
      <c r="K718" s="9" t="n"/>
      <c r="L718" s="9" t="n"/>
      <c r="M718" s="12">
        <f>SUMIFS($E$2:$E$1130,$A$2:$A$1130,"осень",$I$2:$I$1130,I718)</f>
        <v/>
      </c>
      <c r="N718" s="13">
        <f>SUMIFS($E$2:$E$1130,$A$2:$A$1130,"весна",$I$2:$I$1130,I718)</f>
        <v/>
      </c>
      <c r="O718" s="14">
        <f>M718+N718</f>
        <v/>
      </c>
      <c r="P718" s="15">
        <f>O718/$P$1</f>
        <v/>
      </c>
    </row>
    <row r="719" ht="15.75" customHeight="1" s="2">
      <c r="A719" s="32" t="inlineStr">
        <is>
          <t>весна</t>
        </is>
      </c>
      <c r="B719" s="9" t="inlineStr">
        <is>
          <t>Общая металлургия</t>
        </is>
      </c>
      <c r="C719" s="9" t="inlineStr">
        <is>
          <t>ПЗ</t>
        </is>
      </c>
      <c r="D719" s="9" t="inlineStr">
        <is>
          <t>Т11О-102Б-20</t>
        </is>
      </c>
      <c r="E719" s="10" t="n">
        <v>26</v>
      </c>
      <c r="F719" s="9" t="inlineStr">
        <is>
          <t>13524</t>
        </is>
      </c>
      <c r="G719" s="10" t="n">
        <v>26</v>
      </c>
      <c r="H719" s="9" t="inlineStr">
        <is>
          <t xml:space="preserve">82022     </t>
        </is>
      </c>
      <c r="I719" s="9" t="inlineStr">
        <is>
          <t xml:space="preserve">Телицына Ольга Валентиновна </t>
        </is>
      </c>
      <c r="J719" s="9" t="n"/>
      <c r="K719" s="9" t="n"/>
      <c r="L719" s="9" t="n"/>
      <c r="M719" s="12">
        <f>SUMIFS($E$2:$E$1130,$A$2:$A$1130,"осень",$I$2:$I$1130,I719)</f>
        <v/>
      </c>
      <c r="N719" s="13">
        <f>SUMIFS($E$2:$E$1130,$A$2:$A$1130,"весна",$I$2:$I$1130,I719)</f>
        <v/>
      </c>
      <c r="O719" s="14">
        <f>M719+N719</f>
        <v/>
      </c>
      <c r="P719" s="15">
        <f>O719/$P$1</f>
        <v/>
      </c>
    </row>
    <row r="720" ht="15.75" customHeight="1" s="2">
      <c r="A720" s="32" t="inlineStr">
        <is>
          <t>весна</t>
        </is>
      </c>
      <c r="B720" s="9" t="inlineStr">
        <is>
          <t>Общая металлургия</t>
        </is>
      </c>
      <c r="C720" s="9" t="inlineStr">
        <is>
          <t>ПЗ</t>
        </is>
      </c>
      <c r="D720" s="9" t="inlineStr">
        <is>
          <t>Т11О-201Б-19</t>
        </is>
      </c>
      <c r="E720" s="10" t="n">
        <v>26</v>
      </c>
      <c r="F720" s="9" t="inlineStr">
        <is>
          <t>08947</t>
        </is>
      </c>
      <c r="G720" s="10" t="n">
        <v>26</v>
      </c>
      <c r="H720" s="9" t="inlineStr">
        <is>
          <t xml:space="preserve">82022     </t>
        </is>
      </c>
      <c r="I720" s="9" t="inlineStr">
        <is>
          <t xml:space="preserve">Телицына Ольга Валентиновна </t>
        </is>
      </c>
      <c r="J720" s="9" t="n"/>
      <c r="K720" s="9" t="n"/>
      <c r="L720" s="9" t="n"/>
      <c r="M720" s="12">
        <f>SUMIFS($E$2:$E$1130,$A$2:$A$1130,"осень",$I$2:$I$1130,I720)</f>
        <v/>
      </c>
      <c r="N720" s="13">
        <f>SUMIFS($E$2:$E$1130,$A$2:$A$1130,"весна",$I$2:$I$1130,I720)</f>
        <v/>
      </c>
      <c r="O720" s="14">
        <f>M720+N720</f>
        <v/>
      </c>
      <c r="P720" s="15">
        <f>O720/$P$1</f>
        <v/>
      </c>
    </row>
    <row r="721" ht="15.75" customHeight="1" s="2">
      <c r="A721" s="32" t="inlineStr">
        <is>
          <t>весна</t>
        </is>
      </c>
      <c r="B721" s="9" t="inlineStr">
        <is>
          <t>Общая металлургия</t>
        </is>
      </c>
      <c r="C721" s="9" t="inlineStr">
        <is>
          <t>ПЗ</t>
        </is>
      </c>
      <c r="D721" s="9" t="inlineStr">
        <is>
          <t>Т11О-202Б-19</t>
        </is>
      </c>
      <c r="E721" s="10" t="n">
        <v>26</v>
      </c>
      <c r="F721" s="9" t="inlineStr">
        <is>
          <t>08947</t>
        </is>
      </c>
      <c r="G721" s="10" t="n">
        <v>26</v>
      </c>
      <c r="H721" s="9" t="inlineStr">
        <is>
          <t xml:space="preserve">82022     </t>
        </is>
      </c>
      <c r="I721" s="9" t="inlineStr">
        <is>
          <t xml:space="preserve">Телицына Ольга Валентиновна </t>
        </is>
      </c>
      <c r="J721" s="9" t="n"/>
      <c r="K721" s="9" t="n"/>
      <c r="L721" s="9" t="n"/>
      <c r="M721" s="12">
        <f>SUMIFS($E$2:$E$1130,$A$2:$A$1130,"осень",$I$2:$I$1130,I721)</f>
        <v/>
      </c>
      <c r="N721" s="13">
        <f>SUMIFS($E$2:$E$1130,$A$2:$A$1130,"весна",$I$2:$I$1130,I721)</f>
        <v/>
      </c>
      <c r="O721" s="14">
        <f>M721+N721</f>
        <v/>
      </c>
      <c r="P721" s="15">
        <f>O721/$P$1</f>
        <v/>
      </c>
    </row>
    <row r="722" ht="15.75" customHeight="1" s="2">
      <c r="A722" s="32" t="inlineStr">
        <is>
          <t>весна</t>
        </is>
      </c>
      <c r="B722" s="9" t="inlineStr">
        <is>
          <t>Общая металлургия</t>
        </is>
      </c>
      <c r="C722" s="9" t="inlineStr">
        <is>
          <t>Экзамен</t>
        </is>
      </c>
      <c r="D722" s="9" t="inlineStr">
        <is>
          <t>Т11О-101Б-20</t>
        </is>
      </c>
      <c r="E722" s="10" t="n">
        <v>10</v>
      </c>
      <c r="F722" s="9" t="inlineStr">
        <is>
          <t>13524</t>
        </is>
      </c>
      <c r="G722" s="11" t="n">
        <v>0</v>
      </c>
      <c r="H722" s="9" t="inlineStr">
        <is>
          <t xml:space="preserve">82022     </t>
        </is>
      </c>
      <c r="I722" s="9" t="inlineStr">
        <is>
          <t xml:space="preserve">Телицына Ольга Валентиновна </t>
        </is>
      </c>
      <c r="J722" s="9" t="n"/>
      <c r="K722" s="9" t="n"/>
      <c r="L722" s="9" t="n"/>
      <c r="M722" s="12">
        <f>SUMIFS($E$2:$E$1130,$A$2:$A$1130,"осень",$I$2:$I$1130,I722)</f>
        <v/>
      </c>
      <c r="N722" s="13">
        <f>SUMIFS($E$2:$E$1130,$A$2:$A$1130,"весна",$I$2:$I$1130,I722)</f>
        <v/>
      </c>
      <c r="O722" s="14">
        <f>M722+N722</f>
        <v/>
      </c>
      <c r="P722" s="15">
        <f>O722/$P$1</f>
        <v/>
      </c>
    </row>
    <row r="723" ht="15.75" customHeight="1" s="2">
      <c r="A723" s="32" t="inlineStr">
        <is>
          <t>весна</t>
        </is>
      </c>
      <c r="B723" s="9" t="inlineStr">
        <is>
          <t>Общая металлургия</t>
        </is>
      </c>
      <c r="C723" s="9" t="inlineStr">
        <is>
          <t>Экзамен</t>
        </is>
      </c>
      <c r="D723" s="9" t="inlineStr">
        <is>
          <t>Т11О-102Б-20</t>
        </is>
      </c>
      <c r="E723" s="10" t="n">
        <v>10</v>
      </c>
      <c r="F723" s="9" t="inlineStr">
        <is>
          <t>13524</t>
        </is>
      </c>
      <c r="G723" s="11" t="n">
        <v>0</v>
      </c>
      <c r="H723" s="9" t="inlineStr">
        <is>
          <t xml:space="preserve">82022     </t>
        </is>
      </c>
      <c r="I723" s="9" t="inlineStr">
        <is>
          <t xml:space="preserve">Телицына Ольга Валентиновна </t>
        </is>
      </c>
      <c r="J723" s="9" t="n"/>
      <c r="K723" s="9" t="n"/>
      <c r="L723" s="9" t="n"/>
      <c r="M723" s="12">
        <f>SUMIFS($E$2:$E$1130,$A$2:$A$1130,"осень",$I$2:$I$1130,I723)</f>
        <v/>
      </c>
      <c r="N723" s="13">
        <f>SUMIFS($E$2:$E$1130,$A$2:$A$1130,"весна",$I$2:$I$1130,I723)</f>
        <v/>
      </c>
      <c r="O723" s="14">
        <f>M723+N723</f>
        <v/>
      </c>
      <c r="P723" s="15">
        <f>O723/$P$1</f>
        <v/>
      </c>
    </row>
    <row r="724" ht="15.75" customHeight="1" s="2">
      <c r="A724" s="32" t="inlineStr">
        <is>
          <t>весна</t>
        </is>
      </c>
      <c r="B724" s="9" t="inlineStr">
        <is>
          <t>Общая металлургия</t>
        </is>
      </c>
      <c r="C724" s="9" t="inlineStr">
        <is>
          <t>Консультация</t>
        </is>
      </c>
      <c r="D724" s="9" t="inlineStr">
        <is>
          <t>Т11О-101Б-20</t>
        </is>
      </c>
      <c r="E724" s="10" t="n">
        <v>3</v>
      </c>
      <c r="F724" s="9" t="inlineStr">
        <is>
          <t>13524</t>
        </is>
      </c>
      <c r="G724" s="11" t="n">
        <v>0</v>
      </c>
      <c r="H724" s="9" t="inlineStr">
        <is>
          <t xml:space="preserve">82022     </t>
        </is>
      </c>
      <c r="I724" s="9" t="inlineStr">
        <is>
          <t xml:space="preserve">Телицына Ольга Валентиновна </t>
        </is>
      </c>
      <c r="J724" s="9" t="n"/>
      <c r="K724" s="9" t="n"/>
      <c r="L724" s="9" t="n"/>
      <c r="M724" s="12">
        <f>SUMIFS($E$2:$E$1130,$A$2:$A$1130,"осень",$I$2:$I$1130,I724)</f>
        <v/>
      </c>
      <c r="N724" s="13">
        <f>SUMIFS($E$2:$E$1130,$A$2:$A$1130,"весна",$I$2:$I$1130,I724)</f>
        <v/>
      </c>
      <c r="O724" s="14">
        <f>M724+N724</f>
        <v/>
      </c>
      <c r="P724" s="15">
        <f>O724/$P$1</f>
        <v/>
      </c>
    </row>
    <row r="725" ht="15.75" customHeight="1" s="2">
      <c r="A725" s="32" t="inlineStr">
        <is>
          <t>весна</t>
        </is>
      </c>
      <c r="B725" s="9" t="inlineStr">
        <is>
          <t>Общая металлургия</t>
        </is>
      </c>
      <c r="C725" s="9" t="inlineStr">
        <is>
          <t>Консультация</t>
        </is>
      </c>
      <c r="D725" s="9" t="inlineStr">
        <is>
          <t>Т11О-102Б-20</t>
        </is>
      </c>
      <c r="E725" s="10" t="n">
        <v>3</v>
      </c>
      <c r="F725" s="9" t="inlineStr">
        <is>
          <t>13524</t>
        </is>
      </c>
      <c r="G725" s="11" t="n">
        <v>0</v>
      </c>
      <c r="H725" s="9" t="inlineStr">
        <is>
          <t xml:space="preserve">82022     </t>
        </is>
      </c>
      <c r="I725" s="9" t="inlineStr">
        <is>
          <t xml:space="preserve">Телицына Ольга Валентиновна </t>
        </is>
      </c>
      <c r="J725" s="9" t="n"/>
      <c r="K725" s="9" t="n"/>
      <c r="L725" s="9" t="n"/>
      <c r="M725" s="12">
        <f>SUMIFS($E$2:$E$1130,$A$2:$A$1130,"осень",$I$2:$I$1130,I725)</f>
        <v/>
      </c>
      <c r="N725" s="13">
        <f>SUMIFS($E$2:$E$1130,$A$2:$A$1130,"весна",$I$2:$I$1130,I725)</f>
        <v/>
      </c>
      <c r="O725" s="14">
        <f>M725+N725</f>
        <v/>
      </c>
      <c r="P725" s="15">
        <f>O725/$P$1</f>
        <v/>
      </c>
    </row>
    <row r="726" ht="15.75" customHeight="1" s="2">
      <c r="A726" s="32" t="inlineStr">
        <is>
          <t>весна</t>
        </is>
      </c>
      <c r="B726" s="9" t="inlineStr">
        <is>
          <t>Общая металлургия</t>
        </is>
      </c>
      <c r="C726" s="9" t="inlineStr">
        <is>
          <t>Консультация</t>
        </is>
      </c>
      <c r="D726" s="9" t="inlineStr">
        <is>
          <t>Т11О-201Б-19</t>
        </is>
      </c>
      <c r="E726" s="10" t="n">
        <v>1</v>
      </c>
      <c r="F726" s="9" t="inlineStr">
        <is>
          <t>08947</t>
        </is>
      </c>
      <c r="G726" s="11" t="n">
        <v>0</v>
      </c>
      <c r="H726" s="9" t="inlineStr">
        <is>
          <t xml:space="preserve">82022     </t>
        </is>
      </c>
      <c r="I726" s="9" t="inlineStr">
        <is>
          <t xml:space="preserve">Телицына Ольга Валентиновна </t>
        </is>
      </c>
      <c r="J726" s="9" t="n"/>
      <c r="K726" s="9" t="n"/>
      <c r="L726" s="9" t="n"/>
      <c r="M726" s="12">
        <f>SUMIFS($E$2:$E$1130,$A$2:$A$1130,"осень",$I$2:$I$1130,I726)</f>
        <v/>
      </c>
      <c r="N726" s="13">
        <f>SUMIFS($E$2:$E$1130,$A$2:$A$1130,"весна",$I$2:$I$1130,I726)</f>
        <v/>
      </c>
      <c r="O726" s="14">
        <f>M726+N726</f>
        <v/>
      </c>
      <c r="P726" s="15">
        <f>O726/$P$1</f>
        <v/>
      </c>
    </row>
    <row r="727" ht="15.75" customHeight="1" s="2">
      <c r="A727" s="32" t="inlineStr">
        <is>
          <t>весна</t>
        </is>
      </c>
      <c r="B727" s="9" t="inlineStr">
        <is>
          <t>Общая металлургия</t>
        </is>
      </c>
      <c r="C727" s="9" t="inlineStr">
        <is>
          <t>Консультация</t>
        </is>
      </c>
      <c r="D727" s="9" t="inlineStr">
        <is>
          <t>Т11О-202Б-19</t>
        </is>
      </c>
      <c r="E727" s="10" t="n">
        <v>1</v>
      </c>
      <c r="F727" s="9" t="inlineStr">
        <is>
          <t>08947</t>
        </is>
      </c>
      <c r="G727" s="11" t="n">
        <v>0</v>
      </c>
      <c r="H727" s="9" t="inlineStr">
        <is>
          <t xml:space="preserve">82022     </t>
        </is>
      </c>
      <c r="I727" s="9" t="inlineStr">
        <is>
          <t xml:space="preserve">Телицына Ольга Валентиновна </t>
        </is>
      </c>
      <c r="J727" s="9" t="n"/>
      <c r="K727" s="9" t="n"/>
      <c r="L727" s="9" t="n"/>
      <c r="M727" s="12">
        <f>SUMIFS($E$2:$E$1130,$A$2:$A$1130,"осень",$I$2:$I$1130,I727)</f>
        <v/>
      </c>
      <c r="N727" s="13">
        <f>SUMIFS($E$2:$E$1130,$A$2:$A$1130,"весна",$I$2:$I$1130,I727)</f>
        <v/>
      </c>
      <c r="O727" s="14">
        <f>M727+N727</f>
        <v/>
      </c>
      <c r="P727" s="15">
        <f>O727/$P$1</f>
        <v/>
      </c>
    </row>
    <row r="728" ht="15.75" customHeight="1" s="2">
      <c r="A728" s="32" t="inlineStr">
        <is>
          <t>весна</t>
        </is>
      </c>
      <c r="B728" s="9" t="inlineStr">
        <is>
          <t>Системы компьютерного моделирования литейных процессов</t>
        </is>
      </c>
      <c r="C728" s="9" t="inlineStr">
        <is>
          <t>ЛК</t>
        </is>
      </c>
      <c r="D728" s="9" t="inlineStr">
        <is>
          <t>Т1О-402Б-17</t>
        </is>
      </c>
      <c r="E728" s="10" t="n">
        <v>16</v>
      </c>
      <c r="F728" s="9" t="inlineStr">
        <is>
          <t>04517</t>
        </is>
      </c>
      <c r="G728" s="10" t="n">
        <v>16</v>
      </c>
      <c r="H728" s="9" t="inlineStr">
        <is>
          <t xml:space="preserve">82018     </t>
        </is>
      </c>
      <c r="I728" s="9" t="inlineStr">
        <is>
          <t>Бережной Дмитрий Васильевич</t>
        </is>
      </c>
      <c r="J728" s="9" t="inlineStr">
        <is>
          <t>доцент</t>
        </is>
      </c>
      <c r="K728" s="9" t="n"/>
      <c r="L728" s="9" t="n"/>
      <c r="M728" s="12">
        <f>SUMIFS($E$2:$E$1130,$A$2:$A$1130,"осень",$I$2:$I$1130,I728)</f>
        <v/>
      </c>
      <c r="N728" s="13">
        <f>SUMIFS($E$2:$E$1130,$A$2:$A$1130,"весна",$I$2:$I$1130,I728)</f>
        <v/>
      </c>
      <c r="O728" s="14">
        <f>M728+N728</f>
        <v/>
      </c>
      <c r="P728" s="15">
        <f>O728/$P$1</f>
        <v/>
      </c>
    </row>
    <row r="729" ht="15.75" customHeight="1" s="2">
      <c r="A729" s="32" t="inlineStr">
        <is>
          <t>весна</t>
        </is>
      </c>
      <c r="B729" s="9" t="inlineStr">
        <is>
          <t>Системы компьютерного моделирования литейных процессов</t>
        </is>
      </c>
      <c r="C729" s="9" t="inlineStr">
        <is>
          <t>Зачет с оценкой</t>
        </is>
      </c>
      <c r="D729" s="9" t="inlineStr">
        <is>
          <t>Т1О-402Б-17</t>
        </is>
      </c>
      <c r="E729" s="10" t="n">
        <v>6</v>
      </c>
      <c r="F729" s="9" t="inlineStr">
        <is>
          <t>04517</t>
        </is>
      </c>
      <c r="G729" s="11" t="n">
        <v>0</v>
      </c>
      <c r="H729" s="9" t="inlineStr">
        <is>
          <t xml:space="preserve">82018     </t>
        </is>
      </c>
      <c r="I729" s="9" t="inlineStr">
        <is>
          <t>Бережной Дмитрий Васильевич</t>
        </is>
      </c>
      <c r="J729" s="9" t="inlineStr">
        <is>
          <t>доцент</t>
        </is>
      </c>
      <c r="K729" s="9" t="n"/>
      <c r="L729" s="9" t="n"/>
      <c r="M729" s="12">
        <f>SUMIFS($E$2:$E$1130,$A$2:$A$1130,"осень",$I$2:$I$1130,I729)</f>
        <v/>
      </c>
      <c r="N729" s="13">
        <f>SUMIFS($E$2:$E$1130,$A$2:$A$1130,"весна",$I$2:$I$1130,I729)</f>
        <v/>
      </c>
      <c r="O729" s="14">
        <f>M729+N729</f>
        <v/>
      </c>
      <c r="P729" s="15">
        <f>O729/$P$1</f>
        <v/>
      </c>
    </row>
    <row r="730" ht="15.75" customHeight="1" s="2">
      <c r="A730" s="32" t="inlineStr">
        <is>
          <t>весна</t>
        </is>
      </c>
      <c r="B730" s="9" t="inlineStr">
        <is>
          <t>Системы компьютерного моделирования литейных процессов</t>
        </is>
      </c>
      <c r="C730" s="9" t="inlineStr">
        <is>
          <t>ПЗ</t>
        </is>
      </c>
      <c r="D730" s="9" t="inlineStr">
        <is>
          <t>Т1О-402Б-17</t>
        </is>
      </c>
      <c r="E730" s="10" t="n">
        <v>40</v>
      </c>
      <c r="F730" s="9" t="inlineStr">
        <is>
          <t>04517</t>
        </is>
      </c>
      <c r="G730" s="10" t="n">
        <v>40</v>
      </c>
      <c r="H730" s="9" t="inlineStr">
        <is>
          <t xml:space="preserve">82018     </t>
        </is>
      </c>
      <c r="I730" s="9" t="inlineStr">
        <is>
          <t>Бережной Дмитрий Васильевич</t>
        </is>
      </c>
      <c r="J730" s="9" t="inlineStr">
        <is>
          <t>доцент</t>
        </is>
      </c>
      <c r="K730" s="9" t="n"/>
      <c r="L730" s="9" t="n"/>
      <c r="M730" s="12">
        <f>SUMIFS($E$2:$E$1130,$A$2:$A$1130,"осень",$I$2:$I$1130,I730)</f>
        <v/>
      </c>
      <c r="N730" s="13">
        <f>SUMIFS($E$2:$E$1130,$A$2:$A$1130,"весна",$I$2:$I$1130,I730)</f>
        <v/>
      </c>
      <c r="O730" s="14">
        <f>M730+N730</f>
        <v/>
      </c>
      <c r="P730" s="15">
        <f>O730/$P$1</f>
        <v/>
      </c>
    </row>
    <row r="731" ht="15.75" customHeight="1" s="2">
      <c r="A731" s="32" t="inlineStr">
        <is>
          <t>весна</t>
        </is>
      </c>
      <c r="B731" s="9" t="inlineStr">
        <is>
          <t>Системы компьютерного моделирования литейных процессов</t>
        </is>
      </c>
      <c r="C731" s="9" t="inlineStr">
        <is>
          <t>Консультация</t>
        </is>
      </c>
      <c r="D731" s="9" t="inlineStr">
        <is>
          <t>Т1О-402Б-17</t>
        </is>
      </c>
      <c r="E731" s="10" t="n">
        <v>1</v>
      </c>
      <c r="F731" s="9" t="inlineStr">
        <is>
          <t>04517</t>
        </is>
      </c>
      <c r="G731" s="11" t="n">
        <v>0</v>
      </c>
      <c r="H731" s="9" t="inlineStr">
        <is>
          <t xml:space="preserve">82018     </t>
        </is>
      </c>
      <c r="I731" s="9" t="inlineStr">
        <is>
          <t>Бережной Дмитрий Васильевич</t>
        </is>
      </c>
      <c r="J731" s="9" t="inlineStr">
        <is>
          <t>доцент</t>
        </is>
      </c>
      <c r="K731" s="9" t="n"/>
      <c r="L731" s="9" t="n"/>
      <c r="M731" s="12">
        <f>SUMIFS($E$2:$E$1130,$A$2:$A$1130,"осень",$I$2:$I$1130,I731)</f>
        <v/>
      </c>
      <c r="N731" s="13">
        <f>SUMIFS($E$2:$E$1130,$A$2:$A$1130,"весна",$I$2:$I$1130,I731)</f>
        <v/>
      </c>
      <c r="O731" s="14">
        <f>M731+N731</f>
        <v/>
      </c>
      <c r="P731" s="15">
        <f>O731/$P$1</f>
        <v/>
      </c>
    </row>
    <row r="732" ht="15.75" customHeight="1" s="2">
      <c r="A732" s="32" t="inlineStr">
        <is>
          <t>весна</t>
        </is>
      </c>
      <c r="B732" s="9" t="inlineStr">
        <is>
          <t>Основы технологической подготовки производства сварных и паяных конструкций</t>
        </is>
      </c>
      <c r="C732" s="9" t="inlineStr">
        <is>
          <t>ЛК</t>
        </is>
      </c>
      <c r="D732" s="9" t="inlineStr">
        <is>
          <t>Т1О-401Б-17</t>
        </is>
      </c>
      <c r="E732" s="10" t="n">
        <v>24</v>
      </c>
      <c r="F732" s="9" t="inlineStr">
        <is>
          <t>06256</t>
        </is>
      </c>
      <c r="G732" s="10" t="n">
        <v>24</v>
      </c>
      <c r="H732" s="9" t="inlineStr">
        <is>
          <t xml:space="preserve">89090     </t>
        </is>
      </c>
      <c r="I732" s="9" t="inlineStr">
        <is>
          <t>Степанов Владимир Валерьевич</t>
        </is>
      </c>
      <c r="J732" s="9" t="n"/>
      <c r="K732" s="9" t="n"/>
      <c r="L732" s="9" t="n"/>
      <c r="M732" s="12">
        <f>SUMIFS($E$2:$E$1130,$A$2:$A$1130,"осень",$I$2:$I$1130,I732)</f>
        <v/>
      </c>
      <c r="N732" s="13">
        <f>SUMIFS($E$2:$E$1130,$A$2:$A$1130,"весна",$I$2:$I$1130,I732)</f>
        <v/>
      </c>
      <c r="O732" s="14">
        <f>M732+N732</f>
        <v/>
      </c>
      <c r="P732" s="15">
        <f>O732/$P$1</f>
        <v/>
      </c>
    </row>
    <row r="733" ht="15.75" customHeight="1" s="2">
      <c r="A733" s="32" t="inlineStr">
        <is>
          <t>весна</t>
        </is>
      </c>
      <c r="B733" s="9" t="inlineStr">
        <is>
          <t>Основы технологической подготовки производства сварных и паяных конструкций</t>
        </is>
      </c>
      <c r="C733" s="9" t="inlineStr">
        <is>
          <t>КР</t>
        </is>
      </c>
      <c r="D733" s="9" t="inlineStr">
        <is>
          <t>Т1О-401Б-17</t>
        </is>
      </c>
      <c r="E733" s="10" t="n">
        <v>48</v>
      </c>
      <c r="F733" s="9" t="inlineStr">
        <is>
          <t>06256</t>
        </is>
      </c>
      <c r="G733" s="11" t="n">
        <v>0</v>
      </c>
      <c r="H733" s="9" t="inlineStr">
        <is>
          <t xml:space="preserve">89090     </t>
        </is>
      </c>
      <c r="I733" s="9" t="inlineStr">
        <is>
          <t>Степанов Владимир Валерьевич</t>
        </is>
      </c>
      <c r="J733" s="9" t="n"/>
      <c r="K733" s="9" t="n"/>
      <c r="L733" s="9" t="n"/>
      <c r="M733" s="12">
        <f>SUMIFS($E$2:$E$1130,$A$2:$A$1130,"осень",$I$2:$I$1130,I733)</f>
        <v/>
      </c>
      <c r="N733" s="13">
        <f>SUMIFS($E$2:$E$1130,$A$2:$A$1130,"весна",$I$2:$I$1130,I733)</f>
        <v/>
      </c>
      <c r="O733" s="14">
        <f>M733+N733</f>
        <v/>
      </c>
      <c r="P733" s="15">
        <f>O733/$P$1</f>
        <v/>
      </c>
    </row>
    <row r="734" ht="15.75" customHeight="1" s="2">
      <c r="A734" s="32" t="inlineStr">
        <is>
          <t>весна</t>
        </is>
      </c>
      <c r="B734" s="9" t="inlineStr">
        <is>
          <t>Основы технологической подготовки производства сварных и паяных конструкций</t>
        </is>
      </c>
      <c r="C734" s="9" t="inlineStr">
        <is>
          <t>Зачет с оценкой</t>
        </is>
      </c>
      <c r="D734" s="9" t="inlineStr">
        <is>
          <t>Т1О-401Б-17</t>
        </is>
      </c>
      <c r="E734" s="10" t="n">
        <v>6</v>
      </c>
      <c r="F734" s="9" t="inlineStr">
        <is>
          <t>06256</t>
        </is>
      </c>
      <c r="G734" s="11" t="n">
        <v>0</v>
      </c>
      <c r="H734" s="9" t="inlineStr">
        <is>
          <t xml:space="preserve">89090     </t>
        </is>
      </c>
      <c r="I734" s="9" t="inlineStr">
        <is>
          <t>Степанов Владимир Валерьевич</t>
        </is>
      </c>
      <c r="J734" s="9" t="n"/>
      <c r="K734" s="9" t="n"/>
      <c r="L734" s="9" t="n"/>
      <c r="M734" s="12">
        <f>SUMIFS($E$2:$E$1130,$A$2:$A$1130,"осень",$I$2:$I$1130,I734)</f>
        <v/>
      </c>
      <c r="N734" s="13">
        <f>SUMIFS($E$2:$E$1130,$A$2:$A$1130,"весна",$I$2:$I$1130,I734)</f>
        <v/>
      </c>
      <c r="O734" s="14">
        <f>M734+N734</f>
        <v/>
      </c>
      <c r="P734" s="15">
        <f>O734/$P$1</f>
        <v/>
      </c>
    </row>
    <row r="735" ht="15.75" customHeight="1" s="2">
      <c r="A735" s="32" t="inlineStr">
        <is>
          <t>весна</t>
        </is>
      </c>
      <c r="B735" s="9" t="inlineStr">
        <is>
          <t>Основы технологической подготовки производства сварных и паяных конструкций</t>
        </is>
      </c>
      <c r="C735" s="9" t="inlineStr">
        <is>
          <t>ПЗ</t>
        </is>
      </c>
      <c r="D735" s="9" t="inlineStr">
        <is>
          <t>Т1О-401Б-17</t>
        </is>
      </c>
      <c r="E735" s="10" t="n">
        <v>40</v>
      </c>
      <c r="F735" s="9" t="inlineStr">
        <is>
          <t>06256</t>
        </is>
      </c>
      <c r="G735" s="10" t="n">
        <v>40</v>
      </c>
      <c r="H735" s="9" t="inlineStr">
        <is>
          <t xml:space="preserve">89090     </t>
        </is>
      </c>
      <c r="I735" s="9" t="inlineStr">
        <is>
          <t>Степанов Владимир Валерьевич</t>
        </is>
      </c>
      <c r="J735" s="9" t="n"/>
      <c r="K735" s="9" t="n"/>
      <c r="L735" s="9" t="n"/>
      <c r="M735" s="12">
        <f>SUMIFS($E$2:$E$1130,$A$2:$A$1130,"осень",$I$2:$I$1130,I735)</f>
        <v/>
      </c>
      <c r="N735" s="13">
        <f>SUMIFS($E$2:$E$1130,$A$2:$A$1130,"весна",$I$2:$I$1130,I735)</f>
        <v/>
      </c>
      <c r="O735" s="14">
        <f>M735+N735</f>
        <v/>
      </c>
      <c r="P735" s="15">
        <f>O735/$P$1</f>
        <v/>
      </c>
    </row>
    <row r="736" ht="15.75" customHeight="1" s="2">
      <c r="A736" s="32" t="inlineStr">
        <is>
          <t>весна</t>
        </is>
      </c>
      <c r="B736" s="9" t="inlineStr">
        <is>
          <t>Основы технологической подготовки производства сварных и паяных конструкций</t>
        </is>
      </c>
      <c r="C736" s="9" t="inlineStr">
        <is>
          <t>Консультация</t>
        </is>
      </c>
      <c r="D736" s="9" t="inlineStr">
        <is>
          <t>Т1О-401Б-17</t>
        </is>
      </c>
      <c r="E736" s="10" t="n">
        <v>1</v>
      </c>
      <c r="F736" s="9" t="inlineStr">
        <is>
          <t>06256</t>
        </is>
      </c>
      <c r="G736" s="11" t="n">
        <v>0</v>
      </c>
      <c r="H736" s="9" t="inlineStr">
        <is>
          <t xml:space="preserve">89090     </t>
        </is>
      </c>
      <c r="I736" s="9" t="inlineStr">
        <is>
          <t>Степанов Владимир Валерьевич</t>
        </is>
      </c>
      <c r="J736" s="9" t="n"/>
      <c r="K736" s="9" t="n"/>
      <c r="L736" s="9" t="n"/>
      <c r="M736" s="12">
        <f>SUMIFS($E$2:$E$1130,$A$2:$A$1130,"осень",$I$2:$I$1130,I736)</f>
        <v/>
      </c>
      <c r="N736" s="13">
        <f>SUMIFS($E$2:$E$1130,$A$2:$A$1130,"весна",$I$2:$I$1130,I736)</f>
        <v/>
      </c>
      <c r="O736" s="14">
        <f>M736+N736</f>
        <v/>
      </c>
      <c r="P736" s="15">
        <f>O736/$P$1</f>
        <v/>
      </c>
    </row>
    <row r="737" ht="15.75" customHeight="1" s="2">
      <c r="A737" s="32" t="inlineStr">
        <is>
          <t>весна</t>
        </is>
      </c>
      <c r="B737" s="9" t="inlineStr">
        <is>
          <t>Материаловедение и технологии композиционных материалов</t>
        </is>
      </c>
      <c r="C737" s="9" t="inlineStr">
        <is>
          <t>ЛК</t>
        </is>
      </c>
      <c r="D737" s="9" t="inlineStr">
        <is>
          <t>Т1О-402Б-17</t>
        </is>
      </c>
      <c r="E737" s="10" t="n">
        <v>34</v>
      </c>
      <c r="F737" s="9" t="inlineStr">
        <is>
          <t>04517</t>
        </is>
      </c>
      <c r="G737" s="10" t="n">
        <v>34</v>
      </c>
      <c r="H737" s="9" t="inlineStr">
        <is>
          <t xml:space="preserve">95460     </t>
        </is>
      </c>
      <c r="I737" s="9" t="inlineStr">
        <is>
          <t>Кубатина Екатерина Павловна</t>
        </is>
      </c>
      <c r="J737" s="9" t="n"/>
      <c r="K737" s="9" t="n"/>
      <c r="L737" s="9" t="n"/>
      <c r="M737" s="12">
        <f>SUMIFS($E$2:$E$1130,$A$2:$A$1130,"осень",$I$2:$I$1130,I737)</f>
        <v/>
      </c>
      <c r="N737" s="13">
        <f>SUMIFS($E$2:$E$1130,$A$2:$A$1130,"весна",$I$2:$I$1130,I737)</f>
        <v/>
      </c>
      <c r="O737" s="14">
        <f>M737+N737</f>
        <v/>
      </c>
      <c r="P737" s="15">
        <f>O737/$P$1</f>
        <v/>
      </c>
    </row>
    <row r="738" ht="15.75" customHeight="1" s="2">
      <c r="A738" s="32" t="inlineStr">
        <is>
          <t>весна</t>
        </is>
      </c>
      <c r="B738" s="9" t="inlineStr">
        <is>
          <t>Материаловедение и технологии композиционных материалов</t>
        </is>
      </c>
      <c r="C738" s="9" t="inlineStr">
        <is>
          <t>ПЗ</t>
        </is>
      </c>
      <c r="D738" s="9" t="inlineStr">
        <is>
          <t>Т1О-402Б-17</t>
        </is>
      </c>
      <c r="E738" s="10" t="n">
        <v>22</v>
      </c>
      <c r="F738" s="9" t="inlineStr">
        <is>
          <t>04517</t>
        </is>
      </c>
      <c r="G738" s="10" t="n">
        <v>22</v>
      </c>
      <c r="H738" s="9" t="inlineStr">
        <is>
          <t xml:space="preserve">95460     </t>
        </is>
      </c>
      <c r="I738" s="9" t="inlineStr">
        <is>
          <t>Кубатина Екатерина Павловна</t>
        </is>
      </c>
      <c r="J738" s="9" t="n"/>
      <c r="K738" s="9" t="n"/>
      <c r="L738" s="9" t="n"/>
      <c r="M738" s="12">
        <f>SUMIFS($E$2:$E$1130,$A$2:$A$1130,"осень",$I$2:$I$1130,I738)</f>
        <v/>
      </c>
      <c r="N738" s="13">
        <f>SUMIFS($E$2:$E$1130,$A$2:$A$1130,"весна",$I$2:$I$1130,I738)</f>
        <v/>
      </c>
      <c r="O738" s="14">
        <f>M738+N738</f>
        <v/>
      </c>
      <c r="P738" s="15">
        <f>O738/$P$1</f>
        <v/>
      </c>
    </row>
    <row r="739" ht="15.75" customHeight="1" s="2">
      <c r="A739" s="32" t="inlineStr">
        <is>
          <t>весна</t>
        </is>
      </c>
      <c r="B739" s="9" t="inlineStr">
        <is>
          <t>Материаловедение и технологии композиционных материалов</t>
        </is>
      </c>
      <c r="C739" s="9" t="inlineStr">
        <is>
          <t>Экзамен</t>
        </is>
      </c>
      <c r="D739" s="9" t="inlineStr">
        <is>
          <t>Т1О-402Б-17</t>
        </is>
      </c>
      <c r="E739" s="10" t="n">
        <v>9</v>
      </c>
      <c r="F739" s="9" t="inlineStr">
        <is>
          <t>04517</t>
        </is>
      </c>
      <c r="G739" s="11" t="n">
        <v>0</v>
      </c>
      <c r="H739" s="9" t="inlineStr">
        <is>
          <t xml:space="preserve">95460     </t>
        </is>
      </c>
      <c r="I739" s="9" t="inlineStr">
        <is>
          <t>Кубатина Екатерина Павловна</t>
        </is>
      </c>
      <c r="J739" s="9" t="n"/>
      <c r="K739" s="9" t="n"/>
      <c r="L739" s="9" t="n"/>
      <c r="M739" s="12">
        <f>SUMIFS($E$2:$E$1130,$A$2:$A$1130,"осень",$I$2:$I$1130,I739)</f>
        <v/>
      </c>
      <c r="N739" s="13">
        <f>SUMIFS($E$2:$E$1130,$A$2:$A$1130,"весна",$I$2:$I$1130,I739)</f>
        <v/>
      </c>
      <c r="O739" s="14">
        <f>M739+N739</f>
        <v/>
      </c>
      <c r="P739" s="15">
        <f>O739/$P$1</f>
        <v/>
      </c>
    </row>
    <row r="740" ht="15.75" customHeight="1" s="2">
      <c r="A740" s="32" t="inlineStr">
        <is>
          <t>весна</t>
        </is>
      </c>
      <c r="B740" s="9" t="inlineStr">
        <is>
          <t>Материаловедение и технологии композиционных материалов</t>
        </is>
      </c>
      <c r="C740" s="9" t="inlineStr">
        <is>
          <t>Консультация</t>
        </is>
      </c>
      <c r="D740" s="9" t="inlineStr">
        <is>
          <t>Т1О-402Б-17</t>
        </is>
      </c>
      <c r="E740" s="10" t="n">
        <v>4</v>
      </c>
      <c r="F740" s="9" t="inlineStr">
        <is>
          <t>04517</t>
        </is>
      </c>
      <c r="G740" s="11" t="n">
        <v>0</v>
      </c>
      <c r="H740" s="9" t="inlineStr">
        <is>
          <t xml:space="preserve">95460     </t>
        </is>
      </c>
      <c r="I740" s="9" t="inlineStr">
        <is>
          <t>Кубатина Екатерина Павловна</t>
        </is>
      </c>
      <c r="J740" s="9" t="n"/>
      <c r="K740" s="9" t="n"/>
      <c r="L740" s="9" t="n"/>
      <c r="M740" s="12">
        <f>SUMIFS($E$2:$E$1130,$A$2:$A$1130,"осень",$I$2:$I$1130,I740)</f>
        <v/>
      </c>
      <c r="N740" s="13">
        <f>SUMIFS($E$2:$E$1130,$A$2:$A$1130,"весна",$I$2:$I$1130,I740)</f>
        <v/>
      </c>
      <c r="O740" s="14">
        <f>M740+N740</f>
        <v/>
      </c>
      <c r="P740" s="15">
        <f>O740/$P$1</f>
        <v/>
      </c>
    </row>
    <row r="741" ht="15.75" customHeight="1" s="2">
      <c r="A741" s="32" t="inlineStr">
        <is>
          <t>весна</t>
        </is>
      </c>
      <c r="B741" s="9" t="inlineStr">
        <is>
          <t>Имитационное моделирование технологических процессов</t>
        </is>
      </c>
      <c r="C741" s="9" t="inlineStr">
        <is>
          <t>ЛК</t>
        </is>
      </c>
      <c r="D741" s="9" t="inlineStr">
        <is>
          <t>Т11О-101М-20, Т11О-102М-20, Т11О-103М-20, Т11О-104М-20</t>
        </is>
      </c>
      <c r="E741" s="10" t="n">
        <v>12</v>
      </c>
      <c r="F741" s="9" t="inlineStr">
        <is>
          <t>07987</t>
        </is>
      </c>
      <c r="G741" s="10" t="n">
        <v>12</v>
      </c>
      <c r="H741" s="9" t="inlineStr">
        <is>
          <t xml:space="preserve">81728     </t>
        </is>
      </c>
      <c r="I741" s="9" t="inlineStr">
        <is>
          <t xml:space="preserve">Галкин Виктор Иванович </t>
        </is>
      </c>
      <c r="J741" s="9" t="inlineStr">
        <is>
          <t>профессор</t>
        </is>
      </c>
      <c r="K741" s="9" t="n"/>
      <c r="L741" s="9" t="n"/>
      <c r="M741" s="12">
        <f>SUMIFS($E$2:$E$1130,$A$2:$A$1130,"осень",$I$2:$I$1130,I741)</f>
        <v/>
      </c>
      <c r="N741" s="13">
        <f>SUMIFS($E$2:$E$1130,$A$2:$A$1130,"весна",$I$2:$I$1130,I741)</f>
        <v/>
      </c>
      <c r="O741" s="14">
        <f>M741+N741</f>
        <v/>
      </c>
      <c r="P741" s="15">
        <f>O741/$P$1</f>
        <v/>
      </c>
    </row>
    <row r="742" ht="15.75" customHeight="1" s="2">
      <c r="A742" s="32" t="inlineStr">
        <is>
          <t>весна</t>
        </is>
      </c>
      <c r="B742" s="9" t="inlineStr">
        <is>
          <t>Имитационное моделирование технологических процессов</t>
        </is>
      </c>
      <c r="C742" s="9" t="inlineStr">
        <is>
          <t>ЛК</t>
        </is>
      </c>
      <c r="D742" s="9" t="inlineStr">
        <is>
          <t>М9О-104М-20</t>
        </is>
      </c>
      <c r="E742" s="10" t="n">
        <v>12</v>
      </c>
      <c r="F742" s="9" t="inlineStr">
        <is>
          <t>12598</t>
        </is>
      </c>
      <c r="G742" s="10" t="n">
        <v>12</v>
      </c>
      <c r="H742" s="9" t="inlineStr">
        <is>
          <t xml:space="preserve">81728     </t>
        </is>
      </c>
      <c r="I742" s="9" t="inlineStr">
        <is>
          <t xml:space="preserve">Галкин Виктор Иванович </t>
        </is>
      </c>
      <c r="J742" s="9" t="inlineStr">
        <is>
          <t>профессор</t>
        </is>
      </c>
      <c r="K742" s="9" t="n"/>
      <c r="L742" s="9" t="n"/>
      <c r="M742" s="12">
        <f>SUMIFS($E$2:$E$1130,$A$2:$A$1130,"осень",$I$2:$I$1130,I742)</f>
        <v/>
      </c>
      <c r="N742" s="13">
        <f>SUMIFS($E$2:$E$1130,$A$2:$A$1130,"весна",$I$2:$I$1130,I742)</f>
        <v/>
      </c>
      <c r="O742" s="14">
        <f>M742+N742</f>
        <v/>
      </c>
      <c r="P742" s="15">
        <f>O742/$P$1</f>
        <v/>
      </c>
    </row>
    <row r="743" ht="15.75" customHeight="1" s="2">
      <c r="A743" s="32" t="inlineStr">
        <is>
          <t>весна</t>
        </is>
      </c>
      <c r="B743" s="9" t="inlineStr">
        <is>
          <t>Имитационное моделирование технологических процессов</t>
        </is>
      </c>
      <c r="C743" s="9" t="inlineStr">
        <is>
          <t>ПЗ</t>
        </is>
      </c>
      <c r="D743" s="9" t="inlineStr">
        <is>
          <t>Т11О-101М-20</t>
        </is>
      </c>
      <c r="E743" s="10" t="n">
        <v>40</v>
      </c>
      <c r="F743" s="9" t="inlineStr">
        <is>
          <t>07987</t>
        </is>
      </c>
      <c r="G743" s="10" t="n">
        <v>40</v>
      </c>
      <c r="H743" s="9" t="inlineStr">
        <is>
          <t xml:space="preserve">81728     </t>
        </is>
      </c>
      <c r="I743" s="9" t="inlineStr">
        <is>
          <t xml:space="preserve">Галкин Виктор Иванович </t>
        </is>
      </c>
      <c r="J743" s="9" t="inlineStr">
        <is>
          <t>профессор</t>
        </is>
      </c>
      <c r="K743" s="9" t="n"/>
      <c r="L743" s="9" t="n"/>
      <c r="M743" s="12">
        <f>SUMIFS($E$2:$E$1130,$A$2:$A$1130,"осень",$I$2:$I$1130,I743)</f>
        <v/>
      </c>
      <c r="N743" s="13">
        <f>SUMIFS($E$2:$E$1130,$A$2:$A$1130,"весна",$I$2:$I$1130,I743)</f>
        <v/>
      </c>
      <c r="O743" s="14">
        <f>M743+N743</f>
        <v/>
      </c>
      <c r="P743" s="15">
        <f>O743/$P$1</f>
        <v/>
      </c>
    </row>
    <row r="744" ht="15.75" customHeight="1" s="2">
      <c r="A744" s="32" t="inlineStr">
        <is>
          <t>весна</t>
        </is>
      </c>
      <c r="B744" s="9" t="inlineStr">
        <is>
          <t>Имитационное моделирование технологических процессов</t>
        </is>
      </c>
      <c r="C744" s="9" t="inlineStr">
        <is>
          <t>ПЗ</t>
        </is>
      </c>
      <c r="D744" s="9" t="inlineStr">
        <is>
          <t>Т11О-102М-20</t>
        </is>
      </c>
      <c r="E744" s="10" t="n">
        <v>40</v>
      </c>
      <c r="F744" s="9" t="inlineStr">
        <is>
          <t>07987</t>
        </is>
      </c>
      <c r="G744" s="10" t="n">
        <v>40</v>
      </c>
      <c r="H744" s="9" t="inlineStr">
        <is>
          <t xml:space="preserve">81728     </t>
        </is>
      </c>
      <c r="I744" s="9" t="inlineStr">
        <is>
          <t xml:space="preserve">Галкин Виктор Иванович </t>
        </is>
      </c>
      <c r="J744" s="9" t="inlineStr">
        <is>
          <t>профессор</t>
        </is>
      </c>
      <c r="K744" s="9" t="n"/>
      <c r="L744" s="9" t="n"/>
      <c r="M744" s="12">
        <f>SUMIFS($E$2:$E$1130,$A$2:$A$1130,"осень",$I$2:$I$1130,I744)</f>
        <v/>
      </c>
      <c r="N744" s="13">
        <f>SUMIFS($E$2:$E$1130,$A$2:$A$1130,"весна",$I$2:$I$1130,I744)</f>
        <v/>
      </c>
      <c r="O744" s="14">
        <f>M744+N744</f>
        <v/>
      </c>
      <c r="P744" s="15">
        <f>O744/$P$1</f>
        <v/>
      </c>
    </row>
    <row r="745" ht="15.75" customHeight="1" s="2">
      <c r="A745" s="32" t="inlineStr">
        <is>
          <t>весна</t>
        </is>
      </c>
      <c r="B745" s="9" t="inlineStr">
        <is>
          <t>Имитационное моделирование технологических процессов</t>
        </is>
      </c>
      <c r="C745" s="9" t="inlineStr">
        <is>
          <t>ПЗ</t>
        </is>
      </c>
      <c r="D745" s="9" t="inlineStr">
        <is>
          <t>Т11О-103М-20</t>
        </is>
      </c>
      <c r="E745" s="10" t="n">
        <v>40</v>
      </c>
      <c r="F745" s="9" t="inlineStr">
        <is>
          <t>07987</t>
        </is>
      </c>
      <c r="G745" s="10" t="n">
        <v>40</v>
      </c>
      <c r="H745" s="9" t="inlineStr">
        <is>
          <t xml:space="preserve">81728     </t>
        </is>
      </c>
      <c r="I745" s="9" t="inlineStr">
        <is>
          <t xml:space="preserve">Галкин Виктор Иванович </t>
        </is>
      </c>
      <c r="J745" s="9" t="inlineStr">
        <is>
          <t>профессор</t>
        </is>
      </c>
      <c r="K745" s="9" t="n"/>
      <c r="L745" s="9" t="n"/>
      <c r="M745" s="12">
        <f>SUMIFS($E$2:$E$1130,$A$2:$A$1130,"осень",$I$2:$I$1130,I745)</f>
        <v/>
      </c>
      <c r="N745" s="13">
        <f>SUMIFS($E$2:$E$1130,$A$2:$A$1130,"весна",$I$2:$I$1130,I745)</f>
        <v/>
      </c>
      <c r="O745" s="14">
        <f>M745+N745</f>
        <v/>
      </c>
      <c r="P745" s="15">
        <f>O745/$P$1</f>
        <v/>
      </c>
    </row>
    <row r="746" ht="15.75" customHeight="1" s="2">
      <c r="A746" s="32" t="inlineStr">
        <is>
          <t>весна</t>
        </is>
      </c>
      <c r="B746" s="9" t="inlineStr">
        <is>
          <t>Имитационное моделирование технологических процессов</t>
        </is>
      </c>
      <c r="C746" s="9" t="inlineStr">
        <is>
          <t>ПЗ</t>
        </is>
      </c>
      <c r="D746" s="9" t="inlineStr">
        <is>
          <t>Т11О-104М-20</t>
        </is>
      </c>
      <c r="E746" s="10" t="n">
        <v>40</v>
      </c>
      <c r="F746" s="9" t="inlineStr">
        <is>
          <t>07987</t>
        </is>
      </c>
      <c r="G746" s="10" t="n">
        <v>40</v>
      </c>
      <c r="H746" s="9" t="inlineStr">
        <is>
          <t xml:space="preserve">81728     </t>
        </is>
      </c>
      <c r="I746" s="9" t="inlineStr">
        <is>
          <t xml:space="preserve">Галкин Виктор Иванович </t>
        </is>
      </c>
      <c r="J746" s="9" t="inlineStr">
        <is>
          <t>профессор</t>
        </is>
      </c>
      <c r="K746" s="9" t="n"/>
      <c r="L746" s="9" t="n"/>
      <c r="M746" s="12">
        <f>SUMIFS($E$2:$E$1130,$A$2:$A$1130,"осень",$I$2:$I$1130,I746)</f>
        <v/>
      </c>
      <c r="N746" s="13">
        <f>SUMIFS($E$2:$E$1130,$A$2:$A$1130,"весна",$I$2:$I$1130,I746)</f>
        <v/>
      </c>
      <c r="O746" s="14">
        <f>M746+N746</f>
        <v/>
      </c>
      <c r="P746" s="15">
        <f>O746/$P$1</f>
        <v/>
      </c>
    </row>
    <row r="747" ht="15.75" customHeight="1" s="2">
      <c r="A747" s="32" t="inlineStr">
        <is>
          <t>весна</t>
        </is>
      </c>
      <c r="B747" s="9" t="inlineStr">
        <is>
          <t>Имитационное моделирование технологических процессов</t>
        </is>
      </c>
      <c r="C747" s="9" t="inlineStr">
        <is>
          <t>ПЗ</t>
        </is>
      </c>
      <c r="D747" s="9" t="inlineStr">
        <is>
          <t>М9О-104М-20</t>
        </is>
      </c>
      <c r="E747" s="10" t="n">
        <v>40</v>
      </c>
      <c r="F747" s="9" t="inlineStr">
        <is>
          <t>12598</t>
        </is>
      </c>
      <c r="G747" s="10" t="n">
        <v>40</v>
      </c>
      <c r="H747" s="9" t="inlineStr">
        <is>
          <t xml:space="preserve">81728     </t>
        </is>
      </c>
      <c r="I747" s="9" t="inlineStr">
        <is>
          <t xml:space="preserve">Галкин Виктор Иванович </t>
        </is>
      </c>
      <c r="J747" s="9" t="inlineStr">
        <is>
          <t>профессор</t>
        </is>
      </c>
      <c r="K747" s="9" t="n"/>
      <c r="L747" s="9" t="n"/>
      <c r="M747" s="12">
        <f>SUMIFS($E$2:$E$1130,$A$2:$A$1130,"осень",$I$2:$I$1130,I747)</f>
        <v/>
      </c>
      <c r="N747" s="13">
        <f>SUMIFS($E$2:$E$1130,$A$2:$A$1130,"весна",$I$2:$I$1130,I747)</f>
        <v/>
      </c>
      <c r="O747" s="14">
        <f>M747+N747</f>
        <v/>
      </c>
      <c r="P747" s="15">
        <f>O747/$P$1</f>
        <v/>
      </c>
    </row>
    <row r="748" ht="15.75" customHeight="1" s="2">
      <c r="A748" s="32" t="inlineStr">
        <is>
          <t>весна</t>
        </is>
      </c>
      <c r="B748" s="9" t="inlineStr">
        <is>
          <t>Имитационное моделирование технологических процессов</t>
        </is>
      </c>
      <c r="C748" s="9" t="inlineStr">
        <is>
          <t>Экзамен</t>
        </is>
      </c>
      <c r="D748" s="9" t="inlineStr">
        <is>
          <t>Т11О-101М-20</t>
        </is>
      </c>
      <c r="E748" s="10" t="n">
        <v>3</v>
      </c>
      <c r="F748" s="9" t="inlineStr">
        <is>
          <t>07987</t>
        </is>
      </c>
      <c r="G748" s="11" t="n">
        <v>0</v>
      </c>
      <c r="H748" s="9" t="inlineStr">
        <is>
          <t xml:space="preserve">81728     </t>
        </is>
      </c>
      <c r="I748" s="9" t="inlineStr">
        <is>
          <t xml:space="preserve">Галкин Виктор Иванович </t>
        </is>
      </c>
      <c r="J748" s="9" t="inlineStr">
        <is>
          <t>профессор</t>
        </is>
      </c>
      <c r="K748" s="9" t="n"/>
      <c r="L748" s="9" t="n"/>
      <c r="M748" s="12">
        <f>SUMIFS($E$2:$E$1130,$A$2:$A$1130,"осень",$I$2:$I$1130,I748)</f>
        <v/>
      </c>
      <c r="N748" s="13">
        <f>SUMIFS($E$2:$E$1130,$A$2:$A$1130,"весна",$I$2:$I$1130,I748)</f>
        <v/>
      </c>
      <c r="O748" s="14">
        <f>M748+N748</f>
        <v/>
      </c>
      <c r="P748" s="15">
        <f>O748/$P$1</f>
        <v/>
      </c>
    </row>
    <row r="749" ht="15.75" customHeight="1" s="2">
      <c r="A749" s="32" t="inlineStr">
        <is>
          <t>весна</t>
        </is>
      </c>
      <c r="B749" s="9" t="inlineStr">
        <is>
          <t>Имитационное моделирование технологических процессов</t>
        </is>
      </c>
      <c r="C749" s="9" t="inlineStr">
        <is>
          <t>Экзамен</t>
        </is>
      </c>
      <c r="D749" s="9" t="inlineStr">
        <is>
          <t>Т11О-102М-20</t>
        </is>
      </c>
      <c r="E749" s="10" t="n">
        <v>3</v>
      </c>
      <c r="F749" s="9" t="inlineStr">
        <is>
          <t>07987</t>
        </is>
      </c>
      <c r="G749" s="11" t="n">
        <v>0</v>
      </c>
      <c r="H749" s="9" t="inlineStr">
        <is>
          <t xml:space="preserve">81728     </t>
        </is>
      </c>
      <c r="I749" s="9" t="inlineStr">
        <is>
          <t xml:space="preserve">Галкин Виктор Иванович </t>
        </is>
      </c>
      <c r="J749" s="9" t="inlineStr">
        <is>
          <t>профессор</t>
        </is>
      </c>
      <c r="K749" s="9" t="n"/>
      <c r="L749" s="9" t="n"/>
      <c r="M749" s="12">
        <f>SUMIFS($E$2:$E$1130,$A$2:$A$1130,"осень",$I$2:$I$1130,I749)</f>
        <v/>
      </c>
      <c r="N749" s="13">
        <f>SUMIFS($E$2:$E$1130,$A$2:$A$1130,"весна",$I$2:$I$1130,I749)</f>
        <v/>
      </c>
      <c r="O749" s="14">
        <f>M749+N749</f>
        <v/>
      </c>
      <c r="P749" s="15">
        <f>O749/$P$1</f>
        <v/>
      </c>
    </row>
    <row r="750" ht="15.75" customHeight="1" s="2">
      <c r="A750" s="32" t="inlineStr">
        <is>
          <t>весна</t>
        </is>
      </c>
      <c r="B750" s="9" t="inlineStr">
        <is>
          <t>Имитационное моделирование технологических процессов</t>
        </is>
      </c>
      <c r="C750" s="9" t="inlineStr">
        <is>
          <t>Экзамен</t>
        </is>
      </c>
      <c r="D750" s="9" t="inlineStr">
        <is>
          <t>Т11О-103М-20</t>
        </is>
      </c>
      <c r="E750" s="10" t="n">
        <v>3</v>
      </c>
      <c r="F750" s="9" t="inlineStr">
        <is>
          <t>07987</t>
        </is>
      </c>
      <c r="G750" s="11" t="n">
        <v>0</v>
      </c>
      <c r="H750" s="9" t="inlineStr">
        <is>
          <t xml:space="preserve">81728     </t>
        </is>
      </c>
      <c r="I750" s="9" t="inlineStr">
        <is>
          <t xml:space="preserve">Галкин Виктор Иванович </t>
        </is>
      </c>
      <c r="J750" s="9" t="inlineStr">
        <is>
          <t>профессор</t>
        </is>
      </c>
      <c r="K750" s="9" t="n"/>
      <c r="L750" s="9" t="n"/>
      <c r="M750" s="12">
        <f>SUMIFS($E$2:$E$1130,$A$2:$A$1130,"осень",$I$2:$I$1130,I750)</f>
        <v/>
      </c>
      <c r="N750" s="13">
        <f>SUMIFS($E$2:$E$1130,$A$2:$A$1130,"весна",$I$2:$I$1130,I750)</f>
        <v/>
      </c>
      <c r="O750" s="14">
        <f>M750+N750</f>
        <v/>
      </c>
      <c r="P750" s="15">
        <f>O750/$P$1</f>
        <v/>
      </c>
    </row>
    <row r="751" ht="15.75" customHeight="1" s="2">
      <c r="A751" s="32" t="inlineStr">
        <is>
          <t>весна</t>
        </is>
      </c>
      <c r="B751" s="9" t="inlineStr">
        <is>
          <t>Имитационное моделирование технологических процессов</t>
        </is>
      </c>
      <c r="C751" s="9" t="inlineStr">
        <is>
          <t>Экзамен</t>
        </is>
      </c>
      <c r="D751" s="9" t="inlineStr">
        <is>
          <t>Т11О-104М-20</t>
        </is>
      </c>
      <c r="E751" s="10" t="n">
        <v>3</v>
      </c>
      <c r="F751" s="9" t="inlineStr">
        <is>
          <t>07987</t>
        </is>
      </c>
      <c r="G751" s="11" t="n">
        <v>0</v>
      </c>
      <c r="H751" s="9" t="inlineStr">
        <is>
          <t xml:space="preserve">81728     </t>
        </is>
      </c>
      <c r="I751" s="9" t="inlineStr">
        <is>
          <t xml:space="preserve">Галкин Виктор Иванович </t>
        </is>
      </c>
      <c r="J751" s="9" t="inlineStr">
        <is>
          <t>профессор</t>
        </is>
      </c>
      <c r="K751" s="9" t="n"/>
      <c r="L751" s="9" t="n"/>
      <c r="M751" s="12">
        <f>SUMIFS($E$2:$E$1130,$A$2:$A$1130,"осень",$I$2:$I$1130,I751)</f>
        <v/>
      </c>
      <c r="N751" s="13">
        <f>SUMIFS($E$2:$E$1130,$A$2:$A$1130,"весна",$I$2:$I$1130,I751)</f>
        <v/>
      </c>
      <c r="O751" s="14">
        <f>M751+N751</f>
        <v/>
      </c>
      <c r="P751" s="15">
        <f>O751/$P$1</f>
        <v/>
      </c>
    </row>
    <row r="752" ht="15.75" customHeight="1" s="2">
      <c r="A752" s="32" t="inlineStr">
        <is>
          <t>весна</t>
        </is>
      </c>
      <c r="B752" s="9" t="inlineStr">
        <is>
          <t>Имитационное моделирование технологических процессов</t>
        </is>
      </c>
      <c r="C752" s="9" t="inlineStr">
        <is>
          <t>Экзамен</t>
        </is>
      </c>
      <c r="D752" s="9" t="inlineStr">
        <is>
          <t>М9О-104М-20</t>
        </is>
      </c>
      <c r="E752" s="10" t="n">
        <v>3</v>
      </c>
      <c r="F752" s="9" t="inlineStr">
        <is>
          <t>12598</t>
        </is>
      </c>
      <c r="G752" s="11" t="n">
        <v>0</v>
      </c>
      <c r="H752" s="9" t="inlineStr">
        <is>
          <t xml:space="preserve">81728     </t>
        </is>
      </c>
      <c r="I752" s="9" t="inlineStr">
        <is>
          <t xml:space="preserve">Галкин Виктор Иванович </t>
        </is>
      </c>
      <c r="J752" s="9" t="inlineStr">
        <is>
          <t>профессор</t>
        </is>
      </c>
      <c r="K752" s="9" t="n"/>
      <c r="L752" s="9" t="n"/>
      <c r="M752" s="12">
        <f>SUMIFS($E$2:$E$1130,$A$2:$A$1130,"осень",$I$2:$I$1130,I752)</f>
        <v/>
      </c>
      <c r="N752" s="13">
        <f>SUMIFS($E$2:$E$1130,$A$2:$A$1130,"весна",$I$2:$I$1130,I752)</f>
        <v/>
      </c>
      <c r="O752" s="14">
        <f>M752+N752</f>
        <v/>
      </c>
      <c r="P752" s="15">
        <f>O752/$P$1</f>
        <v/>
      </c>
    </row>
    <row r="753" ht="15.75" customHeight="1" s="2">
      <c r="A753" s="32" t="inlineStr">
        <is>
          <t>весна</t>
        </is>
      </c>
      <c r="B753" s="9" t="inlineStr">
        <is>
          <t>Имитационное моделирование технологических процессов</t>
        </is>
      </c>
      <c r="C753" s="9" t="inlineStr">
        <is>
          <t>Консультация</t>
        </is>
      </c>
      <c r="D753" s="9" t="inlineStr">
        <is>
          <t>Т11О-101М-20</t>
        </is>
      </c>
      <c r="E753" s="10" t="n">
        <v>3</v>
      </c>
      <c r="F753" s="9" t="inlineStr">
        <is>
          <t>07987</t>
        </is>
      </c>
      <c r="G753" s="11" t="n">
        <v>0</v>
      </c>
      <c r="H753" s="9" t="inlineStr">
        <is>
          <t xml:space="preserve">81728     </t>
        </is>
      </c>
      <c r="I753" s="9" t="inlineStr">
        <is>
          <t xml:space="preserve">Галкин Виктор Иванович </t>
        </is>
      </c>
      <c r="J753" s="9" t="inlineStr">
        <is>
          <t>профессор</t>
        </is>
      </c>
      <c r="K753" s="9" t="n"/>
      <c r="L753" s="9" t="n"/>
      <c r="M753" s="12">
        <f>SUMIFS($E$2:$E$1130,$A$2:$A$1130,"осень",$I$2:$I$1130,I753)</f>
        <v/>
      </c>
      <c r="N753" s="13">
        <f>SUMIFS($E$2:$E$1130,$A$2:$A$1130,"весна",$I$2:$I$1130,I753)</f>
        <v/>
      </c>
      <c r="O753" s="14">
        <f>M753+N753</f>
        <v/>
      </c>
      <c r="P753" s="15">
        <f>O753/$P$1</f>
        <v/>
      </c>
    </row>
    <row r="754" ht="15.75" customHeight="1" s="2">
      <c r="A754" s="32" t="inlineStr">
        <is>
          <t>весна</t>
        </is>
      </c>
      <c r="B754" s="9" t="inlineStr">
        <is>
          <t>Имитационное моделирование технологических процессов</t>
        </is>
      </c>
      <c r="C754" s="9" t="inlineStr">
        <is>
          <t>Консультация</t>
        </is>
      </c>
      <c r="D754" s="9" t="inlineStr">
        <is>
          <t>Т11О-102М-20</t>
        </is>
      </c>
      <c r="E754" s="10" t="n">
        <v>3</v>
      </c>
      <c r="F754" s="9" t="inlineStr">
        <is>
          <t>07987</t>
        </is>
      </c>
      <c r="G754" s="11" t="n">
        <v>0</v>
      </c>
      <c r="H754" s="9" t="inlineStr">
        <is>
          <t xml:space="preserve">81728     </t>
        </is>
      </c>
      <c r="I754" s="9" t="inlineStr">
        <is>
          <t xml:space="preserve">Галкин Виктор Иванович </t>
        </is>
      </c>
      <c r="J754" s="9" t="inlineStr">
        <is>
          <t>профессор</t>
        </is>
      </c>
      <c r="K754" s="9" t="n"/>
      <c r="L754" s="9" t="n"/>
      <c r="M754" s="12">
        <f>SUMIFS($E$2:$E$1130,$A$2:$A$1130,"осень",$I$2:$I$1130,I754)</f>
        <v/>
      </c>
      <c r="N754" s="13">
        <f>SUMIFS($E$2:$E$1130,$A$2:$A$1130,"весна",$I$2:$I$1130,I754)</f>
        <v/>
      </c>
      <c r="O754" s="14">
        <f>M754+N754</f>
        <v/>
      </c>
      <c r="P754" s="15">
        <f>O754/$P$1</f>
        <v/>
      </c>
    </row>
    <row r="755" ht="15.75" customHeight="1" s="2">
      <c r="A755" s="32" t="inlineStr">
        <is>
          <t>весна</t>
        </is>
      </c>
      <c r="B755" s="9" t="inlineStr">
        <is>
          <t>Имитационное моделирование технологических процессов</t>
        </is>
      </c>
      <c r="C755" s="9" t="inlineStr">
        <is>
          <t>Консультация</t>
        </is>
      </c>
      <c r="D755" s="9" t="inlineStr">
        <is>
          <t>Т11О-103М-20</t>
        </is>
      </c>
      <c r="E755" s="10" t="n">
        <v>3</v>
      </c>
      <c r="F755" s="9" t="inlineStr">
        <is>
          <t>07987</t>
        </is>
      </c>
      <c r="G755" s="11" t="n">
        <v>0</v>
      </c>
      <c r="H755" s="9" t="inlineStr">
        <is>
          <t xml:space="preserve">81728     </t>
        </is>
      </c>
      <c r="I755" s="9" t="inlineStr">
        <is>
          <t xml:space="preserve">Галкин Виктор Иванович </t>
        </is>
      </c>
      <c r="J755" s="9" t="inlineStr">
        <is>
          <t>профессор</t>
        </is>
      </c>
      <c r="K755" s="9" t="n"/>
      <c r="L755" s="9" t="n"/>
      <c r="M755" s="12">
        <f>SUMIFS($E$2:$E$1130,$A$2:$A$1130,"осень",$I$2:$I$1130,I755)</f>
        <v/>
      </c>
      <c r="N755" s="13">
        <f>SUMIFS($E$2:$E$1130,$A$2:$A$1130,"весна",$I$2:$I$1130,I755)</f>
        <v/>
      </c>
      <c r="O755" s="14">
        <f>M755+N755</f>
        <v/>
      </c>
      <c r="P755" s="15">
        <f>O755/$P$1</f>
        <v/>
      </c>
    </row>
    <row r="756" ht="15.75" customHeight="1" s="2">
      <c r="A756" s="32" t="inlineStr">
        <is>
          <t>весна</t>
        </is>
      </c>
      <c r="B756" s="9" t="inlineStr">
        <is>
          <t>Имитационное моделирование технологических процессов</t>
        </is>
      </c>
      <c r="C756" s="9" t="inlineStr">
        <is>
          <t>Консультация</t>
        </is>
      </c>
      <c r="D756" s="9" t="inlineStr">
        <is>
          <t>Т11О-104М-20</t>
        </is>
      </c>
      <c r="E756" s="10" t="n">
        <v>3</v>
      </c>
      <c r="F756" s="9" t="inlineStr">
        <is>
          <t>07987</t>
        </is>
      </c>
      <c r="G756" s="11" t="n">
        <v>0</v>
      </c>
      <c r="H756" s="9" t="inlineStr">
        <is>
          <t xml:space="preserve">81728     </t>
        </is>
      </c>
      <c r="I756" s="9" t="inlineStr">
        <is>
          <t xml:space="preserve">Галкин Виктор Иванович </t>
        </is>
      </c>
      <c r="J756" s="9" t="inlineStr">
        <is>
          <t>профессор</t>
        </is>
      </c>
      <c r="K756" s="9" t="n"/>
      <c r="L756" s="9" t="n"/>
      <c r="M756" s="12">
        <f>SUMIFS($E$2:$E$1130,$A$2:$A$1130,"осень",$I$2:$I$1130,I756)</f>
        <v/>
      </c>
      <c r="N756" s="13">
        <f>SUMIFS($E$2:$E$1130,$A$2:$A$1130,"весна",$I$2:$I$1130,I756)</f>
        <v/>
      </c>
      <c r="O756" s="14">
        <f>M756+N756</f>
        <v/>
      </c>
      <c r="P756" s="15">
        <f>O756/$P$1</f>
        <v/>
      </c>
    </row>
    <row r="757" ht="15.75" customHeight="1" s="2">
      <c r="A757" s="32" t="inlineStr">
        <is>
          <t>весна</t>
        </is>
      </c>
      <c r="B757" s="9" t="inlineStr">
        <is>
          <t>Имитационное моделирование технологических процессов</t>
        </is>
      </c>
      <c r="C757" s="9" t="inlineStr">
        <is>
          <t>Консультация</t>
        </is>
      </c>
      <c r="D757" s="9" t="inlineStr">
        <is>
          <t>М9О-104М-20</t>
        </is>
      </c>
      <c r="E757" s="10" t="n">
        <v>3</v>
      </c>
      <c r="F757" s="9" t="inlineStr">
        <is>
          <t>12598</t>
        </is>
      </c>
      <c r="G757" s="11" t="n">
        <v>0</v>
      </c>
      <c r="H757" s="9" t="inlineStr">
        <is>
          <t xml:space="preserve">81728     </t>
        </is>
      </c>
      <c r="I757" s="9" t="inlineStr">
        <is>
          <t xml:space="preserve">Галкин Виктор Иванович </t>
        </is>
      </c>
      <c r="J757" s="9" t="inlineStr">
        <is>
          <t>профессор</t>
        </is>
      </c>
      <c r="K757" s="9" t="n"/>
      <c r="L757" s="9" t="n"/>
      <c r="M757" s="12">
        <f>SUMIFS($E$2:$E$1130,$A$2:$A$1130,"осень",$I$2:$I$1130,I757)</f>
        <v/>
      </c>
      <c r="N757" s="13">
        <f>SUMIFS($E$2:$E$1130,$A$2:$A$1130,"весна",$I$2:$I$1130,I757)</f>
        <v/>
      </c>
      <c r="O757" s="14">
        <f>M757+N757</f>
        <v/>
      </c>
      <c r="P757" s="15">
        <f>O757/$P$1</f>
        <v/>
      </c>
    </row>
    <row r="758" ht="15.75" customHeight="1" s="2">
      <c r="A758" s="32" t="inlineStr">
        <is>
          <t>весна</t>
        </is>
      </c>
      <c r="B758" s="9" t="inlineStr">
        <is>
          <t>Проектирование участков, цехов обработки металлов давлением и металлургических предприятий</t>
        </is>
      </c>
      <c r="C758" s="9" t="inlineStr">
        <is>
          <t>КП</t>
        </is>
      </c>
      <c r="D758" s="9" t="inlineStr">
        <is>
          <t>Т11О-101М-20</t>
        </is>
      </c>
      <c r="E758" s="10" t="n">
        <v>24</v>
      </c>
      <c r="F758" s="9" t="inlineStr">
        <is>
          <t>04489</t>
        </is>
      </c>
      <c r="G758" s="11" t="n">
        <v>0</v>
      </c>
      <c r="H758" s="9" t="inlineStr">
        <is>
          <t xml:space="preserve">81729     </t>
        </is>
      </c>
      <c r="I758" s="9" t="inlineStr">
        <is>
          <t xml:space="preserve">Соколов Алексей Викторович </t>
        </is>
      </c>
      <c r="J758" s="9" t="inlineStr">
        <is>
          <t>доцент</t>
        </is>
      </c>
      <c r="K758" s="9" t="n"/>
      <c r="L758" s="9" t="n"/>
      <c r="M758" s="12">
        <f>SUMIFS($E$2:$E$1130,$A$2:$A$1130,"осень",$I$2:$I$1130,I758)</f>
        <v/>
      </c>
      <c r="N758" s="13">
        <f>SUMIFS($E$2:$E$1130,$A$2:$A$1130,"весна",$I$2:$I$1130,I758)</f>
        <v/>
      </c>
      <c r="O758" s="14">
        <f>M758+N758</f>
        <v/>
      </c>
      <c r="P758" s="15">
        <f>O758/$P$1</f>
        <v/>
      </c>
    </row>
    <row r="759" ht="15.75" customHeight="1" s="2">
      <c r="A759" s="32" t="inlineStr">
        <is>
          <t>весна</t>
        </is>
      </c>
      <c r="B759" s="9" t="inlineStr">
        <is>
          <t>Проектирование участков, цехов обработки металлов давлением и металлургических предприятий</t>
        </is>
      </c>
      <c r="C759" s="9" t="inlineStr">
        <is>
          <t>ЛК</t>
        </is>
      </c>
      <c r="D759" s="9" t="inlineStr">
        <is>
          <t>Т11О-101М-20</t>
        </is>
      </c>
      <c r="E759" s="10" t="n">
        <v>12</v>
      </c>
      <c r="F759" s="9" t="inlineStr">
        <is>
          <t>04489</t>
        </is>
      </c>
      <c r="G759" s="10" t="n">
        <v>12</v>
      </c>
      <c r="H759" s="9" t="inlineStr">
        <is>
          <t xml:space="preserve">81729     </t>
        </is>
      </c>
      <c r="I759" s="9" t="inlineStr">
        <is>
          <t xml:space="preserve">Соколов Алексей Викторович </t>
        </is>
      </c>
      <c r="J759" s="9" t="inlineStr">
        <is>
          <t>доцент</t>
        </is>
      </c>
      <c r="K759" s="9" t="n"/>
      <c r="L759" s="9" t="n"/>
      <c r="M759" s="12">
        <f>SUMIFS($E$2:$E$1130,$A$2:$A$1130,"осень",$I$2:$I$1130,I759)</f>
        <v/>
      </c>
      <c r="N759" s="13">
        <f>SUMIFS($E$2:$E$1130,$A$2:$A$1130,"весна",$I$2:$I$1130,I759)</f>
        <v/>
      </c>
      <c r="O759" s="14">
        <f>M759+N759</f>
        <v/>
      </c>
      <c r="P759" s="15">
        <f>O759/$P$1</f>
        <v/>
      </c>
    </row>
    <row r="760" ht="15.75" customHeight="1" s="2">
      <c r="A760" s="32" t="inlineStr">
        <is>
          <t>весна</t>
        </is>
      </c>
      <c r="B760" s="9" t="inlineStr">
        <is>
          <t>Проектирование участков, цехов обработки металлов давлением и металлургических предприятий</t>
        </is>
      </c>
      <c r="C760" s="9" t="inlineStr">
        <is>
          <t>Зачет с оценкой</t>
        </is>
      </c>
      <c r="D760" s="9" t="inlineStr">
        <is>
          <t>Т11О-101М-20</t>
        </is>
      </c>
      <c r="E760" s="10" t="n">
        <v>2</v>
      </c>
      <c r="F760" s="9" t="inlineStr">
        <is>
          <t>04489</t>
        </is>
      </c>
      <c r="G760" s="11" t="n">
        <v>0</v>
      </c>
      <c r="H760" s="9" t="inlineStr">
        <is>
          <t xml:space="preserve">81729     </t>
        </is>
      </c>
      <c r="I760" s="9" t="inlineStr">
        <is>
          <t xml:space="preserve">Соколов Алексей Викторович </t>
        </is>
      </c>
      <c r="J760" s="9" t="inlineStr">
        <is>
          <t>доцент</t>
        </is>
      </c>
      <c r="K760" s="9" t="n"/>
      <c r="L760" s="9" t="n"/>
      <c r="M760" s="12">
        <f>SUMIFS($E$2:$E$1130,$A$2:$A$1130,"осень",$I$2:$I$1130,I760)</f>
        <v/>
      </c>
      <c r="N760" s="13">
        <f>SUMIFS($E$2:$E$1130,$A$2:$A$1130,"весна",$I$2:$I$1130,I760)</f>
        <v/>
      </c>
      <c r="O760" s="14">
        <f>M760+N760</f>
        <v/>
      </c>
      <c r="P760" s="15">
        <f>O760/$P$1</f>
        <v/>
      </c>
    </row>
    <row r="761" ht="15.75" customHeight="1" s="2">
      <c r="A761" s="32" t="inlineStr">
        <is>
          <t>весна</t>
        </is>
      </c>
      <c r="B761" s="9" t="inlineStr">
        <is>
          <t>Проектирование участков, цехов обработки металлов давлением и металлургических предприятий</t>
        </is>
      </c>
      <c r="C761" s="9" t="inlineStr">
        <is>
          <t>ПЗ</t>
        </is>
      </c>
      <c r="D761" s="9" t="inlineStr">
        <is>
          <t>Т11О-101М-20</t>
        </is>
      </c>
      <c r="E761" s="10" t="n">
        <v>38</v>
      </c>
      <c r="F761" s="9" t="inlineStr">
        <is>
          <t>04489</t>
        </is>
      </c>
      <c r="G761" s="10" t="n">
        <v>38</v>
      </c>
      <c r="H761" s="9" t="inlineStr">
        <is>
          <t xml:space="preserve">81729     </t>
        </is>
      </c>
      <c r="I761" s="9" t="inlineStr">
        <is>
          <t xml:space="preserve">Соколов Алексей Викторович </t>
        </is>
      </c>
      <c r="J761" s="9" t="inlineStr">
        <is>
          <t>доцент</t>
        </is>
      </c>
      <c r="K761" s="9" t="n"/>
      <c r="L761" s="9" t="n"/>
      <c r="M761" s="12">
        <f>SUMIFS($E$2:$E$1130,$A$2:$A$1130,"осень",$I$2:$I$1130,I761)</f>
        <v/>
      </c>
      <c r="N761" s="13">
        <f>SUMIFS($E$2:$E$1130,$A$2:$A$1130,"весна",$I$2:$I$1130,I761)</f>
        <v/>
      </c>
      <c r="O761" s="14">
        <f>M761+N761</f>
        <v/>
      </c>
      <c r="P761" s="15">
        <f>O761/$P$1</f>
        <v/>
      </c>
    </row>
    <row r="762" ht="15.75" customHeight="1" s="2">
      <c r="A762" s="32" t="inlineStr">
        <is>
          <t>весна</t>
        </is>
      </c>
      <c r="B762" s="9" t="inlineStr">
        <is>
          <t>Проектирование участков, цехов обработки металлов давлением и металлургических предприятий</t>
        </is>
      </c>
      <c r="C762" s="9" t="inlineStr">
        <is>
          <t>Консультация</t>
        </is>
      </c>
      <c r="D762" s="9" t="inlineStr">
        <is>
          <t>Т11О-101М-20</t>
        </is>
      </c>
      <c r="E762" s="10" t="n">
        <v>1</v>
      </c>
      <c r="F762" s="9" t="inlineStr">
        <is>
          <t>04489</t>
        </is>
      </c>
      <c r="G762" s="11" t="n">
        <v>0</v>
      </c>
      <c r="H762" s="9" t="inlineStr">
        <is>
          <t xml:space="preserve">81729     </t>
        </is>
      </c>
      <c r="I762" s="9" t="inlineStr">
        <is>
          <t xml:space="preserve">Соколов Алексей Викторович </t>
        </is>
      </c>
      <c r="J762" s="9" t="inlineStr">
        <is>
          <t>доцент</t>
        </is>
      </c>
      <c r="K762" s="9" t="n"/>
      <c r="L762" s="9" t="n"/>
      <c r="M762" s="12">
        <f>SUMIFS($E$2:$E$1130,$A$2:$A$1130,"осень",$I$2:$I$1130,I762)</f>
        <v/>
      </c>
      <c r="N762" s="13">
        <f>SUMIFS($E$2:$E$1130,$A$2:$A$1130,"весна",$I$2:$I$1130,I762)</f>
        <v/>
      </c>
      <c r="O762" s="14">
        <f>M762+N762</f>
        <v/>
      </c>
      <c r="P762" s="15">
        <f>O762/$P$1</f>
        <v/>
      </c>
    </row>
    <row r="763" ht="15.75" customHeight="1" s="2">
      <c r="A763" s="32" t="inlineStr">
        <is>
          <t>весна</t>
        </is>
      </c>
      <c r="B763" s="9" t="inlineStr">
        <is>
          <t>Основы автоматизации технологических процессов</t>
        </is>
      </c>
      <c r="C763" s="9" t="inlineStr">
        <is>
          <t>ЛК</t>
        </is>
      </c>
      <c r="D763" s="9" t="inlineStr">
        <is>
          <t>Т1В-412Б-17</t>
        </is>
      </c>
      <c r="E763" s="10" t="n">
        <v>20</v>
      </c>
      <c r="F763" s="9" t="inlineStr">
        <is>
          <t>08769</t>
        </is>
      </c>
      <c r="G763" s="10" t="n">
        <v>20</v>
      </c>
      <c r="H763" s="9" t="inlineStr">
        <is>
          <t xml:space="preserve">81716     </t>
        </is>
      </c>
      <c r="I763" s="9" t="inlineStr">
        <is>
          <t xml:space="preserve">Жаров Максим Владимирович </t>
        </is>
      </c>
      <c r="J763" s="9" t="inlineStr">
        <is>
          <t>доцент</t>
        </is>
      </c>
      <c r="K763" s="9" t="n"/>
      <c r="L763" s="9" t="n"/>
      <c r="M763" s="12">
        <f>SUMIFS($E$2:$E$1130,$A$2:$A$1130,"осень",$I$2:$I$1130,I763)</f>
        <v/>
      </c>
      <c r="N763" s="13">
        <f>SUMIFS($E$2:$E$1130,$A$2:$A$1130,"весна",$I$2:$I$1130,I763)</f>
        <v/>
      </c>
      <c r="O763" s="14">
        <f>M763+N763</f>
        <v/>
      </c>
      <c r="P763" s="15">
        <f>O763/$P$1</f>
        <v/>
      </c>
    </row>
    <row r="764" ht="15.75" customHeight="1" s="2">
      <c r="A764" s="32" t="inlineStr">
        <is>
          <t>весна</t>
        </is>
      </c>
      <c r="B764" s="9" t="inlineStr">
        <is>
          <t>Основы автоматизации технологических процессов</t>
        </is>
      </c>
      <c r="C764" s="9" t="inlineStr">
        <is>
          <t>Зачет с оценкой</t>
        </is>
      </c>
      <c r="D764" s="9" t="inlineStr">
        <is>
          <t>Т1В-412Б-17</t>
        </is>
      </c>
      <c r="E764" s="10" t="n">
        <v>4</v>
      </c>
      <c r="F764" s="9" t="inlineStr">
        <is>
          <t>08769</t>
        </is>
      </c>
      <c r="G764" s="11" t="n">
        <v>0</v>
      </c>
      <c r="H764" s="9" t="inlineStr">
        <is>
          <t xml:space="preserve">81716     </t>
        </is>
      </c>
      <c r="I764" s="9" t="inlineStr">
        <is>
          <t xml:space="preserve">Жаров Максим Владимирович </t>
        </is>
      </c>
      <c r="J764" s="9" t="inlineStr">
        <is>
          <t>доцент</t>
        </is>
      </c>
      <c r="K764" s="9" t="n"/>
      <c r="L764" s="9" t="n"/>
      <c r="M764" s="12">
        <f>SUMIFS($E$2:$E$1130,$A$2:$A$1130,"осень",$I$2:$I$1130,I764)</f>
        <v/>
      </c>
      <c r="N764" s="13">
        <f>SUMIFS($E$2:$E$1130,$A$2:$A$1130,"весна",$I$2:$I$1130,I764)</f>
        <v/>
      </c>
      <c r="O764" s="14">
        <f>M764+N764</f>
        <v/>
      </c>
      <c r="P764" s="15">
        <f>O764/$P$1</f>
        <v/>
      </c>
    </row>
    <row r="765" ht="15.75" customHeight="1" s="2">
      <c r="A765" s="32" t="inlineStr">
        <is>
          <t>весна</t>
        </is>
      </c>
      <c r="B765" s="9" t="inlineStr">
        <is>
          <t>Основы автоматизации технологических процессов</t>
        </is>
      </c>
      <c r="C765" s="9" t="inlineStr">
        <is>
          <t>ПЗ</t>
        </is>
      </c>
      <c r="D765" s="9" t="inlineStr">
        <is>
          <t>Т1В-412Б-17</t>
        </is>
      </c>
      <c r="E765" s="10" t="n">
        <v>22</v>
      </c>
      <c r="F765" s="9" t="inlineStr">
        <is>
          <t>08769</t>
        </is>
      </c>
      <c r="G765" s="10" t="n">
        <v>22</v>
      </c>
      <c r="H765" s="9" t="n"/>
      <c r="I765" s="9" t="inlineStr">
        <is>
          <t xml:space="preserve">Комаров Роман Сергеевич </t>
        </is>
      </c>
      <c r="J765" s="9" t="inlineStr">
        <is>
          <t>доцент</t>
        </is>
      </c>
      <c r="K765" s="9" t="n"/>
      <c r="L765" s="9" t="n"/>
      <c r="M765" s="12">
        <f>SUMIFS($E$2:$E$1130,$A$2:$A$1130,"осень",$I$2:$I$1130,I765)</f>
        <v/>
      </c>
      <c r="N765" s="13">
        <f>SUMIFS($E$2:$E$1130,$A$2:$A$1130,"весна",$I$2:$I$1130,I765)</f>
        <v/>
      </c>
      <c r="O765" s="14">
        <f>M765+N765</f>
        <v/>
      </c>
      <c r="P765" s="15">
        <f>O765/$P$1</f>
        <v/>
      </c>
    </row>
    <row r="766" ht="15.75" customHeight="1" s="2">
      <c r="A766" s="32" t="inlineStr">
        <is>
          <t>весна</t>
        </is>
      </c>
      <c r="B766" s="9" t="inlineStr">
        <is>
          <t>Основы автоматизации технологических процессов</t>
        </is>
      </c>
      <c r="C766" s="9" t="inlineStr">
        <is>
          <t>Консультация</t>
        </is>
      </c>
      <c r="D766" s="9" t="inlineStr">
        <is>
          <t>Т1В-412Б-17</t>
        </is>
      </c>
      <c r="E766" s="10" t="n">
        <v>2</v>
      </c>
      <c r="F766" s="9" t="inlineStr">
        <is>
          <t>08769</t>
        </is>
      </c>
      <c r="G766" s="11" t="n">
        <v>0</v>
      </c>
      <c r="H766" s="9" t="inlineStr">
        <is>
          <t xml:space="preserve">81716     </t>
        </is>
      </c>
      <c r="I766" s="9" t="inlineStr">
        <is>
          <t xml:space="preserve">Жаров Максим Владимирович </t>
        </is>
      </c>
      <c r="J766" s="9" t="inlineStr">
        <is>
          <t>доцент</t>
        </is>
      </c>
      <c r="K766" s="9" t="n"/>
      <c r="L766" s="9" t="n"/>
      <c r="M766" s="12">
        <f>SUMIFS($E$2:$E$1130,$A$2:$A$1130,"осень",$I$2:$I$1130,I766)</f>
        <v/>
      </c>
      <c r="N766" s="13">
        <f>SUMIFS($E$2:$E$1130,$A$2:$A$1130,"весна",$I$2:$I$1130,I766)</f>
        <v/>
      </c>
      <c r="O766" s="14">
        <f>M766+N766</f>
        <v/>
      </c>
      <c r="P766" s="15">
        <f>O766/$P$1</f>
        <v/>
      </c>
    </row>
    <row r="767" ht="15.75" customHeight="1" s="2">
      <c r="A767" s="32" t="inlineStr">
        <is>
          <t>весна</t>
        </is>
      </c>
      <c r="B767" s="9" t="inlineStr">
        <is>
          <t>Основы математического и имитационного моделирования</t>
        </is>
      </c>
      <c r="C767" s="9" t="inlineStr">
        <is>
          <t>ЛК</t>
        </is>
      </c>
      <c r="D767" s="9" t="inlineStr">
        <is>
          <t>Т11О-304Б-18</t>
        </is>
      </c>
      <c r="E767" s="10" t="n">
        <v>16</v>
      </c>
      <c r="F767" s="9" t="inlineStr">
        <is>
          <t>08770</t>
        </is>
      </c>
      <c r="G767" s="10" t="n">
        <v>16</v>
      </c>
      <c r="H767" s="9" t="inlineStr">
        <is>
          <t xml:space="preserve">81728     </t>
        </is>
      </c>
      <c r="I767" s="9" t="inlineStr">
        <is>
          <t xml:space="preserve">Галкин Виктор Иванович </t>
        </is>
      </c>
      <c r="J767" s="9" t="inlineStr">
        <is>
          <t>профессор</t>
        </is>
      </c>
      <c r="K767" s="9" t="n"/>
      <c r="L767" s="9" t="n"/>
      <c r="M767" s="12">
        <f>SUMIFS($E$2:$E$1130,$A$2:$A$1130,"осень",$I$2:$I$1130,I767)</f>
        <v/>
      </c>
      <c r="N767" s="13">
        <f>SUMIFS($E$2:$E$1130,$A$2:$A$1130,"весна",$I$2:$I$1130,I767)</f>
        <v/>
      </c>
      <c r="O767" s="14">
        <f>M767+N767</f>
        <v/>
      </c>
      <c r="P767" s="15">
        <f>O767/$P$1</f>
        <v/>
      </c>
    </row>
    <row r="768" ht="15.75" customHeight="1" s="2">
      <c r="A768" s="32" t="inlineStr">
        <is>
          <t>весна</t>
        </is>
      </c>
      <c r="B768" s="9" t="inlineStr">
        <is>
          <t>Основы математического и имитационного моделирования</t>
        </is>
      </c>
      <c r="C768" s="9" t="inlineStr">
        <is>
          <t>ПЗ</t>
        </is>
      </c>
      <c r="D768" s="9" t="inlineStr">
        <is>
          <t>Т11О-304Б-18</t>
        </is>
      </c>
      <c r="E768" s="10" t="n">
        <v>24</v>
      </c>
      <c r="F768" s="9" t="inlineStr">
        <is>
          <t>08770</t>
        </is>
      </c>
      <c r="G768" s="10" t="n">
        <v>24</v>
      </c>
      <c r="H768" s="9" t="inlineStr">
        <is>
          <t xml:space="preserve">81728     </t>
        </is>
      </c>
      <c r="I768" s="9" t="inlineStr">
        <is>
          <t xml:space="preserve">Галкин Виктор Иванович </t>
        </is>
      </c>
      <c r="J768" s="9" t="inlineStr">
        <is>
          <t>профессор</t>
        </is>
      </c>
      <c r="K768" s="9" t="n"/>
      <c r="L768" s="9" t="n"/>
      <c r="M768" s="12">
        <f>SUMIFS($E$2:$E$1130,$A$2:$A$1130,"осень",$I$2:$I$1130,I768)</f>
        <v/>
      </c>
      <c r="N768" s="13">
        <f>SUMIFS($E$2:$E$1130,$A$2:$A$1130,"весна",$I$2:$I$1130,I768)</f>
        <v/>
      </c>
      <c r="O768" s="14">
        <f>M768+N768</f>
        <v/>
      </c>
      <c r="P768" s="15">
        <f>O768/$P$1</f>
        <v/>
      </c>
    </row>
    <row r="769" ht="15.75" customHeight="1" s="2">
      <c r="A769" s="32" t="inlineStr">
        <is>
          <t>весна</t>
        </is>
      </c>
      <c r="B769" s="9" t="inlineStr">
        <is>
          <t>Основы математического и имитационного моделирования</t>
        </is>
      </c>
      <c r="C769" s="9" t="inlineStr">
        <is>
          <t>Экзамен</t>
        </is>
      </c>
      <c r="D769" s="9" t="inlineStr">
        <is>
          <t>Т11О-304Б-18</t>
        </is>
      </c>
      <c r="E769" s="10" t="n">
        <v>9</v>
      </c>
      <c r="F769" s="9" t="inlineStr">
        <is>
          <t>08770</t>
        </is>
      </c>
      <c r="G769" s="11" t="n">
        <v>0</v>
      </c>
      <c r="H769" s="9" t="inlineStr">
        <is>
          <t xml:space="preserve">81728     </t>
        </is>
      </c>
      <c r="I769" s="9" t="inlineStr">
        <is>
          <t xml:space="preserve">Галкин Виктор Иванович </t>
        </is>
      </c>
      <c r="J769" s="9" t="inlineStr">
        <is>
          <t>профессор</t>
        </is>
      </c>
      <c r="K769" s="9" t="n"/>
      <c r="L769" s="9" t="n"/>
      <c r="M769" s="12">
        <f>SUMIFS($E$2:$E$1130,$A$2:$A$1130,"осень",$I$2:$I$1130,I769)</f>
        <v/>
      </c>
      <c r="N769" s="13">
        <f>SUMIFS($E$2:$E$1130,$A$2:$A$1130,"весна",$I$2:$I$1130,I769)</f>
        <v/>
      </c>
      <c r="O769" s="14">
        <f>M769+N769</f>
        <v/>
      </c>
      <c r="P769" s="15">
        <f>O769/$P$1</f>
        <v/>
      </c>
    </row>
    <row r="770" ht="15.75" customHeight="1" s="2">
      <c r="A770" s="32" t="inlineStr">
        <is>
          <t>весна</t>
        </is>
      </c>
      <c r="B770" s="9" t="inlineStr">
        <is>
          <t>Основы математического и имитационного моделирования</t>
        </is>
      </c>
      <c r="C770" s="9" t="inlineStr">
        <is>
          <t>Консультация</t>
        </is>
      </c>
      <c r="D770" s="9" t="inlineStr">
        <is>
          <t>Т11О-304Б-18</t>
        </is>
      </c>
      <c r="E770" s="10" t="n">
        <v>3</v>
      </c>
      <c r="F770" s="9" t="inlineStr">
        <is>
          <t>08770</t>
        </is>
      </c>
      <c r="G770" s="11" t="n">
        <v>0</v>
      </c>
      <c r="H770" s="9" t="inlineStr">
        <is>
          <t xml:space="preserve">81728     </t>
        </is>
      </c>
      <c r="I770" s="9" t="inlineStr">
        <is>
          <t xml:space="preserve">Галкин Виктор Иванович </t>
        </is>
      </c>
      <c r="J770" s="9" t="inlineStr">
        <is>
          <t>профессор</t>
        </is>
      </c>
      <c r="K770" s="9" t="n"/>
      <c r="L770" s="9" t="n"/>
      <c r="M770" s="12">
        <f>SUMIFS($E$2:$E$1130,$A$2:$A$1130,"осень",$I$2:$I$1130,I770)</f>
        <v/>
      </c>
      <c r="N770" s="13">
        <f>SUMIFS($E$2:$E$1130,$A$2:$A$1130,"весна",$I$2:$I$1130,I770)</f>
        <v/>
      </c>
      <c r="O770" s="14">
        <f>M770+N770</f>
        <v/>
      </c>
      <c r="P770" s="15">
        <f>O770/$P$1</f>
        <v/>
      </c>
    </row>
    <row r="771" ht="15.75" customHeight="1" s="2">
      <c r="A771" s="32" t="inlineStr">
        <is>
          <t>весна</t>
        </is>
      </c>
      <c r="B771" s="9" t="inlineStr">
        <is>
          <t>Основы технологии и организации получения продукции методами ППП</t>
        </is>
      </c>
      <c r="C771" s="9" t="inlineStr">
        <is>
          <t>ЛК</t>
        </is>
      </c>
      <c r="D771" s="9" t="inlineStr">
        <is>
          <t>Т11О-304Б-18</t>
        </is>
      </c>
      <c r="E771" s="10" t="n">
        <v>16</v>
      </c>
      <c r="F771" s="9" t="inlineStr">
        <is>
          <t>08770</t>
        </is>
      </c>
      <c r="G771" s="10" t="n">
        <v>16</v>
      </c>
      <c r="H771" s="9" t="inlineStr">
        <is>
          <t xml:space="preserve">81724     </t>
        </is>
      </c>
      <c r="I771" s="9" t="inlineStr">
        <is>
          <t xml:space="preserve">Галкин Евгений Владимирович </t>
        </is>
      </c>
      <c r="J771" s="9" t="inlineStr">
        <is>
          <t>доцент</t>
        </is>
      </c>
      <c r="K771" s="9" t="n"/>
      <c r="L771" s="9" t="n"/>
      <c r="M771" s="12">
        <f>SUMIFS($E$2:$E$1130,$A$2:$A$1130,"осень",$I$2:$I$1130,I771)</f>
        <v/>
      </c>
      <c r="N771" s="13">
        <f>SUMIFS($E$2:$E$1130,$A$2:$A$1130,"весна",$I$2:$I$1130,I771)</f>
        <v/>
      </c>
      <c r="O771" s="14">
        <f>M771+N771</f>
        <v/>
      </c>
      <c r="P771" s="15">
        <f>O771/$P$1</f>
        <v/>
      </c>
    </row>
    <row r="772" ht="15.75" customHeight="1" s="2">
      <c r="A772" s="32" t="inlineStr">
        <is>
          <t>весна</t>
        </is>
      </c>
      <c r="B772" s="9" t="inlineStr">
        <is>
          <t>Основы технологии и организации получения продукции методами ППП</t>
        </is>
      </c>
      <c r="C772" s="9" t="inlineStr">
        <is>
          <t>Зачет с оценкой</t>
        </is>
      </c>
      <c r="D772" s="9" t="inlineStr">
        <is>
          <t>Т11О-304Б-18</t>
        </is>
      </c>
      <c r="E772" s="10" t="n">
        <v>6</v>
      </c>
      <c r="F772" s="9" t="inlineStr">
        <is>
          <t>08770</t>
        </is>
      </c>
      <c r="G772" s="11" t="n">
        <v>0</v>
      </c>
      <c r="H772" s="9" t="inlineStr">
        <is>
          <t xml:space="preserve">81724     </t>
        </is>
      </c>
      <c r="I772" s="9" t="inlineStr">
        <is>
          <t xml:space="preserve">Галкин Евгений Владимирович </t>
        </is>
      </c>
      <c r="J772" s="9" t="inlineStr">
        <is>
          <t>доцент</t>
        </is>
      </c>
      <c r="K772" s="9" t="n"/>
      <c r="L772" s="9" t="n"/>
      <c r="M772" s="12">
        <f>SUMIFS($E$2:$E$1130,$A$2:$A$1130,"осень",$I$2:$I$1130,I772)</f>
        <v/>
      </c>
      <c r="N772" s="13">
        <f>SUMIFS($E$2:$E$1130,$A$2:$A$1130,"весна",$I$2:$I$1130,I772)</f>
        <v/>
      </c>
      <c r="O772" s="14">
        <f>M772+N772</f>
        <v/>
      </c>
      <c r="P772" s="15">
        <f>O772/$P$1</f>
        <v/>
      </c>
    </row>
    <row r="773" ht="15.75" customHeight="1" s="2">
      <c r="A773" s="32" t="inlineStr">
        <is>
          <t>весна</t>
        </is>
      </c>
      <c r="B773" s="9" t="inlineStr">
        <is>
          <t>Основы технологии и организации получения продукции методами ППП</t>
        </is>
      </c>
      <c r="C773" s="9" t="inlineStr">
        <is>
          <t>ПЗ</t>
        </is>
      </c>
      <c r="D773" s="9" t="inlineStr">
        <is>
          <t>Т11О-304Б-18</t>
        </is>
      </c>
      <c r="E773" s="10" t="n">
        <v>24</v>
      </c>
      <c r="F773" s="9" t="inlineStr">
        <is>
          <t>08770</t>
        </is>
      </c>
      <c r="G773" s="10" t="n">
        <v>24</v>
      </c>
      <c r="H773" s="9" t="inlineStr">
        <is>
          <t xml:space="preserve">81724     </t>
        </is>
      </c>
      <c r="I773" s="9" t="inlineStr">
        <is>
          <t xml:space="preserve">Галкин Евгений Владимирович </t>
        </is>
      </c>
      <c r="J773" s="9" t="inlineStr">
        <is>
          <t>доцент</t>
        </is>
      </c>
      <c r="K773" s="9" t="n"/>
      <c r="L773" s="9" t="n"/>
      <c r="M773" s="12">
        <f>SUMIFS($E$2:$E$1130,$A$2:$A$1130,"осень",$I$2:$I$1130,I773)</f>
        <v/>
      </c>
      <c r="N773" s="13">
        <f>SUMIFS($E$2:$E$1130,$A$2:$A$1130,"весна",$I$2:$I$1130,I773)</f>
        <v/>
      </c>
      <c r="O773" s="14">
        <f>M773+N773</f>
        <v/>
      </c>
      <c r="P773" s="15">
        <f>O773/$P$1</f>
        <v/>
      </c>
    </row>
    <row r="774" ht="15.75" customHeight="1" s="2">
      <c r="A774" s="32" t="inlineStr">
        <is>
          <t>весна</t>
        </is>
      </c>
      <c r="B774" s="9" t="inlineStr">
        <is>
          <t>Основы технологии и организации получения продукции методами ППП</t>
        </is>
      </c>
      <c r="C774" s="9" t="inlineStr">
        <is>
          <t>Консультация</t>
        </is>
      </c>
      <c r="D774" s="9" t="inlineStr">
        <is>
          <t>Т11О-304Б-18</t>
        </is>
      </c>
      <c r="E774" s="10" t="n">
        <v>1</v>
      </c>
      <c r="F774" s="9" t="inlineStr">
        <is>
          <t>08770</t>
        </is>
      </c>
      <c r="G774" s="11" t="n">
        <v>0</v>
      </c>
      <c r="H774" s="9" t="inlineStr">
        <is>
          <t xml:space="preserve">81724     </t>
        </is>
      </c>
      <c r="I774" s="9" t="inlineStr">
        <is>
          <t xml:space="preserve">Галкин Евгений Владимирович </t>
        </is>
      </c>
      <c r="J774" s="9" t="inlineStr">
        <is>
          <t>доцент</t>
        </is>
      </c>
      <c r="K774" s="9" t="n"/>
      <c r="L774" s="9" t="n"/>
      <c r="M774" s="12">
        <f>SUMIFS($E$2:$E$1130,$A$2:$A$1130,"осень",$I$2:$I$1130,I774)</f>
        <v/>
      </c>
      <c r="N774" s="13">
        <f>SUMIFS($E$2:$E$1130,$A$2:$A$1130,"весна",$I$2:$I$1130,I774)</f>
        <v/>
      </c>
      <c r="O774" s="14">
        <f>M774+N774</f>
        <v/>
      </c>
      <c r="P774" s="15">
        <f>O774/$P$1</f>
        <v/>
      </c>
    </row>
    <row r="775" ht="15.75" customHeight="1" s="2">
      <c r="A775" s="32" t="inlineStr">
        <is>
          <t>весна</t>
        </is>
      </c>
      <c r="B775" s="9" t="inlineStr">
        <is>
          <t>Диагностика и надежность автоматизированных систем</t>
        </is>
      </c>
      <c r="C775" s="9" t="inlineStr">
        <is>
          <t>ЛК</t>
        </is>
      </c>
      <c r="D775" s="9" t="inlineStr">
        <is>
          <t>Т11О-304Б-18</t>
        </is>
      </c>
      <c r="E775" s="10" t="n">
        <v>12</v>
      </c>
      <c r="F775" s="9" t="inlineStr">
        <is>
          <t>08770</t>
        </is>
      </c>
      <c r="G775" s="10" t="n">
        <v>12</v>
      </c>
      <c r="H775" s="9" t="inlineStr">
        <is>
          <t xml:space="preserve">81724     </t>
        </is>
      </c>
      <c r="I775" s="9" t="inlineStr">
        <is>
          <t xml:space="preserve">Галкин Евгений Владимирович </t>
        </is>
      </c>
      <c r="J775" s="9" t="inlineStr">
        <is>
          <t>доцент</t>
        </is>
      </c>
      <c r="K775" s="9" t="n"/>
      <c r="L775" s="9" t="n"/>
      <c r="M775" s="12">
        <f>SUMIFS($E$2:$E$1130,$A$2:$A$1130,"осень",$I$2:$I$1130,I775)</f>
        <v/>
      </c>
      <c r="N775" s="13">
        <f>SUMIFS($E$2:$E$1130,$A$2:$A$1130,"весна",$I$2:$I$1130,I775)</f>
        <v/>
      </c>
      <c r="O775" s="14">
        <f>M775+N775</f>
        <v/>
      </c>
      <c r="P775" s="15">
        <f>O775/$P$1</f>
        <v/>
      </c>
    </row>
    <row r="776" ht="15.75" customHeight="1" s="2">
      <c r="A776" s="32" t="inlineStr">
        <is>
          <t>весна</t>
        </is>
      </c>
      <c r="B776" s="9" t="inlineStr">
        <is>
          <t>Диагностика и надежность автоматизированных систем</t>
        </is>
      </c>
      <c r="C776" s="9" t="inlineStr">
        <is>
          <t>ЛР</t>
        </is>
      </c>
      <c r="D776" s="9" t="inlineStr">
        <is>
          <t>Т11О-304Б-18</t>
        </is>
      </c>
      <c r="E776" s="10" t="n">
        <v>40</v>
      </c>
      <c r="F776" s="9" t="inlineStr">
        <is>
          <t>08770</t>
        </is>
      </c>
      <c r="G776" s="10" t="n">
        <v>20</v>
      </c>
      <c r="H776" s="9" t="inlineStr">
        <is>
          <t xml:space="preserve">81724     </t>
        </is>
      </c>
      <c r="I776" s="9" t="inlineStr">
        <is>
          <t xml:space="preserve">Галкин Евгений Владимирович </t>
        </is>
      </c>
      <c r="J776" s="9" t="inlineStr">
        <is>
          <t>доцент</t>
        </is>
      </c>
      <c r="K776" s="9" t="n"/>
      <c r="L776" s="9" t="n"/>
      <c r="M776" s="12">
        <f>SUMIFS($E$2:$E$1130,$A$2:$A$1130,"осень",$I$2:$I$1130,I776)</f>
        <v/>
      </c>
      <c r="N776" s="13">
        <f>SUMIFS($E$2:$E$1130,$A$2:$A$1130,"весна",$I$2:$I$1130,I776)</f>
        <v/>
      </c>
      <c r="O776" s="14">
        <f>M776+N776</f>
        <v/>
      </c>
      <c r="P776" s="15">
        <f>O776/$P$1</f>
        <v/>
      </c>
    </row>
    <row r="777" ht="15.75" customHeight="1" s="2">
      <c r="A777" s="32" t="inlineStr">
        <is>
          <t>весна</t>
        </is>
      </c>
      <c r="B777" s="9" t="inlineStr">
        <is>
          <t>Диагностика и надежность автоматизированных систем</t>
        </is>
      </c>
      <c r="C777" s="9" t="inlineStr">
        <is>
          <t>Зачет</t>
        </is>
      </c>
      <c r="D777" s="9" t="inlineStr">
        <is>
          <t>Т11О-304Б-18</t>
        </is>
      </c>
      <c r="E777" s="10" t="n">
        <v>6</v>
      </c>
      <c r="F777" s="9" t="inlineStr">
        <is>
          <t>08770</t>
        </is>
      </c>
      <c r="G777" s="11" t="n">
        <v>0</v>
      </c>
      <c r="H777" s="9" t="inlineStr">
        <is>
          <t xml:space="preserve">81724     </t>
        </is>
      </c>
      <c r="I777" s="9" t="inlineStr">
        <is>
          <t xml:space="preserve">Галкин Евгений Владимирович </t>
        </is>
      </c>
      <c r="J777" s="9" t="inlineStr">
        <is>
          <t>доцент</t>
        </is>
      </c>
      <c r="K777" s="9" t="n"/>
      <c r="L777" s="9" t="n"/>
      <c r="M777" s="12">
        <f>SUMIFS($E$2:$E$1130,$A$2:$A$1130,"осень",$I$2:$I$1130,I777)</f>
        <v/>
      </c>
      <c r="N777" s="13">
        <f>SUMIFS($E$2:$E$1130,$A$2:$A$1130,"весна",$I$2:$I$1130,I777)</f>
        <v/>
      </c>
      <c r="O777" s="14">
        <f>M777+N777</f>
        <v/>
      </c>
      <c r="P777" s="15">
        <f>O777/$P$1</f>
        <v/>
      </c>
    </row>
    <row r="778" ht="15.75" customHeight="1" s="2">
      <c r="A778" s="32" t="inlineStr">
        <is>
          <t>весна</t>
        </is>
      </c>
      <c r="B778" s="9" t="inlineStr">
        <is>
          <t>Диагностика и надежность автоматизированных систем</t>
        </is>
      </c>
      <c r="C778" s="9" t="inlineStr">
        <is>
          <t>Консультация</t>
        </is>
      </c>
      <c r="D778" s="9" t="inlineStr">
        <is>
          <t>Т11О-304Б-18</t>
        </is>
      </c>
      <c r="E778" s="10" t="n">
        <v>1</v>
      </c>
      <c r="F778" s="9" t="inlineStr">
        <is>
          <t>08770</t>
        </is>
      </c>
      <c r="G778" s="11" t="n">
        <v>0</v>
      </c>
      <c r="H778" s="9" t="inlineStr">
        <is>
          <t xml:space="preserve">81724     </t>
        </is>
      </c>
      <c r="I778" s="9" t="inlineStr">
        <is>
          <t xml:space="preserve">Галкин Евгений Владимирович </t>
        </is>
      </c>
      <c r="J778" s="9" t="inlineStr">
        <is>
          <t>доцент</t>
        </is>
      </c>
      <c r="K778" s="9" t="n"/>
      <c r="L778" s="9" t="n"/>
      <c r="M778" s="12">
        <f>SUMIFS($E$2:$E$1130,$A$2:$A$1130,"осень",$I$2:$I$1130,I778)</f>
        <v/>
      </c>
      <c r="N778" s="13">
        <f>SUMIFS($E$2:$E$1130,$A$2:$A$1130,"весна",$I$2:$I$1130,I778)</f>
        <v/>
      </c>
      <c r="O778" s="14">
        <f>M778+N778</f>
        <v/>
      </c>
      <c r="P778" s="15">
        <f>O778/$P$1</f>
        <v/>
      </c>
    </row>
    <row r="779" ht="15.75" customHeight="1" s="2">
      <c r="A779" s="32" t="inlineStr">
        <is>
          <t>весна</t>
        </is>
      </c>
      <c r="B779" s="9" t="inlineStr">
        <is>
          <t>Организация и планирование автоматизированных производств</t>
        </is>
      </c>
      <c r="C779" s="9" t="inlineStr">
        <is>
          <t>ЛК</t>
        </is>
      </c>
      <c r="D779" s="9" t="inlineStr">
        <is>
          <t>Т1О-404Б-17</t>
        </is>
      </c>
      <c r="E779" s="10" t="n">
        <v>16</v>
      </c>
      <c r="F779" s="9" t="inlineStr">
        <is>
          <t>08770</t>
        </is>
      </c>
      <c r="G779" s="10" t="n">
        <v>16</v>
      </c>
      <c r="H779" s="9" t="inlineStr">
        <is>
          <t xml:space="preserve">81716     </t>
        </is>
      </c>
      <c r="I779" s="9" t="inlineStr">
        <is>
          <t xml:space="preserve">Жаров Максим Владимирович </t>
        </is>
      </c>
      <c r="J779" s="9" t="inlineStr">
        <is>
          <t>доцент</t>
        </is>
      </c>
      <c r="K779" s="9" t="n"/>
      <c r="L779" s="9" t="n"/>
      <c r="M779" s="12">
        <f>SUMIFS($E$2:$E$1130,$A$2:$A$1130,"осень",$I$2:$I$1130,I779)</f>
        <v/>
      </c>
      <c r="N779" s="13">
        <f>SUMIFS($E$2:$E$1130,$A$2:$A$1130,"весна",$I$2:$I$1130,I779)</f>
        <v/>
      </c>
      <c r="O779" s="14">
        <f>M779+N779</f>
        <v/>
      </c>
      <c r="P779" s="15">
        <f>O779/$P$1</f>
        <v/>
      </c>
    </row>
    <row r="780" ht="15.75" customHeight="1" s="2">
      <c r="A780" s="32" t="inlineStr">
        <is>
          <t>весна</t>
        </is>
      </c>
      <c r="B780" s="9" t="inlineStr">
        <is>
          <t>Организация и планирование автоматизированных производств</t>
        </is>
      </c>
      <c r="C780" s="9" t="inlineStr">
        <is>
          <t>ПЗ</t>
        </is>
      </c>
      <c r="D780" s="9" t="inlineStr">
        <is>
          <t>Т1О-404Б-17</t>
        </is>
      </c>
      <c r="E780" s="10" t="n">
        <v>8</v>
      </c>
      <c r="F780" s="9" t="inlineStr">
        <is>
          <t>08770</t>
        </is>
      </c>
      <c r="G780" s="10" t="n">
        <v>8</v>
      </c>
      <c r="H780" s="9" t="inlineStr">
        <is>
          <t xml:space="preserve">81716     </t>
        </is>
      </c>
      <c r="I780" s="9" t="inlineStr">
        <is>
          <t xml:space="preserve">Жаров Максим Владимирович </t>
        </is>
      </c>
      <c r="J780" s="9" t="inlineStr">
        <is>
          <t>доцент</t>
        </is>
      </c>
      <c r="K780" s="9" t="n"/>
      <c r="L780" s="9" t="n"/>
      <c r="M780" s="12">
        <f>SUMIFS($E$2:$E$1130,$A$2:$A$1130,"осень",$I$2:$I$1130,I780)</f>
        <v/>
      </c>
      <c r="N780" s="13">
        <f>SUMIFS($E$2:$E$1130,$A$2:$A$1130,"весна",$I$2:$I$1130,I780)</f>
        <v/>
      </c>
      <c r="O780" s="14">
        <f>M780+N780</f>
        <v/>
      </c>
      <c r="P780" s="15">
        <f>O780/$P$1</f>
        <v/>
      </c>
    </row>
    <row r="781" ht="15.75" customHeight="1" s="2">
      <c r="A781" s="32" t="inlineStr">
        <is>
          <t>весна</t>
        </is>
      </c>
      <c r="B781" s="9" t="inlineStr">
        <is>
          <t>Организация и планирование автоматизированных производств</t>
        </is>
      </c>
      <c r="C781" s="9" t="inlineStr">
        <is>
          <t>Зачет</t>
        </is>
      </c>
      <c r="D781" s="9" t="inlineStr">
        <is>
          <t>Т1О-404Б-17</t>
        </is>
      </c>
      <c r="E781" s="10" t="n">
        <v>8</v>
      </c>
      <c r="F781" s="9" t="inlineStr">
        <is>
          <t>08770</t>
        </is>
      </c>
      <c r="G781" s="11" t="n">
        <v>0</v>
      </c>
      <c r="H781" s="9" t="inlineStr">
        <is>
          <t xml:space="preserve">81716     </t>
        </is>
      </c>
      <c r="I781" s="9" t="inlineStr">
        <is>
          <t xml:space="preserve">Жаров Максим Владимирович </t>
        </is>
      </c>
      <c r="J781" s="9" t="inlineStr">
        <is>
          <t>доцент</t>
        </is>
      </c>
      <c r="K781" s="9" t="n"/>
      <c r="L781" s="9" t="n"/>
      <c r="M781" s="12">
        <f>SUMIFS($E$2:$E$1130,$A$2:$A$1130,"осень",$I$2:$I$1130,I781)</f>
        <v/>
      </c>
      <c r="N781" s="13">
        <f>SUMIFS($E$2:$E$1130,$A$2:$A$1130,"весна",$I$2:$I$1130,I781)</f>
        <v/>
      </c>
      <c r="O781" s="14">
        <f>M781+N781</f>
        <v/>
      </c>
      <c r="P781" s="15">
        <f>O781/$P$1</f>
        <v/>
      </c>
    </row>
    <row r="782" ht="15.75" customHeight="1" s="2">
      <c r="A782" s="32" t="inlineStr">
        <is>
          <t>весна</t>
        </is>
      </c>
      <c r="B782" s="9" t="inlineStr">
        <is>
          <t>Организация и планирование автоматизированных производств</t>
        </is>
      </c>
      <c r="C782" s="9" t="inlineStr">
        <is>
          <t>Консультация</t>
        </is>
      </c>
      <c r="D782" s="9" t="inlineStr">
        <is>
          <t>Т1О-404Б-17</t>
        </is>
      </c>
      <c r="E782" s="10" t="n">
        <v>1</v>
      </c>
      <c r="F782" s="9" t="inlineStr">
        <is>
          <t>08770</t>
        </is>
      </c>
      <c r="G782" s="11" t="n">
        <v>0</v>
      </c>
      <c r="H782" s="9" t="inlineStr">
        <is>
          <t xml:space="preserve">81716     </t>
        </is>
      </c>
      <c r="I782" s="9" t="inlineStr">
        <is>
          <t xml:space="preserve">Жаров Максим Владимирович </t>
        </is>
      </c>
      <c r="J782" s="9" t="inlineStr">
        <is>
          <t>доцент</t>
        </is>
      </c>
      <c r="K782" s="9" t="n"/>
      <c r="L782" s="9" t="n"/>
      <c r="M782" s="12">
        <f>SUMIFS($E$2:$E$1130,$A$2:$A$1130,"осень",$I$2:$I$1130,I782)</f>
        <v/>
      </c>
      <c r="N782" s="13">
        <f>SUMIFS($E$2:$E$1130,$A$2:$A$1130,"весна",$I$2:$I$1130,I782)</f>
        <v/>
      </c>
      <c r="O782" s="14">
        <f>M782+N782</f>
        <v/>
      </c>
      <c r="P782" s="15">
        <f>O782/$P$1</f>
        <v/>
      </c>
    </row>
    <row r="783" ht="15.75" customHeight="1" s="2">
      <c r="A783" s="32" t="inlineStr">
        <is>
          <t>весна</t>
        </is>
      </c>
      <c r="B783" s="9" t="inlineStr">
        <is>
          <t>CALS-технологии в производстве продукции</t>
        </is>
      </c>
      <c r="C783" s="9" t="inlineStr">
        <is>
          <t>ЛК</t>
        </is>
      </c>
      <c r="D783" s="9" t="inlineStr">
        <is>
          <t>Т1О-404Б-17</t>
        </is>
      </c>
      <c r="E783" s="10" t="n">
        <v>24</v>
      </c>
      <c r="F783" s="9" t="inlineStr">
        <is>
          <t>08770</t>
        </is>
      </c>
      <c r="G783" s="10" t="n">
        <v>24</v>
      </c>
      <c r="H783" s="9" t="inlineStr">
        <is>
          <t xml:space="preserve">81724     </t>
        </is>
      </c>
      <c r="I783" s="9" t="inlineStr">
        <is>
          <t xml:space="preserve">Галкин Евгений Владимирович </t>
        </is>
      </c>
      <c r="J783" s="9" t="inlineStr">
        <is>
          <t>доцент</t>
        </is>
      </c>
      <c r="K783" s="9" t="n"/>
      <c r="L783" s="9" t="n"/>
      <c r="M783" s="12">
        <f>SUMIFS($E$2:$E$1130,$A$2:$A$1130,"осень",$I$2:$I$1130,I783)</f>
        <v/>
      </c>
      <c r="N783" s="13">
        <f>SUMIFS($E$2:$E$1130,$A$2:$A$1130,"весна",$I$2:$I$1130,I783)</f>
        <v/>
      </c>
      <c r="O783" s="14">
        <f>M783+N783</f>
        <v/>
      </c>
      <c r="P783" s="15">
        <f>O783/$P$1</f>
        <v/>
      </c>
    </row>
    <row r="784" ht="15.75" customHeight="1" s="2">
      <c r="A784" s="32" t="inlineStr">
        <is>
          <t>весна</t>
        </is>
      </c>
      <c r="B784" s="9" t="inlineStr">
        <is>
          <t>CALS-технологии в производстве продукции</t>
        </is>
      </c>
      <c r="C784" s="9" t="inlineStr">
        <is>
          <t>ПЗ</t>
        </is>
      </c>
      <c r="D784" s="9" t="inlineStr">
        <is>
          <t>Т1О-404Б-17</t>
        </is>
      </c>
      <c r="E784" s="10" t="n">
        <v>32</v>
      </c>
      <c r="F784" s="9" t="inlineStr">
        <is>
          <t>08770</t>
        </is>
      </c>
      <c r="G784" s="10" t="n">
        <v>32</v>
      </c>
      <c r="H784" s="9" t="inlineStr">
        <is>
          <t xml:space="preserve">81724     </t>
        </is>
      </c>
      <c r="I784" s="9" t="inlineStr">
        <is>
          <t xml:space="preserve">Галкин Евгений Владимирович </t>
        </is>
      </c>
      <c r="J784" s="9" t="inlineStr">
        <is>
          <t>доцент</t>
        </is>
      </c>
      <c r="K784" s="9" t="n"/>
      <c r="L784" s="9" t="n"/>
      <c r="M784" s="12">
        <f>SUMIFS($E$2:$E$1130,$A$2:$A$1130,"осень",$I$2:$I$1130,I784)</f>
        <v/>
      </c>
      <c r="N784" s="13">
        <f>SUMIFS($E$2:$E$1130,$A$2:$A$1130,"весна",$I$2:$I$1130,I784)</f>
        <v/>
      </c>
      <c r="O784" s="14">
        <f>M784+N784</f>
        <v/>
      </c>
      <c r="P784" s="15">
        <f>O784/$P$1</f>
        <v/>
      </c>
    </row>
    <row r="785" ht="15.75" customHeight="1" s="2">
      <c r="A785" s="32" t="inlineStr">
        <is>
          <t>весна</t>
        </is>
      </c>
      <c r="B785" s="9" t="inlineStr">
        <is>
          <t>CALS-технологии в производстве продукции</t>
        </is>
      </c>
      <c r="C785" s="9" t="inlineStr">
        <is>
          <t>Экзамен</t>
        </is>
      </c>
      <c r="D785" s="9" t="inlineStr">
        <is>
          <t>Т1О-404Б-17</t>
        </is>
      </c>
      <c r="E785" s="10" t="n">
        <v>12</v>
      </c>
      <c r="F785" s="9" t="inlineStr">
        <is>
          <t>08770</t>
        </is>
      </c>
      <c r="G785" s="11" t="n">
        <v>0</v>
      </c>
      <c r="H785" s="9" t="inlineStr">
        <is>
          <t xml:space="preserve">81724     </t>
        </is>
      </c>
      <c r="I785" s="9" t="inlineStr">
        <is>
          <t xml:space="preserve">Галкин Евгений Владимирович </t>
        </is>
      </c>
      <c r="J785" s="9" t="inlineStr">
        <is>
          <t>доцент</t>
        </is>
      </c>
      <c r="K785" s="9" t="n"/>
      <c r="L785" s="9" t="n"/>
      <c r="M785" s="12">
        <f>SUMIFS($E$2:$E$1130,$A$2:$A$1130,"осень",$I$2:$I$1130,I785)</f>
        <v/>
      </c>
      <c r="N785" s="13">
        <f>SUMIFS($E$2:$E$1130,$A$2:$A$1130,"весна",$I$2:$I$1130,I785)</f>
        <v/>
      </c>
      <c r="O785" s="14">
        <f>M785+N785</f>
        <v/>
      </c>
      <c r="P785" s="15">
        <f>O785/$P$1</f>
        <v/>
      </c>
    </row>
    <row r="786" ht="15.75" customHeight="1" s="2">
      <c r="A786" s="32" t="inlineStr">
        <is>
          <t>весна</t>
        </is>
      </c>
      <c r="B786" s="9" t="inlineStr">
        <is>
          <t>CALS-технологии в производстве продукции</t>
        </is>
      </c>
      <c r="C786" s="9" t="inlineStr">
        <is>
          <t>Консультация</t>
        </is>
      </c>
      <c r="D786" s="9" t="inlineStr">
        <is>
          <t>Т1О-404Б-17</t>
        </is>
      </c>
      <c r="E786" s="10" t="n">
        <v>3</v>
      </c>
      <c r="F786" s="9" t="inlineStr">
        <is>
          <t>08770</t>
        </is>
      </c>
      <c r="G786" s="11" t="n">
        <v>0</v>
      </c>
      <c r="H786" s="9" t="inlineStr">
        <is>
          <t xml:space="preserve">81724     </t>
        </is>
      </c>
      <c r="I786" s="9" t="inlineStr">
        <is>
          <t xml:space="preserve">Галкин Евгений Владимирович </t>
        </is>
      </c>
      <c r="J786" s="9" t="inlineStr">
        <is>
          <t>доцент</t>
        </is>
      </c>
      <c r="K786" s="9" t="n"/>
      <c r="L786" s="9" t="n"/>
      <c r="M786" s="12">
        <f>SUMIFS($E$2:$E$1130,$A$2:$A$1130,"осень",$I$2:$I$1130,I786)</f>
        <v/>
      </c>
      <c r="N786" s="13">
        <f>SUMIFS($E$2:$E$1130,$A$2:$A$1130,"весна",$I$2:$I$1130,I786)</f>
        <v/>
      </c>
      <c r="O786" s="14">
        <f>M786+N786</f>
        <v/>
      </c>
      <c r="P786" s="15">
        <f>O786/$P$1</f>
        <v/>
      </c>
    </row>
    <row r="787" ht="15.75" customHeight="1" s="2">
      <c r="A787" s="32" t="inlineStr">
        <is>
          <t>весна</t>
        </is>
      </c>
      <c r="B787" s="9" t="inlineStr">
        <is>
          <t>ESS-технологии в управлении жизненным циклом продукции</t>
        </is>
      </c>
      <c r="C787" s="9" t="inlineStr">
        <is>
          <t>ЛК</t>
        </is>
      </c>
      <c r="D787" s="9" t="inlineStr">
        <is>
          <t>Т1О-404Б-17</t>
        </is>
      </c>
      <c r="E787" s="10" t="n">
        <v>16</v>
      </c>
      <c r="F787" s="9" t="inlineStr">
        <is>
          <t>08770</t>
        </is>
      </c>
      <c r="G787" s="10" t="n">
        <v>16</v>
      </c>
      <c r="H787" s="9" t="inlineStr">
        <is>
          <t xml:space="preserve">81716     </t>
        </is>
      </c>
      <c r="I787" s="9" t="inlineStr">
        <is>
          <t xml:space="preserve">Жаров Максим Владимирович </t>
        </is>
      </c>
      <c r="J787" s="9" t="inlineStr">
        <is>
          <t>доцент</t>
        </is>
      </c>
      <c r="K787" s="9" t="n"/>
      <c r="L787" s="9" t="n"/>
      <c r="M787" s="12">
        <f>SUMIFS($E$2:$E$1130,$A$2:$A$1130,"осень",$I$2:$I$1130,I787)</f>
        <v/>
      </c>
      <c r="N787" s="13">
        <f>SUMIFS($E$2:$E$1130,$A$2:$A$1130,"весна",$I$2:$I$1130,I787)</f>
        <v/>
      </c>
      <c r="O787" s="14">
        <f>M787+N787</f>
        <v/>
      </c>
      <c r="P787" s="15">
        <f>O787/$P$1</f>
        <v/>
      </c>
    </row>
    <row r="788" ht="15.75" customHeight="1" s="2">
      <c r="A788" s="32" t="inlineStr">
        <is>
          <t>весна</t>
        </is>
      </c>
      <c r="B788" s="9" t="inlineStr">
        <is>
          <t>ESS-технологии в управлении жизненным циклом продукции</t>
        </is>
      </c>
      <c r="C788" s="9" t="inlineStr">
        <is>
          <t>ПЗ</t>
        </is>
      </c>
      <c r="D788" s="9" t="inlineStr">
        <is>
          <t>Т1О-404Б-17</t>
        </is>
      </c>
      <c r="E788" s="10" t="n">
        <v>24</v>
      </c>
      <c r="F788" s="9" t="inlineStr">
        <is>
          <t>08770</t>
        </is>
      </c>
      <c r="G788" s="10" t="n">
        <v>24</v>
      </c>
      <c r="H788" s="9" t="inlineStr">
        <is>
          <t xml:space="preserve">81716     </t>
        </is>
      </c>
      <c r="I788" s="9" t="inlineStr">
        <is>
          <t xml:space="preserve">Жаров Максим Владимирович </t>
        </is>
      </c>
      <c r="J788" s="9" t="inlineStr">
        <is>
          <t>доцент</t>
        </is>
      </c>
      <c r="K788" s="9" t="n"/>
      <c r="L788" s="9" t="n"/>
      <c r="M788" s="12">
        <f>SUMIFS($E$2:$E$1130,$A$2:$A$1130,"осень",$I$2:$I$1130,I788)</f>
        <v/>
      </c>
      <c r="N788" s="13">
        <f>SUMIFS($E$2:$E$1130,$A$2:$A$1130,"весна",$I$2:$I$1130,I788)</f>
        <v/>
      </c>
      <c r="O788" s="14">
        <f>M788+N788</f>
        <v/>
      </c>
      <c r="P788" s="15">
        <f>O788/$P$1</f>
        <v/>
      </c>
    </row>
    <row r="789" ht="15.75" customHeight="1" s="2">
      <c r="A789" s="32" t="inlineStr">
        <is>
          <t>весна</t>
        </is>
      </c>
      <c r="B789" s="9" t="inlineStr">
        <is>
          <t>ESS-технологии в управлении жизненным циклом продукции</t>
        </is>
      </c>
      <c r="C789" s="9" t="inlineStr">
        <is>
          <t>Зачет</t>
        </is>
      </c>
      <c r="D789" s="9" t="inlineStr">
        <is>
          <t>Т1О-404Б-17</t>
        </is>
      </c>
      <c r="E789" s="10" t="n">
        <v>8</v>
      </c>
      <c r="F789" s="9" t="inlineStr">
        <is>
          <t>08770</t>
        </is>
      </c>
      <c r="G789" s="11" t="n">
        <v>0</v>
      </c>
      <c r="H789" s="9" t="inlineStr">
        <is>
          <t xml:space="preserve">81716     </t>
        </is>
      </c>
      <c r="I789" s="9" t="inlineStr">
        <is>
          <t xml:space="preserve">Жаров Максим Владимирович </t>
        </is>
      </c>
      <c r="J789" s="9" t="inlineStr">
        <is>
          <t>доцент</t>
        </is>
      </c>
      <c r="K789" s="9" t="n"/>
      <c r="L789" s="9" t="n"/>
      <c r="M789" s="12">
        <f>SUMIFS($E$2:$E$1130,$A$2:$A$1130,"осень",$I$2:$I$1130,I789)</f>
        <v/>
      </c>
      <c r="N789" s="13">
        <f>SUMIFS($E$2:$E$1130,$A$2:$A$1130,"весна",$I$2:$I$1130,I789)</f>
        <v/>
      </c>
      <c r="O789" s="14">
        <f>M789+N789</f>
        <v/>
      </c>
      <c r="P789" s="15">
        <f>O789/$P$1</f>
        <v/>
      </c>
    </row>
    <row r="790" ht="15.75" customHeight="1" s="2">
      <c r="A790" s="32" t="inlineStr">
        <is>
          <t>весна</t>
        </is>
      </c>
      <c r="B790" s="9" t="inlineStr">
        <is>
          <t>ESS-технологии в управлении жизненным циклом продукции</t>
        </is>
      </c>
      <c r="C790" s="9" t="inlineStr">
        <is>
          <t>Консультация</t>
        </is>
      </c>
      <c r="D790" s="9" t="inlineStr">
        <is>
          <t>Т1О-404Б-17</t>
        </is>
      </c>
      <c r="E790" s="10" t="n">
        <v>1</v>
      </c>
      <c r="F790" s="9" t="inlineStr">
        <is>
          <t>08770</t>
        </is>
      </c>
      <c r="G790" s="11" t="n">
        <v>0</v>
      </c>
      <c r="H790" s="9" t="inlineStr">
        <is>
          <t xml:space="preserve">81716     </t>
        </is>
      </c>
      <c r="I790" s="9" t="inlineStr">
        <is>
          <t xml:space="preserve">Жаров Максим Владимирович </t>
        </is>
      </c>
      <c r="J790" s="9" t="inlineStr">
        <is>
          <t>доцент</t>
        </is>
      </c>
      <c r="K790" s="9" t="n"/>
      <c r="L790" s="9" t="n"/>
      <c r="M790" s="12">
        <f>SUMIFS($E$2:$E$1130,$A$2:$A$1130,"осень",$I$2:$I$1130,I790)</f>
        <v/>
      </c>
      <c r="N790" s="13">
        <f>SUMIFS($E$2:$E$1130,$A$2:$A$1130,"весна",$I$2:$I$1130,I790)</f>
        <v/>
      </c>
      <c r="O790" s="14">
        <f>M790+N790</f>
        <v/>
      </c>
      <c r="P790" s="15">
        <f>O790/$P$1</f>
        <v/>
      </c>
    </row>
    <row r="791" ht="15.75" customHeight="1" s="2">
      <c r="A791" s="32" t="inlineStr">
        <is>
          <t>весна</t>
        </is>
      </c>
      <c r="B791" s="9" t="inlineStr">
        <is>
          <t>Технология прокатно-прессового производства</t>
        </is>
      </c>
      <c r="C791" s="9" t="inlineStr">
        <is>
          <t>ЛК</t>
        </is>
      </c>
      <c r="D791" s="9" t="inlineStr">
        <is>
          <t>Т1В-412Б-17</t>
        </is>
      </c>
      <c r="E791" s="10" t="n">
        <v>26</v>
      </c>
      <c r="F791" s="9" t="inlineStr">
        <is>
          <t>08769</t>
        </is>
      </c>
      <c r="G791" s="10" t="n">
        <v>26</v>
      </c>
      <c r="H791" s="9" t="inlineStr">
        <is>
          <t xml:space="preserve">81722     </t>
        </is>
      </c>
      <c r="I791" s="9" t="inlineStr">
        <is>
          <t xml:space="preserve">Шленский Алексей Геннадьевич </t>
        </is>
      </c>
      <c r="J791" s="9" t="inlineStr">
        <is>
          <t>доцент</t>
        </is>
      </c>
      <c r="K791" s="9" t="n"/>
      <c r="L791" s="9" t="n"/>
      <c r="M791" s="12">
        <f>SUMIFS($E$2:$E$1130,$A$2:$A$1130,"осень",$I$2:$I$1130,I791)</f>
        <v/>
      </c>
      <c r="N791" s="13">
        <f>SUMIFS($E$2:$E$1130,$A$2:$A$1130,"весна",$I$2:$I$1130,I791)</f>
        <v/>
      </c>
      <c r="O791" s="14">
        <f>M791+N791</f>
        <v/>
      </c>
      <c r="P791" s="15">
        <f>O791/$P$1</f>
        <v/>
      </c>
    </row>
    <row r="792" ht="15.75" customHeight="1" s="2">
      <c r="A792" s="32" t="inlineStr">
        <is>
          <t>весна</t>
        </is>
      </c>
      <c r="B792" s="9" t="inlineStr">
        <is>
          <t>Технология прокатно-прессового производства</t>
        </is>
      </c>
      <c r="C792" s="9" t="inlineStr">
        <is>
          <t>КР</t>
        </is>
      </c>
      <c r="D792" s="9" t="inlineStr">
        <is>
          <t>Т1В-412Б-17</t>
        </is>
      </c>
      <c r="E792" s="10" t="n">
        <v>33</v>
      </c>
      <c r="F792" s="9" t="inlineStr">
        <is>
          <t>08769</t>
        </is>
      </c>
      <c r="G792" s="11" t="n">
        <v>0</v>
      </c>
      <c r="H792" s="9" t="inlineStr">
        <is>
          <t xml:space="preserve">81722     </t>
        </is>
      </c>
      <c r="I792" s="9" t="inlineStr">
        <is>
          <t xml:space="preserve">Шленский Алексей Геннадьевич </t>
        </is>
      </c>
      <c r="J792" s="9" t="inlineStr">
        <is>
          <t>доцент</t>
        </is>
      </c>
      <c r="K792" s="9" t="n"/>
      <c r="L792" s="9" t="n"/>
      <c r="M792" s="12">
        <f>SUMIFS($E$2:$E$1130,$A$2:$A$1130,"осень",$I$2:$I$1130,I792)</f>
        <v/>
      </c>
      <c r="N792" s="13">
        <f>SUMIFS($E$2:$E$1130,$A$2:$A$1130,"весна",$I$2:$I$1130,I792)</f>
        <v/>
      </c>
      <c r="O792" s="14">
        <f>M792+N792</f>
        <v/>
      </c>
      <c r="P792" s="15">
        <f>O792/$P$1</f>
        <v/>
      </c>
    </row>
    <row r="793" ht="15.75" customHeight="1" s="2">
      <c r="A793" s="32" t="inlineStr">
        <is>
          <t>весна</t>
        </is>
      </c>
      <c r="B793" s="9" t="inlineStr">
        <is>
          <t>Технология прокатно-прессового производства</t>
        </is>
      </c>
      <c r="C793" s="9" t="inlineStr">
        <is>
          <t>ПЗ</t>
        </is>
      </c>
      <c r="D793" s="9" t="inlineStr">
        <is>
          <t>Т1В-412Б-17</t>
        </is>
      </c>
      <c r="E793" s="10" t="n">
        <v>42</v>
      </c>
      <c r="F793" s="9" t="inlineStr">
        <is>
          <t>08769</t>
        </is>
      </c>
      <c r="G793" s="10" t="n">
        <v>42</v>
      </c>
      <c r="H793" s="9" t="inlineStr">
        <is>
          <t xml:space="preserve">81722     </t>
        </is>
      </c>
      <c r="I793" s="9" t="inlineStr">
        <is>
          <t xml:space="preserve">Шленский Алексей Геннадьевич </t>
        </is>
      </c>
      <c r="J793" s="9" t="inlineStr">
        <is>
          <t>доцент</t>
        </is>
      </c>
      <c r="K793" s="9" t="n"/>
      <c r="L793" s="9" t="n"/>
      <c r="M793" s="12">
        <f>SUMIFS($E$2:$E$1130,$A$2:$A$1130,"осень",$I$2:$I$1130,I793)</f>
        <v/>
      </c>
      <c r="N793" s="13">
        <f>SUMIFS($E$2:$E$1130,$A$2:$A$1130,"весна",$I$2:$I$1130,I793)</f>
        <v/>
      </c>
      <c r="O793" s="14">
        <f>M793+N793</f>
        <v/>
      </c>
      <c r="P793" s="15">
        <f>O793/$P$1</f>
        <v/>
      </c>
    </row>
    <row r="794" ht="15.75" customHeight="1" s="2">
      <c r="A794" s="32" t="inlineStr">
        <is>
          <t>весна</t>
        </is>
      </c>
      <c r="B794" s="9" t="inlineStr">
        <is>
          <t>Технология прокатно-прессового производства</t>
        </is>
      </c>
      <c r="C794" s="9" t="inlineStr">
        <is>
          <t>Экзамен</t>
        </is>
      </c>
      <c r="D794" s="9" t="inlineStr">
        <is>
          <t>Т1В-412Б-17</t>
        </is>
      </c>
      <c r="E794" s="10" t="n">
        <v>6</v>
      </c>
      <c r="F794" s="9" t="inlineStr">
        <is>
          <t>08769</t>
        </is>
      </c>
      <c r="G794" s="11" t="n">
        <v>0</v>
      </c>
      <c r="H794" s="9" t="inlineStr">
        <is>
          <t xml:space="preserve">81722     </t>
        </is>
      </c>
      <c r="I794" s="9" t="inlineStr">
        <is>
          <t xml:space="preserve">Шленский Алексей Геннадьевич </t>
        </is>
      </c>
      <c r="J794" s="9" t="inlineStr">
        <is>
          <t>доцент</t>
        </is>
      </c>
      <c r="K794" s="9" t="n"/>
      <c r="L794" s="9" t="n"/>
      <c r="M794" s="12">
        <f>SUMIFS($E$2:$E$1130,$A$2:$A$1130,"осень",$I$2:$I$1130,I794)</f>
        <v/>
      </c>
      <c r="N794" s="13">
        <f>SUMIFS($E$2:$E$1130,$A$2:$A$1130,"весна",$I$2:$I$1130,I794)</f>
        <v/>
      </c>
      <c r="O794" s="14">
        <f>M794+N794</f>
        <v/>
      </c>
      <c r="P794" s="15">
        <f>O794/$P$1</f>
        <v/>
      </c>
    </row>
    <row r="795" ht="15.75" customHeight="1" s="2">
      <c r="A795" s="32" t="inlineStr">
        <is>
          <t>весна</t>
        </is>
      </c>
      <c r="B795" s="9" t="inlineStr">
        <is>
          <t>Технология прокатно-прессового производства</t>
        </is>
      </c>
      <c r="C795" s="9" t="inlineStr">
        <is>
          <t>Консультация</t>
        </is>
      </c>
      <c r="D795" s="9" t="inlineStr">
        <is>
          <t>Т1В-412Б-17</t>
        </is>
      </c>
      <c r="E795" s="10" t="n">
        <v>5</v>
      </c>
      <c r="F795" s="9" t="inlineStr">
        <is>
          <t>08769</t>
        </is>
      </c>
      <c r="G795" s="11" t="n">
        <v>0</v>
      </c>
      <c r="H795" s="9" t="inlineStr">
        <is>
          <t xml:space="preserve">81722     </t>
        </is>
      </c>
      <c r="I795" s="9" t="inlineStr">
        <is>
          <t xml:space="preserve">Шленский Алексей Геннадьевич </t>
        </is>
      </c>
      <c r="J795" s="9" t="inlineStr">
        <is>
          <t>доцент</t>
        </is>
      </c>
      <c r="K795" s="9" t="n"/>
      <c r="L795" s="9" t="n"/>
      <c r="M795" s="12">
        <f>SUMIFS($E$2:$E$1130,$A$2:$A$1130,"осень",$I$2:$I$1130,I795)</f>
        <v/>
      </c>
      <c r="N795" s="13">
        <f>SUMIFS($E$2:$E$1130,$A$2:$A$1130,"весна",$I$2:$I$1130,I795)</f>
        <v/>
      </c>
      <c r="O795" s="14">
        <f>M795+N795</f>
        <v/>
      </c>
      <c r="P795" s="15">
        <f>O795/$P$1</f>
        <v/>
      </c>
    </row>
    <row r="796" ht="15.75" customHeight="1" s="2">
      <c r="A796" s="32" t="inlineStr">
        <is>
          <t>весна</t>
        </is>
      </c>
      <c r="B796" s="9" t="inlineStr">
        <is>
          <t>Программирование и алгоритмизация</t>
        </is>
      </c>
      <c r="C796" s="9" t="inlineStr">
        <is>
          <t>ЛК</t>
        </is>
      </c>
      <c r="D796" s="9" t="inlineStr">
        <is>
          <t>Т11О-103Б-20</t>
        </is>
      </c>
      <c r="E796" s="10" t="n">
        <v>12</v>
      </c>
      <c r="F796" s="9" t="inlineStr">
        <is>
          <t>13288</t>
        </is>
      </c>
      <c r="G796" s="10" t="n">
        <v>12</v>
      </c>
      <c r="H796" s="9" t="inlineStr">
        <is>
          <t xml:space="preserve">81721     </t>
        </is>
      </c>
      <c r="I796" s="9" t="inlineStr">
        <is>
          <t xml:space="preserve">Преображенский Евгений Владимирович </t>
        </is>
      </c>
      <c r="J796" s="9" t="inlineStr">
        <is>
          <t>доцент</t>
        </is>
      </c>
      <c r="K796" s="9" t="n"/>
      <c r="L796" s="9" t="n"/>
      <c r="M796" s="12">
        <f>SUMIFS($E$2:$E$1130,$A$2:$A$1130,"осень",$I$2:$I$1130,I796)</f>
        <v/>
      </c>
      <c r="N796" s="13">
        <f>SUMIFS($E$2:$E$1130,$A$2:$A$1130,"весна",$I$2:$I$1130,I796)</f>
        <v/>
      </c>
      <c r="O796" s="14">
        <f>M796+N796</f>
        <v/>
      </c>
      <c r="P796" s="15">
        <f>O796/$P$1</f>
        <v/>
      </c>
    </row>
    <row r="797" ht="15.75" customHeight="1" s="2">
      <c r="A797" s="32" t="inlineStr">
        <is>
          <t>весна</t>
        </is>
      </c>
      <c r="B797" s="9" t="inlineStr">
        <is>
          <t>Программирование и алгоритмизация</t>
        </is>
      </c>
      <c r="C797" s="9" t="inlineStr">
        <is>
          <t>ПЗ</t>
        </is>
      </c>
      <c r="D797" s="9" t="inlineStr">
        <is>
          <t>Т11О-103Б-20</t>
        </is>
      </c>
      <c r="E797" s="10" t="n">
        <v>18</v>
      </c>
      <c r="F797" s="9" t="inlineStr">
        <is>
          <t>13288</t>
        </is>
      </c>
      <c r="G797" s="10" t="n">
        <v>18</v>
      </c>
      <c r="H797" s="9" t="inlineStr">
        <is>
          <t xml:space="preserve">81721     </t>
        </is>
      </c>
      <c r="I797" s="9" t="inlineStr">
        <is>
          <t xml:space="preserve">Преображенский Евгений Владимирович </t>
        </is>
      </c>
      <c r="J797" s="9" t="inlineStr">
        <is>
          <t>доцент</t>
        </is>
      </c>
      <c r="K797" s="9" t="n"/>
      <c r="L797" s="9" t="n"/>
      <c r="M797" s="12">
        <f>SUMIFS($E$2:$E$1130,$A$2:$A$1130,"осень",$I$2:$I$1130,I797)</f>
        <v/>
      </c>
      <c r="N797" s="13">
        <f>SUMIFS($E$2:$E$1130,$A$2:$A$1130,"весна",$I$2:$I$1130,I797)</f>
        <v/>
      </c>
      <c r="O797" s="14">
        <f>M797+N797</f>
        <v/>
      </c>
      <c r="P797" s="15">
        <f>O797/$P$1</f>
        <v/>
      </c>
    </row>
    <row r="798" ht="15.75" customHeight="1" s="2">
      <c r="A798" s="32" t="inlineStr">
        <is>
          <t>весна</t>
        </is>
      </c>
      <c r="B798" s="9" t="inlineStr">
        <is>
          <t>Программирование и алгоритмизация</t>
        </is>
      </c>
      <c r="C798" s="9" t="inlineStr">
        <is>
          <t>Зачет</t>
        </is>
      </c>
      <c r="D798" s="9" t="inlineStr">
        <is>
          <t>Т11О-103Б-20</t>
        </is>
      </c>
      <c r="E798" s="10" t="n">
        <v>5</v>
      </c>
      <c r="F798" s="9" t="inlineStr">
        <is>
          <t>13288</t>
        </is>
      </c>
      <c r="G798" s="11" t="n">
        <v>0</v>
      </c>
      <c r="H798" s="9" t="inlineStr">
        <is>
          <t xml:space="preserve">81721     </t>
        </is>
      </c>
      <c r="I798" s="9" t="inlineStr">
        <is>
          <t xml:space="preserve">Преображенский Евгений Владимирович </t>
        </is>
      </c>
      <c r="J798" s="9" t="inlineStr">
        <is>
          <t>доцент</t>
        </is>
      </c>
      <c r="K798" s="9" t="n"/>
      <c r="L798" s="9" t="n"/>
      <c r="M798" s="12">
        <f>SUMIFS($E$2:$E$1130,$A$2:$A$1130,"осень",$I$2:$I$1130,I798)</f>
        <v/>
      </c>
      <c r="N798" s="13">
        <f>SUMIFS($E$2:$E$1130,$A$2:$A$1130,"весна",$I$2:$I$1130,I798)</f>
        <v/>
      </c>
      <c r="O798" s="14">
        <f>M798+N798</f>
        <v/>
      </c>
      <c r="P798" s="15">
        <f>O798/$P$1</f>
        <v/>
      </c>
    </row>
    <row r="799" ht="15.75" customHeight="1" s="2">
      <c r="A799" s="32" t="inlineStr">
        <is>
          <t>весна</t>
        </is>
      </c>
      <c r="B799" s="9" t="inlineStr">
        <is>
          <t>Программирование и алгоритмизация</t>
        </is>
      </c>
      <c r="C799" s="9" t="inlineStr">
        <is>
          <t>Консультация</t>
        </is>
      </c>
      <c r="D799" s="9" t="inlineStr">
        <is>
          <t>Т11О-103Б-20</t>
        </is>
      </c>
      <c r="E799" s="10" t="n">
        <v>1</v>
      </c>
      <c r="F799" s="9" t="inlineStr">
        <is>
          <t>13288</t>
        </is>
      </c>
      <c r="G799" s="11" t="n">
        <v>0</v>
      </c>
      <c r="H799" s="9" t="inlineStr">
        <is>
          <t xml:space="preserve">81721     </t>
        </is>
      </c>
      <c r="I799" s="9" t="inlineStr">
        <is>
          <t xml:space="preserve">Преображенский Евгений Владимирович </t>
        </is>
      </c>
      <c r="J799" s="9" t="inlineStr">
        <is>
          <t>доцент</t>
        </is>
      </c>
      <c r="K799" s="9" t="n"/>
      <c r="L799" s="9" t="n"/>
      <c r="M799" s="12">
        <f>SUMIFS($E$2:$E$1130,$A$2:$A$1130,"осень",$I$2:$I$1130,I799)</f>
        <v/>
      </c>
      <c r="N799" s="13">
        <f>SUMIFS($E$2:$E$1130,$A$2:$A$1130,"весна",$I$2:$I$1130,I799)</f>
        <v/>
      </c>
      <c r="O799" s="14">
        <f>M799+N799</f>
        <v/>
      </c>
      <c r="P799" s="15">
        <f>O799/$P$1</f>
        <v/>
      </c>
    </row>
    <row r="800" ht="15.75" customHeight="1" s="2">
      <c r="A800" s="32" t="inlineStr">
        <is>
          <t>весна</t>
        </is>
      </c>
      <c r="B800" s="9" t="inlineStr">
        <is>
          <t>Автоматизация технологических процессов ОМД</t>
        </is>
      </c>
      <c r="C800" s="9" t="inlineStr">
        <is>
          <t>ЛК</t>
        </is>
      </c>
      <c r="D800" s="9" t="inlineStr">
        <is>
          <t>Т1В-516Б-16</t>
        </is>
      </c>
      <c r="E800" s="10" t="n">
        <v>4</v>
      </c>
      <c r="F800" s="9" t="inlineStr">
        <is>
          <t>04644</t>
        </is>
      </c>
      <c r="G800" s="10" t="n">
        <v>4</v>
      </c>
      <c r="H800" s="9" t="inlineStr">
        <is>
          <t xml:space="preserve">81722     </t>
        </is>
      </c>
      <c r="I800" s="9" t="inlineStr">
        <is>
          <t xml:space="preserve">Шленский Алексей Геннадьевич </t>
        </is>
      </c>
      <c r="J800" s="9" t="inlineStr">
        <is>
          <t>доцент</t>
        </is>
      </c>
      <c r="K800" s="9" t="n"/>
      <c r="L800" s="9" t="n"/>
      <c r="M800" s="12">
        <f>SUMIFS($E$2:$E$1130,$A$2:$A$1130,"осень",$I$2:$I$1130,I800)</f>
        <v/>
      </c>
      <c r="N800" s="13">
        <f>SUMIFS($E$2:$E$1130,$A$2:$A$1130,"весна",$I$2:$I$1130,I800)</f>
        <v/>
      </c>
      <c r="O800" s="14">
        <f>M800+N800</f>
        <v/>
      </c>
      <c r="P800" s="15">
        <f>O800/$P$1</f>
        <v/>
      </c>
    </row>
    <row r="801" ht="15.75" customHeight="1" s="2">
      <c r="A801" s="32" t="inlineStr">
        <is>
          <t>весна</t>
        </is>
      </c>
      <c r="B801" s="9" t="inlineStr">
        <is>
          <t>Автоматизация технологических процессов ОМД</t>
        </is>
      </c>
      <c r="C801" s="9" t="inlineStr">
        <is>
          <t>ПЗ</t>
        </is>
      </c>
      <c r="D801" s="9" t="inlineStr">
        <is>
          <t>Т1В-516Б-16</t>
        </is>
      </c>
      <c r="E801" s="10" t="n">
        <v>8</v>
      </c>
      <c r="F801" s="9" t="inlineStr">
        <is>
          <t>04644</t>
        </is>
      </c>
      <c r="G801" s="10" t="n">
        <v>8</v>
      </c>
      <c r="H801" s="9" t="inlineStr">
        <is>
          <t xml:space="preserve">81722     </t>
        </is>
      </c>
      <c r="I801" s="9" t="inlineStr">
        <is>
          <t xml:space="preserve">Шленский Алексей Геннадьевич </t>
        </is>
      </c>
      <c r="J801" s="9" t="inlineStr">
        <is>
          <t>доцент</t>
        </is>
      </c>
      <c r="K801" s="9" t="n"/>
      <c r="L801" s="9" t="n"/>
      <c r="M801" s="12">
        <f>SUMIFS($E$2:$E$1130,$A$2:$A$1130,"осень",$I$2:$I$1130,I801)</f>
        <v/>
      </c>
      <c r="N801" s="13">
        <f>SUMIFS($E$2:$E$1130,$A$2:$A$1130,"весна",$I$2:$I$1130,I801)</f>
        <v/>
      </c>
      <c r="O801" s="14">
        <f>M801+N801</f>
        <v/>
      </c>
      <c r="P801" s="15">
        <f>O801/$P$1</f>
        <v/>
      </c>
    </row>
    <row r="802" ht="15.75" customHeight="1" s="2">
      <c r="A802" s="32" t="inlineStr">
        <is>
          <t>весна</t>
        </is>
      </c>
      <c r="B802" s="9" t="inlineStr">
        <is>
          <t>Автоматизация технологических процессов ОМД</t>
        </is>
      </c>
      <c r="C802" s="9" t="inlineStr">
        <is>
          <t>КСР</t>
        </is>
      </c>
      <c r="D802" s="9" t="inlineStr">
        <is>
          <t>Т1В-516Б-16</t>
        </is>
      </c>
      <c r="E802" s="10" t="n">
        <v>4</v>
      </c>
      <c r="F802" s="9" t="inlineStr">
        <is>
          <t>04644</t>
        </is>
      </c>
      <c r="G802" s="10" t="n">
        <v>4</v>
      </c>
      <c r="H802" s="9" t="inlineStr">
        <is>
          <t xml:space="preserve">81722     </t>
        </is>
      </c>
      <c r="I802" s="9" t="inlineStr">
        <is>
          <t xml:space="preserve">Шленский Алексей Геннадьевич </t>
        </is>
      </c>
      <c r="J802" s="9" t="inlineStr">
        <is>
          <t>доцент</t>
        </is>
      </c>
      <c r="K802" s="9" t="n"/>
      <c r="L802" s="9" t="n"/>
      <c r="M802" s="12">
        <f>SUMIFS($E$2:$E$1130,$A$2:$A$1130,"осень",$I$2:$I$1130,I802)</f>
        <v/>
      </c>
      <c r="N802" s="13">
        <f>SUMIFS($E$2:$E$1130,$A$2:$A$1130,"весна",$I$2:$I$1130,I802)</f>
        <v/>
      </c>
      <c r="O802" s="14">
        <f>M802+N802</f>
        <v/>
      </c>
      <c r="P802" s="15">
        <f>O802/$P$1</f>
        <v/>
      </c>
    </row>
    <row r="803" ht="15.75" customHeight="1" s="2">
      <c r="A803" s="32" t="inlineStr">
        <is>
          <t>весна</t>
        </is>
      </c>
      <c r="B803" s="9" t="inlineStr">
        <is>
          <t>Автоматизация технологических процессов ОМД</t>
        </is>
      </c>
      <c r="C803" s="9" t="inlineStr">
        <is>
          <t>Зачет</t>
        </is>
      </c>
      <c r="D803" s="9" t="inlineStr">
        <is>
          <t>Т1В-516Б-16</t>
        </is>
      </c>
      <c r="E803" s="10" t="n">
        <v>2</v>
      </c>
      <c r="F803" s="9" t="inlineStr">
        <is>
          <t>04644</t>
        </is>
      </c>
      <c r="G803" s="11" t="n">
        <v>0</v>
      </c>
      <c r="H803" s="9" t="inlineStr">
        <is>
          <t xml:space="preserve">81722     </t>
        </is>
      </c>
      <c r="I803" s="9" t="inlineStr">
        <is>
          <t xml:space="preserve">Шленский Алексей Геннадьевич </t>
        </is>
      </c>
      <c r="J803" s="9" t="inlineStr">
        <is>
          <t>доцент</t>
        </is>
      </c>
      <c r="K803" s="9" t="n"/>
      <c r="L803" s="9" t="n"/>
      <c r="M803" s="12">
        <f>SUMIFS($E$2:$E$1130,$A$2:$A$1130,"осень",$I$2:$I$1130,I803)</f>
        <v/>
      </c>
      <c r="N803" s="13">
        <f>SUMIFS($E$2:$E$1130,$A$2:$A$1130,"весна",$I$2:$I$1130,I803)</f>
        <v/>
      </c>
      <c r="O803" s="14">
        <f>M803+N803</f>
        <v/>
      </c>
      <c r="P803" s="15">
        <f>O803/$P$1</f>
        <v/>
      </c>
    </row>
    <row r="804" ht="15.75" customHeight="1" s="2">
      <c r="A804" s="32" t="inlineStr">
        <is>
          <t>весна</t>
        </is>
      </c>
      <c r="B804" s="9" t="inlineStr">
        <is>
          <t>Теория обработки металлов давлением</t>
        </is>
      </c>
      <c r="C804" s="9" t="inlineStr">
        <is>
          <t>ЛК</t>
        </is>
      </c>
      <c r="D804" s="9" t="inlineStr">
        <is>
          <t>Т11О-301Б-18, Т11О-302Б-18</t>
        </is>
      </c>
      <c r="E804" s="10" t="n">
        <v>32</v>
      </c>
      <c r="F804" s="9" t="inlineStr">
        <is>
          <t>08947</t>
        </is>
      </c>
      <c r="G804" s="10" t="n">
        <v>32</v>
      </c>
      <c r="H804" s="9" t="inlineStr">
        <is>
          <t xml:space="preserve">81720     </t>
        </is>
      </c>
      <c r="I804" s="9" t="inlineStr">
        <is>
          <t xml:space="preserve">Палтиевич Андрей Романович </t>
        </is>
      </c>
      <c r="J804" s="9" t="n"/>
      <c r="K804" s="9" t="n"/>
      <c r="L804" s="9" t="inlineStr">
        <is>
          <t>Кроме вторника</t>
        </is>
      </c>
      <c r="M804" s="12">
        <f>SUMIFS($E$2:$E$1130,$A$2:$A$1130,"осень",$I$2:$I$1130,I804)</f>
        <v/>
      </c>
      <c r="N804" s="13">
        <f>SUMIFS($E$2:$E$1130,$A$2:$A$1130,"весна",$I$2:$I$1130,I804)</f>
        <v/>
      </c>
      <c r="O804" s="14">
        <f>M804+N804</f>
        <v/>
      </c>
      <c r="P804" s="15">
        <f>O804/$P$1</f>
        <v/>
      </c>
    </row>
    <row r="805" ht="15.75" customHeight="1" s="2">
      <c r="A805" s="32" t="inlineStr">
        <is>
          <t>весна</t>
        </is>
      </c>
      <c r="B805" s="9" t="inlineStr">
        <is>
          <t>Теория обработки металлов давлением</t>
        </is>
      </c>
      <c r="C805" s="9" t="inlineStr">
        <is>
          <t>ПЗ</t>
        </is>
      </c>
      <c r="D805" s="9" t="inlineStr">
        <is>
          <t>Т11О-301Б-18</t>
        </is>
      </c>
      <c r="E805" s="10" t="n">
        <v>20</v>
      </c>
      <c r="F805" s="9" t="inlineStr">
        <is>
          <t>08947</t>
        </is>
      </c>
      <c r="G805" s="10" t="n">
        <v>20</v>
      </c>
      <c r="H805" s="9" t="inlineStr">
        <is>
          <t xml:space="preserve">81720     </t>
        </is>
      </c>
      <c r="I805" s="9" t="inlineStr">
        <is>
          <t xml:space="preserve">Палтиевич Андрей Романович </t>
        </is>
      </c>
      <c r="J805" s="9" t="n"/>
      <c r="K805" s="9" t="n"/>
      <c r="L805" s="9" t="inlineStr">
        <is>
          <t>Кроме вторника</t>
        </is>
      </c>
      <c r="M805" s="12">
        <f>SUMIFS($E$2:$E$1130,$A$2:$A$1130,"осень",$I$2:$I$1130,I805)</f>
        <v/>
      </c>
      <c r="N805" s="13">
        <f>SUMIFS($E$2:$E$1130,$A$2:$A$1130,"весна",$I$2:$I$1130,I805)</f>
        <v/>
      </c>
      <c r="O805" s="14">
        <f>M805+N805</f>
        <v/>
      </c>
      <c r="P805" s="15">
        <f>O805/$P$1</f>
        <v/>
      </c>
    </row>
    <row r="806" ht="15.75" customHeight="1" s="2">
      <c r="A806" s="32" t="inlineStr">
        <is>
          <t>весна</t>
        </is>
      </c>
      <c r="B806" s="9" t="inlineStr">
        <is>
          <t>Теория обработки металлов давлением</t>
        </is>
      </c>
      <c r="C806" s="9" t="inlineStr">
        <is>
          <t>ПЗ</t>
        </is>
      </c>
      <c r="D806" s="9" t="inlineStr">
        <is>
          <t>Т11О-302Б-18</t>
        </is>
      </c>
      <c r="E806" s="10" t="n">
        <v>20</v>
      </c>
      <c r="F806" s="9" t="inlineStr">
        <is>
          <t>08947</t>
        </is>
      </c>
      <c r="G806" s="10" t="n">
        <v>20</v>
      </c>
      <c r="H806" s="9" t="inlineStr">
        <is>
          <t xml:space="preserve">81720     </t>
        </is>
      </c>
      <c r="I806" s="9" t="inlineStr">
        <is>
          <t xml:space="preserve">Палтиевич Андрей Романович </t>
        </is>
      </c>
      <c r="J806" s="9" t="n"/>
      <c r="K806" s="9" t="n"/>
      <c r="L806" s="9" t="inlineStr">
        <is>
          <t>Кроме вторника</t>
        </is>
      </c>
      <c r="M806" s="12">
        <f>SUMIFS($E$2:$E$1130,$A$2:$A$1130,"осень",$I$2:$I$1130,I806)</f>
        <v/>
      </c>
      <c r="N806" s="13">
        <f>SUMIFS($E$2:$E$1130,$A$2:$A$1130,"весна",$I$2:$I$1130,I806)</f>
        <v/>
      </c>
      <c r="O806" s="14">
        <f>M806+N806</f>
        <v/>
      </c>
      <c r="P806" s="15">
        <f>O806/$P$1</f>
        <v/>
      </c>
    </row>
    <row r="807" ht="15.75" customHeight="1" s="2">
      <c r="A807" s="32" t="inlineStr">
        <is>
          <t>весна</t>
        </is>
      </c>
      <c r="B807" s="9" t="inlineStr">
        <is>
          <t>Теория обработки металлов давлением</t>
        </is>
      </c>
      <c r="C807" s="9" t="inlineStr">
        <is>
          <t>ЛР</t>
        </is>
      </c>
      <c r="D807" s="9" t="inlineStr">
        <is>
          <t>Т11О-301Б-18</t>
        </is>
      </c>
      <c r="E807" s="10" t="n">
        <v>32</v>
      </c>
      <c r="F807" s="9" t="inlineStr">
        <is>
          <t>08947</t>
        </is>
      </c>
      <c r="G807" s="10" t="n">
        <v>16</v>
      </c>
      <c r="H807" s="9" t="inlineStr">
        <is>
          <t xml:space="preserve">81720     </t>
        </is>
      </c>
      <c r="I807" s="9" t="inlineStr">
        <is>
          <t xml:space="preserve">Палтиевич Андрей Романович </t>
        </is>
      </c>
      <c r="J807" s="9" t="n"/>
      <c r="K807" s="9" t="n"/>
      <c r="L807" s="9" t="inlineStr">
        <is>
          <t>Кроме вторника</t>
        </is>
      </c>
      <c r="M807" s="12">
        <f>SUMIFS($E$2:$E$1130,$A$2:$A$1130,"осень",$I$2:$I$1130,I807)</f>
        <v/>
      </c>
      <c r="N807" s="13">
        <f>SUMIFS($E$2:$E$1130,$A$2:$A$1130,"весна",$I$2:$I$1130,I807)</f>
        <v/>
      </c>
      <c r="O807" s="14">
        <f>M807+N807</f>
        <v/>
      </c>
      <c r="P807" s="15">
        <f>O807/$P$1</f>
        <v/>
      </c>
    </row>
    <row r="808" ht="15.75" customHeight="1" s="2">
      <c r="A808" s="32" t="inlineStr">
        <is>
          <t>весна</t>
        </is>
      </c>
      <c r="B808" s="9" t="inlineStr">
        <is>
          <t>Теория обработки металлов давлением</t>
        </is>
      </c>
      <c r="C808" s="9" t="inlineStr">
        <is>
          <t>ЛР</t>
        </is>
      </c>
      <c r="D808" s="9" t="inlineStr">
        <is>
          <t>Т11О-302Б-18</t>
        </is>
      </c>
      <c r="E808" s="10" t="n">
        <v>16</v>
      </c>
      <c r="F808" s="9" t="inlineStr">
        <is>
          <t>08947</t>
        </is>
      </c>
      <c r="G808" s="10" t="n">
        <v>16</v>
      </c>
      <c r="H808" s="9" t="inlineStr">
        <is>
          <t xml:space="preserve">81720     </t>
        </is>
      </c>
      <c r="I808" s="9" t="inlineStr">
        <is>
          <t xml:space="preserve">Палтиевич Андрей Романович </t>
        </is>
      </c>
      <c r="J808" s="9" t="n"/>
      <c r="K808" s="9" t="n"/>
      <c r="L808" s="9" t="inlineStr">
        <is>
          <t>Кроме вторника</t>
        </is>
      </c>
      <c r="M808" s="12">
        <f>SUMIFS($E$2:$E$1130,$A$2:$A$1130,"осень",$I$2:$I$1130,I808)</f>
        <v/>
      </c>
      <c r="N808" s="13">
        <f>SUMIFS($E$2:$E$1130,$A$2:$A$1130,"весна",$I$2:$I$1130,I808)</f>
        <v/>
      </c>
      <c r="O808" s="14">
        <f>M808+N808</f>
        <v/>
      </c>
      <c r="P808" s="15">
        <f>O808/$P$1</f>
        <v/>
      </c>
    </row>
    <row r="809" ht="15.75" customHeight="1" s="2">
      <c r="A809" s="32" t="inlineStr">
        <is>
          <t>весна</t>
        </is>
      </c>
      <c r="B809" s="9" t="inlineStr">
        <is>
          <t>Теория обработки металлов давлением</t>
        </is>
      </c>
      <c r="C809" s="9" t="inlineStr">
        <is>
          <t>Экзамен</t>
        </is>
      </c>
      <c r="D809" s="9" t="inlineStr">
        <is>
          <t>Т11О-301Б-18</t>
        </is>
      </c>
      <c r="E809" s="10" t="n">
        <v>9</v>
      </c>
      <c r="F809" s="9" t="inlineStr">
        <is>
          <t>08947</t>
        </is>
      </c>
      <c r="G809" s="11" t="n">
        <v>0</v>
      </c>
      <c r="H809" s="9" t="inlineStr">
        <is>
          <t xml:space="preserve">81720     </t>
        </is>
      </c>
      <c r="I809" s="9" t="inlineStr">
        <is>
          <t xml:space="preserve">Палтиевич Андрей Романович </t>
        </is>
      </c>
      <c r="J809" s="9" t="n"/>
      <c r="K809" s="9" t="n"/>
      <c r="L809" s="9" t="inlineStr">
        <is>
          <t>Кроме вторника</t>
        </is>
      </c>
      <c r="M809" s="12">
        <f>SUMIFS($E$2:$E$1130,$A$2:$A$1130,"осень",$I$2:$I$1130,I809)</f>
        <v/>
      </c>
      <c r="N809" s="13">
        <f>SUMIFS($E$2:$E$1130,$A$2:$A$1130,"весна",$I$2:$I$1130,I809)</f>
        <v/>
      </c>
      <c r="O809" s="14">
        <f>M809+N809</f>
        <v/>
      </c>
      <c r="P809" s="15">
        <f>O809/$P$1</f>
        <v/>
      </c>
    </row>
    <row r="810" ht="15.75" customHeight="1" s="2">
      <c r="A810" s="32" t="inlineStr">
        <is>
          <t>весна</t>
        </is>
      </c>
      <c r="B810" s="9" t="inlineStr">
        <is>
          <t>Теория обработки металлов давлением</t>
        </is>
      </c>
      <c r="C810" s="9" t="inlineStr">
        <is>
          <t>Экзамен</t>
        </is>
      </c>
      <c r="D810" s="9" t="inlineStr">
        <is>
          <t>Т11О-302Б-18</t>
        </is>
      </c>
      <c r="E810" s="10" t="n">
        <v>7</v>
      </c>
      <c r="F810" s="9" t="inlineStr">
        <is>
          <t>08947</t>
        </is>
      </c>
      <c r="G810" s="11" t="n">
        <v>0</v>
      </c>
      <c r="H810" s="9" t="inlineStr">
        <is>
          <t xml:space="preserve">81720     </t>
        </is>
      </c>
      <c r="I810" s="9" t="inlineStr">
        <is>
          <t xml:space="preserve">Палтиевич Андрей Романович </t>
        </is>
      </c>
      <c r="J810" s="9" t="n"/>
      <c r="K810" s="9" t="n"/>
      <c r="L810" s="9" t="inlineStr">
        <is>
          <t>Кроме вторника</t>
        </is>
      </c>
      <c r="M810" s="12">
        <f>SUMIFS($E$2:$E$1130,$A$2:$A$1130,"осень",$I$2:$I$1130,I810)</f>
        <v/>
      </c>
      <c r="N810" s="13">
        <f>SUMIFS($E$2:$E$1130,$A$2:$A$1130,"весна",$I$2:$I$1130,I810)</f>
        <v/>
      </c>
      <c r="O810" s="14">
        <f>M810+N810</f>
        <v/>
      </c>
      <c r="P810" s="15">
        <f>O810/$P$1</f>
        <v/>
      </c>
    </row>
    <row r="811" ht="15.75" customHeight="1" s="2">
      <c r="A811" s="32" t="inlineStr">
        <is>
          <t>весна</t>
        </is>
      </c>
      <c r="B811" s="9" t="inlineStr">
        <is>
          <t>Теория обработки металлов давлением</t>
        </is>
      </c>
      <c r="C811" s="9" t="inlineStr">
        <is>
          <t>Консультация</t>
        </is>
      </c>
      <c r="D811" s="9" t="inlineStr">
        <is>
          <t>Т11О-301Б-18</t>
        </is>
      </c>
      <c r="E811" s="10" t="n">
        <v>4</v>
      </c>
      <c r="F811" s="9" t="inlineStr">
        <is>
          <t>08947</t>
        </is>
      </c>
      <c r="G811" s="11" t="n">
        <v>0</v>
      </c>
      <c r="H811" s="9" t="inlineStr">
        <is>
          <t xml:space="preserve">81720     </t>
        </is>
      </c>
      <c r="I811" s="9" t="inlineStr">
        <is>
          <t xml:space="preserve">Палтиевич Андрей Романович </t>
        </is>
      </c>
      <c r="J811" s="9" t="n"/>
      <c r="K811" s="9" t="n"/>
      <c r="L811" s="9" t="inlineStr">
        <is>
          <t>Кроме вторника</t>
        </is>
      </c>
      <c r="M811" s="12">
        <f>SUMIFS($E$2:$E$1130,$A$2:$A$1130,"осень",$I$2:$I$1130,I811)</f>
        <v/>
      </c>
      <c r="N811" s="13">
        <f>SUMIFS($E$2:$E$1130,$A$2:$A$1130,"весна",$I$2:$I$1130,I811)</f>
        <v/>
      </c>
      <c r="O811" s="14">
        <f>M811+N811</f>
        <v/>
      </c>
      <c r="P811" s="15">
        <f>O811/$P$1</f>
        <v/>
      </c>
    </row>
    <row r="812" ht="15.75" customHeight="1" s="2">
      <c r="A812" s="32" t="inlineStr">
        <is>
          <t>весна</t>
        </is>
      </c>
      <c r="B812" s="9" t="inlineStr">
        <is>
          <t>Теория обработки металлов давлением</t>
        </is>
      </c>
      <c r="C812" s="9" t="inlineStr">
        <is>
          <t>Консультация</t>
        </is>
      </c>
      <c r="D812" s="9" t="inlineStr">
        <is>
          <t>Т11О-302Б-18</t>
        </is>
      </c>
      <c r="E812" s="10" t="n">
        <v>4</v>
      </c>
      <c r="F812" s="9" t="inlineStr">
        <is>
          <t>08947</t>
        </is>
      </c>
      <c r="G812" s="11" t="n">
        <v>0</v>
      </c>
      <c r="H812" s="9" t="inlineStr">
        <is>
          <t xml:space="preserve">81720     </t>
        </is>
      </c>
      <c r="I812" s="9" t="inlineStr">
        <is>
          <t xml:space="preserve">Палтиевич Андрей Романович </t>
        </is>
      </c>
      <c r="J812" s="9" t="n"/>
      <c r="K812" s="9" t="n"/>
      <c r="L812" s="9" t="inlineStr">
        <is>
          <t>Кроме вторника</t>
        </is>
      </c>
      <c r="M812" s="12">
        <f>SUMIFS($E$2:$E$1130,$A$2:$A$1130,"осень",$I$2:$I$1130,I812)</f>
        <v/>
      </c>
      <c r="N812" s="13">
        <f>SUMIFS($E$2:$E$1130,$A$2:$A$1130,"весна",$I$2:$I$1130,I812)</f>
        <v/>
      </c>
      <c r="O812" s="14">
        <f>M812+N812</f>
        <v/>
      </c>
      <c r="P812" s="15">
        <f>O812/$P$1</f>
        <v/>
      </c>
    </row>
    <row r="813" ht="15.75" customHeight="1" s="2">
      <c r="A813" s="32" t="inlineStr">
        <is>
          <t>весна</t>
        </is>
      </c>
      <c r="B813" s="9" t="inlineStr">
        <is>
          <t>Технология кузнечно-штамповочного производства</t>
        </is>
      </c>
      <c r="C813" s="9" t="inlineStr">
        <is>
          <t>КП</t>
        </is>
      </c>
      <c r="D813" s="9" t="inlineStr">
        <is>
          <t>Т1В-516Б-16</t>
        </is>
      </c>
      <c r="E813" s="10" t="n">
        <v>24</v>
      </c>
      <c r="F813" s="9" t="inlineStr">
        <is>
          <t>04644</t>
        </is>
      </c>
      <c r="G813" s="11" t="n">
        <v>0</v>
      </c>
      <c r="H813" s="9" t="inlineStr">
        <is>
          <t xml:space="preserve">81729     </t>
        </is>
      </c>
      <c r="I813" s="9" t="inlineStr">
        <is>
          <t xml:space="preserve">Соколов Алексей Викторович </t>
        </is>
      </c>
      <c r="J813" s="9" t="inlineStr">
        <is>
          <t>доцент</t>
        </is>
      </c>
      <c r="K813" s="9" t="n"/>
      <c r="L813" s="9" t="n"/>
      <c r="M813" s="12">
        <f>SUMIFS($E$2:$E$1130,$A$2:$A$1130,"осень",$I$2:$I$1130,I813)</f>
        <v/>
      </c>
      <c r="N813" s="13">
        <f>SUMIFS($E$2:$E$1130,$A$2:$A$1130,"весна",$I$2:$I$1130,I813)</f>
        <v/>
      </c>
      <c r="O813" s="14">
        <f>M813+N813</f>
        <v/>
      </c>
      <c r="P813" s="15">
        <f>O813/$P$1</f>
        <v/>
      </c>
    </row>
    <row r="814" ht="15.75" customHeight="1" s="2">
      <c r="A814" s="32" t="inlineStr">
        <is>
          <t>весна</t>
        </is>
      </c>
      <c r="B814" s="9" t="inlineStr">
        <is>
          <t>Технология кузнечно-штамповочного производства</t>
        </is>
      </c>
      <c r="C814" s="9" t="inlineStr">
        <is>
          <t>КП</t>
        </is>
      </c>
      <c r="D814" s="9" t="inlineStr">
        <is>
          <t>Т1О-401Б-17</t>
        </is>
      </c>
      <c r="E814" s="10" t="n">
        <v>64</v>
      </c>
      <c r="F814" s="9" t="inlineStr">
        <is>
          <t>06256</t>
        </is>
      </c>
      <c r="G814" s="11" t="n">
        <v>0</v>
      </c>
      <c r="H814" s="9" t="inlineStr">
        <is>
          <t xml:space="preserve">81729     </t>
        </is>
      </c>
      <c r="I814" s="9" t="inlineStr">
        <is>
          <t xml:space="preserve">Соколов Алексей Викторович </t>
        </is>
      </c>
      <c r="J814" s="9" t="inlineStr">
        <is>
          <t>доцент</t>
        </is>
      </c>
      <c r="K814" s="9" t="n"/>
      <c r="L814" s="9" t="n"/>
      <c r="M814" s="12">
        <f>SUMIFS($E$2:$E$1130,$A$2:$A$1130,"осень",$I$2:$I$1130,I814)</f>
        <v/>
      </c>
      <c r="N814" s="13">
        <f>SUMIFS($E$2:$E$1130,$A$2:$A$1130,"весна",$I$2:$I$1130,I814)</f>
        <v/>
      </c>
      <c r="O814" s="14">
        <f>M814+N814</f>
        <v/>
      </c>
      <c r="P814" s="15">
        <f>O814/$P$1</f>
        <v/>
      </c>
    </row>
    <row r="815" ht="15.75" customHeight="1" s="2">
      <c r="A815" s="32" t="inlineStr">
        <is>
          <t>весна</t>
        </is>
      </c>
      <c r="B815" s="9" t="inlineStr">
        <is>
          <t>Технология кузнечно-штамповочного производства</t>
        </is>
      </c>
      <c r="C815" s="9" t="inlineStr">
        <is>
          <t>ЛК</t>
        </is>
      </c>
      <c r="D815" s="9" t="inlineStr">
        <is>
          <t>Т1В-516Б-16</t>
        </is>
      </c>
      <c r="E815" s="10" t="n">
        <v>8</v>
      </c>
      <c r="F815" s="9" t="inlineStr">
        <is>
          <t>04644</t>
        </is>
      </c>
      <c r="G815" s="11" t="n">
        <v>0</v>
      </c>
      <c r="H815" s="9" t="inlineStr">
        <is>
          <t xml:space="preserve">81729     </t>
        </is>
      </c>
      <c r="I815" s="9" t="inlineStr">
        <is>
          <t xml:space="preserve">Соколов Алексей Викторович </t>
        </is>
      </c>
      <c r="J815" s="9" t="inlineStr">
        <is>
          <t>доцент</t>
        </is>
      </c>
      <c r="K815" s="9" t="n"/>
      <c r="L815" s="9" t="n"/>
      <c r="M815" s="12">
        <f>SUMIFS($E$2:$E$1130,$A$2:$A$1130,"осень",$I$2:$I$1130,I815)</f>
        <v/>
      </c>
      <c r="N815" s="13">
        <f>SUMIFS($E$2:$E$1130,$A$2:$A$1130,"весна",$I$2:$I$1130,I815)</f>
        <v/>
      </c>
      <c r="O815" s="14">
        <f>M815+N815</f>
        <v/>
      </c>
      <c r="P815" s="15">
        <f>O815/$P$1</f>
        <v/>
      </c>
    </row>
    <row r="816" ht="15.75" customHeight="1" s="2">
      <c r="A816" s="32" t="inlineStr">
        <is>
          <t>весна</t>
        </is>
      </c>
      <c r="B816" s="9" t="inlineStr">
        <is>
          <t>Технология кузнечно-штамповочного производства</t>
        </is>
      </c>
      <c r="C816" s="9" t="inlineStr">
        <is>
          <t>ЛК</t>
        </is>
      </c>
      <c r="D816" s="9" t="inlineStr">
        <is>
          <t>Т1О-401Б-17</t>
        </is>
      </c>
      <c r="E816" s="10" t="n">
        <v>20</v>
      </c>
      <c r="F816" s="9" t="inlineStr">
        <is>
          <t>06256</t>
        </is>
      </c>
      <c r="G816" s="10" t="n">
        <v>20</v>
      </c>
      <c r="H816" s="9" t="inlineStr">
        <is>
          <t xml:space="preserve">81729     </t>
        </is>
      </c>
      <c r="I816" s="9" t="inlineStr">
        <is>
          <t xml:space="preserve">Соколов Алексей Викторович </t>
        </is>
      </c>
      <c r="J816" s="9" t="inlineStr">
        <is>
          <t>доцент</t>
        </is>
      </c>
      <c r="K816" s="9" t="n"/>
      <c r="L816" s="9" t="n"/>
      <c r="M816" s="12">
        <f>SUMIFS($E$2:$E$1130,$A$2:$A$1130,"осень",$I$2:$I$1130,I816)</f>
        <v/>
      </c>
      <c r="N816" s="13">
        <f>SUMIFS($E$2:$E$1130,$A$2:$A$1130,"весна",$I$2:$I$1130,I816)</f>
        <v/>
      </c>
      <c r="O816" s="14">
        <f>M816+N816</f>
        <v/>
      </c>
      <c r="P816" s="15">
        <f>O816/$P$1</f>
        <v/>
      </c>
    </row>
    <row r="817" ht="15.75" customHeight="1" s="2">
      <c r="A817" s="32" t="inlineStr">
        <is>
          <t>весна</t>
        </is>
      </c>
      <c r="B817" s="9" t="inlineStr">
        <is>
          <t>Технология кузнечно-штамповочного производства</t>
        </is>
      </c>
      <c r="C817" s="9" t="inlineStr">
        <is>
          <t>ПЗ</t>
        </is>
      </c>
      <c r="D817" s="9" t="inlineStr">
        <is>
          <t>Т1В-516Б-16</t>
        </is>
      </c>
      <c r="E817" s="10" t="n">
        <v>12</v>
      </c>
      <c r="F817" s="9" t="inlineStr">
        <is>
          <t>04644</t>
        </is>
      </c>
      <c r="G817" s="11" t="n">
        <v>0</v>
      </c>
      <c r="H817" s="9" t="inlineStr">
        <is>
          <t xml:space="preserve">81729     </t>
        </is>
      </c>
      <c r="I817" s="9" t="inlineStr">
        <is>
          <t xml:space="preserve">Соколов Алексей Викторович </t>
        </is>
      </c>
      <c r="J817" s="9" t="inlineStr">
        <is>
          <t>доцент</t>
        </is>
      </c>
      <c r="K817" s="9" t="n"/>
      <c r="L817" s="9" t="n"/>
      <c r="M817" s="12">
        <f>SUMIFS($E$2:$E$1130,$A$2:$A$1130,"осень",$I$2:$I$1130,I817)</f>
        <v/>
      </c>
      <c r="N817" s="13">
        <f>SUMIFS($E$2:$E$1130,$A$2:$A$1130,"весна",$I$2:$I$1130,I817)</f>
        <v/>
      </c>
      <c r="O817" s="14">
        <f>M817+N817</f>
        <v/>
      </c>
      <c r="P817" s="15">
        <f>O817/$P$1</f>
        <v/>
      </c>
    </row>
    <row r="818" ht="15.75" customHeight="1" s="2">
      <c r="A818" s="32" t="inlineStr">
        <is>
          <t>весна</t>
        </is>
      </c>
      <c r="B818" s="9" t="inlineStr">
        <is>
          <t>Технология кузнечно-штамповочного производства</t>
        </is>
      </c>
      <c r="C818" s="9" t="inlineStr">
        <is>
          <t>ПЗ</t>
        </is>
      </c>
      <c r="D818" s="9" t="inlineStr">
        <is>
          <t>Т1О-401Б-17</t>
        </is>
      </c>
      <c r="E818" s="10" t="n">
        <v>32</v>
      </c>
      <c r="F818" s="9" t="inlineStr">
        <is>
          <t>06256</t>
        </is>
      </c>
      <c r="G818" s="10" t="n">
        <v>32</v>
      </c>
      <c r="H818" s="9" t="inlineStr">
        <is>
          <t xml:space="preserve">81729     </t>
        </is>
      </c>
      <c r="I818" s="9" t="inlineStr">
        <is>
          <t xml:space="preserve">Соколов Алексей Викторович </t>
        </is>
      </c>
      <c r="J818" s="9" t="inlineStr">
        <is>
          <t>доцент</t>
        </is>
      </c>
      <c r="K818" s="9" t="n"/>
      <c r="L818" s="9" t="n"/>
      <c r="M818" s="12">
        <f>SUMIFS($E$2:$E$1130,$A$2:$A$1130,"осень",$I$2:$I$1130,I818)</f>
        <v/>
      </c>
      <c r="N818" s="13">
        <f>SUMIFS($E$2:$E$1130,$A$2:$A$1130,"весна",$I$2:$I$1130,I818)</f>
        <v/>
      </c>
      <c r="O818" s="14">
        <f>M818+N818</f>
        <v/>
      </c>
      <c r="P818" s="15">
        <f>O818/$P$1</f>
        <v/>
      </c>
    </row>
    <row r="819" ht="15.75" customHeight="1" s="2">
      <c r="A819" s="32" t="inlineStr">
        <is>
          <t>весна</t>
        </is>
      </c>
      <c r="B819" s="9" t="inlineStr">
        <is>
          <t>Технология кузнечно-штамповочного производства</t>
        </is>
      </c>
      <c r="C819" s="9" t="inlineStr">
        <is>
          <t>Экзамен</t>
        </is>
      </c>
      <c r="D819" s="9" t="inlineStr">
        <is>
          <t>Т1О-401Б-17</t>
        </is>
      </c>
      <c r="E819" s="10" t="n">
        <v>8</v>
      </c>
      <c r="F819" s="9" t="inlineStr">
        <is>
          <t>06256</t>
        </is>
      </c>
      <c r="G819" s="11" t="n">
        <v>0</v>
      </c>
      <c r="H819" s="9" t="inlineStr">
        <is>
          <t xml:space="preserve">81729     </t>
        </is>
      </c>
      <c r="I819" s="9" t="inlineStr">
        <is>
          <t xml:space="preserve">Соколов Алексей Викторович </t>
        </is>
      </c>
      <c r="J819" s="9" t="inlineStr">
        <is>
          <t>доцент</t>
        </is>
      </c>
      <c r="K819" s="9" t="n"/>
      <c r="L819" s="9" t="n"/>
      <c r="M819" s="12">
        <f>SUMIFS($E$2:$E$1130,$A$2:$A$1130,"осень",$I$2:$I$1130,I819)</f>
        <v/>
      </c>
      <c r="N819" s="13">
        <f>SUMIFS($E$2:$E$1130,$A$2:$A$1130,"весна",$I$2:$I$1130,I819)</f>
        <v/>
      </c>
      <c r="O819" s="14">
        <f>M819+N819</f>
        <v/>
      </c>
      <c r="P819" s="15">
        <f>O819/$P$1</f>
        <v/>
      </c>
    </row>
    <row r="820" ht="15.75" customHeight="1" s="2">
      <c r="A820" s="32" t="inlineStr">
        <is>
          <t>весна</t>
        </is>
      </c>
      <c r="B820" s="9" t="inlineStr">
        <is>
          <t>Технология кузнечно-штамповочного производства</t>
        </is>
      </c>
      <c r="C820" s="9" t="inlineStr">
        <is>
          <t>КСР</t>
        </is>
      </c>
      <c r="D820" s="9" t="inlineStr">
        <is>
          <t>Т1В-516Б-16</t>
        </is>
      </c>
      <c r="E820" s="10" t="n">
        <v>6</v>
      </c>
      <c r="F820" s="9" t="inlineStr">
        <is>
          <t>04644</t>
        </is>
      </c>
      <c r="G820" s="11" t="n">
        <v>0</v>
      </c>
      <c r="H820" s="9" t="inlineStr">
        <is>
          <t xml:space="preserve">81729     </t>
        </is>
      </c>
      <c r="I820" s="9" t="inlineStr">
        <is>
          <t xml:space="preserve">Соколов Алексей Викторович </t>
        </is>
      </c>
      <c r="J820" s="9" t="inlineStr">
        <is>
          <t>доцент</t>
        </is>
      </c>
      <c r="K820" s="9" t="n"/>
      <c r="L820" s="9" t="n"/>
      <c r="M820" s="12">
        <f>SUMIFS($E$2:$E$1130,$A$2:$A$1130,"осень",$I$2:$I$1130,I820)</f>
        <v/>
      </c>
      <c r="N820" s="13">
        <f>SUMIFS($E$2:$E$1130,$A$2:$A$1130,"весна",$I$2:$I$1130,I820)</f>
        <v/>
      </c>
      <c r="O820" s="14">
        <f>M820+N820</f>
        <v/>
      </c>
      <c r="P820" s="15">
        <f>O820/$P$1</f>
        <v/>
      </c>
    </row>
    <row r="821" ht="15.75" customHeight="1" s="2">
      <c r="A821" s="32" t="inlineStr">
        <is>
          <t>весна</t>
        </is>
      </c>
      <c r="B821" s="9" t="inlineStr">
        <is>
          <t>Технология кузнечно-штамповочного производства</t>
        </is>
      </c>
      <c r="C821" s="9" t="inlineStr">
        <is>
          <t>Консультация</t>
        </is>
      </c>
      <c r="D821" s="9" t="inlineStr">
        <is>
          <t>Т1В-516Б-16</t>
        </is>
      </c>
      <c r="E821" s="10" t="n">
        <v>1</v>
      </c>
      <c r="F821" s="9" t="inlineStr">
        <is>
          <t>04644</t>
        </is>
      </c>
      <c r="G821" s="11" t="n">
        <v>0</v>
      </c>
      <c r="H821" s="9" t="inlineStr">
        <is>
          <t xml:space="preserve">81729     </t>
        </is>
      </c>
      <c r="I821" s="9" t="inlineStr">
        <is>
          <t xml:space="preserve">Соколов Алексей Викторович </t>
        </is>
      </c>
      <c r="J821" s="9" t="inlineStr">
        <is>
          <t>доцент</t>
        </is>
      </c>
      <c r="K821" s="9" t="n"/>
      <c r="L821" s="9" t="n"/>
      <c r="M821" s="12">
        <f>SUMIFS($E$2:$E$1130,$A$2:$A$1130,"осень",$I$2:$I$1130,I821)</f>
        <v/>
      </c>
      <c r="N821" s="13">
        <f>SUMIFS($E$2:$E$1130,$A$2:$A$1130,"весна",$I$2:$I$1130,I821)</f>
        <v/>
      </c>
      <c r="O821" s="14">
        <f>M821+N821</f>
        <v/>
      </c>
      <c r="P821" s="15">
        <f>O821/$P$1</f>
        <v/>
      </c>
    </row>
    <row r="822" ht="15.75" customHeight="1" s="2">
      <c r="A822" s="32" t="inlineStr">
        <is>
          <t>весна</t>
        </is>
      </c>
      <c r="B822" s="9" t="inlineStr">
        <is>
          <t>Технология кузнечно-штамповочного производства</t>
        </is>
      </c>
      <c r="C822" s="9" t="inlineStr">
        <is>
          <t>Консультация</t>
        </is>
      </c>
      <c r="D822" s="9" t="inlineStr">
        <is>
          <t>Т1О-401Б-17</t>
        </is>
      </c>
      <c r="E822" s="10" t="n">
        <v>3</v>
      </c>
      <c r="F822" s="9" t="inlineStr">
        <is>
          <t>06256</t>
        </is>
      </c>
      <c r="G822" s="11" t="n">
        <v>0</v>
      </c>
      <c r="H822" s="9" t="inlineStr">
        <is>
          <t xml:space="preserve">81729     </t>
        </is>
      </c>
      <c r="I822" s="9" t="inlineStr">
        <is>
          <t xml:space="preserve">Соколов Алексей Викторович </t>
        </is>
      </c>
      <c r="J822" s="9" t="inlineStr">
        <is>
          <t>доцент</t>
        </is>
      </c>
      <c r="K822" s="9" t="n"/>
      <c r="L822" s="9" t="n"/>
      <c r="M822" s="12">
        <f>SUMIFS($E$2:$E$1130,$A$2:$A$1130,"осень",$I$2:$I$1130,I822)</f>
        <v/>
      </c>
      <c r="N822" s="13">
        <f>SUMIFS($E$2:$E$1130,$A$2:$A$1130,"весна",$I$2:$I$1130,I822)</f>
        <v/>
      </c>
      <c r="O822" s="14">
        <f>M822+N822</f>
        <v/>
      </c>
      <c r="P822" s="15">
        <f>O822/$P$1</f>
        <v/>
      </c>
    </row>
    <row r="823" ht="15.75" customHeight="1" s="2">
      <c r="A823" s="32" t="inlineStr">
        <is>
          <t>весна</t>
        </is>
      </c>
      <c r="B823" s="9" t="inlineStr">
        <is>
          <t>Современные способы исследований металлических материалов</t>
        </is>
      </c>
      <c r="C823" s="9" t="inlineStr">
        <is>
          <t>ЛК</t>
        </is>
      </c>
      <c r="D823" s="9" t="inlineStr">
        <is>
          <t>Т11О-101М-20</t>
        </is>
      </c>
      <c r="E823" s="10" t="n">
        <v>8</v>
      </c>
      <c r="F823" s="9" t="inlineStr">
        <is>
          <t>04489</t>
        </is>
      </c>
      <c r="G823" s="10" t="n">
        <v>8</v>
      </c>
      <c r="H823" s="9" t="inlineStr">
        <is>
          <t xml:space="preserve">81724     </t>
        </is>
      </c>
      <c r="I823" s="9" t="inlineStr">
        <is>
          <t xml:space="preserve">Галкин Евгений Владимирович </t>
        </is>
      </c>
      <c r="J823" s="9" t="inlineStr">
        <is>
          <t>доцент</t>
        </is>
      </c>
      <c r="K823" s="9" t="n"/>
      <c r="L823" s="9" t="n"/>
      <c r="M823" s="12">
        <f>SUMIFS($E$2:$E$1130,$A$2:$A$1130,"осень",$I$2:$I$1130,I823)</f>
        <v/>
      </c>
      <c r="N823" s="13">
        <f>SUMIFS($E$2:$E$1130,$A$2:$A$1130,"весна",$I$2:$I$1130,I823)</f>
        <v/>
      </c>
      <c r="O823" s="14">
        <f>M823+N823</f>
        <v/>
      </c>
      <c r="P823" s="15">
        <f>O823/$P$1</f>
        <v/>
      </c>
    </row>
    <row r="824" ht="15.75" customHeight="1" s="2">
      <c r="A824" s="32" t="inlineStr">
        <is>
          <t>весна</t>
        </is>
      </c>
      <c r="B824" s="9" t="inlineStr">
        <is>
          <t>Современные способы исследований металлических материалов</t>
        </is>
      </c>
      <c r="C824" s="9" t="inlineStr">
        <is>
          <t>КР</t>
        </is>
      </c>
      <c r="D824" s="9" t="inlineStr">
        <is>
          <t>Т11О-101М-20</t>
        </is>
      </c>
      <c r="E824" s="10" t="n">
        <v>18</v>
      </c>
      <c r="F824" s="9" t="inlineStr">
        <is>
          <t>04489</t>
        </is>
      </c>
      <c r="G824" s="11" t="n">
        <v>0</v>
      </c>
      <c r="H824" s="9" t="inlineStr">
        <is>
          <t xml:space="preserve">81724     </t>
        </is>
      </c>
      <c r="I824" s="9" t="inlineStr">
        <is>
          <t xml:space="preserve">Галкин Евгений Владимирович </t>
        </is>
      </c>
      <c r="J824" s="9" t="inlineStr">
        <is>
          <t>доцент</t>
        </is>
      </c>
      <c r="K824" s="9" t="n"/>
      <c r="L824" s="9" t="n"/>
      <c r="M824" s="12">
        <f>SUMIFS($E$2:$E$1130,$A$2:$A$1130,"осень",$I$2:$I$1130,I824)</f>
        <v/>
      </c>
      <c r="N824" s="13">
        <f>SUMIFS($E$2:$E$1130,$A$2:$A$1130,"весна",$I$2:$I$1130,I824)</f>
        <v/>
      </c>
      <c r="O824" s="14">
        <f>M824+N824</f>
        <v/>
      </c>
      <c r="P824" s="15">
        <f>O824/$P$1</f>
        <v/>
      </c>
    </row>
    <row r="825" ht="15.75" customHeight="1" s="2">
      <c r="A825" s="32" t="inlineStr">
        <is>
          <t>весна</t>
        </is>
      </c>
      <c r="B825" s="9" t="inlineStr">
        <is>
          <t>Современные способы исследований металлических материалов</t>
        </is>
      </c>
      <c r="C825" s="9" t="inlineStr">
        <is>
          <t>ПЗ</t>
        </is>
      </c>
      <c r="D825" s="9" t="inlineStr">
        <is>
          <t>Т11О-101М-20</t>
        </is>
      </c>
      <c r="E825" s="10" t="n">
        <v>18</v>
      </c>
      <c r="F825" s="9" t="inlineStr">
        <is>
          <t>04489</t>
        </is>
      </c>
      <c r="G825" s="10" t="n">
        <v>18</v>
      </c>
      <c r="H825" s="9" t="inlineStr">
        <is>
          <t xml:space="preserve">81724     </t>
        </is>
      </c>
      <c r="I825" s="9" t="inlineStr">
        <is>
          <t xml:space="preserve">Галкин Евгений Владимирович </t>
        </is>
      </c>
      <c r="J825" s="9" t="inlineStr">
        <is>
          <t>доцент</t>
        </is>
      </c>
      <c r="K825" s="9" t="n"/>
      <c r="L825" s="9" t="n"/>
      <c r="M825" s="12">
        <f>SUMIFS($E$2:$E$1130,$A$2:$A$1130,"осень",$I$2:$I$1130,I825)</f>
        <v/>
      </c>
      <c r="N825" s="13">
        <f>SUMIFS($E$2:$E$1130,$A$2:$A$1130,"весна",$I$2:$I$1130,I825)</f>
        <v/>
      </c>
      <c r="O825" s="14">
        <f>M825+N825</f>
        <v/>
      </c>
      <c r="P825" s="15">
        <f>O825/$P$1</f>
        <v/>
      </c>
    </row>
    <row r="826" ht="15.75" customHeight="1" s="2">
      <c r="A826" s="32" t="inlineStr">
        <is>
          <t>весна</t>
        </is>
      </c>
      <c r="B826" s="9" t="inlineStr">
        <is>
          <t>Современные способы исследований металлических материалов</t>
        </is>
      </c>
      <c r="C826" s="9" t="inlineStr">
        <is>
          <t>Экзамен</t>
        </is>
      </c>
      <c r="D826" s="9" t="inlineStr">
        <is>
          <t>Т11О-101М-20</t>
        </is>
      </c>
      <c r="E826" s="10" t="n">
        <v>3</v>
      </c>
      <c r="F826" s="9" t="inlineStr">
        <is>
          <t>04489</t>
        </is>
      </c>
      <c r="G826" s="11" t="n">
        <v>0</v>
      </c>
      <c r="H826" s="9" t="inlineStr">
        <is>
          <t xml:space="preserve">81724     </t>
        </is>
      </c>
      <c r="I826" s="9" t="inlineStr">
        <is>
          <t xml:space="preserve">Галкин Евгений Владимирович </t>
        </is>
      </c>
      <c r="J826" s="9" t="inlineStr">
        <is>
          <t>доцент</t>
        </is>
      </c>
      <c r="K826" s="9" t="n"/>
      <c r="L826" s="9" t="n"/>
      <c r="M826" s="12">
        <f>SUMIFS($E$2:$E$1130,$A$2:$A$1130,"осень",$I$2:$I$1130,I826)</f>
        <v/>
      </c>
      <c r="N826" s="13">
        <f>SUMIFS($E$2:$E$1130,$A$2:$A$1130,"весна",$I$2:$I$1130,I826)</f>
        <v/>
      </c>
      <c r="O826" s="14">
        <f>M826+N826</f>
        <v/>
      </c>
      <c r="P826" s="15">
        <f>O826/$P$1</f>
        <v/>
      </c>
    </row>
    <row r="827" ht="15.75" customHeight="1" s="2">
      <c r="A827" s="32" t="inlineStr">
        <is>
          <t>весна</t>
        </is>
      </c>
      <c r="B827" s="9" t="inlineStr">
        <is>
          <t>Современные способы исследований металлических материалов</t>
        </is>
      </c>
      <c r="C827" s="9" t="inlineStr">
        <is>
          <t>Консультация</t>
        </is>
      </c>
      <c r="D827" s="9" t="inlineStr">
        <is>
          <t>Т11О-101М-20</t>
        </is>
      </c>
      <c r="E827" s="10" t="n">
        <v>2</v>
      </c>
      <c r="F827" s="9" t="inlineStr">
        <is>
          <t>04489</t>
        </is>
      </c>
      <c r="G827" s="11" t="n">
        <v>0</v>
      </c>
      <c r="H827" s="9" t="inlineStr">
        <is>
          <t xml:space="preserve">81724     </t>
        </is>
      </c>
      <c r="I827" s="9" t="inlineStr">
        <is>
          <t xml:space="preserve">Галкин Евгений Владимирович </t>
        </is>
      </c>
      <c r="J827" s="9" t="inlineStr">
        <is>
          <t>доцент</t>
        </is>
      </c>
      <c r="K827" s="9" t="n"/>
      <c r="L827" s="9" t="n"/>
      <c r="M827" s="12">
        <f>SUMIFS($E$2:$E$1130,$A$2:$A$1130,"осень",$I$2:$I$1130,I827)</f>
        <v/>
      </c>
      <c r="N827" s="13">
        <f>SUMIFS($E$2:$E$1130,$A$2:$A$1130,"весна",$I$2:$I$1130,I827)</f>
        <v/>
      </c>
      <c r="O827" s="14">
        <f>M827+N827</f>
        <v/>
      </c>
      <c r="P827" s="15">
        <f>O827/$P$1</f>
        <v/>
      </c>
    </row>
    <row r="828" ht="15.75" customHeight="1" s="2">
      <c r="A828" s="32" t="inlineStr">
        <is>
          <t>весна</t>
        </is>
      </c>
      <c r="B828" s="9" t="inlineStr">
        <is>
          <t>Информационные технологии в научно-исследовательской деятельности</t>
        </is>
      </c>
      <c r="C828" s="9" t="inlineStr">
        <is>
          <t>ЛК</t>
        </is>
      </c>
      <c r="D828" s="9" t="inlineStr">
        <is>
          <t>Т11О-101М-20</t>
        </is>
      </c>
      <c r="E828" s="10" t="n">
        <v>12</v>
      </c>
      <c r="F828" s="9" t="inlineStr">
        <is>
          <t>04489</t>
        </is>
      </c>
      <c r="G828" s="10" t="n">
        <v>12</v>
      </c>
      <c r="H828" s="9" t="inlineStr">
        <is>
          <t xml:space="preserve">81722     </t>
        </is>
      </c>
      <c r="I828" s="9" t="inlineStr">
        <is>
          <t xml:space="preserve">Шленский Алексей Геннадьевич </t>
        </is>
      </c>
      <c r="J828" s="9" t="inlineStr">
        <is>
          <t>доцент</t>
        </is>
      </c>
      <c r="K828" s="9" t="n"/>
      <c r="L828" s="9" t="n"/>
      <c r="M828" s="12">
        <f>SUMIFS($E$2:$E$1130,$A$2:$A$1130,"осень",$I$2:$I$1130,I828)</f>
        <v/>
      </c>
      <c r="N828" s="13">
        <f>SUMIFS($E$2:$E$1130,$A$2:$A$1130,"весна",$I$2:$I$1130,I828)</f>
        <v/>
      </c>
      <c r="O828" s="14">
        <f>M828+N828</f>
        <v/>
      </c>
      <c r="P828" s="15">
        <f>O828/$P$1</f>
        <v/>
      </c>
    </row>
    <row r="829" ht="15.75" customHeight="1" s="2">
      <c r="A829" s="32" t="inlineStr">
        <is>
          <t>весна</t>
        </is>
      </c>
      <c r="B829" s="9" t="inlineStr">
        <is>
          <t>Информационные технологии в научно-исследовательской деятельности</t>
        </is>
      </c>
      <c r="C829" s="9" t="inlineStr">
        <is>
          <t>ПЗ</t>
        </is>
      </c>
      <c r="D829" s="9" t="inlineStr">
        <is>
          <t>Т11О-101М-20</t>
        </is>
      </c>
      <c r="E829" s="10" t="n">
        <v>30</v>
      </c>
      <c r="F829" s="9" t="inlineStr">
        <is>
          <t>04489</t>
        </is>
      </c>
      <c r="G829" s="10" t="n">
        <v>30</v>
      </c>
      <c r="H829" s="9" t="inlineStr">
        <is>
          <t xml:space="preserve">93584     </t>
        </is>
      </c>
      <c r="I829" s="9" t="inlineStr">
        <is>
          <t xml:space="preserve">Комаров Роман Сергеевич </t>
        </is>
      </c>
      <c r="J829" s="9" t="n"/>
      <c r="K829" s="9" t="n"/>
      <c r="L829" s="9" t="n"/>
      <c r="M829" s="12">
        <f>SUMIFS($E$2:$E$1130,$A$2:$A$1130,"осень",$I$2:$I$1130,I829)</f>
        <v/>
      </c>
      <c r="N829" s="13">
        <f>SUMIFS($E$2:$E$1130,$A$2:$A$1130,"весна",$I$2:$I$1130,I829)</f>
        <v/>
      </c>
      <c r="O829" s="14">
        <f>M829+N829</f>
        <v/>
      </c>
      <c r="P829" s="15">
        <f>O829/$P$1</f>
        <v/>
      </c>
    </row>
    <row r="830" ht="15.75" customHeight="1" s="2">
      <c r="A830" s="32" t="inlineStr">
        <is>
          <t>весна</t>
        </is>
      </c>
      <c r="B830" s="9" t="inlineStr">
        <is>
          <t>Информационные технологии в научно-исследовательской деятельности</t>
        </is>
      </c>
      <c r="C830" s="9" t="inlineStr">
        <is>
          <t>Зачет</t>
        </is>
      </c>
      <c r="D830" s="9" t="inlineStr">
        <is>
          <t>Т11О-101М-20</t>
        </is>
      </c>
      <c r="E830" s="10" t="n">
        <v>2</v>
      </c>
      <c r="F830" s="9" t="inlineStr">
        <is>
          <t>04489</t>
        </is>
      </c>
      <c r="G830" s="11" t="n">
        <v>0</v>
      </c>
      <c r="H830" s="9" t="inlineStr">
        <is>
          <t xml:space="preserve">81722     </t>
        </is>
      </c>
      <c r="I830" s="9" t="inlineStr">
        <is>
          <t xml:space="preserve">Шленский Алексей Геннадьевич </t>
        </is>
      </c>
      <c r="J830" s="9" t="inlineStr">
        <is>
          <t>доцент</t>
        </is>
      </c>
      <c r="K830" s="9" t="n"/>
      <c r="L830" s="9" t="n"/>
      <c r="M830" s="12">
        <f>SUMIFS($E$2:$E$1130,$A$2:$A$1130,"осень",$I$2:$I$1130,I830)</f>
        <v/>
      </c>
      <c r="N830" s="13">
        <f>SUMIFS($E$2:$E$1130,$A$2:$A$1130,"весна",$I$2:$I$1130,I830)</f>
        <v/>
      </c>
      <c r="O830" s="14">
        <f>M830+N830</f>
        <v/>
      </c>
      <c r="P830" s="15">
        <f>O830/$P$1</f>
        <v/>
      </c>
    </row>
    <row r="831" ht="15.75" customHeight="1" s="2">
      <c r="A831" s="32" t="inlineStr">
        <is>
          <t>весна</t>
        </is>
      </c>
      <c r="B831" s="9" t="inlineStr">
        <is>
          <t>Информационные технологии в научно-исследовательской деятельности</t>
        </is>
      </c>
      <c r="C831" s="9" t="inlineStr">
        <is>
          <t>Консультация</t>
        </is>
      </c>
      <c r="D831" s="9" t="inlineStr">
        <is>
          <t>Т11О-101М-20</t>
        </is>
      </c>
      <c r="E831" s="10" t="n">
        <v>1</v>
      </c>
      <c r="F831" s="9" t="inlineStr">
        <is>
          <t>04489</t>
        </is>
      </c>
      <c r="G831" s="11" t="n">
        <v>0</v>
      </c>
      <c r="H831" s="9" t="inlineStr">
        <is>
          <t xml:space="preserve">81722     </t>
        </is>
      </c>
      <c r="I831" s="9" t="inlineStr">
        <is>
          <t xml:space="preserve">Шленский Алексей Геннадьевич </t>
        </is>
      </c>
      <c r="J831" s="9" t="inlineStr">
        <is>
          <t>доцент</t>
        </is>
      </c>
      <c r="K831" s="9" t="n"/>
      <c r="L831" s="9" t="n"/>
      <c r="M831" s="12">
        <f>SUMIFS($E$2:$E$1130,$A$2:$A$1130,"осень",$I$2:$I$1130,I831)</f>
        <v/>
      </c>
      <c r="N831" s="13">
        <f>SUMIFS($E$2:$E$1130,$A$2:$A$1130,"весна",$I$2:$I$1130,I831)</f>
        <v/>
      </c>
      <c r="O831" s="14">
        <f>M831+N831</f>
        <v/>
      </c>
      <c r="P831" s="15">
        <f>O831/$P$1</f>
        <v/>
      </c>
    </row>
    <row r="832" ht="15.75" customHeight="1" s="2">
      <c r="A832" s="32" t="inlineStr">
        <is>
          <t>весна</t>
        </is>
      </c>
      <c r="B832" s="9" t="inlineStr">
        <is>
          <t>Технологичность сварных и паянных конструкций</t>
        </is>
      </c>
      <c r="C832" s="9" t="inlineStr">
        <is>
          <t>ЛК</t>
        </is>
      </c>
      <c r="D832" s="9" t="inlineStr">
        <is>
          <t>Т11О-104М-20</t>
        </is>
      </c>
      <c r="E832" s="10" t="n">
        <v>4</v>
      </c>
      <c r="F832" s="9" t="inlineStr">
        <is>
          <t>04595</t>
        </is>
      </c>
      <c r="G832" s="10" t="n">
        <v>4</v>
      </c>
      <c r="H832" s="9" t="inlineStr">
        <is>
          <t xml:space="preserve">82023     </t>
        </is>
      </c>
      <c r="I832" s="9" t="inlineStr">
        <is>
          <t xml:space="preserve">Федоров Сергей Александрович </t>
        </is>
      </c>
      <c r="J832" s="9" t="n"/>
      <c r="K832" s="9" t="n"/>
      <c r="L832" s="9" t="n"/>
      <c r="M832" s="12">
        <f>SUMIFS($E$2:$E$1130,$A$2:$A$1130,"осень",$I$2:$I$1130,I832)</f>
        <v/>
      </c>
      <c r="N832" s="13">
        <f>SUMIFS($E$2:$E$1130,$A$2:$A$1130,"весна",$I$2:$I$1130,I832)</f>
        <v/>
      </c>
      <c r="O832" s="14">
        <f>M832+N832</f>
        <v/>
      </c>
      <c r="P832" s="15">
        <f>O832/$P$1</f>
        <v/>
      </c>
    </row>
    <row r="833" ht="15.75" customHeight="1" s="2">
      <c r="A833" s="32" t="inlineStr">
        <is>
          <t>весна</t>
        </is>
      </c>
      <c r="B833" s="9" t="inlineStr">
        <is>
          <t>Технологичность сварных и паянных конструкций</t>
        </is>
      </c>
      <c r="C833" s="9" t="inlineStr">
        <is>
          <t>Зачет с оценкой</t>
        </is>
      </c>
      <c r="D833" s="9" t="inlineStr">
        <is>
          <t>Т11О-104М-20</t>
        </is>
      </c>
      <c r="E833" s="10" t="n">
        <v>2</v>
      </c>
      <c r="F833" s="9" t="inlineStr">
        <is>
          <t>04595</t>
        </is>
      </c>
      <c r="G833" s="11" t="n">
        <v>0</v>
      </c>
      <c r="H833" s="9" t="inlineStr">
        <is>
          <t xml:space="preserve">82023     </t>
        </is>
      </c>
      <c r="I833" s="9" t="inlineStr">
        <is>
          <t xml:space="preserve">Федоров Сергей Александрович </t>
        </is>
      </c>
      <c r="J833" s="9" t="n"/>
      <c r="K833" s="9" t="n"/>
      <c r="L833" s="9" t="n"/>
      <c r="M833" s="12">
        <f>SUMIFS($E$2:$E$1130,$A$2:$A$1130,"осень",$I$2:$I$1130,I833)</f>
        <v/>
      </c>
      <c r="N833" s="13">
        <f>SUMIFS($E$2:$E$1130,$A$2:$A$1130,"весна",$I$2:$I$1130,I833)</f>
        <v/>
      </c>
      <c r="O833" s="14">
        <f>M833+N833</f>
        <v/>
      </c>
      <c r="P833" s="15">
        <f>O833/$P$1</f>
        <v/>
      </c>
    </row>
    <row r="834" ht="15.75" customHeight="1" s="2">
      <c r="A834" s="32" t="inlineStr">
        <is>
          <t>весна</t>
        </is>
      </c>
      <c r="B834" s="9" t="inlineStr">
        <is>
          <t>Технологичность сварных и паянных конструкций</t>
        </is>
      </c>
      <c r="C834" s="9" t="inlineStr">
        <is>
          <t>ПЗ</t>
        </is>
      </c>
      <c r="D834" s="9" t="inlineStr">
        <is>
          <t>Т11О-104М-20</t>
        </is>
      </c>
      <c r="E834" s="10" t="n">
        <v>28</v>
      </c>
      <c r="F834" s="9" t="inlineStr">
        <is>
          <t>04595</t>
        </is>
      </c>
      <c r="G834" s="10" t="n">
        <v>28</v>
      </c>
      <c r="H834" s="9" t="inlineStr">
        <is>
          <t xml:space="preserve">82023     </t>
        </is>
      </c>
      <c r="I834" s="9" t="inlineStr">
        <is>
          <t xml:space="preserve">Федоров Сергей Александрович </t>
        </is>
      </c>
      <c r="J834" s="9" t="n"/>
      <c r="K834" s="9" t="n"/>
      <c r="L834" s="9" t="n"/>
      <c r="M834" s="12">
        <f>SUMIFS($E$2:$E$1130,$A$2:$A$1130,"осень",$I$2:$I$1130,I834)</f>
        <v/>
      </c>
      <c r="N834" s="13">
        <f>SUMIFS($E$2:$E$1130,$A$2:$A$1130,"весна",$I$2:$I$1130,I834)</f>
        <v/>
      </c>
      <c r="O834" s="14">
        <f>M834+N834</f>
        <v/>
      </c>
      <c r="P834" s="15">
        <f>O834/$P$1</f>
        <v/>
      </c>
    </row>
    <row r="835" ht="15.75" customHeight="1" s="2">
      <c r="A835" s="32" t="inlineStr">
        <is>
          <t>весна</t>
        </is>
      </c>
      <c r="B835" s="9" t="inlineStr">
        <is>
          <t>Информационные технологии  в металлургии</t>
        </is>
      </c>
      <c r="C835" s="9" t="inlineStr">
        <is>
          <t>ЛК</t>
        </is>
      </c>
      <c r="D835" s="9" t="inlineStr">
        <is>
          <t>Т11О-201Б-19, Т11О-202Б-19</t>
        </is>
      </c>
      <c r="E835" s="10" t="n">
        <v>32</v>
      </c>
      <c r="F835" s="9" t="inlineStr">
        <is>
          <t>12880</t>
        </is>
      </c>
      <c r="G835" s="10" t="n">
        <v>32</v>
      </c>
      <c r="H835" s="9" t="inlineStr">
        <is>
          <t xml:space="preserve">81720     </t>
        </is>
      </c>
      <c r="I835" s="9" t="inlineStr">
        <is>
          <t xml:space="preserve">Палтиевич Андрей Романович </t>
        </is>
      </c>
      <c r="J835" s="9" t="n"/>
      <c r="K835" s="9" t="n"/>
      <c r="L835" s="9" t="inlineStr">
        <is>
          <t>Кроме вторника</t>
        </is>
      </c>
      <c r="M835" s="12">
        <f>SUMIFS($E$2:$E$1130,$A$2:$A$1130,"осень",$I$2:$I$1130,I835)</f>
        <v/>
      </c>
      <c r="N835" s="13">
        <f>SUMIFS($E$2:$E$1130,$A$2:$A$1130,"весна",$I$2:$I$1130,I835)</f>
        <v/>
      </c>
      <c r="O835" s="14">
        <f>M835+N835</f>
        <v/>
      </c>
      <c r="P835" s="15">
        <f>O835/$P$1</f>
        <v/>
      </c>
    </row>
    <row r="836" ht="15.75" customHeight="1" s="2">
      <c r="A836" s="32" t="inlineStr">
        <is>
          <t>весна</t>
        </is>
      </c>
      <c r="B836" s="9" t="inlineStr">
        <is>
          <t>Информационные технологии  в металлургии</t>
        </is>
      </c>
      <c r="C836" s="9" t="inlineStr">
        <is>
          <t>Зачет с оценкой</t>
        </is>
      </c>
      <c r="D836" s="9" t="inlineStr">
        <is>
          <t>Т11О-201Б-19</t>
        </is>
      </c>
      <c r="E836" s="10" t="n">
        <v>6</v>
      </c>
      <c r="F836" s="9" t="inlineStr">
        <is>
          <t>12880</t>
        </is>
      </c>
      <c r="G836" s="11" t="n">
        <v>0</v>
      </c>
      <c r="H836" s="9" t="inlineStr">
        <is>
          <t xml:space="preserve">81720     </t>
        </is>
      </c>
      <c r="I836" s="9" t="inlineStr">
        <is>
          <t xml:space="preserve">Палтиевич Андрей Романович </t>
        </is>
      </c>
      <c r="J836" s="9" t="n"/>
      <c r="K836" s="9" t="n"/>
      <c r="L836" s="9" t="inlineStr">
        <is>
          <t>Кроме вторника</t>
        </is>
      </c>
      <c r="M836" s="12">
        <f>SUMIFS($E$2:$E$1130,$A$2:$A$1130,"осень",$I$2:$I$1130,I836)</f>
        <v/>
      </c>
      <c r="N836" s="13">
        <f>SUMIFS($E$2:$E$1130,$A$2:$A$1130,"весна",$I$2:$I$1130,I836)</f>
        <v/>
      </c>
      <c r="O836" s="14">
        <f>M836+N836</f>
        <v/>
      </c>
      <c r="P836" s="15">
        <f>O836/$P$1</f>
        <v/>
      </c>
    </row>
    <row r="837" ht="15.75" customHeight="1" s="2">
      <c r="A837" s="32" t="inlineStr">
        <is>
          <t>весна</t>
        </is>
      </c>
      <c r="B837" s="9" t="inlineStr">
        <is>
          <t>Информационные технологии  в металлургии</t>
        </is>
      </c>
      <c r="C837" s="9" t="inlineStr">
        <is>
          <t>Зачет с оценкой</t>
        </is>
      </c>
      <c r="D837" s="9" t="inlineStr">
        <is>
          <t>Т11О-202Б-19</t>
        </is>
      </c>
      <c r="E837" s="10" t="n">
        <v>8</v>
      </c>
      <c r="F837" s="9" t="inlineStr">
        <is>
          <t>12880</t>
        </is>
      </c>
      <c r="G837" s="11" t="n">
        <v>0</v>
      </c>
      <c r="H837" s="9" t="inlineStr">
        <is>
          <t xml:space="preserve">81720     </t>
        </is>
      </c>
      <c r="I837" s="9" t="inlineStr">
        <is>
          <t xml:space="preserve">Палтиевич Андрей Романович </t>
        </is>
      </c>
      <c r="J837" s="9" t="n"/>
      <c r="K837" s="9" t="n"/>
      <c r="L837" s="9" t="inlineStr">
        <is>
          <t>Кроме вторника</t>
        </is>
      </c>
      <c r="M837" s="12">
        <f>SUMIFS($E$2:$E$1130,$A$2:$A$1130,"осень",$I$2:$I$1130,I837)</f>
        <v/>
      </c>
      <c r="N837" s="13">
        <f>SUMIFS($E$2:$E$1130,$A$2:$A$1130,"весна",$I$2:$I$1130,I837)</f>
        <v/>
      </c>
      <c r="O837" s="14">
        <f>M837+N837</f>
        <v/>
      </c>
      <c r="P837" s="15">
        <f>O837/$P$1</f>
        <v/>
      </c>
    </row>
    <row r="838" ht="15.75" customHeight="1" s="2">
      <c r="A838" s="32" t="inlineStr">
        <is>
          <t>весна</t>
        </is>
      </c>
      <c r="B838" s="9" t="inlineStr">
        <is>
          <t>Информационные технологии  в металлургии</t>
        </is>
      </c>
      <c r="C838" s="9" t="inlineStr">
        <is>
          <t>ПЗ</t>
        </is>
      </c>
      <c r="D838" s="9" t="inlineStr">
        <is>
          <t>Т11О-201Б-19</t>
        </is>
      </c>
      <c r="E838" s="10" t="n">
        <v>52</v>
      </c>
      <c r="F838" s="9" t="inlineStr">
        <is>
          <t>12880</t>
        </is>
      </c>
      <c r="G838" s="10" t="n">
        <v>52</v>
      </c>
      <c r="H838" s="9" t="inlineStr">
        <is>
          <t xml:space="preserve">81720     </t>
        </is>
      </c>
      <c r="I838" s="9" t="inlineStr">
        <is>
          <t xml:space="preserve">Палтиевич Андрей Романович </t>
        </is>
      </c>
      <c r="J838" s="9" t="n"/>
      <c r="K838" s="9" t="n"/>
      <c r="L838" s="9" t="inlineStr">
        <is>
          <t>Кроме вторника</t>
        </is>
      </c>
      <c r="M838" s="12">
        <f>SUMIFS($E$2:$E$1130,$A$2:$A$1130,"осень",$I$2:$I$1130,I838)</f>
        <v/>
      </c>
      <c r="N838" s="13">
        <f>SUMIFS($E$2:$E$1130,$A$2:$A$1130,"весна",$I$2:$I$1130,I838)</f>
        <v/>
      </c>
      <c r="O838" s="14">
        <f>M838+N838</f>
        <v/>
      </c>
      <c r="P838" s="15">
        <f>O838/$P$1</f>
        <v/>
      </c>
    </row>
    <row r="839" ht="15.75" customHeight="1" s="2">
      <c r="A839" s="32" t="inlineStr">
        <is>
          <t>весна</t>
        </is>
      </c>
      <c r="B839" s="9" t="inlineStr">
        <is>
          <t>Информационные технологии  в металлургии</t>
        </is>
      </c>
      <c r="C839" s="9" t="inlineStr">
        <is>
          <t>ПЗ</t>
        </is>
      </c>
      <c r="D839" s="9" t="inlineStr">
        <is>
          <t>Т11О-202Б-19</t>
        </is>
      </c>
      <c r="E839" s="10" t="n">
        <v>52</v>
      </c>
      <c r="F839" s="9" t="inlineStr">
        <is>
          <t>12880</t>
        </is>
      </c>
      <c r="G839" s="10" t="n">
        <v>52</v>
      </c>
      <c r="H839" s="9" t="inlineStr">
        <is>
          <t xml:space="preserve">95799     </t>
        </is>
      </c>
      <c r="I839" s="9" t="inlineStr">
        <is>
          <t>Монастырский Алексей Валерьевич</t>
        </is>
      </c>
      <c r="J839" s="9" t="n"/>
      <c r="K839" s="9" t="n"/>
      <c r="L839" s="9" t="inlineStr">
        <is>
          <t>Чт с 16-30</t>
        </is>
      </c>
      <c r="M839" s="12">
        <f>SUMIFS($E$2:$E$1130,$A$2:$A$1130,"осень",$I$2:$I$1130,I839)</f>
        <v/>
      </c>
      <c r="N839" s="13">
        <f>SUMIFS($E$2:$E$1130,$A$2:$A$1130,"весна",$I$2:$I$1130,I839)</f>
        <v/>
      </c>
      <c r="O839" s="14">
        <f>M839+N839</f>
        <v/>
      </c>
      <c r="P839" s="15">
        <f>O839/$P$1</f>
        <v/>
      </c>
    </row>
    <row r="840" ht="15.75" customHeight="1" s="2">
      <c r="A840" s="32" t="inlineStr">
        <is>
          <t>весна</t>
        </is>
      </c>
      <c r="B840" s="9" t="inlineStr">
        <is>
          <t>Информационные технологии  в металлургии</t>
        </is>
      </c>
      <c r="C840" s="9" t="inlineStr">
        <is>
          <t>Консультация</t>
        </is>
      </c>
      <c r="D840" s="9" t="inlineStr">
        <is>
          <t>Т11О-201Б-19</t>
        </is>
      </c>
      <c r="E840" s="10" t="n">
        <v>2</v>
      </c>
      <c r="F840" s="9" t="inlineStr">
        <is>
          <t>12880</t>
        </is>
      </c>
      <c r="G840" s="11" t="n">
        <v>0</v>
      </c>
      <c r="H840" s="9" t="inlineStr">
        <is>
          <t xml:space="preserve">81720     </t>
        </is>
      </c>
      <c r="I840" s="9" t="inlineStr">
        <is>
          <t xml:space="preserve">Палтиевич Андрей Романович </t>
        </is>
      </c>
      <c r="J840" s="9" t="n"/>
      <c r="K840" s="9" t="n"/>
      <c r="L840" s="9" t="inlineStr">
        <is>
          <t>Кроме вторника</t>
        </is>
      </c>
      <c r="M840" s="12">
        <f>SUMIFS($E$2:$E$1130,$A$2:$A$1130,"осень",$I$2:$I$1130,I840)</f>
        <v/>
      </c>
      <c r="N840" s="13">
        <f>SUMIFS($E$2:$E$1130,$A$2:$A$1130,"весна",$I$2:$I$1130,I840)</f>
        <v/>
      </c>
      <c r="O840" s="14">
        <f>M840+N840</f>
        <v/>
      </c>
      <c r="P840" s="15">
        <f>O840/$P$1</f>
        <v/>
      </c>
    </row>
    <row r="841" ht="15.75" customHeight="1" s="2">
      <c r="A841" s="32" t="inlineStr">
        <is>
          <t>весна</t>
        </is>
      </c>
      <c r="B841" s="9" t="inlineStr">
        <is>
          <t>Информационные технологии  в металлургии</t>
        </is>
      </c>
      <c r="C841" s="9" t="inlineStr">
        <is>
          <t>Консультация</t>
        </is>
      </c>
      <c r="D841" s="9" t="inlineStr">
        <is>
          <t>Т11О-202Б-19</t>
        </is>
      </c>
      <c r="E841" s="10" t="n">
        <v>2</v>
      </c>
      <c r="F841" s="9" t="inlineStr">
        <is>
          <t>12880</t>
        </is>
      </c>
      <c r="G841" s="11" t="n">
        <v>0</v>
      </c>
      <c r="H841" s="9" t="inlineStr">
        <is>
          <t xml:space="preserve">95799     </t>
        </is>
      </c>
      <c r="I841" s="9" t="inlineStr">
        <is>
          <t>Монастырский Алексей Валерьевич</t>
        </is>
      </c>
      <c r="J841" s="9" t="n"/>
      <c r="K841" s="9" t="n"/>
      <c r="L841" s="9" t="inlineStr">
        <is>
          <t>Чт с 16-30</t>
        </is>
      </c>
      <c r="M841" s="12">
        <f>SUMIFS($E$2:$E$1130,$A$2:$A$1130,"осень",$I$2:$I$1130,I841)</f>
        <v/>
      </c>
      <c r="N841" s="13">
        <f>SUMIFS($E$2:$E$1130,$A$2:$A$1130,"весна",$I$2:$I$1130,I841)</f>
        <v/>
      </c>
      <c r="O841" s="14">
        <f>M841+N841</f>
        <v/>
      </c>
      <c r="P841" s="15">
        <f>O841/$P$1</f>
        <v/>
      </c>
    </row>
    <row r="842" ht="15.75" customHeight="1" s="2">
      <c r="A842" s="32" t="inlineStr">
        <is>
          <t>весна</t>
        </is>
      </c>
      <c r="B842" s="9" t="inlineStr">
        <is>
          <t>Технологические процессы производства наноматериалов</t>
        </is>
      </c>
      <c r="C842" s="9" t="inlineStr">
        <is>
          <t>ЛК</t>
        </is>
      </c>
      <c r="D842" s="9" t="inlineStr">
        <is>
          <t>Т1О-402Б-17</t>
        </is>
      </c>
      <c r="E842" s="10" t="n">
        <v>34</v>
      </c>
      <c r="F842" s="9" t="inlineStr">
        <is>
          <t>04517</t>
        </is>
      </c>
      <c r="G842" s="10" t="n">
        <v>34</v>
      </c>
      <c r="H842" s="9" t="inlineStr">
        <is>
          <t xml:space="preserve">82060     </t>
        </is>
      </c>
      <c r="I842" s="9" t="inlineStr">
        <is>
          <t xml:space="preserve">Лозован Александр Александрович </t>
        </is>
      </c>
      <c r="J842" s="9" t="inlineStr">
        <is>
          <t>профессор</t>
        </is>
      </c>
      <c r="K842" s="9" t="n"/>
      <c r="L842" s="9" t="n"/>
      <c r="M842" s="12">
        <f>SUMIFS($E$2:$E$1130,$A$2:$A$1130,"осень",$I$2:$I$1130,I842)</f>
        <v/>
      </c>
      <c r="N842" s="13">
        <f>SUMIFS($E$2:$E$1130,$A$2:$A$1130,"весна",$I$2:$I$1130,I842)</f>
        <v/>
      </c>
      <c r="O842" s="14">
        <f>M842+N842</f>
        <v/>
      </c>
      <c r="P842" s="15">
        <f>O842/$P$1</f>
        <v/>
      </c>
    </row>
    <row r="843" ht="15.75" customHeight="1" s="2">
      <c r="A843" s="32" t="inlineStr">
        <is>
          <t>весна</t>
        </is>
      </c>
      <c r="B843" s="9" t="inlineStr">
        <is>
          <t>Технологические процессы производства наноматериалов</t>
        </is>
      </c>
      <c r="C843" s="9" t="inlineStr">
        <is>
          <t>КР</t>
        </is>
      </c>
      <c r="D843" s="9" t="inlineStr">
        <is>
          <t>Т1О-402Б-17</t>
        </is>
      </c>
      <c r="E843" s="10" t="n">
        <v>51</v>
      </c>
      <c r="F843" s="9" t="inlineStr">
        <is>
          <t>04517</t>
        </is>
      </c>
      <c r="G843" s="11" t="n">
        <v>0</v>
      </c>
      <c r="H843" s="9" t="inlineStr">
        <is>
          <t xml:space="preserve">82060     </t>
        </is>
      </c>
      <c r="I843" s="9" t="inlineStr">
        <is>
          <t xml:space="preserve">Лозован Александр Александрович </t>
        </is>
      </c>
      <c r="J843" s="9" t="inlineStr">
        <is>
          <t>профессор</t>
        </is>
      </c>
      <c r="K843" s="9" t="n"/>
      <c r="L843" s="9" t="n"/>
      <c r="M843" s="12">
        <f>SUMIFS($E$2:$E$1130,$A$2:$A$1130,"осень",$I$2:$I$1130,I843)</f>
        <v/>
      </c>
      <c r="N843" s="13">
        <f>SUMIFS($E$2:$E$1130,$A$2:$A$1130,"весна",$I$2:$I$1130,I843)</f>
        <v/>
      </c>
      <c r="O843" s="14">
        <f>M843+N843</f>
        <v/>
      </c>
      <c r="P843" s="15">
        <f>O843/$P$1</f>
        <v/>
      </c>
    </row>
    <row r="844" ht="15.75" customHeight="1" s="2">
      <c r="A844" s="32" t="inlineStr">
        <is>
          <t>весна</t>
        </is>
      </c>
      <c r="B844" s="9" t="inlineStr">
        <is>
          <t>Технологические процессы производства наноматериалов</t>
        </is>
      </c>
      <c r="C844" s="9" t="inlineStr">
        <is>
          <t>Зачет с оценкой</t>
        </is>
      </c>
      <c r="D844" s="9" t="inlineStr">
        <is>
          <t>Т1О-402Б-17</t>
        </is>
      </c>
      <c r="E844" s="10" t="n">
        <v>6</v>
      </c>
      <c r="F844" s="9" t="inlineStr">
        <is>
          <t>04517</t>
        </is>
      </c>
      <c r="G844" s="11" t="n">
        <v>0</v>
      </c>
      <c r="H844" s="9" t="inlineStr">
        <is>
          <t xml:space="preserve">82060     </t>
        </is>
      </c>
      <c r="I844" s="9" t="inlineStr">
        <is>
          <t xml:space="preserve">Лозован Александр Александрович </t>
        </is>
      </c>
      <c r="J844" s="9" t="inlineStr">
        <is>
          <t>профессор</t>
        </is>
      </c>
      <c r="K844" s="9" t="n"/>
      <c r="L844" s="9" t="n"/>
      <c r="M844" s="12">
        <f>SUMIFS($E$2:$E$1130,$A$2:$A$1130,"осень",$I$2:$I$1130,I844)</f>
        <v/>
      </c>
      <c r="N844" s="13">
        <f>SUMIFS($E$2:$E$1130,$A$2:$A$1130,"весна",$I$2:$I$1130,I844)</f>
        <v/>
      </c>
      <c r="O844" s="14">
        <f>M844+N844</f>
        <v/>
      </c>
      <c r="P844" s="15">
        <f>O844/$P$1</f>
        <v/>
      </c>
    </row>
    <row r="845" ht="15.75" customHeight="1" s="2">
      <c r="A845" s="32" t="inlineStr">
        <is>
          <t>весна</t>
        </is>
      </c>
      <c r="B845" s="9" t="inlineStr">
        <is>
          <t>Технологические процессы производства наноматериалов</t>
        </is>
      </c>
      <c r="C845" s="9" t="inlineStr">
        <is>
          <t>ПЗ</t>
        </is>
      </c>
      <c r="D845" s="9" t="inlineStr">
        <is>
          <t>Т1О-402Б-17</t>
        </is>
      </c>
      <c r="E845" s="10" t="n">
        <v>14</v>
      </c>
      <c r="F845" s="9" t="inlineStr">
        <is>
          <t>04517</t>
        </is>
      </c>
      <c r="G845" s="10" t="n">
        <v>14</v>
      </c>
      <c r="H845" s="9" t="inlineStr">
        <is>
          <t xml:space="preserve">95460     </t>
        </is>
      </c>
      <c r="I845" s="9" t="inlineStr">
        <is>
          <t>Кубатина Екатерина Павловна</t>
        </is>
      </c>
      <c r="J845" s="9" t="n"/>
      <c r="K845" s="9" t="n"/>
      <c r="L845" s="9" t="n"/>
      <c r="M845" s="12">
        <f>SUMIFS($E$2:$E$1130,$A$2:$A$1130,"осень",$I$2:$I$1130,I845)</f>
        <v/>
      </c>
      <c r="N845" s="13">
        <f>SUMIFS($E$2:$E$1130,$A$2:$A$1130,"весна",$I$2:$I$1130,I845)</f>
        <v/>
      </c>
      <c r="O845" s="14">
        <f>M845+N845</f>
        <v/>
      </c>
      <c r="P845" s="15">
        <f>O845/$P$1</f>
        <v/>
      </c>
    </row>
    <row r="846" ht="15.75" customHeight="1" s="2">
      <c r="A846" s="32" t="inlineStr">
        <is>
          <t>весна</t>
        </is>
      </c>
      <c r="B846" s="9" t="inlineStr">
        <is>
          <t>Технологические процессы производства наноматериалов</t>
        </is>
      </c>
      <c r="C846" s="9" t="inlineStr">
        <is>
          <t>ЛР</t>
        </is>
      </c>
      <c r="D846" s="9" t="inlineStr">
        <is>
          <t>Т1О-402Б-17</t>
        </is>
      </c>
      <c r="E846" s="10" t="n">
        <v>16</v>
      </c>
      <c r="F846" s="9" t="inlineStr">
        <is>
          <t>04517</t>
        </is>
      </c>
      <c r="G846" s="10" t="n">
        <v>8</v>
      </c>
      <c r="H846" s="9" t="inlineStr">
        <is>
          <t xml:space="preserve">82060     </t>
        </is>
      </c>
      <c r="I846" s="9" t="inlineStr">
        <is>
          <t xml:space="preserve">Лозован Александр Александрович </t>
        </is>
      </c>
      <c r="J846" s="9" t="inlineStr">
        <is>
          <t>профессор</t>
        </is>
      </c>
      <c r="K846" s="9" t="n"/>
      <c r="L846" s="9" t="n"/>
      <c r="M846" s="12">
        <f>SUMIFS($E$2:$E$1130,$A$2:$A$1130,"осень",$I$2:$I$1130,I846)</f>
        <v/>
      </c>
      <c r="N846" s="13">
        <f>SUMIFS($E$2:$E$1130,$A$2:$A$1130,"весна",$I$2:$I$1130,I846)</f>
        <v/>
      </c>
      <c r="O846" s="14">
        <f>M846+N846</f>
        <v/>
      </c>
      <c r="P846" s="15">
        <f>O846/$P$1</f>
        <v/>
      </c>
    </row>
    <row r="847" ht="15.75" customHeight="1" s="2">
      <c r="A847" s="32" t="inlineStr">
        <is>
          <t>весна</t>
        </is>
      </c>
      <c r="B847" s="9" t="inlineStr">
        <is>
          <t>Технологические процессы производства наноматериалов</t>
        </is>
      </c>
      <c r="C847" s="9" t="inlineStr">
        <is>
          <t>Консультация</t>
        </is>
      </c>
      <c r="D847" s="9" t="inlineStr">
        <is>
          <t>Т1О-402Б-17</t>
        </is>
      </c>
      <c r="E847" s="10" t="n">
        <v>2</v>
      </c>
      <c r="F847" s="9" t="inlineStr">
        <is>
          <t>04517</t>
        </is>
      </c>
      <c r="G847" s="11" t="n">
        <v>0</v>
      </c>
      <c r="H847" s="9" t="inlineStr">
        <is>
          <t xml:space="preserve">82060     </t>
        </is>
      </c>
      <c r="I847" s="9" t="inlineStr">
        <is>
          <t xml:space="preserve">Лозован Александр Александрович </t>
        </is>
      </c>
      <c r="J847" s="9" t="inlineStr">
        <is>
          <t>профессор</t>
        </is>
      </c>
      <c r="K847" s="9" t="n"/>
      <c r="L847" s="9" t="n"/>
      <c r="M847" s="12">
        <f>SUMIFS($E$2:$E$1130,$A$2:$A$1130,"осень",$I$2:$I$1130,I847)</f>
        <v/>
      </c>
      <c r="N847" s="13">
        <f>SUMIFS($E$2:$E$1130,$A$2:$A$1130,"весна",$I$2:$I$1130,I847)</f>
        <v/>
      </c>
      <c r="O847" s="14">
        <f>M847+N847</f>
        <v/>
      </c>
      <c r="P847" s="15">
        <f>O847/$P$1</f>
        <v/>
      </c>
    </row>
    <row r="848" ht="15.75" customHeight="1" s="2">
      <c r="A848" s="32" t="inlineStr">
        <is>
          <t>весна</t>
        </is>
      </c>
      <c r="B848" s="9" t="inlineStr">
        <is>
          <t>Плавка и литье цветных металлов и сплавов</t>
        </is>
      </c>
      <c r="C848" s="9" t="inlineStr">
        <is>
          <t>ЛК</t>
        </is>
      </c>
      <c r="D848" s="9" t="inlineStr">
        <is>
          <t>Т1О-402Б-17</t>
        </is>
      </c>
      <c r="E848" s="10" t="n">
        <v>24</v>
      </c>
      <c r="F848" s="9" t="inlineStr">
        <is>
          <t>04517</t>
        </is>
      </c>
      <c r="G848" s="10" t="n">
        <v>24</v>
      </c>
      <c r="H848" s="9" t="inlineStr">
        <is>
          <t xml:space="preserve">82019     </t>
        </is>
      </c>
      <c r="I848" s="9" t="inlineStr">
        <is>
          <t xml:space="preserve">Бобрышев Борис Леонидович </t>
        </is>
      </c>
      <c r="J848" s="9" t="n"/>
      <c r="K848" s="9" t="n"/>
      <c r="L848" s="9" t="n"/>
      <c r="M848" s="12">
        <f>SUMIFS($E$2:$E$1130,$A$2:$A$1130,"осень",$I$2:$I$1130,I848)</f>
        <v/>
      </c>
      <c r="N848" s="13">
        <f>SUMIFS($E$2:$E$1130,$A$2:$A$1130,"весна",$I$2:$I$1130,I848)</f>
        <v/>
      </c>
      <c r="O848" s="14">
        <f>M848+N848</f>
        <v/>
      </c>
      <c r="P848" s="15">
        <f>O848/$P$1</f>
        <v/>
      </c>
    </row>
    <row r="849" ht="15.75" customHeight="1" s="2">
      <c r="A849" s="32" t="inlineStr">
        <is>
          <t>весна</t>
        </is>
      </c>
      <c r="B849" s="9" t="inlineStr">
        <is>
          <t>Плавка и литье цветных металлов и сплавов</t>
        </is>
      </c>
      <c r="C849" s="9" t="inlineStr">
        <is>
          <t>КР</t>
        </is>
      </c>
      <c r="D849" s="9" t="inlineStr">
        <is>
          <t>Т1О-402Б-17</t>
        </is>
      </c>
      <c r="E849" s="10" t="n">
        <v>51</v>
      </c>
      <c r="F849" s="9" t="inlineStr">
        <is>
          <t>04517</t>
        </is>
      </c>
      <c r="G849" s="11" t="n">
        <v>0</v>
      </c>
      <c r="H849" s="9" t="inlineStr">
        <is>
          <t xml:space="preserve">82019     </t>
        </is>
      </c>
      <c r="I849" s="9" t="inlineStr">
        <is>
          <t xml:space="preserve">Бобрышев Борис Леонидович </t>
        </is>
      </c>
      <c r="J849" s="9" t="n"/>
      <c r="K849" s="9" t="n"/>
      <c r="L849" s="9" t="n"/>
      <c r="M849" s="12">
        <f>SUMIFS($E$2:$E$1130,$A$2:$A$1130,"осень",$I$2:$I$1130,I849)</f>
        <v/>
      </c>
      <c r="N849" s="13">
        <f>SUMIFS($E$2:$E$1130,$A$2:$A$1130,"весна",$I$2:$I$1130,I849)</f>
        <v/>
      </c>
      <c r="O849" s="14">
        <f>M849+N849</f>
        <v/>
      </c>
      <c r="P849" s="15">
        <f>O849/$P$1</f>
        <v/>
      </c>
    </row>
    <row r="850" ht="15.75" customHeight="1" s="2">
      <c r="A850" s="32" t="inlineStr">
        <is>
          <t>весна</t>
        </is>
      </c>
      <c r="B850" s="9" t="inlineStr">
        <is>
          <t>Плавка и литье цветных металлов и сплавов</t>
        </is>
      </c>
      <c r="C850" s="9" t="inlineStr">
        <is>
          <t>Зачет с оценкой</t>
        </is>
      </c>
      <c r="D850" s="9" t="inlineStr">
        <is>
          <t>Т1О-402Б-17</t>
        </is>
      </c>
      <c r="E850" s="10" t="n">
        <v>6</v>
      </c>
      <c r="F850" s="9" t="inlineStr">
        <is>
          <t>04517</t>
        </is>
      </c>
      <c r="G850" s="11" t="n">
        <v>0</v>
      </c>
      <c r="H850" s="9" t="inlineStr">
        <is>
          <t xml:space="preserve">82019     </t>
        </is>
      </c>
      <c r="I850" s="9" t="inlineStr">
        <is>
          <t xml:space="preserve">Бобрышев Борис Леонидович </t>
        </is>
      </c>
      <c r="J850" s="9" t="n"/>
      <c r="K850" s="9" t="n"/>
      <c r="L850" s="9" t="n"/>
      <c r="M850" s="12">
        <f>SUMIFS($E$2:$E$1130,$A$2:$A$1130,"осень",$I$2:$I$1130,I850)</f>
        <v/>
      </c>
      <c r="N850" s="13">
        <f>SUMIFS($E$2:$E$1130,$A$2:$A$1130,"весна",$I$2:$I$1130,I850)</f>
        <v/>
      </c>
      <c r="O850" s="14">
        <f>M850+N850</f>
        <v/>
      </c>
      <c r="P850" s="15">
        <f>O850/$P$1</f>
        <v/>
      </c>
    </row>
    <row r="851" ht="15.75" customHeight="1" s="2">
      <c r="A851" s="32" t="inlineStr">
        <is>
          <t>весна</t>
        </is>
      </c>
      <c r="B851" s="9" t="inlineStr">
        <is>
          <t>Плавка и литье цветных металлов и сплавов</t>
        </is>
      </c>
      <c r="C851" s="9" t="inlineStr">
        <is>
          <t>ЛР</t>
        </is>
      </c>
      <c r="D851" s="9" t="inlineStr">
        <is>
          <t>Т1О-402Б-17</t>
        </is>
      </c>
      <c r="E851" s="10" t="n">
        <v>64</v>
      </c>
      <c r="F851" s="9" t="inlineStr">
        <is>
          <t>04517</t>
        </is>
      </c>
      <c r="G851" s="10" t="n">
        <v>32</v>
      </c>
      <c r="H851" s="9" t="inlineStr">
        <is>
          <t xml:space="preserve">82019     </t>
        </is>
      </c>
      <c r="I851" s="9" t="inlineStr">
        <is>
          <t xml:space="preserve">Бобрышев Борис Леонидович </t>
        </is>
      </c>
      <c r="J851" s="9" t="n"/>
      <c r="K851" s="9" t="n"/>
      <c r="L851" s="9" t="n"/>
      <c r="M851" s="12">
        <f>SUMIFS($E$2:$E$1130,$A$2:$A$1130,"осень",$I$2:$I$1130,I851)</f>
        <v/>
      </c>
      <c r="N851" s="13">
        <f>SUMIFS($E$2:$E$1130,$A$2:$A$1130,"весна",$I$2:$I$1130,I851)</f>
        <v/>
      </c>
      <c r="O851" s="14">
        <f>M851+N851</f>
        <v/>
      </c>
      <c r="P851" s="15">
        <f>O851/$P$1</f>
        <v/>
      </c>
    </row>
    <row r="852" ht="15.75" customHeight="1" s="2">
      <c r="A852" s="32" t="inlineStr">
        <is>
          <t>весна</t>
        </is>
      </c>
      <c r="B852" s="9" t="inlineStr">
        <is>
          <t>Плавка и литье цветных металлов и сплавов</t>
        </is>
      </c>
      <c r="C852" s="9" t="inlineStr">
        <is>
          <t>Консультация</t>
        </is>
      </c>
      <c r="D852" s="9" t="inlineStr">
        <is>
          <t>Т1О-402Б-17</t>
        </is>
      </c>
      <c r="E852" s="10" t="n">
        <v>1</v>
      </c>
      <c r="F852" s="9" t="inlineStr">
        <is>
          <t>04517</t>
        </is>
      </c>
      <c r="G852" s="11" t="n">
        <v>0</v>
      </c>
      <c r="H852" s="9" t="inlineStr">
        <is>
          <t xml:space="preserve">82019     </t>
        </is>
      </c>
      <c r="I852" s="9" t="inlineStr">
        <is>
          <t xml:space="preserve">Бобрышев Борис Леонидович </t>
        </is>
      </c>
      <c r="J852" s="9" t="n"/>
      <c r="K852" s="9" t="n"/>
      <c r="L852" s="9" t="n"/>
      <c r="M852" s="12">
        <f>SUMIFS($E$2:$E$1130,$A$2:$A$1130,"осень",$I$2:$I$1130,I852)</f>
        <v/>
      </c>
      <c r="N852" s="13">
        <f>SUMIFS($E$2:$E$1130,$A$2:$A$1130,"весна",$I$2:$I$1130,I852)</f>
        <v/>
      </c>
      <c r="O852" s="14">
        <f>M852+N852</f>
        <v/>
      </c>
      <c r="P852" s="15">
        <f>O852/$P$1</f>
        <v/>
      </c>
    </row>
    <row r="853" ht="15.75" customHeight="1" s="2">
      <c r="A853" s="32" t="inlineStr">
        <is>
          <t>весна</t>
        </is>
      </c>
      <c r="B853" s="9" t="inlineStr">
        <is>
          <t>Плавка и литье чугунов, стали и сплавов со специальными свойствами</t>
        </is>
      </c>
      <c r="C853" s="9" t="inlineStr">
        <is>
          <t>ЛК</t>
        </is>
      </c>
      <c r="D853" s="9" t="inlineStr">
        <is>
          <t>Т1О-402Б-17</t>
        </is>
      </c>
      <c r="E853" s="10" t="n">
        <v>24</v>
      </c>
      <c r="F853" s="9" t="inlineStr">
        <is>
          <t>04517</t>
        </is>
      </c>
      <c r="G853" s="10" t="n">
        <v>24</v>
      </c>
      <c r="H853" s="9" t="inlineStr">
        <is>
          <t xml:space="preserve">89068     </t>
        </is>
      </c>
      <c r="I853" s="9" t="inlineStr">
        <is>
          <t xml:space="preserve">Петров Игорь Алексеевич </t>
        </is>
      </c>
      <c r="J853" s="9" t="inlineStr">
        <is>
          <t>доцент</t>
        </is>
      </c>
      <c r="K853" s="9" t="n"/>
      <c r="L853" s="9" t="n"/>
      <c r="M853" s="12">
        <f>SUMIFS($E$2:$E$1130,$A$2:$A$1130,"осень",$I$2:$I$1130,I853)</f>
        <v/>
      </c>
      <c r="N853" s="13">
        <f>SUMIFS($E$2:$E$1130,$A$2:$A$1130,"весна",$I$2:$I$1130,I853)</f>
        <v/>
      </c>
      <c r="O853" s="14">
        <f>M853+N853</f>
        <v/>
      </c>
      <c r="P853" s="15">
        <f>O853/$P$1</f>
        <v/>
      </c>
    </row>
    <row r="854" ht="15.75" customHeight="1" s="2">
      <c r="A854" s="32" t="inlineStr">
        <is>
          <t>весна</t>
        </is>
      </c>
      <c r="B854" s="9" t="inlineStr">
        <is>
          <t>Плавка и литье чугунов, стали и сплавов со специальными свойствами</t>
        </is>
      </c>
      <c r="C854" s="9" t="inlineStr">
        <is>
          <t>ЛР</t>
        </is>
      </c>
      <c r="D854" s="9" t="inlineStr">
        <is>
          <t>Т1О-402Б-17</t>
        </is>
      </c>
      <c r="E854" s="10" t="n">
        <v>64</v>
      </c>
      <c r="F854" s="9" t="inlineStr">
        <is>
          <t>04517</t>
        </is>
      </c>
      <c r="G854" s="10" t="n">
        <v>32</v>
      </c>
      <c r="H854" s="9" t="inlineStr">
        <is>
          <t xml:space="preserve">89068     </t>
        </is>
      </c>
      <c r="I854" s="9" t="inlineStr">
        <is>
          <t xml:space="preserve">Петров Игорь Алексеевич </t>
        </is>
      </c>
      <c r="J854" s="9" t="inlineStr">
        <is>
          <t>доцент</t>
        </is>
      </c>
      <c r="K854" s="9" t="n"/>
      <c r="L854" s="9" t="n"/>
      <c r="M854" s="12">
        <f>SUMIFS($E$2:$E$1130,$A$2:$A$1130,"осень",$I$2:$I$1130,I854)</f>
        <v/>
      </c>
      <c r="N854" s="13">
        <f>SUMIFS($E$2:$E$1130,$A$2:$A$1130,"весна",$I$2:$I$1130,I854)</f>
        <v/>
      </c>
      <c r="O854" s="14">
        <f>M854+N854</f>
        <v/>
      </c>
      <c r="P854" s="15">
        <f>O854/$P$1</f>
        <v/>
      </c>
    </row>
    <row r="855" ht="15.75" customHeight="1" s="2">
      <c r="A855" s="32" t="inlineStr">
        <is>
          <t>весна</t>
        </is>
      </c>
      <c r="B855" s="9" t="inlineStr">
        <is>
          <t>Плавка и литье чугунов, стали и сплавов со специальными свойствами</t>
        </is>
      </c>
      <c r="C855" s="9" t="inlineStr">
        <is>
          <t>Экзамен</t>
        </is>
      </c>
      <c r="D855" s="9" t="inlineStr">
        <is>
          <t>Т1О-402Б-17</t>
        </is>
      </c>
      <c r="E855" s="10" t="n">
        <v>9</v>
      </c>
      <c r="F855" s="9" t="inlineStr">
        <is>
          <t>04517</t>
        </is>
      </c>
      <c r="G855" s="11" t="n">
        <v>0</v>
      </c>
      <c r="H855" s="9" t="inlineStr">
        <is>
          <t xml:space="preserve">89068     </t>
        </is>
      </c>
      <c r="I855" s="9" t="inlineStr">
        <is>
          <t xml:space="preserve">Петров Игорь Алексеевич </t>
        </is>
      </c>
      <c r="J855" s="9" t="inlineStr">
        <is>
          <t>доцент</t>
        </is>
      </c>
      <c r="K855" s="9" t="n"/>
      <c r="L855" s="9" t="n"/>
      <c r="M855" s="12">
        <f>SUMIFS($E$2:$E$1130,$A$2:$A$1130,"осень",$I$2:$I$1130,I855)</f>
        <v/>
      </c>
      <c r="N855" s="13">
        <f>SUMIFS($E$2:$E$1130,$A$2:$A$1130,"весна",$I$2:$I$1130,I855)</f>
        <v/>
      </c>
      <c r="O855" s="14">
        <f>M855+N855</f>
        <v/>
      </c>
      <c r="P855" s="15">
        <f>O855/$P$1</f>
        <v/>
      </c>
    </row>
    <row r="856" ht="15.75" customHeight="1" s="2">
      <c r="A856" s="32" t="inlineStr">
        <is>
          <t>весна</t>
        </is>
      </c>
      <c r="B856" s="9" t="inlineStr">
        <is>
          <t>Плавка и литье чугунов, стали и сплавов со специальными свойствами</t>
        </is>
      </c>
      <c r="C856" s="9" t="inlineStr">
        <is>
          <t>Консультация</t>
        </is>
      </c>
      <c r="D856" s="9" t="inlineStr">
        <is>
          <t>Т1О-402Б-17</t>
        </is>
      </c>
      <c r="E856" s="10" t="n">
        <v>3</v>
      </c>
      <c r="F856" s="9" t="inlineStr">
        <is>
          <t>04517</t>
        </is>
      </c>
      <c r="G856" s="11" t="n">
        <v>0</v>
      </c>
      <c r="H856" s="9" t="inlineStr">
        <is>
          <t xml:space="preserve">89068     </t>
        </is>
      </c>
      <c r="I856" s="9" t="inlineStr">
        <is>
          <t xml:space="preserve">Петров Игорь Алексеевич </t>
        </is>
      </c>
      <c r="J856" s="9" t="inlineStr">
        <is>
          <t>доцент</t>
        </is>
      </c>
      <c r="K856" s="9" t="n"/>
      <c r="L856" s="9" t="n"/>
      <c r="M856" s="12">
        <f>SUMIFS($E$2:$E$1130,$A$2:$A$1130,"осень",$I$2:$I$1130,I856)</f>
        <v/>
      </c>
      <c r="N856" s="13">
        <f>SUMIFS($E$2:$E$1130,$A$2:$A$1130,"весна",$I$2:$I$1130,I856)</f>
        <v/>
      </c>
      <c r="O856" s="14">
        <f>M856+N856</f>
        <v/>
      </c>
      <c r="P856" s="15">
        <f>O856/$P$1</f>
        <v/>
      </c>
    </row>
    <row r="857" ht="15.75" customHeight="1" s="2">
      <c r="A857" s="32" t="inlineStr">
        <is>
          <t>весна</t>
        </is>
      </c>
      <c r="B857" s="9" t="inlineStr">
        <is>
          <t>Основы сварки и пайки</t>
        </is>
      </c>
      <c r="C857" s="9" t="inlineStr">
        <is>
          <t>ЛК</t>
        </is>
      </c>
      <c r="D857" s="9" t="inlineStr">
        <is>
          <t>Т11О-301Б-18, Т11О-302Б-18</t>
        </is>
      </c>
      <c r="E857" s="10" t="n">
        <v>32</v>
      </c>
      <c r="F857" s="9" t="inlineStr">
        <is>
          <t>08947</t>
        </is>
      </c>
      <c r="G857" s="10" t="n">
        <v>32</v>
      </c>
      <c r="H857" s="9" t="inlineStr">
        <is>
          <t xml:space="preserve">82056     </t>
        </is>
      </c>
      <c r="I857" s="9" t="inlineStr">
        <is>
          <t xml:space="preserve">Никитина Елена Владимировна </t>
        </is>
      </c>
      <c r="J857" s="9" t="n"/>
      <c r="K857" s="9" t="n"/>
      <c r="L857" s="9" t="n"/>
      <c r="M857" s="12">
        <f>SUMIFS($E$2:$E$1130,$A$2:$A$1130,"осень",$I$2:$I$1130,I857)</f>
        <v/>
      </c>
      <c r="N857" s="13">
        <f>SUMIFS($E$2:$E$1130,$A$2:$A$1130,"весна",$I$2:$I$1130,I857)</f>
        <v/>
      </c>
      <c r="O857" s="14">
        <f>M857+N857</f>
        <v/>
      </c>
      <c r="P857" s="15">
        <f>O857/$P$1</f>
        <v/>
      </c>
    </row>
    <row r="858" ht="15.75" customHeight="1" s="2">
      <c r="A858" s="32" t="inlineStr">
        <is>
          <t>весна</t>
        </is>
      </c>
      <c r="B858" s="9" t="inlineStr">
        <is>
          <t>Основы сварки и пайки</t>
        </is>
      </c>
      <c r="C858" s="9" t="inlineStr">
        <is>
          <t>ПЗ</t>
        </is>
      </c>
      <c r="D858" s="9" t="inlineStr">
        <is>
          <t>Т11О-301Б-18</t>
        </is>
      </c>
      <c r="E858" s="10" t="n">
        <v>20</v>
      </c>
      <c r="F858" s="9" t="inlineStr">
        <is>
          <t>08947</t>
        </is>
      </c>
      <c r="G858" s="10" t="n">
        <v>20</v>
      </c>
      <c r="H858" s="9" t="inlineStr">
        <is>
          <t xml:space="preserve">82056     </t>
        </is>
      </c>
      <c r="I858" s="9" t="inlineStr">
        <is>
          <t xml:space="preserve">Никитина Елена Владимировна </t>
        </is>
      </c>
      <c r="J858" s="9" t="n"/>
      <c r="K858" s="9" t="n"/>
      <c r="L858" s="9" t="n"/>
      <c r="M858" s="12">
        <f>SUMIFS($E$2:$E$1130,$A$2:$A$1130,"осень",$I$2:$I$1130,I858)</f>
        <v/>
      </c>
      <c r="N858" s="13">
        <f>SUMIFS($E$2:$E$1130,$A$2:$A$1130,"весна",$I$2:$I$1130,I858)</f>
        <v/>
      </c>
      <c r="O858" s="14">
        <f>M858+N858</f>
        <v/>
      </c>
      <c r="P858" s="15">
        <f>O858/$P$1</f>
        <v/>
      </c>
    </row>
    <row r="859" ht="15.75" customHeight="1" s="2">
      <c r="A859" s="32" t="inlineStr">
        <is>
          <t>весна</t>
        </is>
      </c>
      <c r="B859" s="9" t="inlineStr">
        <is>
          <t>Основы сварки и пайки</t>
        </is>
      </c>
      <c r="C859" s="9" t="inlineStr">
        <is>
          <t>ПЗ</t>
        </is>
      </c>
      <c r="D859" s="9" t="inlineStr">
        <is>
          <t>Т11О-302Б-18</t>
        </is>
      </c>
      <c r="E859" s="10" t="n">
        <v>20</v>
      </c>
      <c r="F859" s="9" t="inlineStr">
        <is>
          <t>08947</t>
        </is>
      </c>
      <c r="G859" s="10" t="n">
        <v>20</v>
      </c>
      <c r="H859" s="9" t="inlineStr">
        <is>
          <t xml:space="preserve">82056     </t>
        </is>
      </c>
      <c r="I859" s="9" t="inlineStr">
        <is>
          <t xml:space="preserve">Никитина Елена Владимировна </t>
        </is>
      </c>
      <c r="J859" s="9" t="n"/>
      <c r="K859" s="9" t="n"/>
      <c r="L859" s="9" t="n"/>
      <c r="M859" s="12">
        <f>SUMIFS($E$2:$E$1130,$A$2:$A$1130,"осень",$I$2:$I$1130,I859)</f>
        <v/>
      </c>
      <c r="N859" s="13">
        <f>SUMIFS($E$2:$E$1130,$A$2:$A$1130,"весна",$I$2:$I$1130,I859)</f>
        <v/>
      </c>
      <c r="O859" s="14">
        <f>M859+N859</f>
        <v/>
      </c>
      <c r="P859" s="15">
        <f>O859/$P$1</f>
        <v/>
      </c>
    </row>
    <row r="860" ht="15.75" customHeight="1" s="2">
      <c r="A860" s="32" t="inlineStr">
        <is>
          <t>весна</t>
        </is>
      </c>
      <c r="B860" s="9" t="inlineStr">
        <is>
          <t>Основы сварки и пайки</t>
        </is>
      </c>
      <c r="C860" s="9" t="inlineStr">
        <is>
          <t>ЛР</t>
        </is>
      </c>
      <c r="D860" s="9" t="inlineStr">
        <is>
          <t>Т11О-301Б-18</t>
        </is>
      </c>
      <c r="E860" s="10" t="n">
        <v>32</v>
      </c>
      <c r="F860" s="9" t="inlineStr">
        <is>
          <t>08947</t>
        </is>
      </c>
      <c r="G860" s="10" t="n">
        <v>16</v>
      </c>
      <c r="H860" s="9" t="inlineStr">
        <is>
          <t xml:space="preserve">82056     </t>
        </is>
      </c>
      <c r="I860" s="9" t="inlineStr">
        <is>
          <t xml:space="preserve">Никитина Елена Владимировна </t>
        </is>
      </c>
      <c r="J860" s="9" t="n"/>
      <c r="K860" s="9" t="n"/>
      <c r="L860" s="9" t="n"/>
      <c r="M860" s="12">
        <f>SUMIFS($E$2:$E$1130,$A$2:$A$1130,"осень",$I$2:$I$1130,I860)</f>
        <v/>
      </c>
      <c r="N860" s="13">
        <f>SUMIFS($E$2:$E$1130,$A$2:$A$1130,"весна",$I$2:$I$1130,I860)</f>
        <v/>
      </c>
      <c r="O860" s="14">
        <f>M860+N860</f>
        <v/>
      </c>
      <c r="P860" s="15">
        <f>O860/$P$1</f>
        <v/>
      </c>
    </row>
    <row r="861" ht="15.75" customHeight="1" s="2">
      <c r="A861" s="32" t="inlineStr">
        <is>
          <t>весна</t>
        </is>
      </c>
      <c r="B861" s="9" t="inlineStr">
        <is>
          <t>Основы сварки и пайки</t>
        </is>
      </c>
      <c r="C861" s="9" t="inlineStr">
        <is>
          <t>ЛР</t>
        </is>
      </c>
      <c r="D861" s="9" t="inlineStr">
        <is>
          <t>Т11О-302Б-18</t>
        </is>
      </c>
      <c r="E861" s="10" t="n">
        <v>16</v>
      </c>
      <c r="F861" s="9" t="inlineStr">
        <is>
          <t>08947</t>
        </is>
      </c>
      <c r="G861" s="10" t="n">
        <v>16</v>
      </c>
      <c r="H861" s="9" t="inlineStr">
        <is>
          <t xml:space="preserve">82056     </t>
        </is>
      </c>
      <c r="I861" s="9" t="inlineStr">
        <is>
          <t xml:space="preserve">Никитина Елена Владимировна </t>
        </is>
      </c>
      <c r="J861" s="9" t="n"/>
      <c r="K861" s="9" t="n"/>
      <c r="L861" s="9" t="n"/>
      <c r="M861" s="12">
        <f>SUMIFS($E$2:$E$1130,$A$2:$A$1130,"осень",$I$2:$I$1130,I861)</f>
        <v/>
      </c>
      <c r="N861" s="13">
        <f>SUMIFS($E$2:$E$1130,$A$2:$A$1130,"весна",$I$2:$I$1130,I861)</f>
        <v/>
      </c>
      <c r="O861" s="14">
        <f>M861+N861</f>
        <v/>
      </c>
      <c r="P861" s="15">
        <f>O861/$P$1</f>
        <v/>
      </c>
    </row>
    <row r="862" ht="15.75" customHeight="1" s="2">
      <c r="A862" s="32" t="inlineStr">
        <is>
          <t>весна</t>
        </is>
      </c>
      <c r="B862" s="9" t="inlineStr">
        <is>
          <t>Основы сварки и пайки</t>
        </is>
      </c>
      <c r="C862" s="9" t="inlineStr">
        <is>
          <t>Экзамен</t>
        </is>
      </c>
      <c r="D862" s="9" t="inlineStr">
        <is>
          <t>Т11О-301Б-18</t>
        </is>
      </c>
      <c r="E862" s="10" t="n">
        <v>9</v>
      </c>
      <c r="F862" s="9" t="inlineStr">
        <is>
          <t>08947</t>
        </is>
      </c>
      <c r="G862" s="11" t="n">
        <v>0</v>
      </c>
      <c r="H862" s="9" t="inlineStr">
        <is>
          <t xml:space="preserve">82056     </t>
        </is>
      </c>
      <c r="I862" s="9" t="inlineStr">
        <is>
          <t xml:space="preserve">Никитина Елена Владимировна </t>
        </is>
      </c>
      <c r="J862" s="9" t="n"/>
      <c r="K862" s="9" t="n"/>
      <c r="L862" s="9" t="n"/>
      <c r="M862" s="12">
        <f>SUMIFS($E$2:$E$1130,$A$2:$A$1130,"осень",$I$2:$I$1130,I862)</f>
        <v/>
      </c>
      <c r="N862" s="13">
        <f>SUMIFS($E$2:$E$1130,$A$2:$A$1130,"весна",$I$2:$I$1130,I862)</f>
        <v/>
      </c>
      <c r="O862" s="14">
        <f>M862+N862</f>
        <v/>
      </c>
      <c r="P862" s="15">
        <f>O862/$P$1</f>
        <v/>
      </c>
    </row>
    <row r="863" ht="15.75" customHeight="1" s="2">
      <c r="A863" s="32" t="inlineStr">
        <is>
          <t>весна</t>
        </is>
      </c>
      <c r="B863" s="9" t="inlineStr">
        <is>
          <t>Основы сварки и пайки</t>
        </is>
      </c>
      <c r="C863" s="9" t="inlineStr">
        <is>
          <t>Экзамен</t>
        </is>
      </c>
      <c r="D863" s="9" t="inlineStr">
        <is>
          <t>Т11О-302Б-18</t>
        </is>
      </c>
      <c r="E863" s="10" t="n">
        <v>7</v>
      </c>
      <c r="F863" s="9" t="inlineStr">
        <is>
          <t>08947</t>
        </is>
      </c>
      <c r="G863" s="11" t="n">
        <v>0</v>
      </c>
      <c r="H863" s="9" t="inlineStr">
        <is>
          <t xml:space="preserve">82056     </t>
        </is>
      </c>
      <c r="I863" s="9" t="inlineStr">
        <is>
          <t xml:space="preserve">Никитина Елена Владимировна </t>
        </is>
      </c>
      <c r="J863" s="9" t="n"/>
      <c r="K863" s="9" t="n"/>
      <c r="L863" s="9" t="n"/>
      <c r="M863" s="12">
        <f>SUMIFS($E$2:$E$1130,$A$2:$A$1130,"осень",$I$2:$I$1130,I863)</f>
        <v/>
      </c>
      <c r="N863" s="13">
        <f>SUMIFS($E$2:$E$1130,$A$2:$A$1130,"весна",$I$2:$I$1130,I863)</f>
        <v/>
      </c>
      <c r="O863" s="14">
        <f>M863+N863</f>
        <v/>
      </c>
      <c r="P863" s="15">
        <f>O863/$P$1</f>
        <v/>
      </c>
    </row>
    <row r="864" ht="15.75" customHeight="1" s="2">
      <c r="A864" s="32" t="inlineStr">
        <is>
          <t>весна</t>
        </is>
      </c>
      <c r="B864" s="9" t="inlineStr">
        <is>
          <t>Основы сварки и пайки</t>
        </is>
      </c>
      <c r="C864" s="9" t="inlineStr">
        <is>
          <t>Консультация</t>
        </is>
      </c>
      <c r="D864" s="9" t="inlineStr">
        <is>
          <t>Т11О-301Б-18</t>
        </is>
      </c>
      <c r="E864" s="10" t="n">
        <v>4</v>
      </c>
      <c r="F864" s="9" t="inlineStr">
        <is>
          <t>08947</t>
        </is>
      </c>
      <c r="G864" s="11" t="n">
        <v>0</v>
      </c>
      <c r="H864" s="9" t="inlineStr">
        <is>
          <t xml:space="preserve">82056     </t>
        </is>
      </c>
      <c r="I864" s="9" t="inlineStr">
        <is>
          <t xml:space="preserve">Никитина Елена Владимировна </t>
        </is>
      </c>
      <c r="J864" s="9" t="n"/>
      <c r="K864" s="9" t="n"/>
      <c r="L864" s="9" t="n"/>
      <c r="M864" s="12">
        <f>SUMIFS($E$2:$E$1130,$A$2:$A$1130,"осень",$I$2:$I$1130,I864)</f>
        <v/>
      </c>
      <c r="N864" s="13">
        <f>SUMIFS($E$2:$E$1130,$A$2:$A$1130,"весна",$I$2:$I$1130,I864)</f>
        <v/>
      </c>
      <c r="O864" s="14">
        <f>M864+N864</f>
        <v/>
      </c>
      <c r="P864" s="15">
        <f>O864/$P$1</f>
        <v/>
      </c>
    </row>
    <row r="865" ht="15.75" customHeight="1" s="2">
      <c r="A865" s="32" t="inlineStr">
        <is>
          <t>весна</t>
        </is>
      </c>
      <c r="B865" s="9" t="inlineStr">
        <is>
          <t>Основы сварки и пайки</t>
        </is>
      </c>
      <c r="C865" s="9" t="inlineStr">
        <is>
          <t>Консультация</t>
        </is>
      </c>
      <c r="D865" s="9" t="inlineStr">
        <is>
          <t>Т11О-302Б-18</t>
        </is>
      </c>
      <c r="E865" s="10" t="n">
        <v>4</v>
      </c>
      <c r="F865" s="9" t="inlineStr">
        <is>
          <t>08947</t>
        </is>
      </c>
      <c r="G865" s="11" t="n">
        <v>0</v>
      </c>
      <c r="H865" s="9" t="inlineStr">
        <is>
          <t xml:space="preserve">82056     </t>
        </is>
      </c>
      <c r="I865" s="9" t="inlineStr">
        <is>
          <t xml:space="preserve">Никитина Елена Владимировна </t>
        </is>
      </c>
      <c r="J865" s="9" t="n"/>
      <c r="K865" s="9" t="n"/>
      <c r="L865" s="9" t="n"/>
      <c r="M865" s="12">
        <f>SUMIFS($E$2:$E$1130,$A$2:$A$1130,"осень",$I$2:$I$1130,I865)</f>
        <v/>
      </c>
      <c r="N865" s="13">
        <f>SUMIFS($E$2:$E$1130,$A$2:$A$1130,"весна",$I$2:$I$1130,I865)</f>
        <v/>
      </c>
      <c r="O865" s="14">
        <f>M865+N865</f>
        <v/>
      </c>
      <c r="P865" s="15">
        <f>O865/$P$1</f>
        <v/>
      </c>
    </row>
    <row r="866" ht="15.75" customHeight="1" s="2">
      <c r="A866" s="32" t="inlineStr">
        <is>
          <t>весна</t>
        </is>
      </c>
      <c r="B866" s="9" t="inlineStr">
        <is>
          <t>Оборудование литейных цехов</t>
        </is>
      </c>
      <c r="C866" s="9" t="inlineStr">
        <is>
          <t>ЛК</t>
        </is>
      </c>
      <c r="D866" s="9" t="inlineStr">
        <is>
          <t>Т11О-102М-20</t>
        </is>
      </c>
      <c r="E866" s="10" t="n">
        <v>12</v>
      </c>
      <c r="F866" s="9" t="inlineStr">
        <is>
          <t>06201</t>
        </is>
      </c>
      <c r="G866" s="10" t="n">
        <v>12</v>
      </c>
      <c r="H866" s="9" t="inlineStr">
        <is>
          <t xml:space="preserve">82019     </t>
        </is>
      </c>
      <c r="I866" s="9" t="inlineStr">
        <is>
          <t xml:space="preserve">Бобрышев Борис Леонидович </t>
        </is>
      </c>
      <c r="J866" s="9" t="n"/>
      <c r="K866" s="9" t="n"/>
      <c r="L866" s="9" t="n"/>
      <c r="M866" s="12">
        <f>SUMIFS($E$2:$E$1130,$A$2:$A$1130,"осень",$I$2:$I$1130,I866)</f>
        <v/>
      </c>
      <c r="N866" s="13">
        <f>SUMIFS($E$2:$E$1130,$A$2:$A$1130,"весна",$I$2:$I$1130,I866)</f>
        <v/>
      </c>
      <c r="O866" s="14">
        <f>M866+N866</f>
        <v/>
      </c>
      <c r="P866" s="15">
        <f>O866/$P$1</f>
        <v/>
      </c>
    </row>
    <row r="867" ht="15.75" customHeight="1" s="2">
      <c r="A867" s="32" t="inlineStr">
        <is>
          <t>весна</t>
        </is>
      </c>
      <c r="B867" s="9" t="inlineStr">
        <is>
          <t>Оборудование литейных цехов</t>
        </is>
      </c>
      <c r="C867" s="9" t="inlineStr">
        <is>
          <t>ПЗ</t>
        </is>
      </c>
      <c r="D867" s="9" t="inlineStr">
        <is>
          <t>Т11О-102М-20</t>
        </is>
      </c>
      <c r="E867" s="10" t="n">
        <v>24</v>
      </c>
      <c r="F867" s="9" t="inlineStr">
        <is>
          <t>06201</t>
        </is>
      </c>
      <c r="G867" s="10" t="n">
        <v>24</v>
      </c>
      <c r="H867" s="9" t="inlineStr">
        <is>
          <t xml:space="preserve">82019     </t>
        </is>
      </c>
      <c r="I867" s="9" t="inlineStr">
        <is>
          <t xml:space="preserve">Бобрышев Борис Леонидович </t>
        </is>
      </c>
      <c r="J867" s="9" t="n"/>
      <c r="K867" s="9" t="n"/>
      <c r="L867" s="9" t="n"/>
      <c r="M867" s="12">
        <f>SUMIFS($E$2:$E$1130,$A$2:$A$1130,"осень",$I$2:$I$1130,I867)</f>
        <v/>
      </c>
      <c r="N867" s="13">
        <f>SUMIFS($E$2:$E$1130,$A$2:$A$1130,"весна",$I$2:$I$1130,I867)</f>
        <v/>
      </c>
      <c r="O867" s="14">
        <f>M867+N867</f>
        <v/>
      </c>
      <c r="P867" s="15">
        <f>O867/$P$1</f>
        <v/>
      </c>
    </row>
    <row r="868" ht="15.75" customHeight="1" s="2">
      <c r="A868" s="32" t="inlineStr">
        <is>
          <t>весна</t>
        </is>
      </c>
      <c r="B868" s="9" t="inlineStr">
        <is>
          <t>Оборудование литейных цехов</t>
        </is>
      </c>
      <c r="C868" s="9" t="inlineStr">
        <is>
          <t>Зачет</t>
        </is>
      </c>
      <c r="D868" s="9" t="inlineStr">
        <is>
          <t>Т11О-102М-20</t>
        </is>
      </c>
      <c r="E868" s="10" t="n">
        <v>2</v>
      </c>
      <c r="F868" s="9" t="inlineStr">
        <is>
          <t>06201</t>
        </is>
      </c>
      <c r="G868" s="11" t="n">
        <v>0</v>
      </c>
      <c r="H868" s="9" t="inlineStr">
        <is>
          <t xml:space="preserve">82019     </t>
        </is>
      </c>
      <c r="I868" s="9" t="inlineStr">
        <is>
          <t xml:space="preserve">Бобрышев Борис Леонидович </t>
        </is>
      </c>
      <c r="J868" s="9" t="n"/>
      <c r="K868" s="9" t="n"/>
      <c r="L868" s="9" t="n"/>
      <c r="M868" s="12">
        <f>SUMIFS($E$2:$E$1130,$A$2:$A$1130,"осень",$I$2:$I$1130,I868)</f>
        <v/>
      </c>
      <c r="N868" s="13">
        <f>SUMIFS($E$2:$E$1130,$A$2:$A$1130,"весна",$I$2:$I$1130,I868)</f>
        <v/>
      </c>
      <c r="O868" s="14">
        <f>M868+N868</f>
        <v/>
      </c>
      <c r="P868" s="15">
        <f>O868/$P$1</f>
        <v/>
      </c>
    </row>
    <row r="869" ht="15.75" customHeight="1" s="2">
      <c r="A869" s="32" t="inlineStr">
        <is>
          <t>весна</t>
        </is>
      </c>
      <c r="B869" s="9" t="inlineStr">
        <is>
          <t>Оборудование литейных цехов</t>
        </is>
      </c>
      <c r="C869" s="9" t="inlineStr">
        <is>
          <t>Консультация</t>
        </is>
      </c>
      <c r="D869" s="9" t="inlineStr">
        <is>
          <t>Т11О-102М-20</t>
        </is>
      </c>
      <c r="E869" s="10" t="n">
        <v>1</v>
      </c>
      <c r="F869" s="9" t="inlineStr">
        <is>
          <t>06201</t>
        </is>
      </c>
      <c r="G869" s="11" t="n">
        <v>0</v>
      </c>
      <c r="H869" s="9" t="inlineStr">
        <is>
          <t xml:space="preserve">82019     </t>
        </is>
      </c>
      <c r="I869" s="9" t="inlineStr">
        <is>
          <t xml:space="preserve">Бобрышев Борис Леонидович </t>
        </is>
      </c>
      <c r="J869" s="9" t="n"/>
      <c r="K869" s="9" t="n"/>
      <c r="L869" s="9" t="n"/>
      <c r="M869" s="12">
        <f>SUMIFS($E$2:$E$1130,$A$2:$A$1130,"осень",$I$2:$I$1130,I869)</f>
        <v/>
      </c>
      <c r="N869" s="13">
        <f>SUMIFS($E$2:$E$1130,$A$2:$A$1130,"весна",$I$2:$I$1130,I869)</f>
        <v/>
      </c>
      <c r="O869" s="14">
        <f>M869+N869</f>
        <v/>
      </c>
      <c r="P869" s="15">
        <f>O869/$P$1</f>
        <v/>
      </c>
    </row>
    <row r="870" ht="15.75" customHeight="1" s="2">
      <c r="A870" s="32" t="inlineStr">
        <is>
          <t>весна</t>
        </is>
      </c>
      <c r="B870" s="9" t="inlineStr">
        <is>
          <t>Теория, технология и оборудование нанесения покрытий</t>
        </is>
      </c>
      <c r="C870" s="9" t="inlineStr">
        <is>
          <t>ЛК</t>
        </is>
      </c>
      <c r="D870" s="9" t="inlineStr">
        <is>
          <t>Т11О-103М-20</t>
        </is>
      </c>
      <c r="E870" s="10" t="n">
        <v>12</v>
      </c>
      <c r="F870" s="9" t="inlineStr">
        <is>
          <t>06203</t>
        </is>
      </c>
      <c r="G870" s="10" t="n">
        <v>12</v>
      </c>
      <c r="H870" s="9" t="inlineStr">
        <is>
          <t xml:space="preserve">93685     </t>
        </is>
      </c>
      <c r="I870" s="9" t="inlineStr">
        <is>
          <t xml:space="preserve">Банишев Александр Федорович </t>
        </is>
      </c>
      <c r="J870" s="9" t="n"/>
      <c r="K870" s="9" t="n"/>
      <c r="L870" s="9" t="n"/>
      <c r="M870" s="12">
        <f>SUMIFS($E$2:$E$1130,$A$2:$A$1130,"осень",$I$2:$I$1130,I870)</f>
        <v/>
      </c>
      <c r="N870" s="13">
        <f>SUMIFS($E$2:$E$1130,$A$2:$A$1130,"весна",$I$2:$I$1130,I870)</f>
        <v/>
      </c>
      <c r="O870" s="14">
        <f>M870+N870</f>
        <v/>
      </c>
      <c r="P870" s="15">
        <f>O870/$P$1</f>
        <v/>
      </c>
    </row>
    <row r="871" ht="15.75" customHeight="1" s="2">
      <c r="A871" s="32" t="inlineStr">
        <is>
          <t>весна</t>
        </is>
      </c>
      <c r="B871" s="9" t="inlineStr">
        <is>
          <t>Теория, технология и оборудование нанесения покрытий</t>
        </is>
      </c>
      <c r="C871" s="9" t="inlineStr">
        <is>
          <t>Зачет с оценкой</t>
        </is>
      </c>
      <c r="D871" s="9" t="inlineStr">
        <is>
          <t>Т11О-103М-20</t>
        </is>
      </c>
      <c r="E871" s="10" t="n">
        <v>2</v>
      </c>
      <c r="F871" s="9" t="inlineStr">
        <is>
          <t>06203</t>
        </is>
      </c>
      <c r="G871" s="11" t="n">
        <v>0</v>
      </c>
      <c r="H871" s="9" t="inlineStr">
        <is>
          <t xml:space="preserve">93685     </t>
        </is>
      </c>
      <c r="I871" s="9" t="inlineStr">
        <is>
          <t xml:space="preserve">Банишев Александр Федорович </t>
        </is>
      </c>
      <c r="J871" s="9" t="n"/>
      <c r="K871" s="9" t="n"/>
      <c r="L871" s="9" t="n"/>
      <c r="M871" s="12">
        <f>SUMIFS($E$2:$E$1130,$A$2:$A$1130,"осень",$I$2:$I$1130,I871)</f>
        <v/>
      </c>
      <c r="N871" s="13">
        <f>SUMIFS($E$2:$E$1130,$A$2:$A$1130,"весна",$I$2:$I$1130,I871)</f>
        <v/>
      </c>
      <c r="O871" s="14">
        <f>M871+N871</f>
        <v/>
      </c>
      <c r="P871" s="15">
        <f>O871/$P$1</f>
        <v/>
      </c>
    </row>
    <row r="872" ht="15.75" customHeight="1" s="2">
      <c r="A872" s="32" t="inlineStr">
        <is>
          <t>весна</t>
        </is>
      </c>
      <c r="B872" s="9" t="inlineStr">
        <is>
          <t>Теория, технология и оборудование нанесения покрытий</t>
        </is>
      </c>
      <c r="C872" s="9" t="inlineStr">
        <is>
          <t>ПЗ</t>
        </is>
      </c>
      <c r="D872" s="9" t="inlineStr">
        <is>
          <t>Т11О-103М-20</t>
        </is>
      </c>
      <c r="E872" s="10" t="n">
        <v>10</v>
      </c>
      <c r="F872" s="9" t="inlineStr">
        <is>
          <t>06203</t>
        </is>
      </c>
      <c r="G872" s="10" t="n">
        <v>10</v>
      </c>
      <c r="H872" s="9" t="inlineStr">
        <is>
          <t xml:space="preserve">93685     </t>
        </is>
      </c>
      <c r="I872" s="9" t="inlineStr">
        <is>
          <t xml:space="preserve">Банишев Александр Федорович </t>
        </is>
      </c>
      <c r="J872" s="9" t="n"/>
      <c r="K872" s="9" t="n"/>
      <c r="L872" s="9" t="n"/>
      <c r="M872" s="12">
        <f>SUMIFS($E$2:$E$1130,$A$2:$A$1130,"осень",$I$2:$I$1130,I872)</f>
        <v/>
      </c>
      <c r="N872" s="13">
        <f>SUMIFS($E$2:$E$1130,$A$2:$A$1130,"весна",$I$2:$I$1130,I872)</f>
        <v/>
      </c>
      <c r="O872" s="14">
        <f>M872+N872</f>
        <v/>
      </c>
      <c r="P872" s="15">
        <f>O872/$P$1</f>
        <v/>
      </c>
    </row>
    <row r="873" ht="15.75" customHeight="1" s="2">
      <c r="A873" s="32" t="inlineStr">
        <is>
          <t>весна</t>
        </is>
      </c>
      <c r="B873" s="9" t="inlineStr">
        <is>
          <t>Теория, технология и оборудование нанесения покрытий</t>
        </is>
      </c>
      <c r="C873" s="9" t="inlineStr">
        <is>
          <t>ЛР</t>
        </is>
      </c>
      <c r="D873" s="9" t="inlineStr">
        <is>
          <t>Т11О-103М-20</t>
        </is>
      </c>
      <c r="E873" s="10" t="n">
        <v>12</v>
      </c>
      <c r="F873" s="9" t="inlineStr">
        <is>
          <t>06203</t>
        </is>
      </c>
      <c r="G873" s="10" t="n">
        <v>12</v>
      </c>
      <c r="H873" s="9" t="inlineStr">
        <is>
          <t xml:space="preserve">93685     </t>
        </is>
      </c>
      <c r="I873" s="9" t="inlineStr">
        <is>
          <t xml:space="preserve">Банишев Александр Федорович </t>
        </is>
      </c>
      <c r="J873" s="9" t="n"/>
      <c r="K873" s="9" t="n"/>
      <c r="L873" s="9" t="n"/>
      <c r="M873" s="12">
        <f>SUMIFS($E$2:$E$1130,$A$2:$A$1130,"осень",$I$2:$I$1130,I873)</f>
        <v/>
      </c>
      <c r="N873" s="13">
        <f>SUMIFS($E$2:$E$1130,$A$2:$A$1130,"весна",$I$2:$I$1130,I873)</f>
        <v/>
      </c>
      <c r="O873" s="14">
        <f>M873+N873</f>
        <v/>
      </c>
      <c r="P873" s="15">
        <f>O873/$P$1</f>
        <v/>
      </c>
    </row>
    <row r="874" ht="15.75" customHeight="1" s="2">
      <c r="A874" s="32" t="inlineStr">
        <is>
          <t>весна</t>
        </is>
      </c>
      <c r="B874" s="9" t="inlineStr">
        <is>
          <t>Теория, технология и оборудование нанесения покрытий</t>
        </is>
      </c>
      <c r="C874" s="9" t="inlineStr">
        <is>
          <t>Консультация</t>
        </is>
      </c>
      <c r="D874" s="9" t="inlineStr">
        <is>
          <t>Т11О-103М-20</t>
        </is>
      </c>
      <c r="E874" s="10" t="n">
        <v>1</v>
      </c>
      <c r="F874" s="9" t="inlineStr">
        <is>
          <t>06203</t>
        </is>
      </c>
      <c r="G874" s="11" t="n">
        <v>0</v>
      </c>
      <c r="H874" s="9" t="inlineStr">
        <is>
          <t xml:space="preserve">93685     </t>
        </is>
      </c>
      <c r="I874" s="9" t="inlineStr">
        <is>
          <t xml:space="preserve">Банишев Александр Федорович </t>
        </is>
      </c>
      <c r="J874" s="9" t="n"/>
      <c r="K874" s="9" t="n"/>
      <c r="L874" s="9" t="n"/>
      <c r="M874" s="12">
        <f>SUMIFS($E$2:$E$1130,$A$2:$A$1130,"осень",$I$2:$I$1130,I874)</f>
        <v/>
      </c>
      <c r="N874" s="13">
        <f>SUMIFS($E$2:$E$1130,$A$2:$A$1130,"весна",$I$2:$I$1130,I874)</f>
        <v/>
      </c>
      <c r="O874" s="14">
        <f>M874+N874</f>
        <v/>
      </c>
      <c r="P874" s="15">
        <f>O874/$P$1</f>
        <v/>
      </c>
    </row>
    <row r="875" ht="15.75" customHeight="1" s="2">
      <c r="A875" s="32" t="inlineStr">
        <is>
          <t>весна</t>
        </is>
      </c>
      <c r="B875" s="9" t="inlineStr">
        <is>
          <t>Спецглавы информатики</t>
        </is>
      </c>
      <c r="C875" s="9" t="inlineStr">
        <is>
          <t>ЛК</t>
        </is>
      </c>
      <c r="D875" s="9" t="inlineStr">
        <is>
          <t>Т11О-101Б-20, Т11О-102Б-20</t>
        </is>
      </c>
      <c r="E875" s="10" t="n">
        <v>36</v>
      </c>
      <c r="F875" s="9" t="inlineStr">
        <is>
          <t>13524</t>
        </is>
      </c>
      <c r="G875" s="10" t="n">
        <v>36</v>
      </c>
      <c r="H875" s="9" t="inlineStr">
        <is>
          <t xml:space="preserve">82026     </t>
        </is>
      </c>
      <c r="I875" s="9" t="inlineStr">
        <is>
          <t xml:space="preserve">Александрова Светлана Сергеевна </t>
        </is>
      </c>
      <c r="J875" s="9" t="inlineStr">
        <is>
          <t>доцент</t>
        </is>
      </c>
      <c r="K875" s="9" t="n"/>
      <c r="L875" s="9" t="n"/>
      <c r="M875" s="12">
        <f>SUMIFS($E$2:$E$1130,$A$2:$A$1130,"осень",$I$2:$I$1130,I875)</f>
        <v/>
      </c>
      <c r="N875" s="13">
        <f>SUMIFS($E$2:$E$1130,$A$2:$A$1130,"весна",$I$2:$I$1130,I875)</f>
        <v/>
      </c>
      <c r="O875" s="14">
        <f>M875+N875</f>
        <v/>
      </c>
      <c r="P875" s="15">
        <f>O875/$P$1</f>
        <v/>
      </c>
    </row>
    <row r="876" ht="15.75" customHeight="1" s="2">
      <c r="A876" s="32" t="inlineStr">
        <is>
          <t>весна</t>
        </is>
      </c>
      <c r="B876" s="9" t="inlineStr">
        <is>
          <t>Спецглавы информатики</t>
        </is>
      </c>
      <c r="C876" s="9" t="inlineStr">
        <is>
          <t>Зачет с оценкой</t>
        </is>
      </c>
      <c r="D876" s="9" t="inlineStr">
        <is>
          <t>Т11О-101Б-20</t>
        </is>
      </c>
      <c r="E876" s="10" t="n">
        <v>7</v>
      </c>
      <c r="F876" s="9" t="inlineStr">
        <is>
          <t>13524</t>
        </is>
      </c>
      <c r="G876" s="11" t="n">
        <v>0</v>
      </c>
      <c r="H876" s="9" t="inlineStr">
        <is>
          <t xml:space="preserve">82026     </t>
        </is>
      </c>
      <c r="I876" s="9" t="inlineStr">
        <is>
          <t xml:space="preserve">Александрова Светлана Сергеевна </t>
        </is>
      </c>
      <c r="J876" s="9" t="inlineStr">
        <is>
          <t>доцент</t>
        </is>
      </c>
      <c r="K876" s="9" t="n"/>
      <c r="L876" s="9" t="n"/>
      <c r="M876" s="12">
        <f>SUMIFS($E$2:$E$1130,$A$2:$A$1130,"осень",$I$2:$I$1130,I876)</f>
        <v/>
      </c>
      <c r="N876" s="13">
        <f>SUMIFS($E$2:$E$1130,$A$2:$A$1130,"весна",$I$2:$I$1130,I876)</f>
        <v/>
      </c>
      <c r="O876" s="14">
        <f>M876+N876</f>
        <v/>
      </c>
      <c r="P876" s="15">
        <f>O876/$P$1</f>
        <v/>
      </c>
    </row>
    <row r="877" ht="15.75" customHeight="1" s="2">
      <c r="A877" s="32" t="inlineStr">
        <is>
          <t>весна</t>
        </is>
      </c>
      <c r="B877" s="9" t="inlineStr">
        <is>
          <t>Спецглавы информатики</t>
        </is>
      </c>
      <c r="C877" s="9" t="inlineStr">
        <is>
          <t>Зачет с оценкой</t>
        </is>
      </c>
      <c r="D877" s="9" t="inlineStr">
        <is>
          <t>Т11О-102Б-20</t>
        </is>
      </c>
      <c r="E877" s="10" t="n">
        <v>7</v>
      </c>
      <c r="F877" s="9" t="inlineStr">
        <is>
          <t>13524</t>
        </is>
      </c>
      <c r="G877" s="11" t="n">
        <v>0</v>
      </c>
      <c r="H877" s="9" t="inlineStr">
        <is>
          <t xml:space="preserve">82026     </t>
        </is>
      </c>
      <c r="I877" s="9" t="inlineStr">
        <is>
          <t xml:space="preserve">Александрова Светлана Сергеевна </t>
        </is>
      </c>
      <c r="J877" s="9" t="inlineStr">
        <is>
          <t>доцент</t>
        </is>
      </c>
      <c r="K877" s="9" t="n"/>
      <c r="L877" s="9" t="n"/>
      <c r="M877" s="12">
        <f>SUMIFS($E$2:$E$1130,$A$2:$A$1130,"осень",$I$2:$I$1130,I877)</f>
        <v/>
      </c>
      <c r="N877" s="13">
        <f>SUMIFS($E$2:$E$1130,$A$2:$A$1130,"весна",$I$2:$I$1130,I877)</f>
        <v/>
      </c>
      <c r="O877" s="14">
        <f>M877+N877</f>
        <v/>
      </c>
      <c r="P877" s="15">
        <f>O877/$P$1</f>
        <v/>
      </c>
    </row>
    <row r="878" ht="15.75" customHeight="1" s="2">
      <c r="A878" s="32" t="inlineStr">
        <is>
          <t>весна</t>
        </is>
      </c>
      <c r="B878" s="9" t="inlineStr">
        <is>
          <t>Спецглавы информатики</t>
        </is>
      </c>
      <c r="C878" s="9" t="inlineStr">
        <is>
          <t>ПЗ</t>
        </is>
      </c>
      <c r="D878" s="9" t="inlineStr">
        <is>
          <t>Т11О-101Б-20</t>
        </is>
      </c>
      <c r="E878" s="10" t="n">
        <v>48</v>
      </c>
      <c r="F878" s="9" t="inlineStr">
        <is>
          <t>13524</t>
        </is>
      </c>
      <c r="G878" s="10" t="n">
        <v>48</v>
      </c>
      <c r="H878" s="9" t="inlineStr">
        <is>
          <t xml:space="preserve">82026     </t>
        </is>
      </c>
      <c r="I878" s="9" t="inlineStr">
        <is>
          <t xml:space="preserve">Александрова Светлана Сергеевна </t>
        </is>
      </c>
      <c r="J878" s="9" t="inlineStr">
        <is>
          <t>доцент</t>
        </is>
      </c>
      <c r="K878" s="9" t="n"/>
      <c r="L878" s="9" t="n"/>
      <c r="M878" s="12">
        <f>SUMIFS($E$2:$E$1130,$A$2:$A$1130,"осень",$I$2:$I$1130,I878)</f>
        <v/>
      </c>
      <c r="N878" s="13">
        <f>SUMIFS($E$2:$E$1130,$A$2:$A$1130,"весна",$I$2:$I$1130,I878)</f>
        <v/>
      </c>
      <c r="O878" s="14">
        <f>M878+N878</f>
        <v/>
      </c>
      <c r="P878" s="15">
        <f>O878/$P$1</f>
        <v/>
      </c>
    </row>
    <row r="879" ht="15.75" customHeight="1" s="2">
      <c r="A879" s="32" t="inlineStr">
        <is>
          <t>весна</t>
        </is>
      </c>
      <c r="B879" s="9" t="inlineStr">
        <is>
          <t>Спецглавы информатики</t>
        </is>
      </c>
      <c r="C879" s="9" t="inlineStr">
        <is>
          <t>ПЗ</t>
        </is>
      </c>
      <c r="D879" s="9" t="inlineStr">
        <is>
          <t>Т11О-102Б-20</t>
        </is>
      </c>
      <c r="E879" s="10" t="n">
        <v>48</v>
      </c>
      <c r="F879" s="9" t="inlineStr">
        <is>
          <t>13524</t>
        </is>
      </c>
      <c r="G879" s="10" t="n">
        <v>48</v>
      </c>
      <c r="H879" s="9" t="inlineStr">
        <is>
          <t xml:space="preserve">82026     </t>
        </is>
      </c>
      <c r="I879" s="9" t="inlineStr">
        <is>
          <t xml:space="preserve">Александрова Светлана Сергеевна </t>
        </is>
      </c>
      <c r="J879" s="9" t="inlineStr">
        <is>
          <t>доцент</t>
        </is>
      </c>
      <c r="K879" s="9" t="n"/>
      <c r="L879" s="9" t="n"/>
      <c r="M879" s="12">
        <f>SUMIFS($E$2:$E$1130,$A$2:$A$1130,"осень",$I$2:$I$1130,I879)</f>
        <v/>
      </c>
      <c r="N879" s="13">
        <f>SUMIFS($E$2:$E$1130,$A$2:$A$1130,"весна",$I$2:$I$1130,I879)</f>
        <v/>
      </c>
      <c r="O879" s="14">
        <f>M879+N879</f>
        <v/>
      </c>
      <c r="P879" s="15">
        <f>O879/$P$1</f>
        <v/>
      </c>
    </row>
    <row r="880" ht="15.75" customHeight="1" s="2">
      <c r="A880" s="32" t="inlineStr">
        <is>
          <t>весна</t>
        </is>
      </c>
      <c r="B880" s="9" t="inlineStr">
        <is>
          <t>Спецглавы информатики</t>
        </is>
      </c>
      <c r="C880" s="9" t="inlineStr">
        <is>
          <t>Консультация</t>
        </is>
      </c>
      <c r="D880" s="9" t="inlineStr">
        <is>
          <t>Т11О-101Б-20</t>
        </is>
      </c>
      <c r="E880" s="10" t="n">
        <v>2</v>
      </c>
      <c r="F880" s="9" t="inlineStr">
        <is>
          <t>13524</t>
        </is>
      </c>
      <c r="G880" s="11" t="n">
        <v>0</v>
      </c>
      <c r="H880" s="9" t="inlineStr">
        <is>
          <t xml:space="preserve">82026     </t>
        </is>
      </c>
      <c r="I880" s="9" t="inlineStr">
        <is>
          <t xml:space="preserve">Александрова Светлана Сергеевна </t>
        </is>
      </c>
      <c r="J880" s="9" t="inlineStr">
        <is>
          <t>доцент</t>
        </is>
      </c>
      <c r="K880" s="9" t="n"/>
      <c r="L880" s="9" t="n"/>
      <c r="M880" s="12">
        <f>SUMIFS($E$2:$E$1130,$A$2:$A$1130,"осень",$I$2:$I$1130,I880)</f>
        <v/>
      </c>
      <c r="N880" s="13">
        <f>SUMIFS($E$2:$E$1130,$A$2:$A$1130,"весна",$I$2:$I$1130,I880)</f>
        <v/>
      </c>
      <c r="O880" s="14">
        <f>M880+N880</f>
        <v/>
      </c>
      <c r="P880" s="15">
        <f>O880/$P$1</f>
        <v/>
      </c>
    </row>
    <row r="881" ht="15.75" customHeight="1" s="2">
      <c r="A881" s="32" t="inlineStr">
        <is>
          <t>весна</t>
        </is>
      </c>
      <c r="B881" s="9" t="inlineStr">
        <is>
          <t>Спецглавы информатики</t>
        </is>
      </c>
      <c r="C881" s="9" t="inlineStr">
        <is>
          <t>Консультация</t>
        </is>
      </c>
      <c r="D881" s="9" t="inlineStr">
        <is>
          <t>Т11О-102Б-20</t>
        </is>
      </c>
      <c r="E881" s="10" t="n">
        <v>2</v>
      </c>
      <c r="F881" s="9" t="inlineStr">
        <is>
          <t>13524</t>
        </is>
      </c>
      <c r="G881" s="11" t="n">
        <v>0</v>
      </c>
      <c r="H881" s="9" t="inlineStr">
        <is>
          <t xml:space="preserve">82026     </t>
        </is>
      </c>
      <c r="I881" s="9" t="inlineStr">
        <is>
          <t xml:space="preserve">Александрова Светлана Сергеевна </t>
        </is>
      </c>
      <c r="J881" s="9" t="inlineStr">
        <is>
          <t>доцент</t>
        </is>
      </c>
      <c r="K881" s="9" t="n"/>
      <c r="L881" s="9" t="n"/>
      <c r="M881" s="12">
        <f>SUMIFS($E$2:$E$1130,$A$2:$A$1130,"осень",$I$2:$I$1130,I881)</f>
        <v/>
      </c>
      <c r="N881" s="13">
        <f>SUMIFS($E$2:$E$1130,$A$2:$A$1130,"весна",$I$2:$I$1130,I881)</f>
        <v/>
      </c>
      <c r="O881" s="14">
        <f>M881+N881</f>
        <v/>
      </c>
      <c r="P881" s="15">
        <f>O881/$P$1</f>
        <v/>
      </c>
    </row>
    <row r="882" ht="15.75" customHeight="1" s="2">
      <c r="A882" s="32" t="inlineStr">
        <is>
          <t>весна</t>
        </is>
      </c>
      <c r="B882" s="9" t="inlineStr">
        <is>
          <t>Технология нанесения газотермических покрытий</t>
        </is>
      </c>
      <c r="C882" s="9" t="inlineStr">
        <is>
          <t>ЛК</t>
        </is>
      </c>
      <c r="D882" s="9" t="inlineStr">
        <is>
          <t>Т1О-402Б-17</t>
        </is>
      </c>
      <c r="E882" s="10" t="n">
        <v>34</v>
      </c>
      <c r="F882" s="9" t="inlineStr">
        <is>
          <t>04517</t>
        </is>
      </c>
      <c r="G882" s="10" t="n">
        <v>34</v>
      </c>
      <c r="H882" s="9" t="inlineStr">
        <is>
          <t xml:space="preserve">82060     </t>
        </is>
      </c>
      <c r="I882" s="9" t="inlineStr">
        <is>
          <t xml:space="preserve">Лозован Александр Александрович </t>
        </is>
      </c>
      <c r="J882" s="9" t="inlineStr">
        <is>
          <t>профессор</t>
        </is>
      </c>
      <c r="K882" s="9" t="n"/>
      <c r="L882" s="9" t="n"/>
      <c r="M882" s="12">
        <f>SUMIFS($E$2:$E$1130,$A$2:$A$1130,"осень",$I$2:$I$1130,I882)</f>
        <v/>
      </c>
      <c r="N882" s="13">
        <f>SUMIFS($E$2:$E$1130,$A$2:$A$1130,"весна",$I$2:$I$1130,I882)</f>
        <v/>
      </c>
      <c r="O882" s="14">
        <f>M882+N882</f>
        <v/>
      </c>
      <c r="P882" s="15">
        <f>O882/$P$1</f>
        <v/>
      </c>
    </row>
    <row r="883" ht="15.75" customHeight="1" s="2">
      <c r="A883" s="32" t="inlineStr">
        <is>
          <t>весна</t>
        </is>
      </c>
      <c r="B883" s="9" t="inlineStr">
        <is>
          <t>Технология нанесения газотермических покрытий</t>
        </is>
      </c>
      <c r="C883" s="9" t="inlineStr">
        <is>
          <t>Зачет с оценкой</t>
        </is>
      </c>
      <c r="D883" s="9" t="inlineStr">
        <is>
          <t>Т1О-402Б-17</t>
        </is>
      </c>
      <c r="E883" s="10" t="n">
        <v>6</v>
      </c>
      <c r="F883" s="9" t="inlineStr">
        <is>
          <t>04517</t>
        </is>
      </c>
      <c r="G883" s="11" t="n">
        <v>0</v>
      </c>
      <c r="H883" s="9" t="inlineStr">
        <is>
          <t xml:space="preserve">82060     </t>
        </is>
      </c>
      <c r="I883" s="9" t="inlineStr">
        <is>
          <t xml:space="preserve">Лозован Александр Александрович </t>
        </is>
      </c>
      <c r="J883" s="9" t="inlineStr">
        <is>
          <t>профессор</t>
        </is>
      </c>
      <c r="K883" s="9" t="n"/>
      <c r="L883" s="9" t="n"/>
      <c r="M883" s="12">
        <f>SUMIFS($E$2:$E$1130,$A$2:$A$1130,"осень",$I$2:$I$1130,I883)</f>
        <v/>
      </c>
      <c r="N883" s="13">
        <f>SUMIFS($E$2:$E$1130,$A$2:$A$1130,"весна",$I$2:$I$1130,I883)</f>
        <v/>
      </c>
      <c r="O883" s="14">
        <f>M883+N883</f>
        <v/>
      </c>
      <c r="P883" s="15">
        <f>O883/$P$1</f>
        <v/>
      </c>
    </row>
    <row r="884" ht="15.75" customHeight="1" s="2">
      <c r="A884" s="32" t="inlineStr">
        <is>
          <t>весна</t>
        </is>
      </c>
      <c r="B884" s="9" t="inlineStr">
        <is>
          <t>Технология нанесения газотермических покрытий</t>
        </is>
      </c>
      <c r="C884" s="9" t="inlineStr">
        <is>
          <t>ПЗ</t>
        </is>
      </c>
      <c r="D884" s="9" t="inlineStr">
        <is>
          <t>Т1О-402Б-17</t>
        </is>
      </c>
      <c r="E884" s="10" t="n">
        <v>22</v>
      </c>
      <c r="F884" s="9" t="inlineStr">
        <is>
          <t>04517</t>
        </is>
      </c>
      <c r="G884" s="10" t="n">
        <v>22</v>
      </c>
      <c r="H884" s="9" t="inlineStr">
        <is>
          <t xml:space="preserve">82060     </t>
        </is>
      </c>
      <c r="I884" s="9" t="inlineStr">
        <is>
          <t xml:space="preserve">Лозован Александр Александрович </t>
        </is>
      </c>
      <c r="J884" s="9" t="inlineStr">
        <is>
          <t>профессор</t>
        </is>
      </c>
      <c r="K884" s="9" t="n"/>
      <c r="L884" s="9" t="n"/>
      <c r="M884" s="12">
        <f>SUMIFS($E$2:$E$1130,$A$2:$A$1130,"осень",$I$2:$I$1130,I884)</f>
        <v/>
      </c>
      <c r="N884" s="13">
        <f>SUMIFS($E$2:$E$1130,$A$2:$A$1130,"весна",$I$2:$I$1130,I884)</f>
        <v/>
      </c>
      <c r="O884" s="14">
        <f>M884+N884</f>
        <v/>
      </c>
      <c r="P884" s="15">
        <f>O884/$P$1</f>
        <v/>
      </c>
    </row>
    <row r="885" ht="15.75" customHeight="1" s="2">
      <c r="A885" s="32" t="inlineStr">
        <is>
          <t>весна</t>
        </is>
      </c>
      <c r="B885" s="9" t="inlineStr">
        <is>
          <t>Технология нанесения газотермических покрытий</t>
        </is>
      </c>
      <c r="C885" s="9" t="inlineStr">
        <is>
          <t>Консультация</t>
        </is>
      </c>
      <c r="D885" s="9" t="inlineStr">
        <is>
          <t>Т1О-402Б-17</t>
        </is>
      </c>
      <c r="E885" s="10" t="n">
        <v>2</v>
      </c>
      <c r="F885" s="9" t="inlineStr">
        <is>
          <t>04517</t>
        </is>
      </c>
      <c r="G885" s="11" t="n">
        <v>0</v>
      </c>
      <c r="H885" s="9" t="inlineStr">
        <is>
          <t xml:space="preserve">82060     </t>
        </is>
      </c>
      <c r="I885" s="9" t="inlineStr">
        <is>
          <t xml:space="preserve">Лозован Александр Александрович </t>
        </is>
      </c>
      <c r="J885" s="9" t="inlineStr">
        <is>
          <t>профессор</t>
        </is>
      </c>
      <c r="K885" s="9" t="n"/>
      <c r="L885" s="9" t="n"/>
      <c r="M885" s="12">
        <f>SUMIFS($E$2:$E$1130,$A$2:$A$1130,"осень",$I$2:$I$1130,I885)</f>
        <v/>
      </c>
      <c r="N885" s="13">
        <f>SUMIFS($E$2:$E$1130,$A$2:$A$1130,"весна",$I$2:$I$1130,I885)</f>
        <v/>
      </c>
      <c r="O885" s="14">
        <f>M885+N885</f>
        <v/>
      </c>
      <c r="P885" s="15">
        <f>O885/$P$1</f>
        <v/>
      </c>
    </row>
    <row r="886" ht="15.75" customHeight="1" s="2">
      <c r="A886" s="32" t="inlineStr">
        <is>
          <t>весна</t>
        </is>
      </c>
      <c r="B886" s="9" t="inlineStr">
        <is>
          <t>Современные методы изготовления технологической оснастки в металлургии</t>
        </is>
      </c>
      <c r="C886" s="9" t="inlineStr">
        <is>
          <t>ЛК</t>
        </is>
      </c>
      <c r="D886" s="9" t="inlineStr">
        <is>
          <t>Т11О-201М-19, Т11О-202М-19, Т11О-203М-19, Т11О-204М-19</t>
        </is>
      </c>
      <c r="E886" s="10" t="n">
        <v>20</v>
      </c>
      <c r="F886" s="9" t="inlineStr">
        <is>
          <t>07987</t>
        </is>
      </c>
      <c r="G886" s="10" t="n">
        <v>20</v>
      </c>
      <c r="H886" s="9" t="inlineStr">
        <is>
          <t xml:space="preserve">82020     </t>
        </is>
      </c>
      <c r="I886" s="9" t="inlineStr">
        <is>
          <t xml:space="preserve">Варфоломеев Максим Сергеевич </t>
        </is>
      </c>
      <c r="J886" s="9" t="inlineStr">
        <is>
          <t>доцент</t>
        </is>
      </c>
      <c r="K886" s="9" t="n"/>
      <c r="L886" s="9" t="n"/>
      <c r="M886" s="12">
        <f>SUMIFS($E$2:$E$1130,$A$2:$A$1130,"осень",$I$2:$I$1130,I886)</f>
        <v/>
      </c>
      <c r="N886" s="13">
        <f>SUMIFS($E$2:$E$1130,$A$2:$A$1130,"весна",$I$2:$I$1130,I886)</f>
        <v/>
      </c>
      <c r="O886" s="14">
        <f>M886+N886</f>
        <v/>
      </c>
      <c r="P886" s="15">
        <f>O886/$P$1</f>
        <v/>
      </c>
    </row>
    <row r="887" ht="15.75" customHeight="1" s="2">
      <c r="A887" s="32" t="inlineStr">
        <is>
          <t>весна</t>
        </is>
      </c>
      <c r="B887" s="9" t="inlineStr">
        <is>
          <t>Современные методы изготовления технологической оснастки в металлургии</t>
        </is>
      </c>
      <c r="C887" s="9" t="inlineStr">
        <is>
          <t>КР</t>
        </is>
      </c>
      <c r="D887" s="9" t="inlineStr">
        <is>
          <t>Т11О-201М-19</t>
        </is>
      </c>
      <c r="E887" s="10" t="n">
        <v>21</v>
      </c>
      <c r="F887" s="9" t="inlineStr">
        <is>
          <t>07987</t>
        </is>
      </c>
      <c r="G887" s="11" t="n">
        <v>0</v>
      </c>
      <c r="H887" s="9" t="inlineStr">
        <is>
          <t xml:space="preserve">82020     </t>
        </is>
      </c>
      <c r="I887" s="9" t="inlineStr">
        <is>
          <t xml:space="preserve">Варфоломеев Максим Сергеевич </t>
        </is>
      </c>
      <c r="J887" s="9" t="inlineStr">
        <is>
          <t>доцент</t>
        </is>
      </c>
      <c r="K887" s="9" t="n"/>
      <c r="L887" s="9" t="n"/>
      <c r="M887" s="12">
        <f>SUMIFS($E$2:$E$1130,$A$2:$A$1130,"осень",$I$2:$I$1130,I887)</f>
        <v/>
      </c>
      <c r="N887" s="13">
        <f>SUMIFS($E$2:$E$1130,$A$2:$A$1130,"весна",$I$2:$I$1130,I887)</f>
        <v/>
      </c>
      <c r="O887" s="14">
        <f>M887+N887</f>
        <v/>
      </c>
      <c r="P887" s="15">
        <f>O887/$P$1</f>
        <v/>
      </c>
    </row>
    <row r="888" ht="15.75" customHeight="1" s="2">
      <c r="A888" s="32" t="inlineStr">
        <is>
          <t>весна</t>
        </is>
      </c>
      <c r="B888" s="9" t="inlineStr">
        <is>
          <t>Современные методы изготовления технологической оснастки в металлургии</t>
        </is>
      </c>
      <c r="C888" s="9" t="inlineStr">
        <is>
          <t>КР</t>
        </is>
      </c>
      <c r="D888" s="9" t="inlineStr">
        <is>
          <t>Т11О-202М-19</t>
        </is>
      </c>
      <c r="E888" s="10" t="n">
        <v>18</v>
      </c>
      <c r="F888" s="9" t="inlineStr">
        <is>
          <t>07987</t>
        </is>
      </c>
      <c r="G888" s="11" t="n">
        <v>0</v>
      </c>
      <c r="H888" s="9" t="inlineStr">
        <is>
          <t xml:space="preserve">82020     </t>
        </is>
      </c>
      <c r="I888" s="9" t="inlineStr">
        <is>
          <t xml:space="preserve">Варфоломеев Максим Сергеевич </t>
        </is>
      </c>
      <c r="J888" s="9" t="inlineStr">
        <is>
          <t>доцент</t>
        </is>
      </c>
      <c r="K888" s="9" t="n"/>
      <c r="L888" s="9" t="n"/>
      <c r="M888" s="12">
        <f>SUMIFS($E$2:$E$1130,$A$2:$A$1130,"осень",$I$2:$I$1130,I888)</f>
        <v/>
      </c>
      <c r="N888" s="13">
        <f>SUMIFS($E$2:$E$1130,$A$2:$A$1130,"весна",$I$2:$I$1130,I888)</f>
        <v/>
      </c>
      <c r="O888" s="14">
        <f>M888+N888</f>
        <v/>
      </c>
      <c r="P888" s="15">
        <f>O888/$P$1</f>
        <v/>
      </c>
    </row>
    <row r="889" ht="15.75" customHeight="1" s="2">
      <c r="A889" s="32" t="inlineStr">
        <is>
          <t>весна</t>
        </is>
      </c>
      <c r="B889" s="9" t="inlineStr">
        <is>
          <t>Современные методы изготовления технологической оснастки в металлургии</t>
        </is>
      </c>
      <c r="C889" s="9" t="inlineStr">
        <is>
          <t>КР</t>
        </is>
      </c>
      <c r="D889" s="9" t="inlineStr">
        <is>
          <t>Т11О-203М-19</t>
        </is>
      </c>
      <c r="E889" s="10" t="n">
        <v>21</v>
      </c>
      <c r="F889" s="9" t="inlineStr">
        <is>
          <t>07987</t>
        </is>
      </c>
      <c r="G889" s="11" t="n">
        <v>0</v>
      </c>
      <c r="H889" s="9" t="inlineStr">
        <is>
          <t xml:space="preserve">82020     </t>
        </is>
      </c>
      <c r="I889" s="9" t="inlineStr">
        <is>
          <t xml:space="preserve">Варфоломеев Максим Сергеевич </t>
        </is>
      </c>
      <c r="J889" s="9" t="inlineStr">
        <is>
          <t>доцент</t>
        </is>
      </c>
      <c r="K889" s="9" t="n"/>
      <c r="L889" s="9" t="n"/>
      <c r="M889" s="12">
        <f>SUMIFS($E$2:$E$1130,$A$2:$A$1130,"осень",$I$2:$I$1130,I889)</f>
        <v/>
      </c>
      <c r="N889" s="13">
        <f>SUMIFS($E$2:$E$1130,$A$2:$A$1130,"весна",$I$2:$I$1130,I889)</f>
        <v/>
      </c>
      <c r="O889" s="14">
        <f>M889+N889</f>
        <v/>
      </c>
      <c r="P889" s="15">
        <f>O889/$P$1</f>
        <v/>
      </c>
    </row>
    <row r="890" ht="15.75" customHeight="1" s="2">
      <c r="A890" s="32" t="inlineStr">
        <is>
          <t>весна</t>
        </is>
      </c>
      <c r="B890" s="9" t="inlineStr">
        <is>
          <t>Современные методы изготовления технологической оснастки в металлургии</t>
        </is>
      </c>
      <c r="C890" s="9" t="inlineStr">
        <is>
          <t>КР</t>
        </is>
      </c>
      <c r="D890" s="9" t="inlineStr">
        <is>
          <t>Т11О-204М-19</t>
        </is>
      </c>
      <c r="E890" s="10" t="n">
        <v>27</v>
      </c>
      <c r="F890" s="9" t="inlineStr">
        <is>
          <t>07987</t>
        </is>
      </c>
      <c r="G890" s="11" t="n">
        <v>0</v>
      </c>
      <c r="H890" s="9" t="inlineStr">
        <is>
          <t xml:space="preserve">82020     </t>
        </is>
      </c>
      <c r="I890" s="9" t="inlineStr">
        <is>
          <t xml:space="preserve">Варфоломеев Максим Сергеевич </t>
        </is>
      </c>
      <c r="J890" s="9" t="inlineStr">
        <is>
          <t>доцент</t>
        </is>
      </c>
      <c r="K890" s="9" t="n"/>
      <c r="L890" s="9" t="n"/>
      <c r="M890" s="12">
        <f>SUMIFS($E$2:$E$1130,$A$2:$A$1130,"осень",$I$2:$I$1130,I890)</f>
        <v/>
      </c>
      <c r="N890" s="13">
        <f>SUMIFS($E$2:$E$1130,$A$2:$A$1130,"весна",$I$2:$I$1130,I890)</f>
        <v/>
      </c>
      <c r="O890" s="14">
        <f>M890+N890</f>
        <v/>
      </c>
      <c r="P890" s="15">
        <f>O890/$P$1</f>
        <v/>
      </c>
    </row>
    <row r="891" ht="15.75" customHeight="1" s="2">
      <c r="A891" s="32" t="inlineStr">
        <is>
          <t>весна</t>
        </is>
      </c>
      <c r="B891" s="9" t="inlineStr">
        <is>
          <t>Современные методы изготовления технологической оснастки в металлургии</t>
        </is>
      </c>
      <c r="C891" s="9" t="inlineStr">
        <is>
          <t>ПЗ</t>
        </is>
      </c>
      <c r="D891" s="9" t="inlineStr">
        <is>
          <t>Т11О-201М-19</t>
        </is>
      </c>
      <c r="E891" s="10" t="n">
        <v>44</v>
      </c>
      <c r="F891" s="9" t="inlineStr">
        <is>
          <t>07987</t>
        </is>
      </c>
      <c r="G891" s="10" t="n">
        <v>44</v>
      </c>
      <c r="H891" s="9" t="inlineStr">
        <is>
          <t xml:space="preserve">82020     </t>
        </is>
      </c>
      <c r="I891" s="9" t="inlineStr">
        <is>
          <t xml:space="preserve">Варфоломеев Максим Сергеевич </t>
        </is>
      </c>
      <c r="J891" s="9" t="inlineStr">
        <is>
          <t>доцент</t>
        </is>
      </c>
      <c r="K891" s="9" t="n"/>
      <c r="L891" s="9" t="n"/>
      <c r="M891" s="12">
        <f>SUMIFS($E$2:$E$1130,$A$2:$A$1130,"осень",$I$2:$I$1130,I891)</f>
        <v/>
      </c>
      <c r="N891" s="13">
        <f>SUMIFS($E$2:$E$1130,$A$2:$A$1130,"весна",$I$2:$I$1130,I891)</f>
        <v/>
      </c>
      <c r="O891" s="14">
        <f>M891+N891</f>
        <v/>
      </c>
      <c r="P891" s="15">
        <f>O891/$P$1</f>
        <v/>
      </c>
    </row>
    <row r="892" ht="15.75" customHeight="1" s="2">
      <c r="A892" s="32" t="inlineStr">
        <is>
          <t>весна</t>
        </is>
      </c>
      <c r="B892" s="9" t="inlineStr">
        <is>
          <t>Современные методы изготовления технологической оснастки в металлургии</t>
        </is>
      </c>
      <c r="C892" s="9" t="inlineStr">
        <is>
          <t>ПЗ</t>
        </is>
      </c>
      <c r="D892" s="9" t="inlineStr">
        <is>
          <t>Т11О-202М-19</t>
        </is>
      </c>
      <c r="E892" s="10" t="n">
        <v>44</v>
      </c>
      <c r="F892" s="9" t="inlineStr">
        <is>
          <t>07987</t>
        </is>
      </c>
      <c r="G892" s="10" t="n">
        <v>44</v>
      </c>
      <c r="H892" s="9" t="inlineStr">
        <is>
          <t xml:space="preserve">82020     </t>
        </is>
      </c>
      <c r="I892" s="9" t="inlineStr">
        <is>
          <t xml:space="preserve">Варфоломеев Максим Сергеевич </t>
        </is>
      </c>
      <c r="J892" s="9" t="inlineStr">
        <is>
          <t>доцент</t>
        </is>
      </c>
      <c r="K892" s="9" t="n"/>
      <c r="L892" s="9" t="n"/>
      <c r="M892" s="12">
        <f>SUMIFS($E$2:$E$1130,$A$2:$A$1130,"осень",$I$2:$I$1130,I892)</f>
        <v/>
      </c>
      <c r="N892" s="13">
        <f>SUMIFS($E$2:$E$1130,$A$2:$A$1130,"весна",$I$2:$I$1130,I892)</f>
        <v/>
      </c>
      <c r="O892" s="14">
        <f>M892+N892</f>
        <v/>
      </c>
      <c r="P892" s="15">
        <f>O892/$P$1</f>
        <v/>
      </c>
    </row>
    <row r="893" ht="15.75" customHeight="1" s="2">
      <c r="A893" s="32" t="inlineStr">
        <is>
          <t>весна</t>
        </is>
      </c>
      <c r="B893" s="9" t="inlineStr">
        <is>
          <t>Современные методы изготовления технологической оснастки в металлургии</t>
        </is>
      </c>
      <c r="C893" s="9" t="inlineStr">
        <is>
          <t>ПЗ</t>
        </is>
      </c>
      <c r="D893" s="9" t="inlineStr">
        <is>
          <t>Т11О-203М-19</t>
        </is>
      </c>
      <c r="E893" s="10" t="n">
        <v>44</v>
      </c>
      <c r="F893" s="9" t="inlineStr">
        <is>
          <t>07987</t>
        </is>
      </c>
      <c r="G893" s="10" t="n">
        <v>44</v>
      </c>
      <c r="H893" s="9" t="inlineStr">
        <is>
          <t xml:space="preserve">82020     </t>
        </is>
      </c>
      <c r="I893" s="9" t="inlineStr">
        <is>
          <t xml:space="preserve">Варфоломеев Максим Сергеевич </t>
        </is>
      </c>
      <c r="J893" s="9" t="inlineStr">
        <is>
          <t>доцент</t>
        </is>
      </c>
      <c r="K893" s="9" t="n"/>
      <c r="L893" s="9" t="n"/>
      <c r="M893" s="12">
        <f>SUMIFS($E$2:$E$1130,$A$2:$A$1130,"осень",$I$2:$I$1130,I893)</f>
        <v/>
      </c>
      <c r="N893" s="13">
        <f>SUMIFS($E$2:$E$1130,$A$2:$A$1130,"весна",$I$2:$I$1130,I893)</f>
        <v/>
      </c>
      <c r="O893" s="14">
        <f>M893+N893</f>
        <v/>
      </c>
      <c r="P893" s="15">
        <f>O893/$P$1</f>
        <v/>
      </c>
    </row>
    <row r="894" ht="15.75" customHeight="1" s="2">
      <c r="A894" s="32" t="inlineStr">
        <is>
          <t>весна</t>
        </is>
      </c>
      <c r="B894" s="9" t="inlineStr">
        <is>
          <t>Современные методы изготовления технологической оснастки в металлургии</t>
        </is>
      </c>
      <c r="C894" s="9" t="inlineStr">
        <is>
          <t>ПЗ</t>
        </is>
      </c>
      <c r="D894" s="9" t="inlineStr">
        <is>
          <t>Т11О-204М-19</t>
        </is>
      </c>
      <c r="E894" s="10" t="n">
        <v>44</v>
      </c>
      <c r="F894" s="9" t="inlineStr">
        <is>
          <t>07987</t>
        </is>
      </c>
      <c r="G894" s="10" t="n">
        <v>44</v>
      </c>
      <c r="H894" s="9" t="inlineStr">
        <is>
          <t xml:space="preserve">82020     </t>
        </is>
      </c>
      <c r="I894" s="9" t="inlineStr">
        <is>
          <t xml:space="preserve">Варфоломеев Максим Сергеевич </t>
        </is>
      </c>
      <c r="J894" s="9" t="inlineStr">
        <is>
          <t>доцент</t>
        </is>
      </c>
      <c r="K894" s="9" t="n"/>
      <c r="L894" s="9" t="n"/>
      <c r="M894" s="12">
        <f>SUMIFS($E$2:$E$1130,$A$2:$A$1130,"осень",$I$2:$I$1130,I894)</f>
        <v/>
      </c>
      <c r="N894" s="13">
        <f>SUMIFS($E$2:$E$1130,$A$2:$A$1130,"весна",$I$2:$I$1130,I894)</f>
        <v/>
      </c>
      <c r="O894" s="14">
        <f>M894+N894</f>
        <v/>
      </c>
      <c r="P894" s="15">
        <f>O894/$P$1</f>
        <v/>
      </c>
    </row>
    <row r="895" ht="15.75" customHeight="1" s="2">
      <c r="A895" s="32" t="inlineStr">
        <is>
          <t>весна</t>
        </is>
      </c>
      <c r="B895" s="9" t="inlineStr">
        <is>
          <t>Современные методы изготовления технологической оснастки в металлургии</t>
        </is>
      </c>
      <c r="C895" s="9" t="inlineStr">
        <is>
          <t>ЛР</t>
        </is>
      </c>
      <c r="D895" s="9" t="inlineStr">
        <is>
          <t>Т11О-201М-19</t>
        </is>
      </c>
      <c r="E895" s="10" t="n">
        <v>8</v>
      </c>
      <c r="F895" s="9" t="inlineStr">
        <is>
          <t>07987</t>
        </is>
      </c>
      <c r="G895" s="10" t="n">
        <v>8</v>
      </c>
      <c r="H895" s="9" t="inlineStr">
        <is>
          <t xml:space="preserve">82020     </t>
        </is>
      </c>
      <c r="I895" s="9" t="inlineStr">
        <is>
          <t xml:space="preserve">Варфоломеев Максим Сергеевич </t>
        </is>
      </c>
      <c r="J895" s="9" t="inlineStr">
        <is>
          <t>доцент</t>
        </is>
      </c>
      <c r="K895" s="9" t="n"/>
      <c r="L895" s="9" t="n"/>
      <c r="M895" s="12">
        <f>SUMIFS($E$2:$E$1130,$A$2:$A$1130,"осень",$I$2:$I$1130,I895)</f>
        <v/>
      </c>
      <c r="N895" s="13">
        <f>SUMIFS($E$2:$E$1130,$A$2:$A$1130,"весна",$I$2:$I$1130,I895)</f>
        <v/>
      </c>
      <c r="O895" s="14">
        <f>M895+N895</f>
        <v/>
      </c>
      <c r="P895" s="15">
        <f>O895/$P$1</f>
        <v/>
      </c>
    </row>
    <row r="896" ht="15.75" customHeight="1" s="2">
      <c r="A896" s="32" t="inlineStr">
        <is>
          <t>весна</t>
        </is>
      </c>
      <c r="B896" s="9" t="inlineStr">
        <is>
          <t>Современные методы изготовления технологической оснастки в металлургии</t>
        </is>
      </c>
      <c r="C896" s="9" t="inlineStr">
        <is>
          <t>ЛР</t>
        </is>
      </c>
      <c r="D896" s="9" t="inlineStr">
        <is>
          <t>Т11О-202М-19</t>
        </is>
      </c>
      <c r="E896" s="10" t="n">
        <v>8</v>
      </c>
      <c r="F896" s="9" t="inlineStr">
        <is>
          <t>07987</t>
        </is>
      </c>
      <c r="G896" s="10" t="n">
        <v>8</v>
      </c>
      <c r="H896" s="9" t="inlineStr">
        <is>
          <t xml:space="preserve">82020     </t>
        </is>
      </c>
      <c r="I896" s="9" t="inlineStr">
        <is>
          <t xml:space="preserve">Варфоломеев Максим Сергеевич </t>
        </is>
      </c>
      <c r="J896" s="9" t="inlineStr">
        <is>
          <t>доцент</t>
        </is>
      </c>
      <c r="K896" s="9" t="n"/>
      <c r="L896" s="9" t="n"/>
      <c r="M896" s="12">
        <f>SUMIFS($E$2:$E$1130,$A$2:$A$1130,"осень",$I$2:$I$1130,I896)</f>
        <v/>
      </c>
      <c r="N896" s="13">
        <f>SUMIFS($E$2:$E$1130,$A$2:$A$1130,"весна",$I$2:$I$1130,I896)</f>
        <v/>
      </c>
      <c r="O896" s="14">
        <f>M896+N896</f>
        <v/>
      </c>
      <c r="P896" s="15">
        <f>O896/$P$1</f>
        <v/>
      </c>
    </row>
    <row r="897" ht="15.75" customHeight="1" s="2">
      <c r="A897" s="32" t="inlineStr">
        <is>
          <t>весна</t>
        </is>
      </c>
      <c r="B897" s="9" t="inlineStr">
        <is>
          <t>Современные методы изготовления технологической оснастки в металлургии</t>
        </is>
      </c>
      <c r="C897" s="9" t="inlineStr">
        <is>
          <t>ЛР</t>
        </is>
      </c>
      <c r="D897" s="9" t="inlineStr">
        <is>
          <t>Т11О-203М-19</t>
        </is>
      </c>
      <c r="E897" s="10" t="n">
        <v>8</v>
      </c>
      <c r="F897" s="9" t="inlineStr">
        <is>
          <t>07987</t>
        </is>
      </c>
      <c r="G897" s="10" t="n">
        <v>8</v>
      </c>
      <c r="H897" s="9" t="inlineStr">
        <is>
          <t xml:space="preserve">82020     </t>
        </is>
      </c>
      <c r="I897" s="9" t="inlineStr">
        <is>
          <t xml:space="preserve">Варфоломеев Максим Сергеевич </t>
        </is>
      </c>
      <c r="J897" s="9" t="inlineStr">
        <is>
          <t>доцент</t>
        </is>
      </c>
      <c r="K897" s="9" t="n"/>
      <c r="L897" s="9" t="n"/>
      <c r="M897" s="12">
        <f>SUMIFS($E$2:$E$1130,$A$2:$A$1130,"осень",$I$2:$I$1130,I897)</f>
        <v/>
      </c>
      <c r="N897" s="13">
        <f>SUMIFS($E$2:$E$1130,$A$2:$A$1130,"весна",$I$2:$I$1130,I897)</f>
        <v/>
      </c>
      <c r="O897" s="14">
        <f>M897+N897</f>
        <v/>
      </c>
      <c r="P897" s="15">
        <f>O897/$P$1</f>
        <v/>
      </c>
    </row>
    <row r="898" ht="15.75" customHeight="1" s="2">
      <c r="A898" s="32" t="inlineStr">
        <is>
          <t>весна</t>
        </is>
      </c>
      <c r="B898" s="9" t="inlineStr">
        <is>
          <t>Современные методы изготовления технологической оснастки в металлургии</t>
        </is>
      </c>
      <c r="C898" s="9" t="inlineStr">
        <is>
          <t>ЛР</t>
        </is>
      </c>
      <c r="D898" s="9" t="inlineStr">
        <is>
          <t>Т11О-204М-19</t>
        </is>
      </c>
      <c r="E898" s="10" t="n">
        <v>8</v>
      </c>
      <c r="F898" s="9" t="inlineStr">
        <is>
          <t>07987</t>
        </is>
      </c>
      <c r="G898" s="10" t="n">
        <v>8</v>
      </c>
      <c r="H898" s="9" t="inlineStr">
        <is>
          <t xml:space="preserve">82020     </t>
        </is>
      </c>
      <c r="I898" s="9" t="inlineStr">
        <is>
          <t xml:space="preserve">Варфоломеев Максим Сергеевич </t>
        </is>
      </c>
      <c r="J898" s="9" t="inlineStr">
        <is>
          <t>доцент</t>
        </is>
      </c>
      <c r="K898" s="9" t="n"/>
      <c r="L898" s="9" t="n"/>
      <c r="M898" s="12">
        <f>SUMIFS($E$2:$E$1130,$A$2:$A$1130,"осень",$I$2:$I$1130,I898)</f>
        <v/>
      </c>
      <c r="N898" s="13">
        <f>SUMIFS($E$2:$E$1130,$A$2:$A$1130,"весна",$I$2:$I$1130,I898)</f>
        <v/>
      </c>
      <c r="O898" s="14">
        <f>M898+N898</f>
        <v/>
      </c>
      <c r="P898" s="15">
        <f>O898/$P$1</f>
        <v/>
      </c>
    </row>
    <row r="899" ht="15.75" customHeight="1" s="2">
      <c r="A899" s="32" t="inlineStr">
        <is>
          <t>весна</t>
        </is>
      </c>
      <c r="B899" s="9" t="inlineStr">
        <is>
          <t>Современные методы изготовления технологической оснастки в металлургии</t>
        </is>
      </c>
      <c r="C899" s="9" t="inlineStr">
        <is>
          <t>Экзамен</t>
        </is>
      </c>
      <c r="D899" s="9" t="inlineStr">
        <is>
          <t>Т11О-201М-19</t>
        </is>
      </c>
      <c r="E899" s="10" t="n">
        <v>4</v>
      </c>
      <c r="F899" s="9" t="inlineStr">
        <is>
          <t>07987</t>
        </is>
      </c>
      <c r="G899" s="11" t="n">
        <v>0</v>
      </c>
      <c r="H899" s="9" t="inlineStr">
        <is>
          <t xml:space="preserve">82020     </t>
        </is>
      </c>
      <c r="I899" s="9" t="inlineStr">
        <is>
          <t xml:space="preserve">Варфоломеев Максим Сергеевич </t>
        </is>
      </c>
      <c r="J899" s="9" t="inlineStr">
        <is>
          <t>доцент</t>
        </is>
      </c>
      <c r="K899" s="9" t="n"/>
      <c r="L899" s="9" t="n"/>
      <c r="M899" s="12">
        <f>SUMIFS($E$2:$E$1130,$A$2:$A$1130,"осень",$I$2:$I$1130,I899)</f>
        <v/>
      </c>
      <c r="N899" s="13">
        <f>SUMIFS($E$2:$E$1130,$A$2:$A$1130,"весна",$I$2:$I$1130,I899)</f>
        <v/>
      </c>
      <c r="O899" s="14">
        <f>M899+N899</f>
        <v/>
      </c>
      <c r="P899" s="15">
        <f>O899/$P$1</f>
        <v/>
      </c>
    </row>
    <row r="900" ht="15.75" customHeight="1" s="2">
      <c r="A900" s="32" t="inlineStr">
        <is>
          <t>весна</t>
        </is>
      </c>
      <c r="B900" s="9" t="inlineStr">
        <is>
          <t>Современные методы изготовления технологической оснастки в металлургии</t>
        </is>
      </c>
      <c r="C900" s="9" t="inlineStr">
        <is>
          <t>Экзамен</t>
        </is>
      </c>
      <c r="D900" s="9" t="inlineStr">
        <is>
          <t>Т11О-202М-19</t>
        </is>
      </c>
      <c r="E900" s="10" t="n">
        <v>3</v>
      </c>
      <c r="F900" s="9" t="inlineStr">
        <is>
          <t>07987</t>
        </is>
      </c>
      <c r="G900" s="11" t="n">
        <v>0</v>
      </c>
      <c r="H900" s="9" t="inlineStr">
        <is>
          <t xml:space="preserve">82020     </t>
        </is>
      </c>
      <c r="I900" s="9" t="inlineStr">
        <is>
          <t xml:space="preserve">Варфоломеев Максим Сергеевич </t>
        </is>
      </c>
      <c r="J900" s="9" t="inlineStr">
        <is>
          <t>доцент</t>
        </is>
      </c>
      <c r="K900" s="9" t="n"/>
      <c r="L900" s="9" t="n"/>
      <c r="M900" s="12">
        <f>SUMIFS($E$2:$E$1130,$A$2:$A$1130,"осень",$I$2:$I$1130,I900)</f>
        <v/>
      </c>
      <c r="N900" s="13">
        <f>SUMIFS($E$2:$E$1130,$A$2:$A$1130,"весна",$I$2:$I$1130,I900)</f>
        <v/>
      </c>
      <c r="O900" s="14">
        <f>M900+N900</f>
        <v/>
      </c>
      <c r="P900" s="15">
        <f>O900/$P$1</f>
        <v/>
      </c>
    </row>
    <row r="901" ht="15.75" customHeight="1" s="2">
      <c r="A901" s="32" t="inlineStr">
        <is>
          <t>весна</t>
        </is>
      </c>
      <c r="B901" s="9" t="inlineStr">
        <is>
          <t>Современные методы изготовления технологической оснастки в металлургии</t>
        </is>
      </c>
      <c r="C901" s="9" t="inlineStr">
        <is>
          <t>Экзамен</t>
        </is>
      </c>
      <c r="D901" s="9" t="inlineStr">
        <is>
          <t>Т11О-203М-19</t>
        </is>
      </c>
      <c r="E901" s="10" t="n">
        <v>4</v>
      </c>
      <c r="F901" s="9" t="inlineStr">
        <is>
          <t>07987</t>
        </is>
      </c>
      <c r="G901" s="11" t="n">
        <v>0</v>
      </c>
      <c r="H901" s="9" t="inlineStr">
        <is>
          <t xml:space="preserve">82020     </t>
        </is>
      </c>
      <c r="I901" s="9" t="inlineStr">
        <is>
          <t xml:space="preserve">Варфоломеев Максим Сергеевич </t>
        </is>
      </c>
      <c r="J901" s="9" t="inlineStr">
        <is>
          <t>доцент</t>
        </is>
      </c>
      <c r="K901" s="9" t="n"/>
      <c r="L901" s="9" t="n"/>
      <c r="M901" s="12">
        <f>SUMIFS($E$2:$E$1130,$A$2:$A$1130,"осень",$I$2:$I$1130,I901)</f>
        <v/>
      </c>
      <c r="N901" s="13">
        <f>SUMIFS($E$2:$E$1130,$A$2:$A$1130,"весна",$I$2:$I$1130,I901)</f>
        <v/>
      </c>
      <c r="O901" s="14">
        <f>M901+N901</f>
        <v/>
      </c>
      <c r="P901" s="15">
        <f>O901/$P$1</f>
        <v/>
      </c>
    </row>
    <row r="902" ht="15.75" customHeight="1" s="2">
      <c r="A902" s="32" t="inlineStr">
        <is>
          <t>весна</t>
        </is>
      </c>
      <c r="B902" s="9" t="inlineStr">
        <is>
          <t>Современные методы изготовления технологической оснастки в металлургии</t>
        </is>
      </c>
      <c r="C902" s="9" t="inlineStr">
        <is>
          <t>Экзамен</t>
        </is>
      </c>
      <c r="D902" s="9" t="inlineStr">
        <is>
          <t>Т11О-204М-19</t>
        </is>
      </c>
      <c r="E902" s="10" t="n">
        <v>5</v>
      </c>
      <c r="F902" s="9" t="inlineStr">
        <is>
          <t>07987</t>
        </is>
      </c>
      <c r="G902" s="11" t="n">
        <v>0</v>
      </c>
      <c r="H902" s="9" t="inlineStr">
        <is>
          <t xml:space="preserve">82020     </t>
        </is>
      </c>
      <c r="I902" s="9" t="inlineStr">
        <is>
          <t xml:space="preserve">Варфоломеев Максим Сергеевич </t>
        </is>
      </c>
      <c r="J902" s="9" t="inlineStr">
        <is>
          <t>доцент</t>
        </is>
      </c>
      <c r="K902" s="9" t="n"/>
      <c r="L902" s="9" t="n"/>
      <c r="M902" s="12">
        <f>SUMIFS($E$2:$E$1130,$A$2:$A$1130,"осень",$I$2:$I$1130,I902)</f>
        <v/>
      </c>
      <c r="N902" s="13">
        <f>SUMIFS($E$2:$E$1130,$A$2:$A$1130,"весна",$I$2:$I$1130,I902)</f>
        <v/>
      </c>
      <c r="O902" s="14">
        <f>M902+N902</f>
        <v/>
      </c>
      <c r="P902" s="15">
        <f>O902/$P$1</f>
        <v/>
      </c>
    </row>
    <row r="903" ht="15.75" customHeight="1" s="2">
      <c r="A903" s="32" t="inlineStr">
        <is>
          <t>весна</t>
        </is>
      </c>
      <c r="B903" s="9" t="inlineStr">
        <is>
          <t>Современные методы изготовления технологической оснастки в металлургии</t>
        </is>
      </c>
      <c r="C903" s="9" t="inlineStr">
        <is>
          <t>Консультация</t>
        </is>
      </c>
      <c r="D903" s="9" t="inlineStr">
        <is>
          <t>Т11О-201М-19</t>
        </is>
      </c>
      <c r="E903" s="10" t="n">
        <v>3</v>
      </c>
      <c r="F903" s="9" t="inlineStr">
        <is>
          <t>07987</t>
        </is>
      </c>
      <c r="G903" s="11" t="n">
        <v>0</v>
      </c>
      <c r="H903" s="9" t="inlineStr">
        <is>
          <t xml:space="preserve">82020     </t>
        </is>
      </c>
      <c r="I903" s="9" t="inlineStr">
        <is>
          <t xml:space="preserve">Варфоломеев Максим Сергеевич </t>
        </is>
      </c>
      <c r="J903" s="9" t="inlineStr">
        <is>
          <t>доцент</t>
        </is>
      </c>
      <c r="K903" s="9" t="n"/>
      <c r="L903" s="9" t="n"/>
      <c r="M903" s="12">
        <f>SUMIFS($E$2:$E$1130,$A$2:$A$1130,"осень",$I$2:$I$1130,I903)</f>
        <v/>
      </c>
      <c r="N903" s="13">
        <f>SUMIFS($E$2:$E$1130,$A$2:$A$1130,"весна",$I$2:$I$1130,I903)</f>
        <v/>
      </c>
      <c r="O903" s="14">
        <f>M903+N903</f>
        <v/>
      </c>
      <c r="P903" s="15">
        <f>O903/$P$1</f>
        <v/>
      </c>
    </row>
    <row r="904" ht="15.75" customHeight="1" s="2">
      <c r="A904" s="32" t="inlineStr">
        <is>
          <t>весна</t>
        </is>
      </c>
      <c r="B904" s="9" t="inlineStr">
        <is>
          <t>Современные методы изготовления технологической оснастки в металлургии</t>
        </is>
      </c>
      <c r="C904" s="9" t="inlineStr">
        <is>
          <t>Консультация</t>
        </is>
      </c>
      <c r="D904" s="9" t="inlineStr">
        <is>
          <t>Т11О-202М-19</t>
        </is>
      </c>
      <c r="E904" s="10" t="n">
        <v>3</v>
      </c>
      <c r="F904" s="9" t="inlineStr">
        <is>
          <t>07987</t>
        </is>
      </c>
      <c r="G904" s="11" t="n">
        <v>0</v>
      </c>
      <c r="H904" s="9" t="inlineStr">
        <is>
          <t xml:space="preserve">82020     </t>
        </is>
      </c>
      <c r="I904" s="9" t="inlineStr">
        <is>
          <t xml:space="preserve">Варфоломеев Максим Сергеевич </t>
        </is>
      </c>
      <c r="J904" s="9" t="inlineStr">
        <is>
          <t>доцент</t>
        </is>
      </c>
      <c r="K904" s="9" t="n"/>
      <c r="L904" s="9" t="n"/>
      <c r="M904" s="12">
        <f>SUMIFS($E$2:$E$1130,$A$2:$A$1130,"осень",$I$2:$I$1130,I904)</f>
        <v/>
      </c>
      <c r="N904" s="13">
        <f>SUMIFS($E$2:$E$1130,$A$2:$A$1130,"весна",$I$2:$I$1130,I904)</f>
        <v/>
      </c>
      <c r="O904" s="14">
        <f>M904+N904</f>
        <v/>
      </c>
      <c r="P904" s="15">
        <f>O904/$P$1</f>
        <v/>
      </c>
    </row>
    <row r="905" ht="15.75" customHeight="1" s="2">
      <c r="A905" s="32" t="inlineStr">
        <is>
          <t>весна</t>
        </is>
      </c>
      <c r="B905" s="9" t="inlineStr">
        <is>
          <t>Современные методы изготовления технологической оснастки в металлургии</t>
        </is>
      </c>
      <c r="C905" s="9" t="inlineStr">
        <is>
          <t>Консультация</t>
        </is>
      </c>
      <c r="D905" s="9" t="inlineStr">
        <is>
          <t>Т11О-203М-19</t>
        </is>
      </c>
      <c r="E905" s="10" t="n">
        <v>3</v>
      </c>
      <c r="F905" s="9" t="inlineStr">
        <is>
          <t>07987</t>
        </is>
      </c>
      <c r="G905" s="11" t="n">
        <v>0</v>
      </c>
      <c r="H905" s="9" t="inlineStr">
        <is>
          <t xml:space="preserve">82020     </t>
        </is>
      </c>
      <c r="I905" s="9" t="inlineStr">
        <is>
          <t xml:space="preserve">Варфоломеев Максим Сергеевич </t>
        </is>
      </c>
      <c r="J905" s="9" t="inlineStr">
        <is>
          <t>доцент</t>
        </is>
      </c>
      <c r="K905" s="9" t="n"/>
      <c r="L905" s="9" t="n"/>
      <c r="M905" s="12">
        <f>SUMIFS($E$2:$E$1130,$A$2:$A$1130,"осень",$I$2:$I$1130,I905)</f>
        <v/>
      </c>
      <c r="N905" s="13">
        <f>SUMIFS($E$2:$E$1130,$A$2:$A$1130,"весна",$I$2:$I$1130,I905)</f>
        <v/>
      </c>
      <c r="O905" s="14">
        <f>M905+N905</f>
        <v/>
      </c>
      <c r="P905" s="15">
        <f>O905/$P$1</f>
        <v/>
      </c>
    </row>
    <row r="906" ht="15.75" customHeight="1" s="2">
      <c r="A906" s="32" t="inlineStr">
        <is>
          <t>весна</t>
        </is>
      </c>
      <c r="B906" s="9" t="inlineStr">
        <is>
          <t>Современные методы изготовления технологической оснастки в металлургии</t>
        </is>
      </c>
      <c r="C906" s="9" t="inlineStr">
        <is>
          <t>Консультация</t>
        </is>
      </c>
      <c r="D906" s="9" t="inlineStr">
        <is>
          <t>Т11О-204М-19</t>
        </is>
      </c>
      <c r="E906" s="10" t="n">
        <v>3</v>
      </c>
      <c r="F906" s="9" t="inlineStr">
        <is>
          <t>07987</t>
        </is>
      </c>
      <c r="G906" s="11" t="n">
        <v>0</v>
      </c>
      <c r="H906" s="9" t="inlineStr">
        <is>
          <t xml:space="preserve">82020     </t>
        </is>
      </c>
      <c r="I906" s="9" t="inlineStr">
        <is>
          <t xml:space="preserve">Варфоломеев Максим Сергеевич </t>
        </is>
      </c>
      <c r="J906" s="9" t="inlineStr">
        <is>
          <t>доцент</t>
        </is>
      </c>
      <c r="K906" s="9" t="n"/>
      <c r="L906" s="9" t="n"/>
      <c r="M906" s="12">
        <f>SUMIFS($E$2:$E$1130,$A$2:$A$1130,"осень",$I$2:$I$1130,I906)</f>
        <v/>
      </c>
      <c r="N906" s="13">
        <f>SUMIFS($E$2:$E$1130,$A$2:$A$1130,"весна",$I$2:$I$1130,I906)</f>
        <v/>
      </c>
      <c r="O906" s="14">
        <f>M906+N906</f>
        <v/>
      </c>
      <c r="P906" s="15">
        <f>O906/$P$1</f>
        <v/>
      </c>
    </row>
    <row r="907" ht="15.75" customHeight="1" s="2">
      <c r="A907" s="32" t="inlineStr">
        <is>
          <t>весна</t>
        </is>
      </c>
      <c r="B907" s="9" t="inlineStr">
        <is>
          <t>Вакуумные методы нанесения защитных и функциональных покрытий</t>
        </is>
      </c>
      <c r="C907" s="9" t="inlineStr">
        <is>
          <t>ЛК</t>
        </is>
      </c>
      <c r="D907" s="9" t="inlineStr">
        <is>
          <t>Т11О-103М-20</t>
        </is>
      </c>
      <c r="E907" s="10" t="n">
        <v>18</v>
      </c>
      <c r="F907" s="9" t="inlineStr">
        <is>
          <t>06203</t>
        </is>
      </c>
      <c r="G907" s="10" t="n">
        <v>18</v>
      </c>
      <c r="H907" s="9" t="inlineStr">
        <is>
          <t xml:space="preserve">82060     </t>
        </is>
      </c>
      <c r="I907" s="9" t="inlineStr">
        <is>
          <t xml:space="preserve">Лозован Александр Александрович </t>
        </is>
      </c>
      <c r="J907" s="9" t="inlineStr">
        <is>
          <t>профессор</t>
        </is>
      </c>
      <c r="K907" s="9" t="n"/>
      <c r="L907" s="9" t="n"/>
      <c r="M907" s="12">
        <f>SUMIFS($E$2:$E$1130,$A$2:$A$1130,"осень",$I$2:$I$1130,I907)</f>
        <v/>
      </c>
      <c r="N907" s="13">
        <f>SUMIFS($E$2:$E$1130,$A$2:$A$1130,"весна",$I$2:$I$1130,I907)</f>
        <v/>
      </c>
      <c r="O907" s="14">
        <f>M907+N907</f>
        <v/>
      </c>
      <c r="P907" s="15">
        <f>O907/$P$1</f>
        <v/>
      </c>
    </row>
    <row r="908" ht="15.75" customHeight="1" s="2">
      <c r="A908" s="32" t="inlineStr">
        <is>
          <t>весна</t>
        </is>
      </c>
      <c r="B908" s="9" t="inlineStr">
        <is>
          <t>Вакуумные методы нанесения защитных и функциональных покрытий</t>
        </is>
      </c>
      <c r="C908" s="9" t="inlineStr">
        <is>
          <t>Зачет с оценкой</t>
        </is>
      </c>
      <c r="D908" s="9" t="inlineStr">
        <is>
          <t>Т11О-103М-20</t>
        </is>
      </c>
      <c r="E908" s="10" t="n">
        <v>2</v>
      </c>
      <c r="F908" s="9" t="inlineStr">
        <is>
          <t>06203</t>
        </is>
      </c>
      <c r="G908" s="11" t="n">
        <v>0</v>
      </c>
      <c r="H908" s="9" t="inlineStr">
        <is>
          <t xml:space="preserve">82060     </t>
        </is>
      </c>
      <c r="I908" s="9" t="inlineStr">
        <is>
          <t xml:space="preserve">Лозован Александр Александрович </t>
        </is>
      </c>
      <c r="J908" s="9" t="inlineStr">
        <is>
          <t>профессор</t>
        </is>
      </c>
      <c r="K908" s="9" t="n"/>
      <c r="L908" s="9" t="n"/>
      <c r="M908" s="12">
        <f>SUMIFS($E$2:$E$1130,$A$2:$A$1130,"осень",$I$2:$I$1130,I908)</f>
        <v/>
      </c>
      <c r="N908" s="13">
        <f>SUMIFS($E$2:$E$1130,$A$2:$A$1130,"весна",$I$2:$I$1130,I908)</f>
        <v/>
      </c>
      <c r="O908" s="14">
        <f>M908+N908</f>
        <v/>
      </c>
      <c r="P908" s="15">
        <f>O908/$P$1</f>
        <v/>
      </c>
    </row>
    <row r="909" ht="15.75" customHeight="1" s="2">
      <c r="A909" s="32" t="inlineStr">
        <is>
          <t>весна</t>
        </is>
      </c>
      <c r="B909" s="9" t="inlineStr">
        <is>
          <t>Вакуумные методы нанесения защитных и функциональных покрытий</t>
        </is>
      </c>
      <c r="C909" s="9" t="inlineStr">
        <is>
          <t>ПЗ</t>
        </is>
      </c>
      <c r="D909" s="9" t="inlineStr">
        <is>
          <t>Т11О-103М-20</t>
        </is>
      </c>
      <c r="E909" s="10" t="n">
        <v>36</v>
      </c>
      <c r="F909" s="9" t="inlineStr">
        <is>
          <t>06203</t>
        </is>
      </c>
      <c r="G909" s="10" t="n">
        <v>36</v>
      </c>
      <c r="H909" s="9" t="inlineStr">
        <is>
          <t xml:space="preserve">82060     </t>
        </is>
      </c>
      <c r="I909" s="9" t="inlineStr">
        <is>
          <t xml:space="preserve">Лозован Александр Александрович </t>
        </is>
      </c>
      <c r="J909" s="9" t="inlineStr">
        <is>
          <t>профессор</t>
        </is>
      </c>
      <c r="K909" s="9" t="n"/>
      <c r="L909" s="9" t="n"/>
      <c r="M909" s="12">
        <f>SUMIFS($E$2:$E$1130,$A$2:$A$1130,"осень",$I$2:$I$1130,I909)</f>
        <v/>
      </c>
      <c r="N909" s="13">
        <f>SUMIFS($E$2:$E$1130,$A$2:$A$1130,"весна",$I$2:$I$1130,I909)</f>
        <v/>
      </c>
      <c r="O909" s="14">
        <f>M909+N909</f>
        <v/>
      </c>
      <c r="P909" s="15">
        <f>O909/$P$1</f>
        <v/>
      </c>
    </row>
    <row r="910" ht="15.75" customHeight="1" s="2">
      <c r="A910" s="32" t="inlineStr">
        <is>
          <t>весна</t>
        </is>
      </c>
      <c r="B910" s="9" t="inlineStr">
        <is>
          <t>Вакуумные методы нанесения защитных и функциональных покрытий</t>
        </is>
      </c>
      <c r="C910" s="9" t="inlineStr">
        <is>
          <t>ЛР</t>
        </is>
      </c>
      <c r="D910" s="9" t="inlineStr">
        <is>
          <t>Т11О-103М-20</t>
        </is>
      </c>
      <c r="E910" s="10" t="n">
        <v>12</v>
      </c>
      <c r="F910" s="9" t="inlineStr">
        <is>
          <t>06203</t>
        </is>
      </c>
      <c r="G910" s="10" t="n">
        <v>12</v>
      </c>
      <c r="H910" s="9" t="inlineStr">
        <is>
          <t xml:space="preserve">82060     </t>
        </is>
      </c>
      <c r="I910" s="9" t="inlineStr">
        <is>
          <t xml:space="preserve">Лозован Александр Александрович </t>
        </is>
      </c>
      <c r="J910" s="9" t="inlineStr">
        <is>
          <t>профессор</t>
        </is>
      </c>
      <c r="K910" s="9" t="n"/>
      <c r="L910" s="9" t="n"/>
      <c r="M910" s="12">
        <f>SUMIFS($E$2:$E$1130,$A$2:$A$1130,"осень",$I$2:$I$1130,I910)</f>
        <v/>
      </c>
      <c r="N910" s="13">
        <f>SUMIFS($E$2:$E$1130,$A$2:$A$1130,"весна",$I$2:$I$1130,I910)</f>
        <v/>
      </c>
      <c r="O910" s="14">
        <f>M910+N910</f>
        <v/>
      </c>
      <c r="P910" s="15">
        <f>O910/$P$1</f>
        <v/>
      </c>
    </row>
    <row r="911" ht="15.75" customHeight="1" s="2">
      <c r="A911" s="32" t="inlineStr">
        <is>
          <t>весна</t>
        </is>
      </c>
      <c r="B911" s="9" t="inlineStr">
        <is>
          <t>Вакуумные методы нанесения защитных и функциональных покрытий</t>
        </is>
      </c>
      <c r="C911" s="9" t="inlineStr">
        <is>
          <t>Консультация</t>
        </is>
      </c>
      <c r="D911" s="9" t="inlineStr">
        <is>
          <t>Т11О-103М-20</t>
        </is>
      </c>
      <c r="E911" s="10" t="n">
        <v>1</v>
      </c>
      <c r="F911" s="9" t="inlineStr">
        <is>
          <t>06203</t>
        </is>
      </c>
      <c r="G911" s="11" t="n">
        <v>0</v>
      </c>
      <c r="H911" s="9" t="inlineStr">
        <is>
          <t xml:space="preserve">82060     </t>
        </is>
      </c>
      <c r="I911" s="9" t="inlineStr">
        <is>
          <t xml:space="preserve">Лозован Александр Александрович </t>
        </is>
      </c>
      <c r="J911" s="9" t="inlineStr">
        <is>
          <t>профессор</t>
        </is>
      </c>
      <c r="K911" s="9" t="n"/>
      <c r="L911" s="9" t="n"/>
      <c r="M911" s="12">
        <f>SUMIFS($E$2:$E$1130,$A$2:$A$1130,"осень",$I$2:$I$1130,I911)</f>
        <v/>
      </c>
      <c r="N911" s="13">
        <f>SUMIFS($E$2:$E$1130,$A$2:$A$1130,"весна",$I$2:$I$1130,I911)</f>
        <v/>
      </c>
      <c r="O911" s="14">
        <f>M911+N911</f>
        <v/>
      </c>
      <c r="P911" s="15">
        <f>O911/$P$1</f>
        <v/>
      </c>
    </row>
    <row r="912" ht="15.75" customHeight="1" s="2">
      <c r="A912" s="32" t="inlineStr">
        <is>
          <t>весна</t>
        </is>
      </c>
      <c r="B912" s="9" t="inlineStr">
        <is>
          <t>Современные технологии аддитивного производства</t>
        </is>
      </c>
      <c r="C912" s="9" t="inlineStr">
        <is>
          <t>ЛК</t>
        </is>
      </c>
      <c r="D912" s="9" t="inlineStr">
        <is>
          <t>М9О-104М-20</t>
        </is>
      </c>
      <c r="E912" s="10" t="n">
        <v>24</v>
      </c>
      <c r="F912" s="9" t="inlineStr">
        <is>
          <t>12598</t>
        </is>
      </c>
      <c r="G912" s="10" t="n">
        <v>24</v>
      </c>
      <c r="H912" s="9" t="inlineStr">
        <is>
          <t xml:space="preserve">81720     </t>
        </is>
      </c>
      <c r="I912" s="9" t="inlineStr">
        <is>
          <t xml:space="preserve">Палтиевич Андрей Романович </t>
        </is>
      </c>
      <c r="J912" s="9" t="n"/>
      <c r="K912" s="9" t="n"/>
      <c r="L912" s="9" t="n"/>
      <c r="M912" s="12">
        <f>SUMIFS($E$2:$E$1130,$A$2:$A$1130,"осень",$I$2:$I$1130,I912)</f>
        <v/>
      </c>
      <c r="N912" s="13">
        <f>SUMIFS($E$2:$E$1130,$A$2:$A$1130,"весна",$I$2:$I$1130,I912)</f>
        <v/>
      </c>
      <c r="O912" s="14">
        <f>M912+N912</f>
        <v/>
      </c>
      <c r="P912" s="15">
        <f>O912/$P$1</f>
        <v/>
      </c>
    </row>
    <row r="913" ht="15.75" customHeight="1" s="2">
      <c r="A913" s="32" t="inlineStr">
        <is>
          <t>весна</t>
        </is>
      </c>
      <c r="B913" s="9" t="inlineStr">
        <is>
          <t>Современные технологии аддитивного производства</t>
        </is>
      </c>
      <c r="C913" s="9" t="inlineStr">
        <is>
          <t>ПЗ</t>
        </is>
      </c>
      <c r="D913" s="9" t="inlineStr">
        <is>
          <t>М9О-104М-20</t>
        </is>
      </c>
      <c r="E913" s="10" t="n">
        <v>36</v>
      </c>
      <c r="F913" s="9" t="inlineStr">
        <is>
          <t>12598</t>
        </is>
      </c>
      <c r="G913" s="10" t="n">
        <v>36</v>
      </c>
      <c r="H913" s="9" t="inlineStr">
        <is>
          <t xml:space="preserve">81720     </t>
        </is>
      </c>
      <c r="I913" s="9" t="inlineStr">
        <is>
          <t xml:space="preserve">Палтиевич Андрей Романович </t>
        </is>
      </c>
      <c r="J913" s="9" t="n"/>
      <c r="K913" s="9" t="n"/>
      <c r="L913" s="9" t="n"/>
      <c r="M913" s="12">
        <f>SUMIFS($E$2:$E$1130,$A$2:$A$1130,"осень",$I$2:$I$1130,I913)</f>
        <v/>
      </c>
      <c r="N913" s="13">
        <f>SUMIFS($E$2:$E$1130,$A$2:$A$1130,"весна",$I$2:$I$1130,I913)</f>
        <v/>
      </c>
      <c r="O913" s="14">
        <f>M913+N913</f>
        <v/>
      </c>
      <c r="P913" s="15">
        <f>O913/$P$1</f>
        <v/>
      </c>
    </row>
    <row r="914" ht="15.75" customHeight="1" s="2">
      <c r="A914" s="32" t="inlineStr">
        <is>
          <t>весна</t>
        </is>
      </c>
      <c r="B914" s="9" t="inlineStr">
        <is>
          <t>Современные технологии аддитивного производства</t>
        </is>
      </c>
      <c r="C914" s="9" t="inlineStr">
        <is>
          <t>ЛР</t>
        </is>
      </c>
      <c r="D914" s="9" t="inlineStr">
        <is>
          <t>М9О-104М-20</t>
        </is>
      </c>
      <c r="E914" s="10" t="n">
        <v>8</v>
      </c>
      <c r="F914" s="9" t="inlineStr">
        <is>
          <t>12598</t>
        </is>
      </c>
      <c r="G914" s="10" t="n">
        <v>8</v>
      </c>
      <c r="H914" s="9" t="inlineStr">
        <is>
          <t xml:space="preserve">81720     </t>
        </is>
      </c>
      <c r="I914" s="9" t="inlineStr">
        <is>
          <t xml:space="preserve">Палтиевич Андрей Романович </t>
        </is>
      </c>
      <c r="J914" s="9" t="n"/>
      <c r="K914" s="9" t="n"/>
      <c r="L914" s="9" t="n"/>
      <c r="M914" s="12">
        <f>SUMIFS($E$2:$E$1130,$A$2:$A$1130,"осень",$I$2:$I$1130,I914)</f>
        <v/>
      </c>
      <c r="N914" s="13">
        <f>SUMIFS($E$2:$E$1130,$A$2:$A$1130,"весна",$I$2:$I$1130,I914)</f>
        <v/>
      </c>
      <c r="O914" s="14">
        <f>M914+N914</f>
        <v/>
      </c>
      <c r="P914" s="15">
        <f>O914/$P$1</f>
        <v/>
      </c>
    </row>
    <row r="915" ht="15.75" customHeight="1" s="2">
      <c r="A915" s="32" t="inlineStr">
        <is>
          <t>весна</t>
        </is>
      </c>
      <c r="B915" s="9" t="inlineStr">
        <is>
          <t>Современные технологии аддитивного производства</t>
        </is>
      </c>
      <c r="C915" s="9" t="inlineStr">
        <is>
          <t>Экзамен</t>
        </is>
      </c>
      <c r="D915" s="9" t="inlineStr">
        <is>
          <t>М9О-104М-20</t>
        </is>
      </c>
      <c r="E915" s="10" t="n">
        <v>3</v>
      </c>
      <c r="F915" s="9" t="inlineStr">
        <is>
          <t>12598</t>
        </is>
      </c>
      <c r="G915" s="11" t="n">
        <v>0</v>
      </c>
      <c r="H915" s="9" t="inlineStr">
        <is>
          <t xml:space="preserve">81720     </t>
        </is>
      </c>
      <c r="I915" s="9" t="inlineStr">
        <is>
          <t xml:space="preserve">Палтиевич Андрей Романович </t>
        </is>
      </c>
      <c r="J915" s="9" t="n"/>
      <c r="K915" s="9" t="n"/>
      <c r="L915" s="9" t="n"/>
      <c r="M915" s="12">
        <f>SUMIFS($E$2:$E$1130,$A$2:$A$1130,"осень",$I$2:$I$1130,I915)</f>
        <v/>
      </c>
      <c r="N915" s="13">
        <f>SUMIFS($E$2:$E$1130,$A$2:$A$1130,"весна",$I$2:$I$1130,I915)</f>
        <v/>
      </c>
      <c r="O915" s="14">
        <f>M915+N915</f>
        <v/>
      </c>
      <c r="P915" s="15">
        <f>O915/$P$1</f>
        <v/>
      </c>
    </row>
    <row r="916" ht="15.75" customHeight="1" s="2">
      <c r="A916" s="32" t="inlineStr">
        <is>
          <t>весна</t>
        </is>
      </c>
      <c r="B916" s="9" t="inlineStr">
        <is>
          <t>Современные технологии аддитивного производства</t>
        </is>
      </c>
      <c r="C916" s="9" t="inlineStr">
        <is>
          <t>Консультация</t>
        </is>
      </c>
      <c r="D916" s="9" t="inlineStr">
        <is>
          <t>М9О-104М-20</t>
        </is>
      </c>
      <c r="E916" s="10" t="n">
        <v>3</v>
      </c>
      <c r="F916" s="9" t="inlineStr">
        <is>
          <t>12598</t>
        </is>
      </c>
      <c r="G916" s="11" t="n">
        <v>0</v>
      </c>
      <c r="H916" s="9" t="inlineStr">
        <is>
          <t xml:space="preserve">81720     </t>
        </is>
      </c>
      <c r="I916" s="9" t="inlineStr">
        <is>
          <t xml:space="preserve">Палтиевич Андрей Романович </t>
        </is>
      </c>
      <c r="J916" s="9" t="n"/>
      <c r="K916" s="9" t="n"/>
      <c r="L916" s="9" t="n"/>
      <c r="M916" s="12">
        <f>SUMIFS($E$2:$E$1130,$A$2:$A$1130,"осень",$I$2:$I$1130,I916)</f>
        <v/>
      </c>
      <c r="N916" s="13">
        <f>SUMIFS($E$2:$E$1130,$A$2:$A$1130,"весна",$I$2:$I$1130,I916)</f>
        <v/>
      </c>
      <c r="O916" s="14">
        <f>M916+N916</f>
        <v/>
      </c>
      <c r="P916" s="15">
        <f>O916/$P$1</f>
        <v/>
      </c>
    </row>
    <row r="917" ht="15.75" customHeight="1" s="2">
      <c r="A917" s="32" t="inlineStr">
        <is>
          <t>весна</t>
        </is>
      </c>
      <c r="B917" s="9" t="inlineStr">
        <is>
          <t>Основы САПР в металлургии</t>
        </is>
      </c>
      <c r="C917" s="9" t="inlineStr">
        <is>
          <t>ЛК</t>
        </is>
      </c>
      <c r="D917" s="9" t="inlineStr">
        <is>
          <t>Т1В-412Б-17</t>
        </is>
      </c>
      <c r="E917" s="10" t="n">
        <v>26</v>
      </c>
      <c r="F917" s="9" t="inlineStr">
        <is>
          <t>08769</t>
        </is>
      </c>
      <c r="G917" s="10" t="n">
        <v>26</v>
      </c>
      <c r="H917" s="9" t="inlineStr">
        <is>
          <t xml:space="preserve">81720     </t>
        </is>
      </c>
      <c r="I917" s="9" t="inlineStr">
        <is>
          <t xml:space="preserve">Палтиевич Андрей Романович </t>
        </is>
      </c>
      <c r="J917" s="9" t="n"/>
      <c r="K917" s="9" t="n"/>
      <c r="L917" s="9" t="inlineStr">
        <is>
          <t>Кроме вторника</t>
        </is>
      </c>
      <c r="M917" s="12">
        <f>SUMIFS($E$2:$E$1130,$A$2:$A$1130,"осень",$I$2:$I$1130,I917)</f>
        <v/>
      </c>
      <c r="N917" s="13">
        <f>SUMIFS($E$2:$E$1130,$A$2:$A$1130,"весна",$I$2:$I$1130,I917)</f>
        <v/>
      </c>
      <c r="O917" s="14">
        <f>M917+N917</f>
        <v/>
      </c>
      <c r="P917" s="15">
        <f>O917/$P$1</f>
        <v/>
      </c>
    </row>
    <row r="918" ht="15.75" customHeight="1" s="2">
      <c r="A918" s="32" t="inlineStr">
        <is>
          <t>весна</t>
        </is>
      </c>
      <c r="B918" s="9" t="inlineStr">
        <is>
          <t>Основы САПР в металлургии</t>
        </is>
      </c>
      <c r="C918" s="9" t="inlineStr">
        <is>
          <t>ЛК</t>
        </is>
      </c>
      <c r="D918" s="9" t="inlineStr">
        <is>
          <t>Т11О-201Б-19, Т11О-202Б-19</t>
        </is>
      </c>
      <c r="E918" s="10" t="n">
        <v>32</v>
      </c>
      <c r="F918" s="9" t="inlineStr">
        <is>
          <t>08947</t>
        </is>
      </c>
      <c r="G918" s="10" t="n">
        <v>32</v>
      </c>
      <c r="H918" s="9" t="inlineStr">
        <is>
          <t xml:space="preserve">82018     </t>
        </is>
      </c>
      <c r="I918" s="9" t="inlineStr">
        <is>
          <t>Бережной Дмитрий Васильевич</t>
        </is>
      </c>
      <c r="J918" s="9" t="inlineStr">
        <is>
          <t>доцент</t>
        </is>
      </c>
      <c r="K918" s="9" t="n"/>
      <c r="L918" s="9" t="n"/>
      <c r="M918" s="12">
        <f>SUMIFS($E$2:$E$1130,$A$2:$A$1130,"осень",$I$2:$I$1130,I918)</f>
        <v/>
      </c>
      <c r="N918" s="13">
        <f>SUMIFS($E$2:$E$1130,$A$2:$A$1130,"весна",$I$2:$I$1130,I918)</f>
        <v/>
      </c>
      <c r="O918" s="14">
        <f>M918+N918</f>
        <v/>
      </c>
      <c r="P918" s="15">
        <f>O918/$P$1</f>
        <v/>
      </c>
    </row>
    <row r="919" ht="15.75" customHeight="1" s="2">
      <c r="A919" s="32" t="inlineStr">
        <is>
          <t>весна</t>
        </is>
      </c>
      <c r="B919" s="9" t="inlineStr">
        <is>
          <t>Основы САПР в металлургии</t>
        </is>
      </c>
      <c r="C919" s="9" t="inlineStr">
        <is>
          <t>КР</t>
        </is>
      </c>
      <c r="D919" s="9" t="inlineStr">
        <is>
          <t>Т1В-412Б-17</t>
        </is>
      </c>
      <c r="E919" s="10" t="n">
        <v>20</v>
      </c>
      <c r="F919" s="9" t="inlineStr">
        <is>
          <t>08769</t>
        </is>
      </c>
      <c r="G919" s="11" t="n">
        <v>0</v>
      </c>
      <c r="H919" s="9" t="inlineStr">
        <is>
          <t xml:space="preserve">95799     </t>
        </is>
      </c>
      <c r="I919" s="21" t="inlineStr">
        <is>
          <t>Монастырский Алексей Валерьевич</t>
        </is>
      </c>
      <c r="J919" s="21" t="inlineStr">
        <is>
          <t>КОМПЕНСАЦИЯ</t>
        </is>
      </c>
      <c r="K919" s="9" t="n"/>
      <c r="L919" s="9" t="inlineStr">
        <is>
          <t>Кроме вторника</t>
        </is>
      </c>
      <c r="M919" s="12">
        <f>SUMIFS($E$2:$E$1130,$A$2:$A$1130,"осень",$I$2:$I$1130,I919)</f>
        <v/>
      </c>
      <c r="N919" s="13">
        <f>SUMIFS($E$2:$E$1130,$A$2:$A$1130,"весна",$I$2:$I$1130,I919)</f>
        <v/>
      </c>
      <c r="O919" s="14">
        <f>M919+N919</f>
        <v/>
      </c>
      <c r="P919" s="15">
        <f>O919/$P$1</f>
        <v/>
      </c>
    </row>
    <row r="920" ht="15.75" customHeight="1" s="2">
      <c r="A920" s="32" t="inlineStr">
        <is>
          <t>весна</t>
        </is>
      </c>
      <c r="B920" s="9" t="inlineStr">
        <is>
          <t>Основы САПР в металлургии</t>
        </is>
      </c>
      <c r="C920" s="9" t="inlineStr">
        <is>
          <t>КР</t>
        </is>
      </c>
      <c r="D920" s="9" t="inlineStr">
        <is>
          <t>Т1В-412Б-17</t>
        </is>
      </c>
      <c r="E920" s="10" t="n">
        <v>13</v>
      </c>
      <c r="F920" s="9" t="inlineStr">
        <is>
          <t>08769</t>
        </is>
      </c>
      <c r="G920" s="11" t="n">
        <v>0</v>
      </c>
      <c r="H920" s="9" t="inlineStr">
        <is>
          <t xml:space="preserve">81720     </t>
        </is>
      </c>
      <c r="I920" s="9" t="inlineStr">
        <is>
          <t xml:space="preserve">Палтиевич Андрей Романович </t>
        </is>
      </c>
      <c r="J920" s="9" t="n"/>
      <c r="K920" s="9" t="n"/>
      <c r="L920" s="9" t="inlineStr">
        <is>
          <t>Кроме вторника</t>
        </is>
      </c>
      <c r="M920" s="12">
        <f>SUMIFS($E$2:$E$1130,$A$2:$A$1130,"осень",$I$2:$I$1130,I920)</f>
        <v/>
      </c>
      <c r="N920" s="13">
        <f>SUMIFS($E$2:$E$1130,$A$2:$A$1130,"весна",$I$2:$I$1130,I920)</f>
        <v/>
      </c>
      <c r="O920" s="14">
        <f>M920+N920</f>
        <v/>
      </c>
      <c r="P920" s="15">
        <f>O920/$P$1</f>
        <v/>
      </c>
    </row>
    <row r="921" ht="15.75" customHeight="1" s="2">
      <c r="A921" s="32" t="inlineStr">
        <is>
          <t>весна</t>
        </is>
      </c>
      <c r="B921" s="9" t="inlineStr">
        <is>
          <t>Основы САПР в металлургии</t>
        </is>
      </c>
      <c r="C921" s="9" t="inlineStr">
        <is>
          <t>Зачет с оценкой</t>
        </is>
      </c>
      <c r="D921" s="9" t="inlineStr">
        <is>
          <t>Т1В-412Б-17</t>
        </is>
      </c>
      <c r="E921" s="10" t="n">
        <v>4</v>
      </c>
      <c r="F921" s="9" t="inlineStr">
        <is>
          <t>08769</t>
        </is>
      </c>
      <c r="G921" s="11" t="n">
        <v>0</v>
      </c>
      <c r="H921" s="9" t="inlineStr">
        <is>
          <t xml:space="preserve">81720     </t>
        </is>
      </c>
      <c r="I921" s="9" t="inlineStr">
        <is>
          <t xml:space="preserve">Палтиевич Андрей Романович </t>
        </is>
      </c>
      <c r="J921" s="9" t="n"/>
      <c r="K921" s="9" t="n"/>
      <c r="L921" s="9" t="inlineStr">
        <is>
          <t>Кроме вторника</t>
        </is>
      </c>
      <c r="M921" s="12">
        <f>SUMIFS($E$2:$E$1130,$A$2:$A$1130,"осень",$I$2:$I$1130,I921)</f>
        <v/>
      </c>
      <c r="N921" s="13">
        <f>SUMIFS($E$2:$E$1130,$A$2:$A$1130,"весна",$I$2:$I$1130,I921)</f>
        <v/>
      </c>
      <c r="O921" s="14">
        <f>M921+N921</f>
        <v/>
      </c>
      <c r="P921" s="15">
        <f>O921/$P$1</f>
        <v/>
      </c>
    </row>
    <row r="922" ht="15.75" customHeight="1" s="2">
      <c r="A922" s="32" t="inlineStr">
        <is>
          <t>весна</t>
        </is>
      </c>
      <c r="B922" s="9" t="inlineStr">
        <is>
          <t>Основы САПР в металлургии</t>
        </is>
      </c>
      <c r="C922" s="9" t="inlineStr">
        <is>
          <t>ПЗ</t>
        </is>
      </c>
      <c r="D922" s="9" t="inlineStr">
        <is>
          <t>Т11О-201Б-19</t>
        </is>
      </c>
      <c r="E922" s="10" t="n">
        <v>36</v>
      </c>
      <c r="F922" s="9" t="inlineStr">
        <is>
          <t>08947</t>
        </is>
      </c>
      <c r="G922" s="10" t="n">
        <v>36</v>
      </c>
      <c r="H922" s="9" t="inlineStr">
        <is>
          <t xml:space="preserve">82018     </t>
        </is>
      </c>
      <c r="I922" s="9" t="inlineStr">
        <is>
          <t>Бережной Дмитрий Васильевич</t>
        </is>
      </c>
      <c r="J922" s="9" t="inlineStr">
        <is>
          <t>доцент</t>
        </is>
      </c>
      <c r="K922" s="9" t="n"/>
      <c r="L922" s="9" t="n"/>
      <c r="M922" s="12">
        <f>SUMIFS($E$2:$E$1130,$A$2:$A$1130,"осень",$I$2:$I$1130,I922)</f>
        <v/>
      </c>
      <c r="N922" s="13">
        <f>SUMIFS($E$2:$E$1130,$A$2:$A$1130,"весна",$I$2:$I$1130,I922)</f>
        <v/>
      </c>
      <c r="O922" s="14">
        <f>M922+N922</f>
        <v/>
      </c>
      <c r="P922" s="15">
        <f>O922/$P$1</f>
        <v/>
      </c>
    </row>
    <row r="923" ht="15.75" customHeight="1" s="2">
      <c r="A923" s="32" t="inlineStr">
        <is>
          <t>весна</t>
        </is>
      </c>
      <c r="B923" s="9" t="inlineStr">
        <is>
          <t>Основы САПР в металлургии</t>
        </is>
      </c>
      <c r="C923" s="9" t="inlineStr">
        <is>
          <t>ПЗ</t>
        </is>
      </c>
      <c r="D923" s="9" t="inlineStr">
        <is>
          <t>Т11О-202Б-19</t>
        </is>
      </c>
      <c r="E923" s="10" t="n">
        <v>36</v>
      </c>
      <c r="F923" s="9" t="inlineStr">
        <is>
          <t>08947</t>
        </is>
      </c>
      <c r="G923" s="10" t="n">
        <v>36</v>
      </c>
      <c r="H923" s="9" t="inlineStr">
        <is>
          <t xml:space="preserve">82018     </t>
        </is>
      </c>
      <c r="I923" s="9" t="inlineStr">
        <is>
          <t>Бережной Дмитрий Васильевич</t>
        </is>
      </c>
      <c r="J923" s="9" t="inlineStr">
        <is>
          <t>доцент</t>
        </is>
      </c>
      <c r="K923" s="9" t="n"/>
      <c r="L923" s="9" t="n"/>
      <c r="M923" s="12">
        <f>SUMIFS($E$2:$E$1130,$A$2:$A$1130,"осень",$I$2:$I$1130,I923)</f>
        <v/>
      </c>
      <c r="N923" s="13">
        <f>SUMIFS($E$2:$E$1130,$A$2:$A$1130,"весна",$I$2:$I$1130,I923)</f>
        <v/>
      </c>
      <c r="O923" s="14">
        <f>M923+N923</f>
        <v/>
      </c>
      <c r="P923" s="15">
        <f>O923/$P$1</f>
        <v/>
      </c>
    </row>
    <row r="924" ht="15.75" customHeight="1" s="2">
      <c r="A924" s="32" t="inlineStr">
        <is>
          <t>весна</t>
        </is>
      </c>
      <c r="B924" s="9" t="inlineStr">
        <is>
          <t>Основы САПР в металлургии</t>
        </is>
      </c>
      <c r="C924" s="9" t="inlineStr">
        <is>
          <t>ЛР</t>
        </is>
      </c>
      <c r="D924" s="9" t="inlineStr">
        <is>
          <t>Т1В-412Б-17</t>
        </is>
      </c>
      <c r="E924" s="10" t="n">
        <v>32</v>
      </c>
      <c r="F924" s="9" t="inlineStr">
        <is>
          <t>08769</t>
        </is>
      </c>
      <c r="G924" s="10" t="n">
        <v>32</v>
      </c>
      <c r="H924" s="9" t="inlineStr">
        <is>
          <t xml:space="preserve">81720     </t>
        </is>
      </c>
      <c r="I924" s="9" t="inlineStr">
        <is>
          <t xml:space="preserve">Палтиевич Андрей Романович </t>
        </is>
      </c>
      <c r="J924" s="9" t="n"/>
      <c r="K924" s="9" t="n"/>
      <c r="L924" s="9" t="inlineStr">
        <is>
          <t>Кроме вторника</t>
        </is>
      </c>
      <c r="M924" s="12">
        <f>SUMIFS($E$2:$E$1130,$A$2:$A$1130,"осень",$I$2:$I$1130,I924)</f>
        <v/>
      </c>
      <c r="N924" s="13">
        <f>SUMIFS($E$2:$E$1130,$A$2:$A$1130,"весна",$I$2:$I$1130,I924)</f>
        <v/>
      </c>
      <c r="O924" s="14">
        <f>M924+N924</f>
        <v/>
      </c>
      <c r="P924" s="15">
        <f>O924/$P$1</f>
        <v/>
      </c>
    </row>
    <row r="925" ht="15.75" customHeight="1" s="2">
      <c r="A925" s="32" t="inlineStr">
        <is>
          <t>весна</t>
        </is>
      </c>
      <c r="B925" s="9" t="inlineStr">
        <is>
          <t>Основы САПР в металлургии</t>
        </is>
      </c>
      <c r="C925" s="9" t="inlineStr">
        <is>
          <t>Экзамен</t>
        </is>
      </c>
      <c r="D925" s="9" t="inlineStr">
        <is>
          <t>Т11О-201Б-19</t>
        </is>
      </c>
      <c r="E925" s="10" t="n">
        <v>9</v>
      </c>
      <c r="F925" s="9" t="inlineStr">
        <is>
          <t>08947</t>
        </is>
      </c>
      <c r="G925" s="11" t="n">
        <v>0</v>
      </c>
      <c r="H925" s="9" t="inlineStr">
        <is>
          <t xml:space="preserve">82018     </t>
        </is>
      </c>
      <c r="I925" s="9" t="inlineStr">
        <is>
          <t>Бережной Дмитрий Васильевич</t>
        </is>
      </c>
      <c r="J925" s="9" t="inlineStr">
        <is>
          <t>доцент</t>
        </is>
      </c>
      <c r="K925" s="9" t="n"/>
      <c r="L925" s="9" t="n"/>
      <c r="M925" s="12">
        <f>SUMIFS($E$2:$E$1130,$A$2:$A$1130,"осень",$I$2:$I$1130,I925)</f>
        <v/>
      </c>
      <c r="N925" s="13">
        <f>SUMIFS($E$2:$E$1130,$A$2:$A$1130,"весна",$I$2:$I$1130,I925)</f>
        <v/>
      </c>
      <c r="O925" s="14">
        <f>M925+N925</f>
        <v/>
      </c>
      <c r="P925" s="15">
        <f>O925/$P$1</f>
        <v/>
      </c>
    </row>
    <row r="926" ht="15.75" customHeight="1" s="2">
      <c r="A926" s="32" t="inlineStr">
        <is>
          <t>весна</t>
        </is>
      </c>
      <c r="B926" s="9" t="inlineStr">
        <is>
          <t>Основы САПР в металлургии</t>
        </is>
      </c>
      <c r="C926" s="9" t="inlineStr">
        <is>
          <t>Экзамен</t>
        </is>
      </c>
      <c r="D926" s="9" t="inlineStr">
        <is>
          <t>Т11О-202Б-19</t>
        </is>
      </c>
      <c r="E926" s="10" t="n">
        <v>12</v>
      </c>
      <c r="F926" s="9" t="inlineStr">
        <is>
          <t>08947</t>
        </is>
      </c>
      <c r="G926" s="11" t="n">
        <v>0</v>
      </c>
      <c r="H926" s="9" t="inlineStr">
        <is>
          <t xml:space="preserve">82018     </t>
        </is>
      </c>
      <c r="I926" s="9" t="inlineStr">
        <is>
          <t>Бережной Дмитрий Васильевич</t>
        </is>
      </c>
      <c r="J926" s="9" t="inlineStr">
        <is>
          <t>доцент</t>
        </is>
      </c>
      <c r="K926" s="9" t="n"/>
      <c r="L926" s="9" t="n"/>
      <c r="M926" s="12">
        <f>SUMIFS($E$2:$E$1130,$A$2:$A$1130,"осень",$I$2:$I$1130,I926)</f>
        <v/>
      </c>
      <c r="N926" s="13">
        <f>SUMIFS($E$2:$E$1130,$A$2:$A$1130,"весна",$I$2:$I$1130,I926)</f>
        <v/>
      </c>
      <c r="O926" s="14">
        <f>M926+N926</f>
        <v/>
      </c>
      <c r="P926" s="15">
        <f>O926/$P$1</f>
        <v/>
      </c>
    </row>
    <row r="927" ht="15.75" customHeight="1" s="2">
      <c r="A927" s="32" t="inlineStr">
        <is>
          <t>весна</t>
        </is>
      </c>
      <c r="B927" s="9" t="inlineStr">
        <is>
          <t>Основы САПР в металлургии</t>
        </is>
      </c>
      <c r="C927" s="9" t="inlineStr">
        <is>
          <t>Консультация</t>
        </is>
      </c>
      <c r="D927" s="9" t="inlineStr">
        <is>
          <t>Т1В-412Б-17</t>
        </is>
      </c>
      <c r="E927" s="10" t="n">
        <v>3</v>
      </c>
      <c r="F927" s="9" t="inlineStr">
        <is>
          <t>08769</t>
        </is>
      </c>
      <c r="G927" s="11" t="n">
        <v>0</v>
      </c>
      <c r="H927" s="9" t="inlineStr">
        <is>
          <t xml:space="preserve">95799     </t>
        </is>
      </c>
      <c r="I927" s="21" t="inlineStr">
        <is>
          <t>Монастырский Алексей Валерьевич</t>
        </is>
      </c>
      <c r="J927" s="21" t="inlineStr">
        <is>
          <t>КОМПЕНСАЦИЯ</t>
        </is>
      </c>
      <c r="K927" s="9" t="n"/>
      <c r="L927" s="9" t="inlineStr">
        <is>
          <t>Кроме вторника</t>
        </is>
      </c>
      <c r="M927" s="12">
        <f>SUMIFS($E$2:$E$1130,$A$2:$A$1130,"осень",$I$2:$I$1130,I927)</f>
        <v/>
      </c>
      <c r="N927" s="13">
        <f>SUMIFS($E$2:$E$1130,$A$2:$A$1130,"весна",$I$2:$I$1130,I927)</f>
        <v/>
      </c>
      <c r="O927" s="14">
        <f>M927+N927</f>
        <v/>
      </c>
      <c r="P927" s="15">
        <f>O927/$P$1</f>
        <v/>
      </c>
    </row>
    <row r="928" ht="15.75" customHeight="1" s="2">
      <c r="A928" s="32" t="inlineStr">
        <is>
          <t>весна</t>
        </is>
      </c>
      <c r="B928" s="9" t="inlineStr">
        <is>
          <t>Основы САПР в металлургии</t>
        </is>
      </c>
      <c r="C928" s="9" t="inlineStr">
        <is>
          <t>Консультация</t>
        </is>
      </c>
      <c r="D928" s="9" t="inlineStr">
        <is>
          <t>Т11О-201Б-19</t>
        </is>
      </c>
      <c r="E928" s="10" t="n">
        <v>4</v>
      </c>
      <c r="F928" s="9" t="inlineStr">
        <is>
          <t>08947</t>
        </is>
      </c>
      <c r="G928" s="11" t="n">
        <v>0</v>
      </c>
      <c r="H928" s="9" t="inlineStr">
        <is>
          <t xml:space="preserve">82018     </t>
        </is>
      </c>
      <c r="I928" s="9" t="inlineStr">
        <is>
          <t>Бережной Дмитрий Васильевич</t>
        </is>
      </c>
      <c r="J928" s="9" t="inlineStr">
        <is>
          <t>доцент</t>
        </is>
      </c>
      <c r="K928" s="9" t="n"/>
      <c r="L928" s="9" t="n"/>
      <c r="M928" s="12">
        <f>SUMIFS($E$2:$E$1130,$A$2:$A$1130,"осень",$I$2:$I$1130,I928)</f>
        <v/>
      </c>
      <c r="N928" s="13">
        <f>SUMIFS($E$2:$E$1130,$A$2:$A$1130,"весна",$I$2:$I$1130,I928)</f>
        <v/>
      </c>
      <c r="O928" s="14">
        <f>M928+N928</f>
        <v/>
      </c>
      <c r="P928" s="15">
        <f>O928/$P$1</f>
        <v/>
      </c>
    </row>
    <row r="929" ht="15.75" customHeight="1" s="2">
      <c r="A929" s="32" t="inlineStr">
        <is>
          <t>весна</t>
        </is>
      </c>
      <c r="B929" s="9" t="inlineStr">
        <is>
          <t>Основы САПР в металлургии</t>
        </is>
      </c>
      <c r="C929" s="9" t="inlineStr">
        <is>
          <t>Консультация</t>
        </is>
      </c>
      <c r="D929" s="9" t="inlineStr">
        <is>
          <t>Т11О-202Б-19</t>
        </is>
      </c>
      <c r="E929" s="10" t="n">
        <v>4</v>
      </c>
      <c r="F929" s="9" t="inlineStr">
        <is>
          <t>08947</t>
        </is>
      </c>
      <c r="G929" s="11" t="n">
        <v>0</v>
      </c>
      <c r="H929" s="9" t="inlineStr">
        <is>
          <t xml:space="preserve">82018     </t>
        </is>
      </c>
      <c r="I929" s="9" t="inlineStr">
        <is>
          <t>Бережной Дмитрий Васильевич</t>
        </is>
      </c>
      <c r="J929" s="9" t="inlineStr">
        <is>
          <t>доцент</t>
        </is>
      </c>
      <c r="K929" s="9" t="n"/>
      <c r="L929" s="9" t="n"/>
      <c r="M929" s="12">
        <f>SUMIFS($E$2:$E$1130,$A$2:$A$1130,"осень",$I$2:$I$1130,I929)</f>
        <v/>
      </c>
      <c r="N929" s="13">
        <f>SUMIFS($E$2:$E$1130,$A$2:$A$1130,"весна",$I$2:$I$1130,I929)</f>
        <v/>
      </c>
      <c r="O929" s="14">
        <f>M929+N929</f>
        <v/>
      </c>
      <c r="P929" s="15">
        <f>O929/$P$1</f>
        <v/>
      </c>
    </row>
    <row r="930" ht="15.75" customHeight="1" s="2">
      <c r="A930" s="32" t="inlineStr">
        <is>
          <t>весна</t>
        </is>
      </c>
      <c r="B930" s="9" t="inlineStr">
        <is>
          <t>Теория процессов создания современных материалов и покрытий</t>
        </is>
      </c>
      <c r="C930" s="9" t="inlineStr">
        <is>
          <t>ЛК</t>
        </is>
      </c>
      <c r="D930" s="9" t="inlineStr">
        <is>
          <t>Т11О-202А-19</t>
        </is>
      </c>
      <c r="E930" s="10" t="n">
        <v>24</v>
      </c>
      <c r="F930" s="9" t="inlineStr">
        <is>
          <t>10740</t>
        </is>
      </c>
      <c r="G930" s="10" t="n">
        <v>24</v>
      </c>
      <c r="H930" s="9" t="inlineStr">
        <is>
          <t xml:space="preserve">82060     </t>
        </is>
      </c>
      <c r="I930" s="9" t="inlineStr">
        <is>
          <t xml:space="preserve">Лозован Александр Александрович </t>
        </is>
      </c>
      <c r="J930" s="9" t="inlineStr">
        <is>
          <t>профессор</t>
        </is>
      </c>
      <c r="K930" s="9" t="n"/>
      <c r="L930" s="9" t="inlineStr">
        <is>
          <t>Степанов Максим Александрович</t>
        </is>
      </c>
      <c r="M930" s="12">
        <f>SUMIFS($E$2:$E$1130,$A$2:$A$1130,"осень",$I$2:$I$1130,I930)</f>
        <v/>
      </c>
      <c r="N930" s="13">
        <f>SUMIFS($E$2:$E$1130,$A$2:$A$1130,"весна",$I$2:$I$1130,I930)</f>
        <v/>
      </c>
      <c r="O930" s="14">
        <f>M930+N930</f>
        <v/>
      </c>
      <c r="P930" s="15">
        <f>O930/$P$1</f>
        <v/>
      </c>
    </row>
    <row r="931" ht="15.75" customHeight="1" s="2">
      <c r="A931" s="32" t="inlineStr">
        <is>
          <t>весна</t>
        </is>
      </c>
      <c r="B931" s="9" t="inlineStr">
        <is>
          <t>Теория процессов создания современных материалов и покрытий</t>
        </is>
      </c>
      <c r="C931" s="9" t="inlineStr">
        <is>
          <t>ПЗ</t>
        </is>
      </c>
      <c r="D931" s="9" t="inlineStr">
        <is>
          <t>Т11О-202А-19</t>
        </is>
      </c>
      <c r="E931" s="10" t="n">
        <v>8</v>
      </c>
      <c r="F931" s="9" t="inlineStr">
        <is>
          <t>10740</t>
        </is>
      </c>
      <c r="G931" s="10" t="n">
        <v>8</v>
      </c>
      <c r="H931" s="9" t="inlineStr">
        <is>
          <t xml:space="preserve">82060     </t>
        </is>
      </c>
      <c r="I931" s="9" t="inlineStr">
        <is>
          <t xml:space="preserve">Лозован Александр Александрович </t>
        </is>
      </c>
      <c r="J931" s="9" t="inlineStr">
        <is>
          <t>профессор</t>
        </is>
      </c>
      <c r="K931" s="9" t="n"/>
      <c r="L931" s="9" t="inlineStr">
        <is>
          <t>Степанов Максим Александрович</t>
        </is>
      </c>
      <c r="M931" s="12">
        <f>SUMIFS($E$2:$E$1130,$A$2:$A$1130,"осень",$I$2:$I$1130,I931)</f>
        <v/>
      </c>
      <c r="N931" s="13">
        <f>SUMIFS($E$2:$E$1130,$A$2:$A$1130,"весна",$I$2:$I$1130,I931)</f>
        <v/>
      </c>
      <c r="O931" s="14">
        <f>M931+N931</f>
        <v/>
      </c>
      <c r="P931" s="15">
        <f>O931/$P$1</f>
        <v/>
      </c>
    </row>
    <row r="932" ht="15.75" customHeight="1" s="2">
      <c r="A932" s="32" t="inlineStr">
        <is>
          <t>весна</t>
        </is>
      </c>
      <c r="B932" s="9" t="inlineStr">
        <is>
          <t>Теория процессов создания современных материалов и покрытий</t>
        </is>
      </c>
      <c r="C932" s="9" t="inlineStr">
        <is>
          <t>Консультация</t>
        </is>
      </c>
      <c r="D932" s="9" t="inlineStr">
        <is>
          <t>Т11О-202А-19</t>
        </is>
      </c>
      <c r="E932" s="10" t="n">
        <v>1</v>
      </c>
      <c r="F932" s="9" t="inlineStr">
        <is>
          <t>10740</t>
        </is>
      </c>
      <c r="G932" s="11" t="n">
        <v>0</v>
      </c>
      <c r="H932" s="9" t="inlineStr">
        <is>
          <t xml:space="preserve">82060     </t>
        </is>
      </c>
      <c r="I932" s="9" t="inlineStr">
        <is>
          <t xml:space="preserve">Лозован Александр Александрович </t>
        </is>
      </c>
      <c r="J932" s="9" t="inlineStr">
        <is>
          <t>профессор</t>
        </is>
      </c>
      <c r="K932" s="9" t="n"/>
      <c r="L932" s="9" t="inlineStr">
        <is>
          <t>Степанов Максим Александрович</t>
        </is>
      </c>
      <c r="M932" s="12">
        <f>SUMIFS($E$2:$E$1130,$A$2:$A$1130,"осень",$I$2:$I$1130,I932)</f>
        <v/>
      </c>
      <c r="N932" s="13">
        <f>SUMIFS($E$2:$E$1130,$A$2:$A$1130,"весна",$I$2:$I$1130,I932)</f>
        <v/>
      </c>
      <c r="O932" s="14">
        <f>M932+N932</f>
        <v/>
      </c>
      <c r="P932" s="15">
        <f>O932/$P$1</f>
        <v/>
      </c>
    </row>
    <row r="933" ht="15.75" customHeight="1" s="2">
      <c r="A933" s="32" t="inlineStr">
        <is>
          <t>весна</t>
        </is>
      </c>
      <c r="B933" s="9" t="inlineStr">
        <is>
          <t>Технологии создания перспективных композиционных материалов и конструкций из них</t>
        </is>
      </c>
      <c r="C933" s="9" t="inlineStr">
        <is>
          <t>ЛК</t>
        </is>
      </c>
      <c r="D933" s="9" t="inlineStr">
        <is>
          <t>Т11О-207А-19</t>
        </is>
      </c>
      <c r="E933" s="10" t="n">
        <v>24</v>
      </c>
      <c r="F933" s="9" t="inlineStr">
        <is>
          <t>11292</t>
        </is>
      </c>
      <c r="G933" s="10" t="n">
        <v>24</v>
      </c>
      <c r="H933" s="9" t="inlineStr">
        <is>
          <t xml:space="preserve">82066     </t>
        </is>
      </c>
      <c r="I933" s="9" t="inlineStr">
        <is>
          <t xml:space="preserve">Серов Михаил Михайлович </t>
        </is>
      </c>
      <c r="J933" s="9" t="inlineStr">
        <is>
          <t>профессор</t>
        </is>
      </c>
      <c r="K933" s="9" t="n"/>
      <c r="L933" s="9" t="n"/>
      <c r="M933" s="12">
        <f>SUMIFS($E$2:$E$1130,$A$2:$A$1130,"осень",$I$2:$I$1130,I933)</f>
        <v/>
      </c>
      <c r="N933" s="13">
        <f>SUMIFS($E$2:$E$1130,$A$2:$A$1130,"весна",$I$2:$I$1130,I933)</f>
        <v/>
      </c>
      <c r="O933" s="14">
        <f>M933+N933</f>
        <v/>
      </c>
      <c r="P933" s="15">
        <f>O933/$P$1</f>
        <v/>
      </c>
    </row>
    <row r="934" ht="15.75" customHeight="1" s="2">
      <c r="A934" s="32" t="inlineStr">
        <is>
          <t>весна</t>
        </is>
      </c>
      <c r="B934" s="9" t="inlineStr">
        <is>
          <t>Технологии создания перспективных композиционных материалов и конструкций из них</t>
        </is>
      </c>
      <c r="C934" s="9" t="inlineStr">
        <is>
          <t>Зачет с оценкой</t>
        </is>
      </c>
      <c r="D934" s="9" t="inlineStr">
        <is>
          <t>Т11О-207А-19</t>
        </is>
      </c>
      <c r="E934" s="10" t="n">
        <v>1</v>
      </c>
      <c r="F934" s="9" t="inlineStr">
        <is>
          <t>11292</t>
        </is>
      </c>
      <c r="G934" s="11" t="n">
        <v>0</v>
      </c>
      <c r="H934" s="9" t="inlineStr">
        <is>
          <t xml:space="preserve">82066     </t>
        </is>
      </c>
      <c r="I934" s="9" t="inlineStr">
        <is>
          <t xml:space="preserve">Серов Михаил Михайлович </t>
        </is>
      </c>
      <c r="J934" s="9" t="inlineStr">
        <is>
          <t>профессор</t>
        </is>
      </c>
      <c r="K934" s="9" t="n"/>
      <c r="L934" s="9" t="n"/>
      <c r="M934" s="12">
        <f>SUMIFS($E$2:$E$1130,$A$2:$A$1130,"осень",$I$2:$I$1130,I934)</f>
        <v/>
      </c>
      <c r="N934" s="13">
        <f>SUMIFS($E$2:$E$1130,$A$2:$A$1130,"весна",$I$2:$I$1130,I934)</f>
        <v/>
      </c>
      <c r="O934" s="14">
        <f>M934+N934</f>
        <v/>
      </c>
      <c r="P934" s="15">
        <f>O934/$P$1</f>
        <v/>
      </c>
    </row>
    <row r="935" ht="15.75" customHeight="1" s="2">
      <c r="A935" s="32" t="inlineStr">
        <is>
          <t>весна</t>
        </is>
      </c>
      <c r="B935" s="9" t="inlineStr">
        <is>
          <t>Технологии создания перспективных композиционных материалов и конструкций из них</t>
        </is>
      </c>
      <c r="C935" s="9" t="inlineStr">
        <is>
          <t>ПЗ</t>
        </is>
      </c>
      <c r="D935" s="9" t="inlineStr">
        <is>
          <t>Т11О-207А-19</t>
        </is>
      </c>
      <c r="E935" s="10" t="n">
        <v>8</v>
      </c>
      <c r="F935" s="9" t="inlineStr">
        <is>
          <t>11292</t>
        </is>
      </c>
      <c r="G935" s="10" t="n">
        <v>8</v>
      </c>
      <c r="H935" s="9" t="inlineStr">
        <is>
          <t xml:space="preserve">82066     </t>
        </is>
      </c>
      <c r="I935" s="9" t="inlineStr">
        <is>
          <t xml:space="preserve">Серов Михаил Михайлович </t>
        </is>
      </c>
      <c r="J935" s="9" t="inlineStr">
        <is>
          <t>профессор</t>
        </is>
      </c>
      <c r="K935" s="9" t="n"/>
      <c r="L935" s="9" t="n"/>
      <c r="M935" s="12">
        <f>SUMIFS($E$2:$E$1130,$A$2:$A$1130,"осень",$I$2:$I$1130,I935)</f>
        <v/>
      </c>
      <c r="N935" s="13">
        <f>SUMIFS($E$2:$E$1130,$A$2:$A$1130,"весна",$I$2:$I$1130,I935)</f>
        <v/>
      </c>
      <c r="O935" s="14">
        <f>M935+N935</f>
        <v/>
      </c>
      <c r="P935" s="15">
        <f>O935/$P$1</f>
        <v/>
      </c>
    </row>
    <row r="936" ht="15.75" customHeight="1" s="2">
      <c r="A936" s="32" t="inlineStr">
        <is>
          <t>весна</t>
        </is>
      </c>
      <c r="B936" s="9" t="inlineStr">
        <is>
          <t>Технологии создания перспективных композиционных материалов и конструкций из них</t>
        </is>
      </c>
      <c r="C936" s="9" t="inlineStr">
        <is>
          <t>Консультация</t>
        </is>
      </c>
      <c r="D936" s="9" t="inlineStr">
        <is>
          <t>Т11О-207А-19</t>
        </is>
      </c>
      <c r="E936" s="10" t="n">
        <v>1</v>
      </c>
      <c r="F936" s="9" t="inlineStr">
        <is>
          <t>11292</t>
        </is>
      </c>
      <c r="G936" s="11" t="n">
        <v>0</v>
      </c>
      <c r="H936" s="9" t="inlineStr">
        <is>
          <t xml:space="preserve">82066     </t>
        </is>
      </c>
      <c r="I936" s="9" t="inlineStr">
        <is>
          <t xml:space="preserve">Серов Михаил Михайлович </t>
        </is>
      </c>
      <c r="J936" s="9" t="inlineStr">
        <is>
          <t>профессор</t>
        </is>
      </c>
      <c r="K936" s="9" t="n"/>
      <c r="L936" s="9" t="n"/>
      <c r="M936" s="12">
        <f>SUMIFS($E$2:$E$1130,$A$2:$A$1130,"осень",$I$2:$I$1130,I936)</f>
        <v/>
      </c>
      <c r="N936" s="13">
        <f>SUMIFS($E$2:$E$1130,$A$2:$A$1130,"весна",$I$2:$I$1130,I936)</f>
        <v/>
      </c>
      <c r="O936" s="14">
        <f>M936+N936</f>
        <v/>
      </c>
      <c r="P936" s="15">
        <f>O936/$P$1</f>
        <v/>
      </c>
    </row>
    <row r="937" ht="15.75" customHeight="1" s="2">
      <c r="A937" s="32" t="inlineStr">
        <is>
          <t>весна</t>
        </is>
      </c>
      <c r="B937" s="9" t="inlineStr">
        <is>
          <t>Оптимизация технологических процессов в металлургии</t>
        </is>
      </c>
      <c r="C937" s="9" t="inlineStr">
        <is>
          <t>ЛК</t>
        </is>
      </c>
      <c r="D937" s="9" t="inlineStr">
        <is>
          <t>М9О-104М-20</t>
        </is>
      </c>
      <c r="E937" s="10" t="n">
        <v>18</v>
      </c>
      <c r="F937" s="9" t="inlineStr">
        <is>
          <t>12598</t>
        </is>
      </c>
      <c r="G937" s="10" t="n">
        <v>18</v>
      </c>
      <c r="H937" s="9" t="inlineStr">
        <is>
          <t xml:space="preserve">81724     </t>
        </is>
      </c>
      <c r="I937" s="9" t="inlineStr">
        <is>
          <t xml:space="preserve">Галкин Евгений Владимирович </t>
        </is>
      </c>
      <c r="J937" s="9" t="inlineStr">
        <is>
          <t>доцент</t>
        </is>
      </c>
      <c r="K937" s="9" t="n"/>
      <c r="L937" s="9" t="n"/>
      <c r="M937" s="12">
        <f>SUMIFS($E$2:$E$1130,$A$2:$A$1130,"осень",$I$2:$I$1130,I937)</f>
        <v/>
      </c>
      <c r="N937" s="13">
        <f>SUMIFS($E$2:$E$1130,$A$2:$A$1130,"весна",$I$2:$I$1130,I937)</f>
        <v/>
      </c>
      <c r="O937" s="14">
        <f>M937+N937</f>
        <v/>
      </c>
      <c r="P937" s="15">
        <f>O937/$P$1</f>
        <v/>
      </c>
    </row>
    <row r="938" ht="15.75" customHeight="1" s="2">
      <c r="A938" s="32" t="inlineStr">
        <is>
          <t>весна</t>
        </is>
      </c>
      <c r="B938" s="9" t="inlineStr">
        <is>
          <t>Оптимизация технологических процессов в металлургии</t>
        </is>
      </c>
      <c r="C938" s="9" t="inlineStr">
        <is>
          <t>ПЗ</t>
        </is>
      </c>
      <c r="D938" s="9" t="inlineStr">
        <is>
          <t>М9О-104М-20</t>
        </is>
      </c>
      <c r="E938" s="10" t="n">
        <v>50</v>
      </c>
      <c r="F938" s="9" t="inlineStr">
        <is>
          <t>12598</t>
        </is>
      </c>
      <c r="G938" s="10" t="n">
        <v>50</v>
      </c>
      <c r="H938" s="9" t="inlineStr">
        <is>
          <t xml:space="preserve">81724     </t>
        </is>
      </c>
      <c r="I938" s="9" t="inlineStr">
        <is>
          <t xml:space="preserve">Галкин Евгений Владимирович </t>
        </is>
      </c>
      <c r="J938" s="9" t="inlineStr">
        <is>
          <t>доцент</t>
        </is>
      </c>
      <c r="K938" s="9" t="n"/>
      <c r="L938" s="9" t="n"/>
      <c r="M938" s="12">
        <f>SUMIFS($E$2:$E$1130,$A$2:$A$1130,"осень",$I$2:$I$1130,I938)</f>
        <v/>
      </c>
      <c r="N938" s="13">
        <f>SUMIFS($E$2:$E$1130,$A$2:$A$1130,"весна",$I$2:$I$1130,I938)</f>
        <v/>
      </c>
      <c r="O938" s="14">
        <f>M938+N938</f>
        <v/>
      </c>
      <c r="P938" s="15">
        <f>O938/$P$1</f>
        <v/>
      </c>
    </row>
    <row r="939" ht="15.75" customHeight="1" s="2">
      <c r="A939" s="32" t="inlineStr">
        <is>
          <t>весна</t>
        </is>
      </c>
      <c r="B939" s="9" t="inlineStr">
        <is>
          <t>Оптимизация технологических процессов в металлургии</t>
        </is>
      </c>
      <c r="C939" s="9" t="inlineStr">
        <is>
          <t>Экзамен</t>
        </is>
      </c>
      <c r="D939" s="9" t="inlineStr">
        <is>
          <t>М9О-104М-20</t>
        </is>
      </c>
      <c r="E939" s="10" t="n">
        <v>3</v>
      </c>
      <c r="F939" s="9" t="inlineStr">
        <is>
          <t>12598</t>
        </is>
      </c>
      <c r="G939" s="11" t="n">
        <v>0</v>
      </c>
      <c r="H939" s="9" t="inlineStr">
        <is>
          <t xml:space="preserve">81724     </t>
        </is>
      </c>
      <c r="I939" s="9" t="inlineStr">
        <is>
          <t xml:space="preserve">Галкин Евгений Владимирович </t>
        </is>
      </c>
      <c r="J939" s="9" t="inlineStr">
        <is>
          <t>доцент</t>
        </is>
      </c>
      <c r="K939" s="9" t="n"/>
      <c r="L939" s="9" t="n"/>
      <c r="M939" s="12">
        <f>SUMIFS($E$2:$E$1130,$A$2:$A$1130,"осень",$I$2:$I$1130,I939)</f>
        <v/>
      </c>
      <c r="N939" s="13">
        <f>SUMIFS($E$2:$E$1130,$A$2:$A$1130,"весна",$I$2:$I$1130,I939)</f>
        <v/>
      </c>
      <c r="O939" s="14">
        <f>M939+N939</f>
        <v/>
      </c>
      <c r="P939" s="15">
        <f>O939/$P$1</f>
        <v/>
      </c>
    </row>
    <row r="940" ht="15.75" customHeight="1" s="2">
      <c r="A940" s="32" t="inlineStr">
        <is>
          <t>весна</t>
        </is>
      </c>
      <c r="B940" s="9" t="inlineStr">
        <is>
          <t>Оптимизация технологических процессов в металлургии</t>
        </is>
      </c>
      <c r="C940" s="9" t="inlineStr">
        <is>
          <t>Консультация</t>
        </is>
      </c>
      <c r="D940" s="9" t="inlineStr">
        <is>
          <t>М9О-104М-20</t>
        </is>
      </c>
      <c r="E940" s="10" t="n">
        <v>3</v>
      </c>
      <c r="F940" s="9" t="inlineStr">
        <is>
          <t>12598</t>
        </is>
      </c>
      <c r="G940" s="11" t="n">
        <v>0</v>
      </c>
      <c r="H940" s="9" t="inlineStr">
        <is>
          <t xml:space="preserve">81724     </t>
        </is>
      </c>
      <c r="I940" s="9" t="inlineStr">
        <is>
          <t xml:space="preserve">Галкин Евгений Владимирович </t>
        </is>
      </c>
      <c r="J940" s="9" t="inlineStr">
        <is>
          <t>доцент</t>
        </is>
      </c>
      <c r="K940" s="9" t="n"/>
      <c r="L940" s="9" t="n"/>
      <c r="M940" s="12">
        <f>SUMIFS($E$2:$E$1130,$A$2:$A$1130,"осень",$I$2:$I$1130,I940)</f>
        <v/>
      </c>
      <c r="N940" s="13">
        <f>SUMIFS($E$2:$E$1130,$A$2:$A$1130,"весна",$I$2:$I$1130,I940)</f>
        <v/>
      </c>
      <c r="O940" s="14">
        <f>M940+N940</f>
        <v/>
      </c>
      <c r="P940" s="15">
        <f>O940/$P$1</f>
        <v/>
      </c>
    </row>
    <row r="941" ht="15.75" customHeight="1" s="2">
      <c r="A941" s="32" t="inlineStr">
        <is>
          <t>весна</t>
        </is>
      </c>
      <c r="B941" s="9" t="inlineStr">
        <is>
          <t>Системы автоматизированного проектирования технологических процессов</t>
        </is>
      </c>
      <c r="C941" s="9" t="inlineStr">
        <is>
          <t>ЛК</t>
        </is>
      </c>
      <c r="D941" s="9" t="inlineStr">
        <is>
          <t>М9О-104М-20</t>
        </is>
      </c>
      <c r="E941" s="10" t="n">
        <v>12</v>
      </c>
      <c r="F941" s="9" t="inlineStr">
        <is>
          <t>12598</t>
        </is>
      </c>
      <c r="G941" s="10" t="n">
        <v>12</v>
      </c>
      <c r="H941" s="9" t="inlineStr">
        <is>
          <t xml:space="preserve">81724     </t>
        </is>
      </c>
      <c r="I941" s="9" t="inlineStr">
        <is>
          <t xml:space="preserve">Галкин Евгений Владимирович </t>
        </is>
      </c>
      <c r="J941" s="9" t="inlineStr">
        <is>
          <t>доцент</t>
        </is>
      </c>
      <c r="K941" s="9" t="n"/>
      <c r="L941" s="9" t="n"/>
      <c r="M941" s="12">
        <f>SUMIFS($E$2:$E$1130,$A$2:$A$1130,"осень",$I$2:$I$1130,I941)</f>
        <v/>
      </c>
      <c r="N941" s="13">
        <f>SUMIFS($E$2:$E$1130,$A$2:$A$1130,"весна",$I$2:$I$1130,I941)</f>
        <v/>
      </c>
      <c r="O941" s="14">
        <f>M941+N941</f>
        <v/>
      </c>
      <c r="P941" s="15">
        <f>O941/$P$1</f>
        <v/>
      </c>
    </row>
    <row r="942" ht="15.75" customHeight="1" s="2">
      <c r="A942" s="32" t="inlineStr">
        <is>
          <t>весна</t>
        </is>
      </c>
      <c r="B942" s="9" t="inlineStr">
        <is>
          <t>Системы автоматизированного проектирования технологических процессов</t>
        </is>
      </c>
      <c r="C942" s="9" t="inlineStr">
        <is>
          <t>Зачет с оценкой</t>
        </is>
      </c>
      <c r="D942" s="9" t="inlineStr">
        <is>
          <t>М9О-104М-20</t>
        </is>
      </c>
      <c r="E942" s="10" t="n">
        <v>2</v>
      </c>
      <c r="F942" s="9" t="inlineStr">
        <is>
          <t>12598</t>
        </is>
      </c>
      <c r="G942" s="11" t="n">
        <v>0</v>
      </c>
      <c r="H942" s="9" t="inlineStr">
        <is>
          <t xml:space="preserve">81724     </t>
        </is>
      </c>
      <c r="I942" s="9" t="inlineStr">
        <is>
          <t xml:space="preserve">Галкин Евгений Владимирович </t>
        </is>
      </c>
      <c r="J942" s="9" t="inlineStr">
        <is>
          <t>доцент</t>
        </is>
      </c>
      <c r="K942" s="9" t="n"/>
      <c r="L942" s="9" t="n"/>
      <c r="M942" s="12">
        <f>SUMIFS($E$2:$E$1130,$A$2:$A$1130,"осень",$I$2:$I$1130,I942)</f>
        <v/>
      </c>
      <c r="N942" s="13">
        <f>SUMIFS($E$2:$E$1130,$A$2:$A$1130,"весна",$I$2:$I$1130,I942)</f>
        <v/>
      </c>
      <c r="O942" s="14">
        <f>M942+N942</f>
        <v/>
      </c>
      <c r="P942" s="15">
        <f>O942/$P$1</f>
        <v/>
      </c>
    </row>
    <row r="943" ht="15.75" customHeight="1" s="2">
      <c r="A943" s="32" t="inlineStr">
        <is>
          <t>весна</t>
        </is>
      </c>
      <c r="B943" s="9" t="inlineStr">
        <is>
          <t>Системы автоматизированного проектирования технологических процессов</t>
        </is>
      </c>
      <c r="C943" s="9" t="inlineStr">
        <is>
          <t>ПЗ</t>
        </is>
      </c>
      <c r="D943" s="9" t="inlineStr">
        <is>
          <t>М9О-104М-20</t>
        </is>
      </c>
      <c r="E943" s="10" t="n">
        <v>22</v>
      </c>
      <c r="F943" s="9" t="inlineStr">
        <is>
          <t>12598</t>
        </is>
      </c>
      <c r="G943" s="10" t="n">
        <v>22</v>
      </c>
      <c r="H943" s="9" t="inlineStr">
        <is>
          <t xml:space="preserve">81724     </t>
        </is>
      </c>
      <c r="I943" s="9" t="inlineStr">
        <is>
          <t xml:space="preserve">Галкин Евгений Владимирович </t>
        </is>
      </c>
      <c r="J943" s="9" t="inlineStr">
        <is>
          <t>доцент</t>
        </is>
      </c>
      <c r="K943" s="9" t="n"/>
      <c r="L943" s="9" t="n"/>
      <c r="M943" s="12">
        <f>SUMIFS($E$2:$E$1130,$A$2:$A$1130,"осень",$I$2:$I$1130,I943)</f>
        <v/>
      </c>
      <c r="N943" s="13">
        <f>SUMIFS($E$2:$E$1130,$A$2:$A$1130,"весна",$I$2:$I$1130,I943)</f>
        <v/>
      </c>
      <c r="O943" s="14">
        <f>M943+N943</f>
        <v/>
      </c>
      <c r="P943" s="15">
        <f>O943/$P$1</f>
        <v/>
      </c>
    </row>
    <row r="944" ht="15.75" customHeight="1" s="2">
      <c r="A944" s="32" t="inlineStr">
        <is>
          <t>весна</t>
        </is>
      </c>
      <c r="B944" s="9" t="inlineStr">
        <is>
          <t>Системы автоматизированного проектирования технологических процессов</t>
        </is>
      </c>
      <c r="C944" s="9" t="inlineStr">
        <is>
          <t>Консультация</t>
        </is>
      </c>
      <c r="D944" s="9" t="inlineStr">
        <is>
          <t>М9О-104М-20</t>
        </is>
      </c>
      <c r="E944" s="10" t="n">
        <v>1</v>
      </c>
      <c r="F944" s="9" t="inlineStr">
        <is>
          <t>12598</t>
        </is>
      </c>
      <c r="G944" s="11" t="n">
        <v>0</v>
      </c>
      <c r="H944" s="9" t="inlineStr">
        <is>
          <t xml:space="preserve">81724     </t>
        </is>
      </c>
      <c r="I944" s="9" t="inlineStr">
        <is>
          <t xml:space="preserve">Галкин Евгений Владимирович </t>
        </is>
      </c>
      <c r="J944" s="9" t="inlineStr">
        <is>
          <t>доцент</t>
        </is>
      </c>
      <c r="K944" s="9" t="n"/>
      <c r="L944" s="9" t="n"/>
      <c r="M944" s="12">
        <f>SUMIFS($E$2:$E$1130,$A$2:$A$1130,"осень",$I$2:$I$1130,I944)</f>
        <v/>
      </c>
      <c r="N944" s="13">
        <f>SUMIFS($E$2:$E$1130,$A$2:$A$1130,"весна",$I$2:$I$1130,I944)</f>
        <v/>
      </c>
      <c r="O944" s="14">
        <f>M944+N944</f>
        <v/>
      </c>
      <c r="P944" s="15">
        <f>O944/$P$1</f>
        <v/>
      </c>
    </row>
    <row r="945" ht="15.75" customHeight="1" s="2">
      <c r="A945" s="32" t="inlineStr">
        <is>
          <t>весна</t>
        </is>
      </c>
      <c r="B945" s="9" t="inlineStr">
        <is>
          <t>Теория автоматического управления</t>
        </is>
      </c>
      <c r="C945" s="9" t="inlineStr">
        <is>
          <t>ЛК</t>
        </is>
      </c>
      <c r="D945" s="9" t="inlineStr">
        <is>
          <t>Т11О-304Б-18</t>
        </is>
      </c>
      <c r="E945" s="10" t="n">
        <v>48</v>
      </c>
      <c r="F945" s="9" t="inlineStr">
        <is>
          <t>08770</t>
        </is>
      </c>
      <c r="G945" s="10" t="n">
        <v>48</v>
      </c>
      <c r="H945" s="9" t="inlineStr">
        <is>
          <t xml:space="preserve">81721     </t>
        </is>
      </c>
      <c r="I945" s="9" t="inlineStr">
        <is>
          <t xml:space="preserve">Преображенский Евгений Владимирович </t>
        </is>
      </c>
      <c r="J945" s="9" t="inlineStr">
        <is>
          <t>доцент</t>
        </is>
      </c>
      <c r="K945" s="9" t="n"/>
      <c r="L945" s="9" t="n"/>
      <c r="M945" s="12">
        <f>SUMIFS($E$2:$E$1130,$A$2:$A$1130,"осень",$I$2:$I$1130,I945)</f>
        <v/>
      </c>
      <c r="N945" s="13">
        <f>SUMIFS($E$2:$E$1130,$A$2:$A$1130,"весна",$I$2:$I$1130,I945)</f>
        <v/>
      </c>
      <c r="O945" s="14">
        <f>M945+N945</f>
        <v/>
      </c>
      <c r="P945" s="15">
        <f>O945/$P$1</f>
        <v/>
      </c>
    </row>
    <row r="946" ht="15.75" customHeight="1" s="2">
      <c r="A946" s="32" t="inlineStr">
        <is>
          <t>весна</t>
        </is>
      </c>
      <c r="B946" s="9" t="inlineStr">
        <is>
          <t>Теория автоматического управления</t>
        </is>
      </c>
      <c r="C946" s="9" t="inlineStr">
        <is>
          <t>КР</t>
        </is>
      </c>
      <c r="D946" s="9" t="inlineStr">
        <is>
          <t>Т11О-304Б-18</t>
        </is>
      </c>
      <c r="E946" s="10" t="n">
        <v>54</v>
      </c>
      <c r="F946" s="9" t="inlineStr">
        <is>
          <t>08770</t>
        </is>
      </c>
      <c r="G946" s="11" t="n">
        <v>0</v>
      </c>
      <c r="H946" s="9" t="inlineStr">
        <is>
          <t xml:space="preserve">81721     </t>
        </is>
      </c>
      <c r="I946" s="9" t="inlineStr">
        <is>
          <t xml:space="preserve">Преображенский Евгений Владимирович </t>
        </is>
      </c>
      <c r="J946" s="9" t="inlineStr">
        <is>
          <t>доцент</t>
        </is>
      </c>
      <c r="K946" s="9" t="n"/>
      <c r="L946" s="9" t="n"/>
      <c r="M946" s="12">
        <f>SUMIFS($E$2:$E$1130,$A$2:$A$1130,"осень",$I$2:$I$1130,I946)</f>
        <v/>
      </c>
      <c r="N946" s="13">
        <f>SUMIFS($E$2:$E$1130,$A$2:$A$1130,"весна",$I$2:$I$1130,I946)</f>
        <v/>
      </c>
      <c r="O946" s="14">
        <f>M946+N946</f>
        <v/>
      </c>
      <c r="P946" s="15">
        <f>O946/$P$1</f>
        <v/>
      </c>
    </row>
    <row r="947" ht="15.75" customHeight="1" s="2">
      <c r="A947" s="32" t="inlineStr">
        <is>
          <t>весна</t>
        </is>
      </c>
      <c r="B947" s="9" t="inlineStr">
        <is>
          <t>Теория автоматического управления</t>
        </is>
      </c>
      <c r="C947" s="9" t="inlineStr">
        <is>
          <t>ПЗ</t>
        </is>
      </c>
      <c r="D947" s="9" t="inlineStr">
        <is>
          <t>Т11О-304Б-18</t>
        </is>
      </c>
      <c r="E947" s="10" t="n">
        <v>72</v>
      </c>
      <c r="F947" s="9" t="inlineStr">
        <is>
          <t>08770</t>
        </is>
      </c>
      <c r="G947" s="10" t="n">
        <v>72</v>
      </c>
      <c r="H947" s="9" t="inlineStr">
        <is>
          <t xml:space="preserve">81721     </t>
        </is>
      </c>
      <c r="I947" s="9" t="inlineStr">
        <is>
          <t xml:space="preserve">Преображенский Евгений Владимирович </t>
        </is>
      </c>
      <c r="J947" s="9" t="inlineStr">
        <is>
          <t>доцент</t>
        </is>
      </c>
      <c r="K947" s="9" t="n"/>
      <c r="L947" s="9" t="n"/>
      <c r="M947" s="12">
        <f>SUMIFS($E$2:$E$1130,$A$2:$A$1130,"осень",$I$2:$I$1130,I947)</f>
        <v/>
      </c>
      <c r="N947" s="13">
        <f>SUMIFS($E$2:$E$1130,$A$2:$A$1130,"весна",$I$2:$I$1130,I947)</f>
        <v/>
      </c>
      <c r="O947" s="14">
        <f>M947+N947</f>
        <v/>
      </c>
      <c r="P947" s="15">
        <f>O947/$P$1</f>
        <v/>
      </c>
    </row>
    <row r="948" ht="15.75" customHeight="1" s="2">
      <c r="A948" s="32" t="inlineStr">
        <is>
          <t>весна</t>
        </is>
      </c>
      <c r="B948" s="9" t="inlineStr">
        <is>
          <t>Теория автоматического управления</t>
        </is>
      </c>
      <c r="C948" s="9" t="inlineStr">
        <is>
          <t>Экзамен</t>
        </is>
      </c>
      <c r="D948" s="9" t="inlineStr">
        <is>
          <t>Т11О-304Б-18</t>
        </is>
      </c>
      <c r="E948" s="10" t="n">
        <v>9</v>
      </c>
      <c r="F948" s="9" t="inlineStr">
        <is>
          <t>08770</t>
        </is>
      </c>
      <c r="G948" s="11" t="n">
        <v>0</v>
      </c>
      <c r="H948" s="9" t="inlineStr">
        <is>
          <t xml:space="preserve">81721     </t>
        </is>
      </c>
      <c r="I948" s="9" t="inlineStr">
        <is>
          <t xml:space="preserve">Преображенский Евгений Владимирович </t>
        </is>
      </c>
      <c r="J948" s="9" t="inlineStr">
        <is>
          <t>доцент</t>
        </is>
      </c>
      <c r="K948" s="9" t="n"/>
      <c r="L948" s="9" t="n"/>
      <c r="M948" s="12">
        <f>SUMIFS($E$2:$E$1130,$A$2:$A$1130,"осень",$I$2:$I$1130,I948)</f>
        <v/>
      </c>
      <c r="N948" s="13">
        <f>SUMIFS($E$2:$E$1130,$A$2:$A$1130,"весна",$I$2:$I$1130,I948)</f>
        <v/>
      </c>
      <c r="O948" s="14">
        <f>M948+N948</f>
        <v/>
      </c>
      <c r="P948" s="15">
        <f>O948/$P$1</f>
        <v/>
      </c>
    </row>
    <row r="949" ht="15.75" customHeight="1" s="2">
      <c r="A949" s="32" t="inlineStr">
        <is>
          <t>весна</t>
        </is>
      </c>
      <c r="B949" s="9" t="inlineStr">
        <is>
          <t>Теория автоматического управления</t>
        </is>
      </c>
      <c r="C949" s="9" t="inlineStr">
        <is>
          <t>Консультация</t>
        </is>
      </c>
      <c r="D949" s="9" t="inlineStr">
        <is>
          <t>Т11О-304Б-18</t>
        </is>
      </c>
      <c r="E949" s="10" t="n">
        <v>4</v>
      </c>
      <c r="F949" s="9" t="inlineStr">
        <is>
          <t>08770</t>
        </is>
      </c>
      <c r="G949" s="11" t="n">
        <v>0</v>
      </c>
      <c r="H949" s="9" t="inlineStr">
        <is>
          <t xml:space="preserve">81721     </t>
        </is>
      </c>
      <c r="I949" s="9" t="inlineStr">
        <is>
          <t xml:space="preserve">Преображенский Евгений Владимирович </t>
        </is>
      </c>
      <c r="J949" s="9" t="inlineStr">
        <is>
          <t>доцент</t>
        </is>
      </c>
      <c r="K949" s="9" t="n"/>
      <c r="L949" s="9" t="n"/>
      <c r="M949" s="12">
        <f>SUMIFS($E$2:$E$1130,$A$2:$A$1130,"осень",$I$2:$I$1130,I949)</f>
        <v/>
      </c>
      <c r="N949" s="13">
        <f>SUMIFS($E$2:$E$1130,$A$2:$A$1130,"весна",$I$2:$I$1130,I949)</f>
        <v/>
      </c>
      <c r="O949" s="14">
        <f>M949+N949</f>
        <v/>
      </c>
      <c r="P949" s="15">
        <f>O949/$P$1</f>
        <v/>
      </c>
    </row>
    <row r="950" ht="15.75" customHeight="1" s="2">
      <c r="A950" s="32" t="inlineStr">
        <is>
          <t>весна</t>
        </is>
      </c>
      <c r="B950" s="9" t="inlineStr">
        <is>
          <t>Управление инновациями</t>
        </is>
      </c>
      <c r="C950" s="9" t="inlineStr">
        <is>
          <t>ЛК</t>
        </is>
      </c>
      <c r="D950" s="9" t="inlineStr">
        <is>
          <t>Т11О-101М-20</t>
        </is>
      </c>
      <c r="E950" s="10" t="n">
        <v>8</v>
      </c>
      <c r="F950" s="9" t="inlineStr">
        <is>
          <t>04489</t>
        </is>
      </c>
      <c r="G950" s="10" t="n">
        <v>8</v>
      </c>
      <c r="H950" s="9" t="inlineStr">
        <is>
          <t xml:space="preserve">81730     </t>
        </is>
      </c>
      <c r="I950" s="9" t="inlineStr">
        <is>
          <t>Федоров Анатолий Александрович</t>
        </is>
      </c>
      <c r="J950" s="9" t="inlineStr">
        <is>
          <t>профессор</t>
        </is>
      </c>
      <c r="K950" s="9" t="n"/>
      <c r="L950" s="9" t="n"/>
      <c r="M950" s="12">
        <f>SUMIFS($E$2:$E$1130,$A$2:$A$1130,"осень",$I$2:$I$1130,I950)</f>
        <v/>
      </c>
      <c r="N950" s="13">
        <f>SUMIFS($E$2:$E$1130,$A$2:$A$1130,"весна",$I$2:$I$1130,I950)</f>
        <v/>
      </c>
      <c r="O950" s="14">
        <f>M950+N950</f>
        <v/>
      </c>
      <c r="P950" s="15">
        <f>O950/$P$1</f>
        <v/>
      </c>
    </row>
    <row r="951" ht="15.75" customHeight="1" s="2">
      <c r="A951" s="32" t="inlineStr">
        <is>
          <t>весна</t>
        </is>
      </c>
      <c r="B951" s="9" t="inlineStr">
        <is>
          <t>Управление инновациями</t>
        </is>
      </c>
      <c r="C951" s="9" t="inlineStr">
        <is>
          <t>ПЗ</t>
        </is>
      </c>
      <c r="D951" s="9" t="inlineStr">
        <is>
          <t>Т11О-101М-20</t>
        </is>
      </c>
      <c r="E951" s="10" t="n">
        <v>16</v>
      </c>
      <c r="F951" s="9" t="inlineStr">
        <is>
          <t>04489</t>
        </is>
      </c>
      <c r="G951" s="10" t="n">
        <v>16</v>
      </c>
      <c r="H951" s="9" t="inlineStr">
        <is>
          <t xml:space="preserve">81730     </t>
        </is>
      </c>
      <c r="I951" s="9" t="inlineStr">
        <is>
          <t>Федоров Анатолий Александрович</t>
        </is>
      </c>
      <c r="J951" s="9" t="inlineStr">
        <is>
          <t>профессор</t>
        </is>
      </c>
      <c r="K951" s="9" t="n"/>
      <c r="L951" s="9" t="n"/>
      <c r="M951" s="12">
        <f>SUMIFS($E$2:$E$1130,$A$2:$A$1130,"осень",$I$2:$I$1130,I951)</f>
        <v/>
      </c>
      <c r="N951" s="13">
        <f>SUMIFS($E$2:$E$1130,$A$2:$A$1130,"весна",$I$2:$I$1130,I951)</f>
        <v/>
      </c>
      <c r="O951" s="14">
        <f>M951+N951</f>
        <v/>
      </c>
      <c r="P951" s="15">
        <f>O951/$P$1</f>
        <v/>
      </c>
    </row>
    <row r="952" ht="15.75" customHeight="1" s="2">
      <c r="A952" s="32" t="inlineStr">
        <is>
          <t>весна</t>
        </is>
      </c>
      <c r="B952" s="9" t="inlineStr">
        <is>
          <t>Управление инновациями</t>
        </is>
      </c>
      <c r="C952" s="9" t="inlineStr">
        <is>
          <t>Зачет</t>
        </is>
      </c>
      <c r="D952" s="9" t="inlineStr">
        <is>
          <t>Т11О-101М-20</t>
        </is>
      </c>
      <c r="E952" s="10" t="n">
        <v>2</v>
      </c>
      <c r="F952" s="9" t="inlineStr">
        <is>
          <t>04489</t>
        </is>
      </c>
      <c r="G952" s="11" t="n">
        <v>0</v>
      </c>
      <c r="H952" s="9" t="inlineStr">
        <is>
          <t xml:space="preserve">81730     </t>
        </is>
      </c>
      <c r="I952" s="9" t="inlineStr">
        <is>
          <t>Федоров Анатолий Александрович</t>
        </is>
      </c>
      <c r="J952" s="9" t="inlineStr">
        <is>
          <t>профессор</t>
        </is>
      </c>
      <c r="K952" s="9" t="n"/>
      <c r="L952" s="9" t="n"/>
      <c r="M952" s="12">
        <f>SUMIFS($E$2:$E$1130,$A$2:$A$1130,"осень",$I$2:$I$1130,I952)</f>
        <v/>
      </c>
      <c r="N952" s="13">
        <f>SUMIFS($E$2:$E$1130,$A$2:$A$1130,"весна",$I$2:$I$1130,I952)</f>
        <v/>
      </c>
      <c r="O952" s="14">
        <f>M952+N952</f>
        <v/>
      </c>
      <c r="P952" s="15">
        <f>O952/$P$1</f>
        <v/>
      </c>
    </row>
    <row r="953" ht="15.75" customHeight="1" s="2">
      <c r="A953" s="32" t="inlineStr">
        <is>
          <t>весна</t>
        </is>
      </c>
      <c r="B953" s="9" t="inlineStr">
        <is>
          <t>Информационные системы и технологии</t>
        </is>
      </c>
      <c r="C953" s="9" t="inlineStr">
        <is>
          <t>ЛК</t>
        </is>
      </c>
      <c r="D953" s="9" t="inlineStr">
        <is>
          <t>Т11О-103Б-20</t>
        </is>
      </c>
      <c r="E953" s="10" t="n">
        <v>24</v>
      </c>
      <c r="F953" s="9" t="inlineStr">
        <is>
          <t>13288</t>
        </is>
      </c>
      <c r="G953" s="10" t="n">
        <v>24</v>
      </c>
      <c r="H953" s="9" t="inlineStr">
        <is>
          <t xml:space="preserve">81722     </t>
        </is>
      </c>
      <c r="I953" s="9" t="inlineStr">
        <is>
          <t xml:space="preserve">Шленский Алексей Геннадьевич </t>
        </is>
      </c>
      <c r="J953" s="9" t="inlineStr">
        <is>
          <t>доцент</t>
        </is>
      </c>
      <c r="K953" s="9" t="n"/>
      <c r="L953" s="9" t="n"/>
      <c r="M953" s="12">
        <f>SUMIFS($E$2:$E$1130,$A$2:$A$1130,"осень",$I$2:$I$1130,I953)</f>
        <v/>
      </c>
      <c r="N953" s="13">
        <f>SUMIFS($E$2:$E$1130,$A$2:$A$1130,"весна",$I$2:$I$1130,I953)</f>
        <v/>
      </c>
      <c r="O953" s="14">
        <f>M953+N953</f>
        <v/>
      </c>
      <c r="P953" s="15">
        <f>O953/$P$1</f>
        <v/>
      </c>
    </row>
    <row r="954" ht="15.75" customHeight="1" s="2">
      <c r="A954" s="32" t="inlineStr">
        <is>
          <t>весна</t>
        </is>
      </c>
      <c r="B954" s="9" t="inlineStr">
        <is>
          <t>Информационные системы и технологии</t>
        </is>
      </c>
      <c r="C954" s="9" t="inlineStr">
        <is>
          <t>ПЗ</t>
        </is>
      </c>
      <c r="D954" s="9" t="inlineStr">
        <is>
          <t>Т11О-103Б-20</t>
        </is>
      </c>
      <c r="E954" s="10" t="n">
        <v>40</v>
      </c>
      <c r="F954" s="9" t="inlineStr">
        <is>
          <t>13288</t>
        </is>
      </c>
      <c r="G954" s="10" t="n">
        <v>40</v>
      </c>
      <c r="H954" s="9" t="inlineStr">
        <is>
          <t xml:space="preserve">81722     </t>
        </is>
      </c>
      <c r="I954" s="9" t="inlineStr">
        <is>
          <t xml:space="preserve">Шленский Алексей Геннадьевич </t>
        </is>
      </c>
      <c r="J954" s="9" t="inlineStr">
        <is>
          <t>доцент</t>
        </is>
      </c>
      <c r="K954" s="9" t="n"/>
      <c r="L954" s="9" t="n"/>
      <c r="M954" s="12">
        <f>SUMIFS($E$2:$E$1130,$A$2:$A$1130,"осень",$I$2:$I$1130,I954)</f>
        <v/>
      </c>
      <c r="N954" s="13">
        <f>SUMIFS($E$2:$E$1130,$A$2:$A$1130,"весна",$I$2:$I$1130,I954)</f>
        <v/>
      </c>
      <c r="O954" s="14">
        <f>M954+N954</f>
        <v/>
      </c>
      <c r="P954" s="15">
        <f>O954/$P$1</f>
        <v/>
      </c>
    </row>
    <row r="955" ht="15.75" customHeight="1" s="2">
      <c r="A955" s="32" t="inlineStr">
        <is>
          <t>весна</t>
        </is>
      </c>
      <c r="B955" s="9" t="inlineStr">
        <is>
          <t>Информационные системы и технологии</t>
        </is>
      </c>
      <c r="C955" s="9" t="inlineStr">
        <is>
          <t>Экзамен</t>
        </is>
      </c>
      <c r="D955" s="9" t="inlineStr">
        <is>
          <t>Т11О-103Б-20</t>
        </is>
      </c>
      <c r="E955" s="10" t="n">
        <v>7</v>
      </c>
      <c r="F955" s="9" t="inlineStr">
        <is>
          <t>13288</t>
        </is>
      </c>
      <c r="G955" s="11" t="n">
        <v>0</v>
      </c>
      <c r="H955" s="9" t="inlineStr">
        <is>
          <t xml:space="preserve">81722     </t>
        </is>
      </c>
      <c r="I955" s="9" t="inlineStr">
        <is>
          <t xml:space="preserve">Шленский Алексей Геннадьевич </t>
        </is>
      </c>
      <c r="J955" s="9" t="inlineStr">
        <is>
          <t>доцент</t>
        </is>
      </c>
      <c r="K955" s="9" t="n"/>
      <c r="L955" s="9" t="n"/>
      <c r="M955" s="12">
        <f>SUMIFS($E$2:$E$1130,$A$2:$A$1130,"осень",$I$2:$I$1130,I955)</f>
        <v/>
      </c>
      <c r="N955" s="13">
        <f>SUMIFS($E$2:$E$1130,$A$2:$A$1130,"весна",$I$2:$I$1130,I955)</f>
        <v/>
      </c>
      <c r="O955" s="14">
        <f>M955+N955</f>
        <v/>
      </c>
      <c r="P955" s="15">
        <f>O955/$P$1</f>
        <v/>
      </c>
    </row>
    <row r="956" ht="15.75" customHeight="1" s="2">
      <c r="A956" s="32" t="inlineStr">
        <is>
          <t>весна</t>
        </is>
      </c>
      <c r="B956" s="9" t="inlineStr">
        <is>
          <t>Информационные системы и технологии</t>
        </is>
      </c>
      <c r="C956" s="9" t="inlineStr">
        <is>
          <t>Консультация</t>
        </is>
      </c>
      <c r="D956" s="9" t="inlineStr">
        <is>
          <t>Т11О-103Б-20</t>
        </is>
      </c>
      <c r="E956" s="10" t="n">
        <v>3</v>
      </c>
      <c r="F956" s="9" t="inlineStr">
        <is>
          <t>13288</t>
        </is>
      </c>
      <c r="G956" s="11" t="n">
        <v>0</v>
      </c>
      <c r="H956" s="9" t="inlineStr">
        <is>
          <t xml:space="preserve">81722     </t>
        </is>
      </c>
      <c r="I956" s="9" t="inlineStr">
        <is>
          <t xml:space="preserve">Шленский Алексей Геннадьевич </t>
        </is>
      </c>
      <c r="J956" s="9" t="inlineStr">
        <is>
          <t>доцент</t>
        </is>
      </c>
      <c r="K956" s="9" t="n"/>
      <c r="L956" s="9" t="n"/>
      <c r="M956" s="12">
        <f>SUMIFS($E$2:$E$1130,$A$2:$A$1130,"осень",$I$2:$I$1130,I956)</f>
        <v/>
      </c>
      <c r="N956" s="13">
        <f>SUMIFS($E$2:$E$1130,$A$2:$A$1130,"весна",$I$2:$I$1130,I956)</f>
        <v/>
      </c>
      <c r="O956" s="14">
        <f>M956+N956</f>
        <v/>
      </c>
      <c r="P956" s="15">
        <f>O956/$P$1</f>
        <v/>
      </c>
    </row>
    <row r="957" ht="15.75" customHeight="1" s="2">
      <c r="A957" s="32" t="inlineStr">
        <is>
          <t>весна</t>
        </is>
      </c>
      <c r="B957" s="9" t="inlineStr">
        <is>
          <t>Методология научных исследований</t>
        </is>
      </c>
      <c r="C957" s="9" t="inlineStr">
        <is>
          <t>ЛК</t>
        </is>
      </c>
      <c r="D957" s="9" t="inlineStr">
        <is>
          <t>Т11О-101М-20, Т11О-102М-20, Т11О-103М-20, Т11О-104М-20</t>
        </is>
      </c>
      <c r="E957" s="10" t="n">
        <v>12</v>
      </c>
      <c r="F957" s="9" t="inlineStr">
        <is>
          <t>07987</t>
        </is>
      </c>
      <c r="G957" s="10" t="n">
        <v>12</v>
      </c>
      <c r="H957" s="9" t="inlineStr">
        <is>
          <t xml:space="preserve">82019     </t>
        </is>
      </c>
      <c r="I957" s="118" t="inlineStr">
        <is>
          <t xml:space="preserve">Бобрышев Борис Леонидович </t>
        </is>
      </c>
      <c r="J957" s="9" t="n"/>
      <c r="K957" s="9" t="n"/>
      <c r="L957" s="9" t="n"/>
      <c r="M957" s="12">
        <f>SUMIFS($E$2:$E$1130,$A$2:$A$1130,"осень",$I$2:$I$1130,I957)</f>
        <v/>
      </c>
      <c r="N957" s="13">
        <f>SUMIFS($E$2:$E$1130,$A$2:$A$1130,"весна",$I$2:$I$1130,I957)</f>
        <v/>
      </c>
      <c r="O957" s="14">
        <f>M957+N957</f>
        <v/>
      </c>
      <c r="P957" s="15">
        <f>O957/$P$1</f>
        <v/>
      </c>
    </row>
    <row r="958" ht="15.75" customHeight="1" s="2">
      <c r="A958" s="32" t="inlineStr">
        <is>
          <t>весна</t>
        </is>
      </c>
      <c r="B958" s="9" t="inlineStr">
        <is>
          <t>Методология научных исследований</t>
        </is>
      </c>
      <c r="C958" s="9" t="inlineStr">
        <is>
          <t>ЛК</t>
        </is>
      </c>
      <c r="D958" s="9" t="inlineStr">
        <is>
          <t>М9О-104М-20</t>
        </is>
      </c>
      <c r="E958" s="10" t="n">
        <v>12</v>
      </c>
      <c r="F958" s="9" t="inlineStr">
        <is>
          <t>12598</t>
        </is>
      </c>
      <c r="G958" s="10" t="n">
        <v>12</v>
      </c>
      <c r="H958" s="9" t="inlineStr">
        <is>
          <t xml:space="preserve">82019     </t>
        </is>
      </c>
      <c r="I958" s="118" t="inlineStr">
        <is>
          <t xml:space="preserve">Бобрышев Борис Леонидович </t>
        </is>
      </c>
      <c r="J958" s="9" t="n"/>
      <c r="K958" s="9" t="n"/>
      <c r="L958" s="9" t="n"/>
      <c r="M958" s="12">
        <f>SUMIFS($E$2:$E$1130,$A$2:$A$1130,"осень",$I$2:$I$1130,I958)</f>
        <v/>
      </c>
      <c r="N958" s="13">
        <f>SUMIFS($E$2:$E$1130,$A$2:$A$1130,"весна",$I$2:$I$1130,I958)</f>
        <v/>
      </c>
      <c r="O958" s="14">
        <f>M958+N958</f>
        <v/>
      </c>
      <c r="P958" s="15">
        <f>O958/$P$1</f>
        <v/>
      </c>
    </row>
    <row r="959" ht="15.75" customHeight="1" s="2">
      <c r="A959" s="32" t="inlineStr">
        <is>
          <t>весна</t>
        </is>
      </c>
      <c r="B959" s="9" t="inlineStr">
        <is>
          <t>Методология научных исследований</t>
        </is>
      </c>
      <c r="C959" s="9" t="inlineStr">
        <is>
          <t>ПЗ</t>
        </is>
      </c>
      <c r="D959" s="9" t="inlineStr">
        <is>
          <t>Т11О-101М-20</t>
        </is>
      </c>
      <c r="E959" s="10" t="n">
        <v>24</v>
      </c>
      <c r="F959" s="9" t="inlineStr">
        <is>
          <t>07987</t>
        </is>
      </c>
      <c r="G959" s="10" t="n">
        <v>24</v>
      </c>
      <c r="H959" s="9" t="inlineStr">
        <is>
          <t xml:space="preserve">81728     </t>
        </is>
      </c>
      <c r="I959" s="118" t="inlineStr">
        <is>
          <t xml:space="preserve">Бобрышев Борис Леонидович </t>
        </is>
      </c>
      <c r="J959" s="9" t="inlineStr">
        <is>
          <t>профессор</t>
        </is>
      </c>
      <c r="K959" s="9" t="n"/>
      <c r="L959" s="9" t="n"/>
      <c r="M959" s="12">
        <f>SUMIFS($E$2:$E$1130,$A$2:$A$1130,"осень",$I$2:$I$1130,I959)</f>
        <v/>
      </c>
      <c r="N959" s="13">
        <f>SUMIFS($E$2:$E$1130,$A$2:$A$1130,"весна",$I$2:$I$1130,I959)</f>
        <v/>
      </c>
      <c r="O959" s="14">
        <f>M959+N959</f>
        <v/>
      </c>
      <c r="P959" s="15">
        <f>O959/$P$1</f>
        <v/>
      </c>
    </row>
    <row r="960" ht="15.75" customHeight="1" s="2">
      <c r="A960" s="32" t="inlineStr">
        <is>
          <t>весна</t>
        </is>
      </c>
      <c r="B960" s="9" t="inlineStr">
        <is>
          <t>Методология научных исследований</t>
        </is>
      </c>
      <c r="C960" s="9" t="inlineStr">
        <is>
          <t>ПЗ</t>
        </is>
      </c>
      <c r="D960" s="9" t="inlineStr">
        <is>
          <t>Т11О-102М-20</t>
        </is>
      </c>
      <c r="E960" s="10" t="n">
        <v>24</v>
      </c>
      <c r="F960" s="9" t="inlineStr">
        <is>
          <t>07987</t>
        </is>
      </c>
      <c r="G960" s="10" t="n">
        <v>24</v>
      </c>
      <c r="H960" s="9" t="inlineStr">
        <is>
          <t xml:space="preserve">82019     </t>
        </is>
      </c>
      <c r="I960" s="118" t="inlineStr">
        <is>
          <t xml:space="preserve">Бобрышев Борис Леонидович </t>
        </is>
      </c>
      <c r="J960" s="9" t="n"/>
      <c r="K960" s="9" t="n"/>
      <c r="L960" s="9" t="n"/>
      <c r="M960" s="12">
        <f>SUMIFS($E$2:$E$1130,$A$2:$A$1130,"осень",$I$2:$I$1130,I960)</f>
        <v/>
      </c>
      <c r="N960" s="13">
        <f>SUMIFS($E$2:$E$1130,$A$2:$A$1130,"весна",$I$2:$I$1130,I960)</f>
        <v/>
      </c>
      <c r="O960" s="14">
        <f>M960+N960</f>
        <v/>
      </c>
      <c r="P960" s="15">
        <f>O960/$P$1</f>
        <v/>
      </c>
    </row>
    <row r="961" ht="15.75" customHeight="1" s="2">
      <c r="A961" s="32" t="inlineStr">
        <is>
          <t>весна</t>
        </is>
      </c>
      <c r="B961" s="9" t="inlineStr">
        <is>
          <t>Методология научных исследований</t>
        </is>
      </c>
      <c r="C961" s="9" t="inlineStr">
        <is>
          <t>ПЗ</t>
        </is>
      </c>
      <c r="D961" s="9" t="inlineStr">
        <is>
          <t>Т11О-103М-20</t>
        </is>
      </c>
      <c r="E961" s="10" t="n">
        <v>24</v>
      </c>
      <c r="F961" s="9" t="inlineStr">
        <is>
          <t>07987</t>
        </is>
      </c>
      <c r="G961" s="10" t="n">
        <v>24</v>
      </c>
      <c r="H961" s="9" t="inlineStr">
        <is>
          <t xml:space="preserve">81729     </t>
        </is>
      </c>
      <c r="I961" s="118" t="inlineStr">
        <is>
          <t xml:space="preserve">Бобрышев Борис Леонидович </t>
        </is>
      </c>
      <c r="J961" s="9" t="inlineStr">
        <is>
          <t>доцент</t>
        </is>
      </c>
      <c r="K961" s="9" t="n"/>
      <c r="L961" s="9" t="n"/>
      <c r="M961" s="12">
        <f>SUMIFS($E$2:$E$1130,$A$2:$A$1130,"осень",$I$2:$I$1130,I961)</f>
        <v/>
      </c>
      <c r="N961" s="13">
        <f>SUMIFS($E$2:$E$1130,$A$2:$A$1130,"весна",$I$2:$I$1130,I961)</f>
        <v/>
      </c>
      <c r="O961" s="14">
        <f>M961+N961</f>
        <v/>
      </c>
      <c r="P961" s="15">
        <f>O961/$P$1</f>
        <v/>
      </c>
    </row>
    <row r="962" ht="15.75" customHeight="1" s="2">
      <c r="A962" s="32" t="inlineStr">
        <is>
          <t>весна</t>
        </is>
      </c>
      <c r="B962" s="9" t="inlineStr">
        <is>
          <t>Методология научных исследований</t>
        </is>
      </c>
      <c r="C962" s="9" t="inlineStr">
        <is>
          <t>ПЗ</t>
        </is>
      </c>
      <c r="D962" s="9" t="inlineStr">
        <is>
          <t>Т11О-104М-20</t>
        </is>
      </c>
      <c r="E962" s="10" t="n">
        <v>24</v>
      </c>
      <c r="F962" s="9" t="inlineStr">
        <is>
          <t>07987</t>
        </is>
      </c>
      <c r="G962" s="10" t="n">
        <v>24</v>
      </c>
      <c r="H962" s="9" t="inlineStr">
        <is>
          <t xml:space="preserve">89090     </t>
        </is>
      </c>
      <c r="I962" s="118" t="inlineStr">
        <is>
          <t xml:space="preserve">Бобрышев Борис Леонидович </t>
        </is>
      </c>
      <c r="J962" s="9" t="n"/>
      <c r="K962" s="9" t="n"/>
      <c r="L962" s="9" t="n"/>
      <c r="M962" s="12">
        <f>SUMIFS($E$2:$E$1130,$A$2:$A$1130,"осень",$I$2:$I$1130,I962)</f>
        <v/>
      </c>
      <c r="N962" s="13">
        <f>SUMIFS($E$2:$E$1130,$A$2:$A$1130,"весна",$I$2:$I$1130,I962)</f>
        <v/>
      </c>
      <c r="O962" s="14">
        <f>M962+N962</f>
        <v/>
      </c>
      <c r="P962" s="15">
        <f>O962/$P$1</f>
        <v/>
      </c>
    </row>
    <row r="963" ht="15.75" customHeight="1" s="2">
      <c r="A963" s="32" t="inlineStr">
        <is>
          <t>весна</t>
        </is>
      </c>
      <c r="B963" s="9" t="inlineStr">
        <is>
          <t>Методология научных исследований</t>
        </is>
      </c>
      <c r="C963" s="9" t="inlineStr">
        <is>
          <t>ПЗ</t>
        </is>
      </c>
      <c r="D963" s="9" t="inlineStr">
        <is>
          <t>М9О-104М-20</t>
        </is>
      </c>
      <c r="E963" s="10" t="n">
        <v>24</v>
      </c>
      <c r="F963" s="9" t="inlineStr">
        <is>
          <t>12598</t>
        </is>
      </c>
      <c r="G963" s="10" t="n">
        <v>24</v>
      </c>
      <c r="H963" s="9" t="inlineStr">
        <is>
          <t xml:space="preserve">81729     </t>
        </is>
      </c>
      <c r="I963" s="118" t="inlineStr">
        <is>
          <t xml:space="preserve">Бобрышев Борис Леонидович </t>
        </is>
      </c>
      <c r="J963" s="9" t="inlineStr">
        <is>
          <t>доцент</t>
        </is>
      </c>
      <c r="K963" s="9" t="n"/>
      <c r="L963" s="9" t="n"/>
      <c r="M963" s="12">
        <f>SUMIFS($E$2:$E$1130,$A$2:$A$1130,"осень",$I$2:$I$1130,I963)</f>
        <v/>
      </c>
      <c r="N963" s="13">
        <f>SUMIFS($E$2:$E$1130,$A$2:$A$1130,"весна",$I$2:$I$1130,I963)</f>
        <v/>
      </c>
      <c r="O963" s="14">
        <f>M963+N963</f>
        <v/>
      </c>
      <c r="P963" s="15">
        <f>O963/$P$1</f>
        <v/>
      </c>
    </row>
    <row r="964" ht="15.75" customHeight="1" s="2">
      <c r="A964" s="32" t="inlineStr">
        <is>
          <t>весна</t>
        </is>
      </c>
      <c r="B964" s="9" t="inlineStr">
        <is>
          <t>Методология научных исследований</t>
        </is>
      </c>
      <c r="C964" s="9" t="inlineStr">
        <is>
          <t>Экзамен</t>
        </is>
      </c>
      <c r="D964" s="9" t="inlineStr">
        <is>
          <t>Т11О-101М-20</t>
        </is>
      </c>
      <c r="E964" s="10" t="n">
        <v>3</v>
      </c>
      <c r="F964" s="9" t="inlineStr">
        <is>
          <t>07987</t>
        </is>
      </c>
      <c r="G964" s="11" t="n">
        <v>0</v>
      </c>
      <c r="H964" s="9" t="inlineStr">
        <is>
          <t xml:space="preserve">82019     </t>
        </is>
      </c>
      <c r="I964" s="9" t="inlineStr">
        <is>
          <t xml:space="preserve">Бобрышев Борис Леонидович </t>
        </is>
      </c>
      <c r="J964" s="9" t="n"/>
      <c r="K964" s="9" t="n"/>
      <c r="L964" s="9" t="n"/>
      <c r="M964" s="12">
        <f>SUMIFS($E$2:$E$1130,$A$2:$A$1130,"осень",$I$2:$I$1130,I964)</f>
        <v/>
      </c>
      <c r="N964" s="13">
        <f>SUMIFS($E$2:$E$1130,$A$2:$A$1130,"весна",$I$2:$I$1130,I964)</f>
        <v/>
      </c>
      <c r="O964" s="14">
        <f>M964+N964</f>
        <v/>
      </c>
      <c r="P964" s="15">
        <f>O964/$P$1</f>
        <v/>
      </c>
    </row>
    <row r="965" ht="15.75" customHeight="1" s="2">
      <c r="A965" s="32" t="inlineStr">
        <is>
          <t>весна</t>
        </is>
      </c>
      <c r="B965" s="9" t="inlineStr">
        <is>
          <t>Методология научных исследований</t>
        </is>
      </c>
      <c r="C965" s="9" t="inlineStr">
        <is>
          <t>Экзамен</t>
        </is>
      </c>
      <c r="D965" s="9" t="inlineStr">
        <is>
          <t>Т11О-102М-20</t>
        </is>
      </c>
      <c r="E965" s="10" t="n">
        <v>3</v>
      </c>
      <c r="F965" s="9" t="inlineStr">
        <is>
          <t>07987</t>
        </is>
      </c>
      <c r="G965" s="11" t="n">
        <v>0</v>
      </c>
      <c r="H965" s="9" t="inlineStr">
        <is>
          <t xml:space="preserve">82019     </t>
        </is>
      </c>
      <c r="I965" s="9" t="inlineStr">
        <is>
          <t xml:space="preserve">Бобрышев Борис Леонидович </t>
        </is>
      </c>
      <c r="J965" s="9" t="n"/>
      <c r="K965" s="9" t="n"/>
      <c r="L965" s="9" t="n"/>
      <c r="M965" s="12">
        <f>SUMIFS($E$2:$E$1130,$A$2:$A$1130,"осень",$I$2:$I$1130,I965)</f>
        <v/>
      </c>
      <c r="N965" s="13">
        <f>SUMIFS($E$2:$E$1130,$A$2:$A$1130,"весна",$I$2:$I$1130,I965)</f>
        <v/>
      </c>
      <c r="O965" s="14">
        <f>M965+N965</f>
        <v/>
      </c>
      <c r="P965" s="15">
        <f>O965/$P$1</f>
        <v/>
      </c>
    </row>
    <row r="966" ht="15.75" customHeight="1" s="2">
      <c r="A966" s="32" t="inlineStr">
        <is>
          <t>весна</t>
        </is>
      </c>
      <c r="B966" s="9" t="inlineStr">
        <is>
          <t>Методология научных исследований</t>
        </is>
      </c>
      <c r="C966" s="9" t="inlineStr">
        <is>
          <t>Экзамен</t>
        </is>
      </c>
      <c r="D966" s="9" t="inlineStr">
        <is>
          <t>Т11О-103М-20</t>
        </is>
      </c>
      <c r="E966" s="10" t="n">
        <v>3</v>
      </c>
      <c r="F966" s="9" t="inlineStr">
        <is>
          <t>07987</t>
        </is>
      </c>
      <c r="G966" s="11" t="n">
        <v>0</v>
      </c>
      <c r="H966" s="9" t="inlineStr">
        <is>
          <t xml:space="preserve">82019     </t>
        </is>
      </c>
      <c r="I966" s="9" t="inlineStr">
        <is>
          <t xml:space="preserve">Бобрышев Борис Леонидович </t>
        </is>
      </c>
      <c r="J966" s="9" t="n"/>
      <c r="K966" s="9" t="n"/>
      <c r="L966" s="9" t="n"/>
      <c r="M966" s="12">
        <f>SUMIFS($E$2:$E$1130,$A$2:$A$1130,"осень",$I$2:$I$1130,I966)</f>
        <v/>
      </c>
      <c r="N966" s="13">
        <f>SUMIFS($E$2:$E$1130,$A$2:$A$1130,"весна",$I$2:$I$1130,I966)</f>
        <v/>
      </c>
      <c r="O966" s="14">
        <f>M966+N966</f>
        <v/>
      </c>
      <c r="P966" s="15">
        <f>O966/$P$1</f>
        <v/>
      </c>
    </row>
    <row r="967" ht="15.75" customHeight="1" s="2">
      <c r="A967" s="32" t="inlineStr">
        <is>
          <t>весна</t>
        </is>
      </c>
      <c r="B967" s="9" t="inlineStr">
        <is>
          <t>Методология научных исследований</t>
        </is>
      </c>
      <c r="C967" s="9" t="inlineStr">
        <is>
          <t>Экзамен</t>
        </is>
      </c>
      <c r="D967" s="9" t="inlineStr">
        <is>
          <t>Т11О-104М-20</t>
        </is>
      </c>
      <c r="E967" s="10" t="n">
        <v>3</v>
      </c>
      <c r="F967" s="9" t="inlineStr">
        <is>
          <t>07987</t>
        </is>
      </c>
      <c r="G967" s="11" t="n">
        <v>0</v>
      </c>
      <c r="H967" s="9" t="inlineStr">
        <is>
          <t xml:space="preserve">82019     </t>
        </is>
      </c>
      <c r="I967" s="9" t="inlineStr">
        <is>
          <t xml:space="preserve">Бобрышев Борис Леонидович </t>
        </is>
      </c>
      <c r="J967" s="9" t="n"/>
      <c r="K967" s="9" t="n"/>
      <c r="L967" s="9" t="n"/>
      <c r="M967" s="12">
        <f>SUMIFS($E$2:$E$1130,$A$2:$A$1130,"осень",$I$2:$I$1130,I967)</f>
        <v/>
      </c>
      <c r="N967" s="13">
        <f>SUMIFS($E$2:$E$1130,$A$2:$A$1130,"весна",$I$2:$I$1130,I967)</f>
        <v/>
      </c>
      <c r="O967" s="14">
        <f>M967+N967</f>
        <v/>
      </c>
      <c r="P967" s="15">
        <f>O967/$P$1</f>
        <v/>
      </c>
    </row>
    <row r="968" ht="15.75" customHeight="1" s="2">
      <c r="A968" s="32" t="inlineStr">
        <is>
          <t>весна</t>
        </is>
      </c>
      <c r="B968" s="9" t="inlineStr">
        <is>
          <t>Методология научных исследований</t>
        </is>
      </c>
      <c r="C968" s="9" t="inlineStr">
        <is>
          <t>Экзамен</t>
        </is>
      </c>
      <c r="D968" s="9" t="inlineStr">
        <is>
          <t>М9О-104М-20</t>
        </is>
      </c>
      <c r="E968" s="10" t="n">
        <v>3</v>
      </c>
      <c r="F968" s="9" t="inlineStr">
        <is>
          <t>12598</t>
        </is>
      </c>
      <c r="G968" s="11" t="n">
        <v>0</v>
      </c>
      <c r="H968" s="9" t="inlineStr">
        <is>
          <t xml:space="preserve">82019     </t>
        </is>
      </c>
      <c r="I968" s="9" t="inlineStr">
        <is>
          <t xml:space="preserve">Бобрышев Борис Леонидович </t>
        </is>
      </c>
      <c r="J968" s="9" t="n"/>
      <c r="K968" s="9" t="n"/>
      <c r="L968" s="9" t="n"/>
      <c r="M968" s="12">
        <f>SUMIFS($E$2:$E$1130,$A$2:$A$1130,"осень",$I$2:$I$1130,I968)</f>
        <v/>
      </c>
      <c r="N968" s="13">
        <f>SUMIFS($E$2:$E$1130,$A$2:$A$1130,"весна",$I$2:$I$1130,I968)</f>
        <v/>
      </c>
      <c r="O968" s="14">
        <f>M968+N968</f>
        <v/>
      </c>
      <c r="P968" s="15">
        <f>O968/$P$1</f>
        <v/>
      </c>
    </row>
    <row r="969" ht="13.5" customHeight="1" s="2">
      <c r="A969" s="32" t="inlineStr">
        <is>
          <t>весна</t>
        </is>
      </c>
      <c r="B969" s="9" t="inlineStr">
        <is>
          <t>Методология научных исследований</t>
        </is>
      </c>
      <c r="C969" s="9" t="inlineStr">
        <is>
          <t>Консультация</t>
        </is>
      </c>
      <c r="D969" s="9" t="inlineStr">
        <is>
          <t>Т11О-101М-20</t>
        </is>
      </c>
      <c r="E969" s="10" t="n">
        <v>3</v>
      </c>
      <c r="F969" s="9" t="inlineStr">
        <is>
          <t>07987</t>
        </is>
      </c>
      <c r="G969" s="11" t="n">
        <v>0</v>
      </c>
      <c r="H969" s="9" t="inlineStr">
        <is>
          <t xml:space="preserve">81728     </t>
        </is>
      </c>
      <c r="I969" s="118" t="inlineStr">
        <is>
          <t xml:space="preserve">Бобрышев Борис Леонидович </t>
        </is>
      </c>
      <c r="J969" s="9" t="inlineStr">
        <is>
          <t>профессор</t>
        </is>
      </c>
      <c r="K969" s="9" t="n"/>
      <c r="L969" s="9" t="n"/>
      <c r="M969" s="12">
        <f>SUMIFS($E$2:$E$1130,$A$2:$A$1130,"осень",$I$2:$I$1130,I969)</f>
        <v/>
      </c>
      <c r="N969" s="13">
        <f>SUMIFS($E$2:$E$1130,$A$2:$A$1130,"весна",$I$2:$I$1130,I969)</f>
        <v/>
      </c>
      <c r="O969" s="14">
        <f>M969+N969</f>
        <v/>
      </c>
      <c r="P969" s="15">
        <f>O969/$P$1</f>
        <v/>
      </c>
    </row>
    <row r="970" ht="15.75" customHeight="1" s="2">
      <c r="A970" s="32" t="inlineStr">
        <is>
          <t>весна</t>
        </is>
      </c>
      <c r="B970" s="9" t="inlineStr">
        <is>
          <t>Методология научных исследований</t>
        </is>
      </c>
      <c r="C970" s="9" t="inlineStr">
        <is>
          <t>Консультация</t>
        </is>
      </c>
      <c r="D970" s="9" t="inlineStr">
        <is>
          <t>Т11О-102М-20</t>
        </is>
      </c>
      <c r="E970" s="10" t="n">
        <v>3</v>
      </c>
      <c r="F970" s="9" t="inlineStr">
        <is>
          <t>07987</t>
        </is>
      </c>
      <c r="G970" s="11" t="n">
        <v>0</v>
      </c>
      <c r="H970" s="9" t="inlineStr">
        <is>
          <t xml:space="preserve">82019     </t>
        </is>
      </c>
      <c r="I970" s="118" t="inlineStr">
        <is>
          <t xml:space="preserve">Бобрышев Борис Леонидович </t>
        </is>
      </c>
      <c r="J970" s="9" t="n"/>
      <c r="K970" s="9" t="n"/>
      <c r="L970" s="9" t="n"/>
      <c r="M970" s="12">
        <f>SUMIFS($E$2:$E$1130,$A$2:$A$1130,"осень",$I$2:$I$1130,I970)</f>
        <v/>
      </c>
      <c r="N970" s="13">
        <f>SUMIFS($E$2:$E$1130,$A$2:$A$1130,"весна",$I$2:$I$1130,I970)</f>
        <v/>
      </c>
      <c r="O970" s="14">
        <f>M970+N970</f>
        <v/>
      </c>
      <c r="P970" s="15">
        <f>O970/$P$1</f>
        <v/>
      </c>
    </row>
    <row r="971" ht="15.75" customHeight="1" s="2">
      <c r="A971" s="32" t="inlineStr">
        <is>
          <t>весна</t>
        </is>
      </c>
      <c r="B971" s="9" t="inlineStr">
        <is>
          <t>Методология научных исследований</t>
        </is>
      </c>
      <c r="C971" s="9" t="inlineStr">
        <is>
          <t>Консультация</t>
        </is>
      </c>
      <c r="D971" s="9" t="inlineStr">
        <is>
          <t>Т11О-103М-20</t>
        </is>
      </c>
      <c r="E971" s="10" t="n">
        <v>3</v>
      </c>
      <c r="F971" s="9" t="inlineStr">
        <is>
          <t>07987</t>
        </is>
      </c>
      <c r="G971" s="11" t="n">
        <v>0</v>
      </c>
      <c r="H971" s="9" t="inlineStr">
        <is>
          <t xml:space="preserve">81729     </t>
        </is>
      </c>
      <c r="I971" s="118" t="inlineStr">
        <is>
          <t xml:space="preserve">Бобрышев Борис Леонидович </t>
        </is>
      </c>
      <c r="J971" s="9" t="inlineStr">
        <is>
          <t>доцент</t>
        </is>
      </c>
      <c r="K971" s="9" t="n"/>
      <c r="L971" s="9" t="n"/>
      <c r="M971" s="12">
        <f>SUMIFS($E$2:$E$1130,$A$2:$A$1130,"осень",$I$2:$I$1130,I971)</f>
        <v/>
      </c>
      <c r="N971" s="13">
        <f>SUMIFS($E$2:$E$1130,$A$2:$A$1130,"весна",$I$2:$I$1130,I971)</f>
        <v/>
      </c>
      <c r="O971" s="14">
        <f>M971+N971</f>
        <v/>
      </c>
      <c r="P971" s="15">
        <f>O971/$P$1</f>
        <v/>
      </c>
    </row>
    <row r="972" ht="15.75" customHeight="1" s="2">
      <c r="A972" s="32" t="inlineStr">
        <is>
          <t>весна</t>
        </is>
      </c>
      <c r="B972" s="9" t="inlineStr">
        <is>
          <t>Методология научных исследований</t>
        </is>
      </c>
      <c r="C972" s="9" t="inlineStr">
        <is>
          <t>Консультация</t>
        </is>
      </c>
      <c r="D972" s="9" t="inlineStr">
        <is>
          <t>Т11О-104М-20</t>
        </is>
      </c>
      <c r="E972" s="10" t="n">
        <v>3</v>
      </c>
      <c r="F972" s="9" t="inlineStr">
        <is>
          <t>07987</t>
        </is>
      </c>
      <c r="G972" s="11" t="n">
        <v>0</v>
      </c>
      <c r="H972" s="9" t="inlineStr">
        <is>
          <t xml:space="preserve">89090     </t>
        </is>
      </c>
      <c r="I972" s="118" t="inlineStr">
        <is>
          <t xml:space="preserve">Бобрышев Борис Леонидович </t>
        </is>
      </c>
      <c r="J972" s="9" t="n"/>
      <c r="K972" s="9" t="n"/>
      <c r="L972" s="9" t="n"/>
      <c r="M972" s="12">
        <f>SUMIFS($E$2:$E$1130,$A$2:$A$1130,"осень",$I$2:$I$1130,I972)</f>
        <v/>
      </c>
      <c r="N972" s="13">
        <f>SUMIFS($E$2:$E$1130,$A$2:$A$1130,"весна",$I$2:$I$1130,I972)</f>
        <v/>
      </c>
      <c r="O972" s="14">
        <f>M972+N972</f>
        <v/>
      </c>
      <c r="P972" s="15">
        <f>O972/$P$1</f>
        <v/>
      </c>
    </row>
    <row r="973" ht="15.75" customHeight="1" s="2">
      <c r="A973" s="32" t="inlineStr">
        <is>
          <t>весна</t>
        </is>
      </c>
      <c r="B973" s="9" t="inlineStr">
        <is>
          <t>Методология научных исследований</t>
        </is>
      </c>
      <c r="C973" s="9" t="inlineStr">
        <is>
          <t>Консультация</t>
        </is>
      </c>
      <c r="D973" s="9" t="inlineStr">
        <is>
          <t>М9О-104М-20</t>
        </is>
      </c>
      <c r="E973" s="10" t="n">
        <v>3</v>
      </c>
      <c r="F973" s="9" t="inlineStr">
        <is>
          <t>12598</t>
        </is>
      </c>
      <c r="G973" s="11" t="n">
        <v>0</v>
      </c>
      <c r="H973" s="9" t="inlineStr">
        <is>
          <t xml:space="preserve">81729     </t>
        </is>
      </c>
      <c r="I973" s="118" t="inlineStr">
        <is>
          <t xml:space="preserve">Бобрышев Борис Леонидович </t>
        </is>
      </c>
      <c r="J973" s="9" t="inlineStr">
        <is>
          <t>доцент</t>
        </is>
      </c>
      <c r="K973" s="9" t="n"/>
      <c r="L973" s="9" t="n"/>
      <c r="M973" s="12">
        <f>SUMIFS($E$2:$E$1130,$A$2:$A$1130,"осень",$I$2:$I$1130,I973)</f>
        <v/>
      </c>
      <c r="N973" s="13">
        <f>SUMIFS($E$2:$E$1130,$A$2:$A$1130,"весна",$I$2:$I$1130,I973)</f>
        <v/>
      </c>
      <c r="O973" s="14">
        <f>M973+N973</f>
        <v/>
      </c>
      <c r="P973" s="15">
        <f>O973/$P$1</f>
        <v/>
      </c>
    </row>
    <row r="974" ht="15.75" customHeight="1" s="2">
      <c r="A974" s="32" t="inlineStr">
        <is>
          <t>весна</t>
        </is>
      </c>
      <c r="B974" s="9" t="inlineStr">
        <is>
          <t>Производственная практика</t>
        </is>
      </c>
      <c r="C974" s="9" t="inlineStr">
        <is>
          <t>Практика</t>
        </is>
      </c>
      <c r="D974" s="9" t="inlineStr">
        <is>
          <t>Т11О-301Б-18</t>
        </is>
      </c>
      <c r="E974" s="10" t="n">
        <v>60</v>
      </c>
      <c r="F974" s="9" t="n"/>
      <c r="G974" s="11" t="n">
        <v>0</v>
      </c>
      <c r="H974" s="9" t="inlineStr">
        <is>
          <t xml:space="preserve">81732     </t>
        </is>
      </c>
      <c r="I974" s="9" t="inlineStr">
        <is>
          <t xml:space="preserve">Петров Анатолий Павлович </t>
        </is>
      </c>
      <c r="J974" s="9" t="inlineStr">
        <is>
          <t>профессор</t>
        </is>
      </c>
      <c r="K974" s="9" t="n"/>
      <c r="L974" s="9" t="n"/>
      <c r="M974" s="12">
        <f>SUMIFS($E$2:$E$1130,$A$2:$A$1130,"осень",$I$2:$I$1130,I974)</f>
        <v/>
      </c>
      <c r="N974" s="13">
        <f>SUMIFS($E$2:$E$1130,$A$2:$A$1130,"весна",$I$2:$I$1130,I974)</f>
        <v/>
      </c>
      <c r="O974" s="14">
        <f>M974+N974</f>
        <v/>
      </c>
      <c r="P974" s="15">
        <f>O974/$P$1</f>
        <v/>
      </c>
    </row>
    <row r="975" ht="15.75" customHeight="1" s="2">
      <c r="A975" s="32" t="inlineStr">
        <is>
          <t>весна</t>
        </is>
      </c>
      <c r="B975" s="9" t="inlineStr">
        <is>
          <t>Производственная практика</t>
        </is>
      </c>
      <c r="C975" s="9" t="inlineStr">
        <is>
          <t>Практика</t>
        </is>
      </c>
      <c r="D975" s="9" t="inlineStr">
        <is>
          <t>Т11О-304Б-18</t>
        </is>
      </c>
      <c r="E975" s="10" t="n">
        <v>60</v>
      </c>
      <c r="F975" s="9" t="n"/>
      <c r="G975" s="11" t="n">
        <v>0</v>
      </c>
      <c r="H975" s="9" t="inlineStr">
        <is>
          <t xml:space="preserve">81724     </t>
        </is>
      </c>
      <c r="I975" s="9" t="inlineStr">
        <is>
          <t xml:space="preserve">Галкин Евгений Владимирович </t>
        </is>
      </c>
      <c r="J975" s="9" t="inlineStr">
        <is>
          <t>доцент</t>
        </is>
      </c>
      <c r="K975" s="9" t="n"/>
      <c r="L975" s="9" t="n"/>
      <c r="M975" s="12">
        <f>SUMIFS($E$2:$E$1130,$A$2:$A$1130,"осень",$I$2:$I$1130,I975)</f>
        <v/>
      </c>
      <c r="N975" s="13">
        <f>SUMIFS($E$2:$E$1130,$A$2:$A$1130,"весна",$I$2:$I$1130,I975)</f>
        <v/>
      </c>
      <c r="O975" s="14">
        <f>M975+N975</f>
        <v/>
      </c>
      <c r="P975" s="15">
        <f>O975/$P$1</f>
        <v/>
      </c>
    </row>
    <row r="976" ht="15.75" customHeight="1" s="2">
      <c r="A976" s="32" t="inlineStr">
        <is>
          <t>весна</t>
        </is>
      </c>
      <c r="B976" s="9" t="inlineStr">
        <is>
          <t>Производственная практика</t>
        </is>
      </c>
      <c r="C976" s="9" t="inlineStr">
        <is>
          <t>Практика</t>
        </is>
      </c>
      <c r="D976" s="9" t="inlineStr">
        <is>
          <t>Т11О-302Б-18</t>
        </is>
      </c>
      <c r="E976" s="10" t="n">
        <v>60</v>
      </c>
      <c r="F976" s="9" t="n"/>
      <c r="G976" s="11" t="n">
        <v>0</v>
      </c>
      <c r="H976" s="9" t="inlineStr">
        <is>
          <t xml:space="preserve">82020     </t>
        </is>
      </c>
      <c r="I976" s="9" t="inlineStr">
        <is>
          <t xml:space="preserve">Варфоломеев Максим Сергеевич </t>
        </is>
      </c>
      <c r="J976" s="9" t="inlineStr">
        <is>
          <t>доцент</t>
        </is>
      </c>
      <c r="K976" s="9" t="n"/>
      <c r="L976" s="9" t="n"/>
      <c r="M976" s="12">
        <f>SUMIFS($E$2:$E$1130,$A$2:$A$1130,"осень",$I$2:$I$1130,I976)</f>
        <v/>
      </c>
      <c r="N976" s="13">
        <f>SUMIFS($E$2:$E$1130,$A$2:$A$1130,"весна",$I$2:$I$1130,I976)</f>
        <v/>
      </c>
      <c r="O976" s="14">
        <f>M976+N976</f>
        <v/>
      </c>
      <c r="P976" s="15">
        <f>O976/$P$1</f>
        <v/>
      </c>
    </row>
    <row r="977" ht="15.75" customHeight="1" s="2">
      <c r="A977" s="32" t="inlineStr">
        <is>
          <t>весна</t>
        </is>
      </c>
      <c r="B977" s="9" t="inlineStr">
        <is>
          <t>Производственная практика</t>
        </is>
      </c>
      <c r="C977" s="9" t="inlineStr">
        <is>
          <t>Практика</t>
        </is>
      </c>
      <c r="D977" s="9" t="inlineStr">
        <is>
          <t>Т1В-412Б-17</t>
        </is>
      </c>
      <c r="E977" s="10" t="n">
        <v>60</v>
      </c>
      <c r="F977" s="9" t="n"/>
      <c r="G977" s="11" t="n">
        <v>0</v>
      </c>
      <c r="H977" s="9" t="inlineStr">
        <is>
          <t xml:space="preserve">81732     </t>
        </is>
      </c>
      <c r="I977" s="9" t="inlineStr">
        <is>
          <t xml:space="preserve">Петров Анатолий Павлович </t>
        </is>
      </c>
      <c r="J977" s="9" t="inlineStr">
        <is>
          <t>профессор</t>
        </is>
      </c>
      <c r="K977" s="9" t="n"/>
      <c r="L977" s="9" t="n"/>
      <c r="M977" s="12">
        <f>SUMIFS($E$2:$E$1130,$A$2:$A$1130,"осень",$I$2:$I$1130,I977)</f>
        <v/>
      </c>
      <c r="N977" s="13">
        <f>SUMIFS($E$2:$E$1130,$A$2:$A$1130,"весна",$I$2:$I$1130,I977)</f>
        <v/>
      </c>
      <c r="O977" s="14">
        <f>M977+N977</f>
        <v/>
      </c>
      <c r="P977" s="15">
        <f>O977/$P$1</f>
        <v/>
      </c>
    </row>
    <row r="978" ht="15.75" customHeight="1" s="2">
      <c r="A978" s="32" t="inlineStr">
        <is>
          <t>весна</t>
        </is>
      </c>
      <c r="B978" s="9" t="inlineStr">
        <is>
          <t>Учебная практика</t>
        </is>
      </c>
      <c r="C978" s="9" t="inlineStr">
        <is>
          <t>Практика</t>
        </is>
      </c>
      <c r="D978" s="9" t="inlineStr">
        <is>
          <t>Т11О-201Б-19</t>
        </is>
      </c>
      <c r="E978" s="10" t="n">
        <v>30</v>
      </c>
      <c r="F978" s="9" t="n"/>
      <c r="G978" s="11" t="n">
        <v>0</v>
      </c>
      <c r="H978" s="9" t="inlineStr">
        <is>
          <t xml:space="preserve">93584     </t>
        </is>
      </c>
      <c r="I978" s="9" t="inlineStr">
        <is>
          <t xml:space="preserve">Комаров Роман Сергеевич </t>
        </is>
      </c>
      <c r="J978" s="9" t="n"/>
      <c r="K978" s="9" t="n"/>
      <c r="L978" s="9" t="n"/>
      <c r="M978" s="12">
        <f>SUMIFS($E$2:$E$1130,$A$2:$A$1130,"осень",$I$2:$I$1130,I978)</f>
        <v/>
      </c>
      <c r="N978" s="13">
        <f>SUMIFS($E$2:$E$1130,$A$2:$A$1130,"весна",$I$2:$I$1130,I978)</f>
        <v/>
      </c>
      <c r="O978" s="14">
        <f>M978+N978</f>
        <v/>
      </c>
      <c r="P978" s="15">
        <f>O978/$P$1</f>
        <v/>
      </c>
    </row>
    <row r="979" ht="15.75" customHeight="1" s="2">
      <c r="A979" s="32" t="inlineStr">
        <is>
          <t>весна</t>
        </is>
      </c>
      <c r="B979" s="9" t="inlineStr">
        <is>
          <t>Учебная практика</t>
        </is>
      </c>
      <c r="C979" s="9" t="inlineStr">
        <is>
          <t>Практика</t>
        </is>
      </c>
      <c r="D979" s="9" t="inlineStr">
        <is>
          <t>Т11О-202Б-19</t>
        </is>
      </c>
      <c r="E979" s="10" t="n">
        <v>30</v>
      </c>
      <c r="F979" s="9" t="n"/>
      <c r="G979" s="11" t="n">
        <v>0</v>
      </c>
      <c r="H979" s="9" t="inlineStr">
        <is>
          <t xml:space="preserve">82020     </t>
        </is>
      </c>
      <c r="I979" s="9" t="inlineStr">
        <is>
          <t xml:space="preserve">Варфоломеев Максим Сергеевич </t>
        </is>
      </c>
      <c r="J979" s="9" t="inlineStr">
        <is>
          <t>доцент</t>
        </is>
      </c>
      <c r="K979" s="9" t="n"/>
      <c r="L979" s="9" t="n"/>
      <c r="M979" s="12">
        <f>SUMIFS($E$2:$E$1130,$A$2:$A$1130,"осень",$I$2:$I$1130,I979)</f>
        <v/>
      </c>
      <c r="N979" s="13">
        <f>SUMIFS($E$2:$E$1130,$A$2:$A$1130,"весна",$I$2:$I$1130,I979)</f>
        <v/>
      </c>
      <c r="O979" s="14">
        <f>M979+N979</f>
        <v/>
      </c>
      <c r="P979" s="15">
        <f>O979/$P$1</f>
        <v/>
      </c>
    </row>
    <row r="980" ht="15.75" customHeight="1" s="2">
      <c r="A980" s="32" t="inlineStr">
        <is>
          <t>весна</t>
        </is>
      </c>
      <c r="B980" s="9" t="inlineStr">
        <is>
          <t>Педагогическая практика</t>
        </is>
      </c>
      <c r="C980" s="9" t="inlineStr">
        <is>
          <t>Практика</t>
        </is>
      </c>
      <c r="D980" s="9" t="inlineStr">
        <is>
          <t>Т11О-107А-20</t>
        </is>
      </c>
      <c r="E980" s="10" t="n">
        <v>30</v>
      </c>
      <c r="F980" s="9" t="n"/>
      <c r="G980" s="11" t="n">
        <v>0</v>
      </c>
      <c r="H980" s="21" t="inlineStr">
        <is>
          <t xml:space="preserve">82061     </t>
        </is>
      </c>
      <c r="I980" s="21" t="inlineStr">
        <is>
          <t xml:space="preserve">Моисеев Виктор Сергеевич </t>
        </is>
      </c>
      <c r="J980" s="9" t="inlineStr">
        <is>
          <t>профессор</t>
        </is>
      </c>
      <c r="K980" s="9" t="n"/>
      <c r="L980" s="21" t="inlineStr">
        <is>
          <t>Жуковский+Митрофанов</t>
        </is>
      </c>
      <c r="M980" s="12">
        <f>SUMIFS($E$2:$E$1130,$A$2:$A$1130,"осень",$I$2:$I$1130,I980)</f>
        <v/>
      </c>
      <c r="N980" s="13">
        <f>SUMIFS($E$2:$E$1130,$A$2:$A$1130,"весна",$I$2:$I$1130,I980)</f>
        <v/>
      </c>
      <c r="O980" s="14">
        <f>M980+N980</f>
        <v/>
      </c>
      <c r="P980" s="15">
        <f>O980/$P$1</f>
        <v/>
      </c>
    </row>
    <row r="981" ht="15.75" customHeight="1" s="2">
      <c r="A981" s="32" t="inlineStr">
        <is>
          <t>весна</t>
        </is>
      </c>
      <c r="B981" s="9" t="inlineStr">
        <is>
          <t>Педагогическая практика</t>
        </is>
      </c>
      <c r="C981" s="9" t="inlineStr">
        <is>
          <t>Практика</t>
        </is>
      </c>
      <c r="D981" s="9" t="inlineStr">
        <is>
          <t>Т1О-310А-18</t>
        </is>
      </c>
      <c r="E981" s="10" t="n">
        <v>30</v>
      </c>
      <c r="F981" s="9" t="n"/>
      <c r="G981" s="11" t="n">
        <v>0</v>
      </c>
      <c r="H981" s="21" t="inlineStr">
        <is>
          <t xml:space="preserve">82061     </t>
        </is>
      </c>
      <c r="I981" s="21" t="inlineStr">
        <is>
          <t xml:space="preserve">Моисеев Виктор Сергеевич </t>
        </is>
      </c>
      <c r="J981" s="9" t="inlineStr">
        <is>
          <t>профессор</t>
        </is>
      </c>
      <c r="K981" s="9" t="n"/>
      <c r="L981" s="21" t="inlineStr">
        <is>
          <t>Захарова (Борунова) Татьяна Ивановна</t>
        </is>
      </c>
      <c r="M981" s="12">
        <f>SUMIFS($E$2:$E$1130,$A$2:$A$1130,"осень",$I$2:$I$1130,I981)</f>
        <v/>
      </c>
      <c r="N981" s="13">
        <f>SUMIFS($E$2:$E$1130,$A$2:$A$1130,"весна",$I$2:$I$1130,I981)</f>
        <v/>
      </c>
      <c r="O981" s="14">
        <f>M981+N981</f>
        <v/>
      </c>
      <c r="P981" s="15">
        <f>O981/$P$1</f>
        <v/>
      </c>
    </row>
    <row r="982" ht="15.75" customHeight="1" s="2">
      <c r="A982" s="32" t="inlineStr">
        <is>
          <t>весна</t>
        </is>
      </c>
      <c r="B982" s="9" t="inlineStr">
        <is>
          <t>Педагогическая практика</t>
        </is>
      </c>
      <c r="C982" s="9" t="inlineStr">
        <is>
          <t>Практика</t>
        </is>
      </c>
      <c r="D982" s="9" t="inlineStr">
        <is>
          <t>Т11О-302А-18</t>
        </is>
      </c>
      <c r="E982" s="10" t="n">
        <v>30</v>
      </c>
      <c r="F982" s="9" t="n"/>
      <c r="G982" s="11" t="n">
        <v>0</v>
      </c>
      <c r="H982" s="21" t="inlineStr">
        <is>
          <t xml:space="preserve">82061     </t>
        </is>
      </c>
      <c r="I982" s="21" t="inlineStr">
        <is>
          <t xml:space="preserve">Моисеев Виктор Сергеевич </t>
        </is>
      </c>
      <c r="J982" s="9" t="n"/>
      <c r="K982" s="9" t="n"/>
      <c r="L982" s="9" t="inlineStr">
        <is>
          <t>Мисников Валерий Евгеньевич</t>
        </is>
      </c>
      <c r="M982" s="12">
        <f>SUMIFS($E$2:$E$1130,$A$2:$A$1130,"осень",$I$2:$I$1130,I982)</f>
        <v/>
      </c>
      <c r="N982" s="13">
        <f>SUMIFS($E$2:$E$1130,$A$2:$A$1130,"весна",$I$2:$I$1130,I982)</f>
        <v/>
      </c>
      <c r="O982" s="14">
        <f>M982+N982</f>
        <v/>
      </c>
      <c r="P982" s="15">
        <f>O982/$P$1</f>
        <v/>
      </c>
    </row>
    <row r="983" ht="15.75" customHeight="1" s="2">
      <c r="A983" s="32" t="inlineStr">
        <is>
          <t>весна</t>
        </is>
      </c>
      <c r="B983" s="9" t="inlineStr">
        <is>
          <t>Педагогическая практика</t>
        </is>
      </c>
      <c r="C983" s="9" t="inlineStr">
        <is>
          <t>Практика</t>
        </is>
      </c>
      <c r="D983" s="9" t="inlineStr">
        <is>
          <t>Т11О-307А-18</t>
        </is>
      </c>
      <c r="E983" s="10" t="n">
        <v>30</v>
      </c>
      <c r="F983" s="9" t="n"/>
      <c r="G983" s="11" t="n">
        <v>0</v>
      </c>
      <c r="H983" s="21" t="inlineStr">
        <is>
          <t xml:space="preserve">82061     </t>
        </is>
      </c>
      <c r="I983" s="21" t="inlineStr">
        <is>
          <t xml:space="preserve">Моисеев Виктор Сергеевич </t>
        </is>
      </c>
      <c r="J983" s="9" t="inlineStr">
        <is>
          <t>профессор</t>
        </is>
      </c>
      <c r="K983" s="9" t="n"/>
      <c r="L983" s="9" t="inlineStr">
        <is>
          <t>Быкадоров Кубатина Иванов</t>
        </is>
      </c>
      <c r="M983" s="12">
        <f>SUMIFS($E$2:$E$1130,$A$2:$A$1130,"осень",$I$2:$I$1130,I983)</f>
        <v/>
      </c>
      <c r="N983" s="13">
        <f>SUMIFS($E$2:$E$1130,$A$2:$A$1130,"весна",$I$2:$I$1130,I983)</f>
        <v/>
      </c>
      <c r="O983" s="14">
        <f>M983+N983</f>
        <v/>
      </c>
      <c r="P983" s="15">
        <f>O983/$P$1</f>
        <v/>
      </c>
    </row>
    <row r="984" ht="15.75" customHeight="1" s="2">
      <c r="A984" s="32" t="inlineStr">
        <is>
          <t>весна</t>
        </is>
      </c>
      <c r="B984" s="9" t="inlineStr">
        <is>
          <t>Педагогическая практика</t>
        </is>
      </c>
      <c r="C984" s="9" t="inlineStr">
        <is>
          <t>Практика</t>
        </is>
      </c>
      <c r="D984" s="9" t="inlineStr">
        <is>
          <t>Т11О-202А-19</t>
        </is>
      </c>
      <c r="E984" s="10" t="n">
        <v>30</v>
      </c>
      <c r="F984" s="9" t="n"/>
      <c r="G984" s="11" t="n">
        <v>0</v>
      </c>
      <c r="H984" s="21" t="inlineStr">
        <is>
          <t xml:space="preserve">82061     </t>
        </is>
      </c>
      <c r="I984" s="21" t="inlineStr">
        <is>
          <t xml:space="preserve">Моисеев Виктор Сергеевич </t>
        </is>
      </c>
      <c r="J984" s="9" t="n"/>
      <c r="K984" s="9" t="n"/>
      <c r="L984" s="9" t="inlineStr">
        <is>
          <t>Степанов Максим Александрович</t>
        </is>
      </c>
      <c r="M984" s="12">
        <f>SUMIFS($E$2:$E$1130,$A$2:$A$1130,"осень",$I$2:$I$1130,I984)</f>
        <v/>
      </c>
      <c r="N984" s="13">
        <f>SUMIFS($E$2:$E$1130,$A$2:$A$1130,"весна",$I$2:$I$1130,I984)</f>
        <v/>
      </c>
      <c r="O984" s="14">
        <f>M984+N984</f>
        <v/>
      </c>
      <c r="P984" s="15">
        <f>O984/$P$1</f>
        <v/>
      </c>
    </row>
    <row r="985" ht="15.75" customHeight="1" s="2">
      <c r="A985" s="32" t="inlineStr">
        <is>
          <t>весна</t>
        </is>
      </c>
      <c r="B985" s="9" t="inlineStr">
        <is>
          <t>Педагогическая практика</t>
        </is>
      </c>
      <c r="C985" s="9" t="inlineStr">
        <is>
          <t>Практика</t>
        </is>
      </c>
      <c r="D985" s="9" t="inlineStr">
        <is>
          <t>Т11О-207А-19</t>
        </is>
      </c>
      <c r="E985" s="10" t="n">
        <v>30</v>
      </c>
      <c r="F985" s="9" t="n"/>
      <c r="G985" s="11" t="n">
        <v>0</v>
      </c>
      <c r="H985" s="21" t="inlineStr">
        <is>
          <t xml:space="preserve">82061     </t>
        </is>
      </c>
      <c r="I985" s="21" t="inlineStr">
        <is>
          <t xml:space="preserve">Моисеев Виктор Сергеевич </t>
        </is>
      </c>
      <c r="J985" s="9" t="inlineStr">
        <is>
          <t>профессор</t>
        </is>
      </c>
      <c r="K985" s="9" t="n"/>
      <c r="L985" s="9" t="inlineStr">
        <is>
          <t>Ярошенко Патрушев Козлов</t>
        </is>
      </c>
      <c r="M985" s="12">
        <f>SUMIFS($E$2:$E$1130,$A$2:$A$1130,"осень",$I$2:$I$1130,I985)</f>
        <v/>
      </c>
      <c r="N985" s="13">
        <f>SUMIFS($E$2:$E$1130,$A$2:$A$1130,"весна",$I$2:$I$1130,I985)</f>
        <v/>
      </c>
      <c r="O985" s="14">
        <f>M985+N985</f>
        <v/>
      </c>
      <c r="P985" s="15">
        <f>O985/$P$1</f>
        <v/>
      </c>
    </row>
    <row r="986" ht="15.75" customHeight="1" s="2">
      <c r="A986" s="32" t="inlineStr">
        <is>
          <t>весна</t>
        </is>
      </c>
      <c r="B986" s="9" t="inlineStr">
        <is>
          <t>Педагогическая практика</t>
        </is>
      </c>
      <c r="C986" s="9" t="inlineStr">
        <is>
          <t>Преддипломная практика</t>
        </is>
      </c>
      <c r="D986" s="9" t="inlineStr">
        <is>
          <t>Т1О-402А-17</t>
        </is>
      </c>
      <c r="E986" s="10" t="n">
        <v>4</v>
      </c>
      <c r="F986" s="9" t="n"/>
      <c r="G986" s="11" t="n">
        <v>0</v>
      </c>
      <c r="H986" s="9" t="inlineStr">
        <is>
          <t xml:space="preserve">92509     </t>
        </is>
      </c>
      <c r="I986" s="9" t="inlineStr">
        <is>
          <t xml:space="preserve">Пашков Игорь Николаевич </t>
        </is>
      </c>
      <c r="J986" s="9" t="n"/>
      <c r="K986" s="9" t="n"/>
      <c r="L986" s="9" t="inlineStr">
        <is>
          <t>Морозов Шаргаев</t>
        </is>
      </c>
      <c r="M986" s="12">
        <f>SUMIFS($E$2:$E$1130,$A$2:$A$1130,"осень",$I$2:$I$1130,I986)</f>
        <v/>
      </c>
      <c r="N986" s="13">
        <f>SUMIFS($E$2:$E$1130,$A$2:$A$1130,"весна",$I$2:$I$1130,I986)</f>
        <v/>
      </c>
      <c r="O986" s="14">
        <f>M986+N986</f>
        <v/>
      </c>
      <c r="P986" s="15">
        <f>O986/$P$1</f>
        <v/>
      </c>
    </row>
    <row r="987" ht="15.75" customHeight="1" s="2">
      <c r="A987" s="32" t="inlineStr">
        <is>
          <t>весна</t>
        </is>
      </c>
      <c r="B987" s="9" t="inlineStr">
        <is>
          <t>Педагогическая практика</t>
        </is>
      </c>
      <c r="C987" s="9" t="inlineStr">
        <is>
          <t>Преддипломная практика</t>
        </is>
      </c>
      <c r="D987" s="9" t="inlineStr">
        <is>
          <t>Т1О-407А-17</t>
        </is>
      </c>
      <c r="E987" s="10" t="n">
        <v>2</v>
      </c>
      <c r="F987" s="9" t="n"/>
      <c r="G987" s="11" t="n">
        <v>0</v>
      </c>
      <c r="H987" s="9" t="inlineStr">
        <is>
          <t xml:space="preserve">82060     </t>
        </is>
      </c>
      <c r="I987" s="9" t="inlineStr">
        <is>
          <t xml:space="preserve">Лозован Александр Александрович </t>
        </is>
      </c>
      <c r="J987" s="9" t="inlineStr">
        <is>
          <t>профессор</t>
        </is>
      </c>
      <c r="K987" s="9" t="n"/>
      <c r="L987" s="9" t="inlineStr">
        <is>
          <t>Павлов</t>
        </is>
      </c>
      <c r="M987" s="12">
        <f>SUMIFS($E$2:$E$1130,$A$2:$A$1130,"осень",$I$2:$I$1130,I987)</f>
        <v/>
      </c>
      <c r="N987" s="13">
        <f>SUMIFS($E$2:$E$1130,$A$2:$A$1130,"весна",$I$2:$I$1130,I987)</f>
        <v/>
      </c>
      <c r="O987" s="14">
        <f>M987+N987</f>
        <v/>
      </c>
      <c r="P987" s="15">
        <f>O987/$P$1</f>
        <v/>
      </c>
    </row>
    <row r="988" ht="15.75" customHeight="1" s="2">
      <c r="A988" s="32" t="inlineStr">
        <is>
          <t>весна</t>
        </is>
      </c>
      <c r="B988" s="21" t="inlineStr">
        <is>
          <t>Преддипломная практика</t>
        </is>
      </c>
      <c r="C988" s="21" t="inlineStr">
        <is>
          <t>Преддипломная практика</t>
        </is>
      </c>
      <c r="D988" s="21" t="inlineStr">
        <is>
          <t>Т1О-401Б-17</t>
        </is>
      </c>
      <c r="E988" s="10" t="n">
        <v>16</v>
      </c>
      <c r="F988" s="9" t="n"/>
      <c r="G988" s="11" t="n">
        <v>0</v>
      </c>
      <c r="H988" s="9" t="n"/>
      <c r="I988" s="31" t="inlineStr">
        <is>
          <t xml:space="preserve">Федоров Сергей Александрович </t>
        </is>
      </c>
      <c r="J988" s="31" t="inlineStr">
        <is>
          <t>доцент</t>
        </is>
      </c>
      <c r="K988" s="9" t="n"/>
      <c r="L988" s="9" t="n"/>
      <c r="M988" s="12">
        <f>SUMIFS($E$2:$E$1130,$A$2:$A$1130,"осень",$I$2:$I$1130,I988)</f>
        <v/>
      </c>
      <c r="N988" s="13">
        <f>SUMIFS($E$2:$E$1130,$A$2:$A$1130,"весна",$I$2:$I$1130,I988)</f>
        <v/>
      </c>
      <c r="O988" s="14">
        <f>M988+N988</f>
        <v/>
      </c>
      <c r="P988" s="15">
        <f>O988/$P$1</f>
        <v/>
      </c>
    </row>
    <row r="989" ht="15.75" customHeight="1" s="2">
      <c r="A989" s="32" t="inlineStr">
        <is>
          <t>весна</t>
        </is>
      </c>
      <c r="B989" s="21" t="inlineStr">
        <is>
          <t>Преддипломная практика</t>
        </is>
      </c>
      <c r="C989" s="21" t="inlineStr">
        <is>
          <t>Преддипломная практика</t>
        </is>
      </c>
      <c r="D989" s="21" t="inlineStr">
        <is>
          <t>Т1О-401Б-17</t>
        </is>
      </c>
      <c r="E989" s="10" t="n">
        <v>16</v>
      </c>
      <c r="F989" s="9" t="n"/>
      <c r="G989" s="11" t="n">
        <v>0</v>
      </c>
      <c r="H989" s="9" t="n"/>
      <c r="I989" s="31" t="inlineStr">
        <is>
          <t xml:space="preserve">Соколов Алексей Викторович </t>
        </is>
      </c>
      <c r="J989" s="31" t="inlineStr">
        <is>
          <t>доцент</t>
        </is>
      </c>
      <c r="K989" s="9" t="n"/>
      <c r="L989" s="9" t="n"/>
      <c r="M989" s="12">
        <f>SUMIFS($E$2:$E$1130,$A$2:$A$1130,"осень",$I$2:$I$1130,I989)</f>
        <v/>
      </c>
      <c r="N989" s="13">
        <f>SUMIFS($E$2:$E$1130,$A$2:$A$1130,"весна",$I$2:$I$1130,I989)</f>
        <v/>
      </c>
      <c r="O989" s="14">
        <f>M989+N989</f>
        <v/>
      </c>
      <c r="P989" s="15">
        <f>O989/$P$1</f>
        <v/>
      </c>
    </row>
    <row r="990" ht="15.75" customHeight="1" s="2">
      <c r="A990" s="32" t="inlineStr">
        <is>
          <t>весна</t>
        </is>
      </c>
      <c r="B990" s="21" t="inlineStr">
        <is>
          <t>Преддипломная практика</t>
        </is>
      </c>
      <c r="C990" s="21" t="inlineStr">
        <is>
          <t>Преддипломная практика</t>
        </is>
      </c>
      <c r="D990" s="21" t="inlineStr">
        <is>
          <t>Т1О-404Б-17</t>
        </is>
      </c>
      <c r="E990" s="23" t="n">
        <v>23</v>
      </c>
      <c r="F990" s="9" t="n"/>
      <c r="G990" s="11" t="n">
        <v>0</v>
      </c>
      <c r="H990" s="9" t="n"/>
      <c r="I990" s="32" t="inlineStr">
        <is>
          <t xml:space="preserve">Галкин Виктор Иванович </t>
        </is>
      </c>
      <c r="J990" s="32" t="inlineStr">
        <is>
          <t>профессор</t>
        </is>
      </c>
      <c r="K990" s="9" t="n"/>
      <c r="L990" s="9" t="n"/>
      <c r="M990" s="12">
        <f>SUMIFS($E$2:$E$1130,$A$2:$A$1130,"осень",$I$2:$I$1130,I990)</f>
        <v/>
      </c>
      <c r="N990" s="13">
        <f>SUMIFS($E$2:$E$1130,$A$2:$A$1130,"весна",$I$2:$I$1130,I990)</f>
        <v/>
      </c>
      <c r="O990" s="14">
        <f>M990+N990</f>
        <v/>
      </c>
      <c r="P990" s="15">
        <f>O990/$P$1</f>
        <v/>
      </c>
    </row>
    <row r="991" ht="15.75" customHeight="1" s="2">
      <c r="A991" s="32" t="inlineStr">
        <is>
          <t>весна</t>
        </is>
      </c>
      <c r="B991" s="21" t="inlineStr">
        <is>
          <t>Преддипломная практика</t>
        </is>
      </c>
      <c r="C991" s="21" t="inlineStr">
        <is>
          <t>Преддипломная практика</t>
        </is>
      </c>
      <c r="D991" s="21" t="inlineStr">
        <is>
          <t>Т1О-404Б-17</t>
        </is>
      </c>
      <c r="E991" s="23" t="n">
        <v>23</v>
      </c>
      <c r="F991" s="9" t="n"/>
      <c r="G991" s="11" t="n">
        <v>0</v>
      </c>
      <c r="H991" s="9" t="n"/>
      <c r="I991" s="32" t="inlineStr">
        <is>
          <t xml:space="preserve">Галкин Евгений Владимирович </t>
        </is>
      </c>
      <c r="J991" s="32" t="inlineStr">
        <is>
          <t>доцент</t>
        </is>
      </c>
      <c r="K991" s="9" t="n"/>
      <c r="L991" s="9" t="n"/>
      <c r="M991" s="12">
        <f>SUMIFS($E$2:$E$1130,$A$2:$A$1130,"осень",$I$2:$I$1130,I991)</f>
        <v/>
      </c>
      <c r="N991" s="13">
        <f>SUMIFS($E$2:$E$1130,$A$2:$A$1130,"весна",$I$2:$I$1130,I991)</f>
        <v/>
      </c>
      <c r="O991" s="14">
        <f>M991+N991</f>
        <v/>
      </c>
      <c r="P991" s="15">
        <f>O991/$P$1</f>
        <v/>
      </c>
    </row>
    <row r="992" ht="15.75" customHeight="1" s="2">
      <c r="A992" s="32" t="inlineStr">
        <is>
          <t>весна</t>
        </is>
      </c>
      <c r="B992" s="21" t="inlineStr">
        <is>
          <t>Преддипломная практика</t>
        </is>
      </c>
      <c r="C992" s="21" t="inlineStr">
        <is>
          <t>Преддипломная практика</t>
        </is>
      </c>
      <c r="D992" s="21" t="inlineStr">
        <is>
          <t>Т1О-402Б-17</t>
        </is>
      </c>
      <c r="E992" s="23" t="n">
        <v>2</v>
      </c>
      <c r="F992" s="9" t="n"/>
      <c r="G992" s="11" t="n">
        <v>0</v>
      </c>
      <c r="H992" s="9" t="n"/>
      <c r="I992" s="33" t="inlineStr">
        <is>
          <t xml:space="preserve">Варфоломеев Максим Сергеевич </t>
        </is>
      </c>
      <c r="J992" s="9" t="n"/>
      <c r="K992" s="9" t="n"/>
      <c r="L992" s="9" t="n"/>
      <c r="M992" s="12">
        <f>SUMIFS($E$2:$E$1130,$A$2:$A$1130,"осень",$I$2:$I$1130,I992)</f>
        <v/>
      </c>
      <c r="N992" s="13">
        <f>SUMIFS($E$2:$E$1130,$A$2:$A$1130,"весна",$I$2:$I$1130,I992)</f>
        <v/>
      </c>
      <c r="O992" s="14">
        <f>M992+N992</f>
        <v/>
      </c>
      <c r="P992" s="15">
        <f>O992/$P$1</f>
        <v/>
      </c>
    </row>
    <row r="993" ht="15.75" customHeight="1" s="2">
      <c r="A993" s="32" t="inlineStr">
        <is>
          <t>весна</t>
        </is>
      </c>
      <c r="B993" s="21" t="inlineStr">
        <is>
          <t>Преддипломная практика</t>
        </is>
      </c>
      <c r="C993" s="21" t="inlineStr">
        <is>
          <t>Преддипломная практика</t>
        </is>
      </c>
      <c r="D993" s="21" t="inlineStr">
        <is>
          <t>Т1О-402Б-17</t>
        </is>
      </c>
      <c r="E993" s="23" t="n">
        <v>2</v>
      </c>
      <c r="F993" s="9" t="n"/>
      <c r="G993" s="11" t="n">
        <v>0</v>
      </c>
      <c r="H993" s="9" t="n"/>
      <c r="I993" s="33" t="inlineStr">
        <is>
          <t>Бережной Дмитрий Васильевич</t>
        </is>
      </c>
      <c r="J993" s="9" t="n"/>
      <c r="K993" s="9" t="n"/>
      <c r="L993" s="9" t="n"/>
      <c r="M993" s="12">
        <f>SUMIFS($E$2:$E$1130,$A$2:$A$1130,"осень",$I$2:$I$1130,I993)</f>
        <v/>
      </c>
      <c r="N993" s="13">
        <f>SUMIFS($E$2:$E$1130,$A$2:$A$1130,"весна",$I$2:$I$1130,I993)</f>
        <v/>
      </c>
      <c r="O993" s="14">
        <f>M993+N993</f>
        <v/>
      </c>
      <c r="P993" s="15">
        <f>O993/$P$1</f>
        <v/>
      </c>
    </row>
    <row r="994" ht="15.75" customHeight="1" s="2">
      <c r="A994" s="32" t="inlineStr">
        <is>
          <t>весна</t>
        </is>
      </c>
      <c r="B994" s="21" t="inlineStr">
        <is>
          <t>Преддипломная практика</t>
        </is>
      </c>
      <c r="C994" s="21" t="inlineStr">
        <is>
          <t>Преддипломная практика</t>
        </is>
      </c>
      <c r="D994" s="21" t="inlineStr">
        <is>
          <t>Т1О-402Б-17</t>
        </is>
      </c>
      <c r="E994" s="23" t="n">
        <v>2</v>
      </c>
      <c r="F994" s="9" t="n"/>
      <c r="G994" s="11" t="n">
        <v>0</v>
      </c>
      <c r="H994" s="9" t="n"/>
      <c r="I994" s="9" t="inlineStr">
        <is>
          <t xml:space="preserve">Смыков Андрей Федорович </t>
        </is>
      </c>
      <c r="J994" s="9" t="n"/>
      <c r="K994" s="9" t="n"/>
      <c r="L994" s="9" t="n"/>
      <c r="M994" s="12">
        <f>SUMIFS($E$2:$E$1130,$A$2:$A$1130,"осень",$I$2:$I$1130,I994)</f>
        <v/>
      </c>
      <c r="N994" s="13">
        <f>SUMIFS($E$2:$E$1130,$A$2:$A$1130,"весна",$I$2:$I$1130,I994)</f>
        <v/>
      </c>
      <c r="O994" s="14">
        <f>M994+N994</f>
        <v/>
      </c>
      <c r="P994" s="15">
        <f>O994/$P$1</f>
        <v/>
      </c>
    </row>
    <row r="995" ht="15.75" customHeight="1" s="2">
      <c r="A995" s="32" t="inlineStr">
        <is>
          <t>весна</t>
        </is>
      </c>
      <c r="B995" s="21" t="inlineStr">
        <is>
          <t>Преддипломная практика</t>
        </is>
      </c>
      <c r="C995" s="21" t="inlineStr">
        <is>
          <t>Преддипломная практика</t>
        </is>
      </c>
      <c r="D995" s="21" t="inlineStr">
        <is>
          <t>Т1О-402Б-17</t>
        </is>
      </c>
      <c r="E995" s="23" t="n">
        <v>11</v>
      </c>
      <c r="F995" s="9" t="n"/>
      <c r="G995" s="11" t="n">
        <v>0</v>
      </c>
      <c r="H995" s="9" t="n"/>
      <c r="I995" s="9" t="inlineStr">
        <is>
          <t xml:space="preserve">Моисеев Виктор Сергеевич </t>
        </is>
      </c>
      <c r="J995" s="9" t="n"/>
      <c r="K995" s="9" t="n"/>
      <c r="L995" s="9" t="n"/>
      <c r="M995" s="12">
        <f>SUMIFS($E$2:$E$1130,$A$2:$A$1130,"осень",$I$2:$I$1130,I995)</f>
        <v/>
      </c>
      <c r="N995" s="13">
        <f>SUMIFS($E$2:$E$1130,$A$2:$A$1130,"весна",$I$2:$I$1130,I995)</f>
        <v/>
      </c>
      <c r="O995" s="14">
        <f>M995+N995</f>
        <v/>
      </c>
      <c r="P995" s="15">
        <f>O995/$P$1</f>
        <v/>
      </c>
    </row>
    <row r="996" ht="15.75" customHeight="1" s="2">
      <c r="A996" s="32" t="inlineStr">
        <is>
          <t>весна</t>
        </is>
      </c>
      <c r="B996" s="21" t="inlineStr">
        <is>
          <t>Преддипломная практика</t>
        </is>
      </c>
      <c r="C996" s="21" t="inlineStr">
        <is>
          <t>Преддипломная практика</t>
        </is>
      </c>
      <c r="D996" s="21" t="inlineStr">
        <is>
          <t>Т1О-402Б-17</t>
        </is>
      </c>
      <c r="E996" s="23" t="n">
        <v>10</v>
      </c>
      <c r="F996" s="9" t="n"/>
      <c r="G996" s="11" t="n">
        <v>0</v>
      </c>
      <c r="H996" s="9" t="n"/>
      <c r="I996" s="9" t="inlineStr">
        <is>
          <t xml:space="preserve">Барабанова Ольга Алексеевна </t>
        </is>
      </c>
      <c r="J996" s="9" t="n"/>
      <c r="K996" s="9" t="n"/>
      <c r="L996" s="9" t="n"/>
      <c r="M996" s="12">
        <f>SUMIFS($E$2:$E$1130,$A$2:$A$1130,"осень",$I$2:$I$1130,I996)</f>
        <v/>
      </c>
      <c r="N996" s="13">
        <f>SUMIFS($E$2:$E$1130,$A$2:$A$1130,"весна",$I$2:$I$1130,I996)</f>
        <v/>
      </c>
      <c r="O996" s="14">
        <f>M996+N996</f>
        <v/>
      </c>
      <c r="P996" s="15">
        <f>O996/$P$1</f>
        <v/>
      </c>
    </row>
    <row r="997" ht="15.75" customHeight="1" s="2">
      <c r="A997" s="32" t="inlineStr">
        <is>
          <t>весна</t>
        </is>
      </c>
      <c r="B997" s="21" t="inlineStr">
        <is>
          <t>Преддипломная практика</t>
        </is>
      </c>
      <c r="C997" s="21" t="inlineStr">
        <is>
          <t>Преддипломная практика</t>
        </is>
      </c>
      <c r="D997" s="21" t="inlineStr">
        <is>
          <t>Т1О-402Б-17</t>
        </is>
      </c>
      <c r="E997" s="23" t="n">
        <v>7</v>
      </c>
      <c r="F997" s="9" t="n"/>
      <c r="G997" s="11" t="n">
        <v>0</v>
      </c>
      <c r="H997" s="9" t="n"/>
      <c r="I997" s="9" t="inlineStr">
        <is>
          <t xml:space="preserve">Серов Михаил Михайлович </t>
        </is>
      </c>
      <c r="J997" s="9" t="n"/>
      <c r="K997" s="9" t="n"/>
      <c r="L997" s="9" t="n"/>
      <c r="M997" s="12">
        <f>SUMIFS($E$2:$E$1130,$A$2:$A$1130,"осень",$I$2:$I$1130,I997)</f>
        <v/>
      </c>
      <c r="N997" s="13">
        <f>SUMIFS($E$2:$E$1130,$A$2:$A$1130,"весна",$I$2:$I$1130,I997)</f>
        <v/>
      </c>
      <c r="O997" s="14">
        <f>M997+N997</f>
        <v/>
      </c>
      <c r="P997" s="15">
        <f>O997/$P$1</f>
        <v/>
      </c>
    </row>
    <row r="998" ht="15.75" customHeight="1" s="2">
      <c r="A998" s="32" t="inlineStr">
        <is>
          <t>весна</t>
        </is>
      </c>
      <c r="B998" s="21" t="inlineStr">
        <is>
          <t>Преддипломная практика</t>
        </is>
      </c>
      <c r="C998" s="21" t="inlineStr">
        <is>
          <t>Преддипломная практика</t>
        </is>
      </c>
      <c r="D998" s="21" t="inlineStr">
        <is>
          <t>Т1В-516Б-16</t>
        </is>
      </c>
      <c r="E998" s="23" t="n">
        <v>36</v>
      </c>
      <c r="F998" s="9" t="n"/>
      <c r="G998" s="11" t="n">
        <v>0</v>
      </c>
      <c r="H998" s="9" t="n"/>
      <c r="I998" s="9" t="inlineStr">
        <is>
          <t xml:space="preserve">Соколов Алексей Викторович </t>
        </is>
      </c>
      <c r="J998" s="9" t="n"/>
      <c r="K998" s="9" t="inlineStr">
        <is>
          <t>председ</t>
        </is>
      </c>
      <c r="L998" s="9" t="n"/>
      <c r="M998" s="12">
        <f>SUMIFS($E$2:$E$1130,$A$2:$A$1130,"осень",$I$2:$I$1130,I998)</f>
        <v/>
      </c>
      <c r="N998" s="13">
        <f>SUMIFS($E$2:$E$1130,$A$2:$A$1130,"весна",$I$2:$I$1130,I998)</f>
        <v/>
      </c>
      <c r="O998" s="14">
        <f>M998+N998</f>
        <v/>
      </c>
      <c r="P998" s="15">
        <f>O998/$P$1</f>
        <v/>
      </c>
    </row>
    <row r="999" ht="15.75" customHeight="1" s="2">
      <c r="A999" s="32" t="inlineStr">
        <is>
          <t>весна</t>
        </is>
      </c>
      <c r="B999" s="21" t="inlineStr">
        <is>
          <t>Преддипломная практика</t>
        </is>
      </c>
      <c r="C999" s="21" t="inlineStr">
        <is>
          <t>Преддипломная практика</t>
        </is>
      </c>
      <c r="D999" s="21" t="inlineStr">
        <is>
          <t>Т11О-201М-19</t>
        </is>
      </c>
      <c r="E999" s="10" t="n">
        <v>5</v>
      </c>
      <c r="F999" s="9" t="n"/>
      <c r="G999" s="11" t="n">
        <v>0</v>
      </c>
      <c r="H999" s="9" t="n"/>
      <c r="I999" s="24" t="inlineStr">
        <is>
          <t xml:space="preserve">Беспалов Александр Владимирович </t>
        </is>
      </c>
      <c r="J999" s="24" t="inlineStr">
        <is>
          <t>доцент</t>
        </is>
      </c>
      <c r="K999" s="9" t="n"/>
      <c r="L999" s="9" t="n"/>
      <c r="M999" s="12">
        <f>SUMIFS($E$2:$E$1130,$A$2:$A$1130,"осень",$I$2:$I$1130,I999)</f>
        <v/>
      </c>
      <c r="N999" s="13">
        <f>SUMIFS($E$2:$E$1130,$A$2:$A$1130,"весна",$I$2:$I$1130,I999)</f>
        <v/>
      </c>
      <c r="O999" s="14">
        <f>M999+N999</f>
        <v/>
      </c>
      <c r="P999" s="15">
        <f>O999/$P$1</f>
        <v/>
      </c>
    </row>
    <row r="1000" ht="15.75" customHeight="1" s="2">
      <c r="A1000" s="32" t="inlineStr">
        <is>
          <t>весна</t>
        </is>
      </c>
      <c r="B1000" s="21" t="inlineStr">
        <is>
          <t>Преддипломная практика</t>
        </is>
      </c>
      <c r="C1000" s="21" t="inlineStr">
        <is>
          <t>Преддипломная практика</t>
        </is>
      </c>
      <c r="D1000" s="21" t="inlineStr">
        <is>
          <t>Т11О-201М-19</t>
        </is>
      </c>
      <c r="E1000" s="10" t="n">
        <v>5</v>
      </c>
      <c r="F1000" s="9" t="n"/>
      <c r="G1000" s="11" t="n">
        <v>0</v>
      </c>
      <c r="H1000" s="9" t="n"/>
      <c r="I1000" s="9" t="inlineStr">
        <is>
          <t xml:space="preserve">Галкин Виктор Иванович </t>
        </is>
      </c>
      <c r="J1000" s="34" t="inlineStr">
        <is>
          <t>профессор</t>
        </is>
      </c>
      <c r="K1000" s="9" t="n"/>
      <c r="L1000" s="9" t="n"/>
      <c r="M1000" s="12">
        <f>SUMIFS($E$2:$E$1130,$A$2:$A$1130,"осень",$I$2:$I$1130,I1000)</f>
        <v/>
      </c>
      <c r="N1000" s="13">
        <f>SUMIFS($E$2:$E$1130,$A$2:$A$1130,"весна",$I$2:$I$1130,I1000)</f>
        <v/>
      </c>
      <c r="O1000" s="14">
        <f>M1000+N1000</f>
        <v/>
      </c>
      <c r="P1000" s="15">
        <f>O1000/$P$1</f>
        <v/>
      </c>
    </row>
    <row r="1001" ht="15.75" customHeight="1" s="2">
      <c r="A1001" s="32" t="inlineStr">
        <is>
          <t>весна</t>
        </is>
      </c>
      <c r="B1001" s="21" t="inlineStr">
        <is>
          <t>Преддипломная практика</t>
        </is>
      </c>
      <c r="C1001" s="21" t="inlineStr">
        <is>
          <t>Преддипломная практика</t>
        </is>
      </c>
      <c r="D1001" s="21" t="inlineStr">
        <is>
          <t>Т11О-201М-19</t>
        </is>
      </c>
      <c r="E1001" s="10" t="n">
        <v>5</v>
      </c>
      <c r="F1001" s="9" t="n"/>
      <c r="G1001" s="11" t="n">
        <v>0</v>
      </c>
      <c r="H1001" s="9" t="n"/>
      <c r="I1001" s="35" t="inlineStr">
        <is>
          <t xml:space="preserve">Шленский Алексей Геннадьевич </t>
        </is>
      </c>
      <c r="J1001" s="9" t="inlineStr">
        <is>
          <t>доцент</t>
        </is>
      </c>
      <c r="K1001" s="9" t="n"/>
      <c r="L1001" s="9" t="n"/>
      <c r="M1001" s="12">
        <f>SUMIFS($E$2:$E$1130,$A$2:$A$1130,"осень",$I$2:$I$1130,I1001)</f>
        <v/>
      </c>
      <c r="N1001" s="13">
        <f>SUMIFS($E$2:$E$1130,$A$2:$A$1130,"весна",$I$2:$I$1130,I1001)</f>
        <v/>
      </c>
      <c r="O1001" s="14">
        <f>M1001+N1001</f>
        <v/>
      </c>
      <c r="P1001" s="15">
        <f>O1001/$P$1</f>
        <v/>
      </c>
    </row>
    <row r="1002" ht="15.75" customHeight="1" s="2">
      <c r="A1002" s="32" t="inlineStr">
        <is>
          <t>весна</t>
        </is>
      </c>
      <c r="B1002" s="21" t="inlineStr">
        <is>
          <t>Преддипломная практика</t>
        </is>
      </c>
      <c r="C1002" s="21" t="inlineStr">
        <is>
          <t>Преддипломная практика</t>
        </is>
      </c>
      <c r="D1002" s="21" t="inlineStr">
        <is>
          <t>Т11О-201М-19</t>
        </is>
      </c>
      <c r="E1002" s="10" t="n">
        <v>5</v>
      </c>
      <c r="F1002" s="9" t="n"/>
      <c r="G1002" s="11" t="n">
        <v>0</v>
      </c>
      <c r="H1002" s="9" t="n"/>
      <c r="I1002" s="36" t="inlineStr">
        <is>
          <t xml:space="preserve">Соколов Алексей Викторович </t>
        </is>
      </c>
      <c r="J1002" s="9" t="inlineStr">
        <is>
          <t>доцент</t>
        </is>
      </c>
      <c r="K1002" s="9" t="n"/>
      <c r="L1002" s="9" t="n"/>
      <c r="M1002" s="12">
        <f>SUMIFS($E$2:$E$1130,$A$2:$A$1130,"осень",$I$2:$I$1130,I1002)</f>
        <v/>
      </c>
      <c r="N1002" s="13">
        <f>SUMIFS($E$2:$E$1130,$A$2:$A$1130,"весна",$I$2:$I$1130,I1002)</f>
        <v/>
      </c>
      <c r="O1002" s="14">
        <f>M1002+N1002</f>
        <v/>
      </c>
      <c r="P1002" s="15">
        <f>O1002/$P$1</f>
        <v/>
      </c>
    </row>
    <row r="1003" ht="15.75" customHeight="1" s="2">
      <c r="A1003" s="32" t="inlineStr">
        <is>
          <t>весна</t>
        </is>
      </c>
      <c r="B1003" s="21" t="inlineStr">
        <is>
          <t>Преддипломная практика</t>
        </is>
      </c>
      <c r="C1003" s="21" t="inlineStr">
        <is>
          <t>Преддипломная практика</t>
        </is>
      </c>
      <c r="D1003" s="21" t="inlineStr">
        <is>
          <t>Т11О-201М-19</t>
        </is>
      </c>
      <c r="E1003" s="10" t="n">
        <v>5</v>
      </c>
      <c r="F1003" s="9" t="n"/>
      <c r="G1003" s="11" t="n">
        <v>0</v>
      </c>
      <c r="H1003" s="9" t="n"/>
      <c r="I1003" s="9" t="inlineStr">
        <is>
          <t xml:space="preserve">Галкин Виктор Иванович </t>
        </is>
      </c>
      <c r="J1003" s="34" t="inlineStr">
        <is>
          <t>профессор</t>
        </is>
      </c>
      <c r="K1003" s="9" t="n"/>
      <c r="L1003" s="9" t="n"/>
      <c r="M1003" s="12">
        <f>SUMIFS($E$2:$E$1130,$A$2:$A$1130,"осень",$I$2:$I$1130,I1003)</f>
        <v/>
      </c>
      <c r="N1003" s="13">
        <f>SUMIFS($E$2:$E$1130,$A$2:$A$1130,"весна",$I$2:$I$1130,I1003)</f>
        <v/>
      </c>
      <c r="O1003" s="14">
        <f>M1003+N1003</f>
        <v/>
      </c>
      <c r="P1003" s="15">
        <f>O1003/$P$1</f>
        <v/>
      </c>
    </row>
    <row r="1004" ht="15.75" customHeight="1" s="2">
      <c r="A1004" s="32" t="inlineStr">
        <is>
          <t>весна</t>
        </is>
      </c>
      <c r="B1004" s="21" t="inlineStr">
        <is>
          <t>Преддипломная практика</t>
        </is>
      </c>
      <c r="C1004" s="21" t="inlineStr">
        <is>
          <t>Преддипломная практика</t>
        </is>
      </c>
      <c r="D1004" s="21" t="inlineStr">
        <is>
          <t>Т11О-202М-19</t>
        </is>
      </c>
      <c r="E1004" s="23" t="n">
        <v>3</v>
      </c>
      <c r="F1004" s="9" t="n"/>
      <c r="G1004" s="11" t="n"/>
      <c r="H1004" s="9" t="n"/>
      <c r="I1004" s="9" t="inlineStr">
        <is>
          <t xml:space="preserve">Петров Игорь Алексеевич </t>
        </is>
      </c>
      <c r="J1004" s="9" t="inlineStr">
        <is>
          <t>доцент</t>
        </is>
      </c>
      <c r="K1004" s="9" t="n"/>
      <c r="L1004" s="9" t="n"/>
      <c r="M1004" s="12">
        <f>SUMIFS($E$2:$E$1130,$A$2:$A$1130,"осень",$I$2:$I$1130,I1004)</f>
        <v/>
      </c>
      <c r="N1004" s="13">
        <f>SUMIFS($E$2:$E$1130,$A$2:$A$1130,"весна",$I$2:$I$1130,I1004)</f>
        <v/>
      </c>
      <c r="O1004" s="14">
        <f>M1004+N1004</f>
        <v/>
      </c>
      <c r="P1004" s="15">
        <f>O1004/$P$1</f>
        <v/>
      </c>
    </row>
    <row r="1005" ht="15.75" customHeight="1" s="2">
      <c r="A1005" s="32" t="inlineStr">
        <is>
          <t>весна</t>
        </is>
      </c>
      <c r="B1005" s="21" t="inlineStr">
        <is>
          <t>Преддипломная практика</t>
        </is>
      </c>
      <c r="C1005" s="21" t="inlineStr">
        <is>
          <t>Преддипломная практика</t>
        </is>
      </c>
      <c r="D1005" s="21" t="inlineStr">
        <is>
          <t>Т11О-202М-19</t>
        </is>
      </c>
      <c r="E1005" s="23" t="n">
        <v>3</v>
      </c>
      <c r="F1005" s="9" t="n"/>
      <c r="G1005" s="11" t="n"/>
      <c r="H1005" s="9" t="n"/>
      <c r="I1005" s="9" t="inlineStr">
        <is>
          <t xml:space="preserve">Варфоломеев Максим Сергеевич </t>
        </is>
      </c>
      <c r="J1005" s="37" t="n"/>
      <c r="K1005" s="9" t="n"/>
      <c r="L1005" s="9" t="n"/>
      <c r="M1005" s="12">
        <f>SUMIFS($E$2:$E$1130,$A$2:$A$1130,"осень",$I$2:$I$1130,I1005)</f>
        <v/>
      </c>
      <c r="N1005" s="13">
        <f>SUMIFS($E$2:$E$1130,$A$2:$A$1130,"весна",$I$2:$I$1130,I1005)</f>
        <v/>
      </c>
      <c r="O1005" s="14">
        <f>M1005+N1005</f>
        <v/>
      </c>
      <c r="P1005" s="15">
        <f>O1005/$P$1</f>
        <v/>
      </c>
    </row>
    <row r="1006" ht="15.75" customHeight="1" s="2">
      <c r="A1006" s="32" t="inlineStr">
        <is>
          <t>весна</t>
        </is>
      </c>
      <c r="B1006" s="21" t="inlineStr">
        <is>
          <t>Преддипломная практика</t>
        </is>
      </c>
      <c r="C1006" s="21" t="inlineStr">
        <is>
          <t>Преддипломная практика</t>
        </is>
      </c>
      <c r="D1006" s="21" t="inlineStr">
        <is>
          <t>Т11О-202М-19</t>
        </is>
      </c>
      <c r="E1006" s="23" t="n">
        <v>3</v>
      </c>
      <c r="F1006" s="9" t="n"/>
      <c r="G1006" s="11" t="n"/>
      <c r="H1006" s="9" t="n"/>
      <c r="I1006" s="9" t="inlineStr">
        <is>
          <t xml:space="preserve">Смыков Андрей Федорович </t>
        </is>
      </c>
      <c r="J1006" s="37" t="n"/>
      <c r="K1006" s="9" t="n"/>
      <c r="L1006" s="9" t="n"/>
      <c r="M1006" s="12">
        <f>SUMIFS($E$2:$E$1130,$A$2:$A$1130,"осень",$I$2:$I$1130,I1006)</f>
        <v/>
      </c>
      <c r="N1006" s="13">
        <f>SUMIFS($E$2:$E$1130,$A$2:$A$1130,"весна",$I$2:$I$1130,I1006)</f>
        <v/>
      </c>
      <c r="O1006" s="14">
        <f>M1006+N1006</f>
        <v/>
      </c>
      <c r="P1006" s="15">
        <f>O1006/$P$1</f>
        <v/>
      </c>
    </row>
    <row r="1007" ht="15.75" customHeight="1" s="2">
      <c r="A1007" s="32" t="inlineStr">
        <is>
          <t>весна</t>
        </is>
      </c>
      <c r="B1007" s="21" t="inlineStr">
        <is>
          <t>Преддипломная практика</t>
        </is>
      </c>
      <c r="C1007" s="21" t="inlineStr">
        <is>
          <t>Преддипломная практика</t>
        </is>
      </c>
      <c r="D1007" s="21" t="inlineStr">
        <is>
          <t>Т11О-202М-19</t>
        </is>
      </c>
      <c r="E1007" s="23" t="n">
        <v>12</v>
      </c>
      <c r="F1007" s="9" t="n"/>
      <c r="G1007" s="11" t="n"/>
      <c r="H1007" s="9" t="n"/>
      <c r="I1007" s="38" t="inlineStr">
        <is>
          <t xml:space="preserve">Моисеев Виктор Сергеевич </t>
        </is>
      </c>
      <c r="J1007" s="37" t="n"/>
      <c r="K1007" s="9" t="n"/>
      <c r="L1007" s="9" t="n"/>
      <c r="M1007" s="12">
        <f>SUMIFS($E$2:$E$1130,$A$2:$A$1130,"осень",$I$2:$I$1130,I1007)</f>
        <v/>
      </c>
      <c r="N1007" s="13">
        <f>SUMIFS($E$2:$E$1130,$A$2:$A$1130,"весна",$I$2:$I$1130,I1007)</f>
        <v/>
      </c>
      <c r="O1007" s="14">
        <f>M1007+N1007</f>
        <v/>
      </c>
      <c r="P1007" s="15">
        <f>O1007/$P$1</f>
        <v/>
      </c>
    </row>
    <row r="1008" ht="15.75" customHeight="1" s="2">
      <c r="A1008" s="32" t="inlineStr">
        <is>
          <t>весна</t>
        </is>
      </c>
      <c r="B1008" s="21" t="inlineStr">
        <is>
          <t>Преддипломная практика</t>
        </is>
      </c>
      <c r="C1008" s="21" t="inlineStr">
        <is>
          <t>Преддипломная практика</t>
        </is>
      </c>
      <c r="D1008" s="21" t="inlineStr">
        <is>
          <t>Т11О-203М-19</t>
        </is>
      </c>
      <c r="E1008" s="10" t="n">
        <v>5</v>
      </c>
      <c r="F1008" s="9" t="n"/>
      <c r="G1008" s="11" t="n">
        <v>0</v>
      </c>
      <c r="H1008" s="9" t="n"/>
      <c r="I1008" s="39" t="inlineStr">
        <is>
          <t xml:space="preserve">Конкевич Валентин Юрьевич </t>
        </is>
      </c>
      <c r="J1008" s="9" t="n"/>
      <c r="K1008" s="9" t="n"/>
      <c r="L1008" s="9" t="n"/>
      <c r="M1008" s="12">
        <f>SUMIFS($E$2:$E$1130,$A$2:$A$1130,"осень",$I$2:$I$1130,I1008)</f>
        <v/>
      </c>
      <c r="N1008" s="13">
        <f>SUMIFS($E$2:$E$1130,$A$2:$A$1130,"весна",$I$2:$I$1130,I1008)</f>
        <v/>
      </c>
      <c r="O1008" s="14">
        <f>M1008+N1008</f>
        <v/>
      </c>
      <c r="P1008" s="15">
        <f>O1008/$P$1</f>
        <v/>
      </c>
    </row>
    <row r="1009" ht="15.75" customHeight="1" s="2">
      <c r="A1009" s="32" t="inlineStr">
        <is>
          <t>весна</t>
        </is>
      </c>
      <c r="B1009" s="21" t="inlineStr">
        <is>
          <t>Преддипломная практика</t>
        </is>
      </c>
      <c r="C1009" s="21" t="inlineStr">
        <is>
          <t>Преддипломная практика</t>
        </is>
      </c>
      <c r="D1009" s="21" t="inlineStr">
        <is>
          <t>Т11О-203М-19</t>
        </is>
      </c>
      <c r="E1009" s="10" t="n">
        <v>10</v>
      </c>
      <c r="F1009" s="9" t="n"/>
      <c r="G1009" s="11" t="n">
        <v>0</v>
      </c>
      <c r="H1009" s="9" t="n"/>
      <c r="I1009" s="39" t="inlineStr">
        <is>
          <t xml:space="preserve">Лозован Александр Александрович </t>
        </is>
      </c>
      <c r="J1009" s="9" t="n"/>
      <c r="K1009" s="9" t="n"/>
      <c r="L1009" s="9" t="n"/>
      <c r="M1009" s="12">
        <f>SUMIFS($E$2:$E$1130,$A$2:$A$1130,"осень",$I$2:$I$1130,I1009)</f>
        <v/>
      </c>
      <c r="N1009" s="13">
        <f>SUMIFS($E$2:$E$1130,$A$2:$A$1130,"весна",$I$2:$I$1130,I1009)</f>
        <v/>
      </c>
      <c r="O1009" s="14">
        <f>M1009+N1009</f>
        <v/>
      </c>
      <c r="P1009" s="15">
        <f>O1009/$P$1</f>
        <v/>
      </c>
    </row>
    <row r="1010" ht="15.75" customHeight="1" s="2">
      <c r="A1010" s="32" t="inlineStr">
        <is>
          <t>весна</t>
        </is>
      </c>
      <c r="B1010" s="21" t="inlineStr">
        <is>
          <t>Преддипломная практика</t>
        </is>
      </c>
      <c r="C1010" s="21" t="inlineStr">
        <is>
          <t>Преддипломная практика</t>
        </is>
      </c>
      <c r="D1010" s="21" t="inlineStr">
        <is>
          <t>Т11О-203М-19</t>
        </is>
      </c>
      <c r="E1010" s="10" t="n">
        <v>5</v>
      </c>
      <c r="F1010" s="9" t="n"/>
      <c r="G1010" s="11" t="n">
        <v>0</v>
      </c>
      <c r="H1010" s="9" t="n"/>
      <c r="I1010" s="39" t="inlineStr">
        <is>
          <t xml:space="preserve">Серов Михаил Михайлович </t>
        </is>
      </c>
      <c r="J1010" s="9" t="n"/>
      <c r="K1010" s="9" t="n"/>
      <c r="L1010" s="9" t="n"/>
      <c r="M1010" s="12">
        <f>SUMIFS($E$2:$E$1130,$A$2:$A$1130,"осень",$I$2:$I$1130,I1010)</f>
        <v/>
      </c>
      <c r="N1010" s="13">
        <f>SUMIFS($E$2:$E$1130,$A$2:$A$1130,"весна",$I$2:$I$1130,I1010)</f>
        <v/>
      </c>
      <c r="O1010" s="14">
        <f>M1010+N1010</f>
        <v/>
      </c>
      <c r="P1010" s="15">
        <f>O1010/$P$1</f>
        <v/>
      </c>
    </row>
    <row r="1011" ht="15.75" customHeight="1" s="2">
      <c r="A1011" s="32" t="inlineStr">
        <is>
          <t>весна</t>
        </is>
      </c>
      <c r="B1011" s="21" t="inlineStr">
        <is>
          <t>Преддипломная практика</t>
        </is>
      </c>
      <c r="C1011" s="21" t="inlineStr">
        <is>
          <t>Преддипломная практика</t>
        </is>
      </c>
      <c r="D1011" s="21" t="inlineStr">
        <is>
          <t>Т11О-203М-19</t>
        </is>
      </c>
      <c r="E1011" s="10" t="n">
        <v>5</v>
      </c>
      <c r="F1011" s="9" t="n"/>
      <c r="G1011" s="11" t="n">
        <v>0</v>
      </c>
      <c r="H1011" s="9" t="n"/>
      <c r="I1011" s="39" t="inlineStr">
        <is>
          <t xml:space="preserve">Пашков Игорь Николаевич </t>
        </is>
      </c>
      <c r="J1011" s="9" t="n"/>
      <c r="K1011" s="9" t="n"/>
      <c r="L1011" s="9" t="n"/>
      <c r="M1011" s="12">
        <f>SUMIFS($E$2:$E$1130,$A$2:$A$1130,"осень",$I$2:$I$1130,I1011)</f>
        <v/>
      </c>
      <c r="N1011" s="13">
        <f>SUMIFS($E$2:$E$1130,$A$2:$A$1130,"весна",$I$2:$I$1130,I1011)</f>
        <v/>
      </c>
      <c r="O1011" s="14">
        <f>M1011+N1011</f>
        <v/>
      </c>
      <c r="P1011" s="15">
        <f>O1011/$P$1</f>
        <v/>
      </c>
    </row>
    <row r="1012" ht="15.75" customHeight="1" s="2">
      <c r="A1012" s="32" t="inlineStr">
        <is>
          <t>весна</t>
        </is>
      </c>
      <c r="B1012" s="21" t="inlineStr">
        <is>
          <t>Преддипломная практика</t>
        </is>
      </c>
      <c r="C1012" s="21" t="inlineStr">
        <is>
          <t>Преддипломная практика</t>
        </is>
      </c>
      <c r="D1012" s="21" t="inlineStr">
        <is>
          <t>Т11О-204М-19</t>
        </is>
      </c>
      <c r="E1012" s="23" t="n">
        <v>8</v>
      </c>
      <c r="F1012" s="9" t="n"/>
      <c r="G1012" s="11" t="n">
        <v>0</v>
      </c>
      <c r="H1012" s="9" t="n"/>
      <c r="I1012" s="40" t="inlineStr">
        <is>
          <t xml:space="preserve">Никитина Елена Владимировна </t>
        </is>
      </c>
      <c r="J1012" s="34" t="inlineStr">
        <is>
          <t>профессор</t>
        </is>
      </c>
      <c r="K1012" s="9" t="n"/>
      <c r="L1012" s="9" t="n"/>
      <c r="M1012" s="12">
        <f>SUMIFS($E$2:$E$1130,$A$2:$A$1130,"осень",$I$2:$I$1130,I1012)</f>
        <v/>
      </c>
      <c r="N1012" s="13">
        <f>SUMIFS($E$2:$E$1130,$A$2:$A$1130,"весна",$I$2:$I$1130,I1012)</f>
        <v/>
      </c>
      <c r="O1012" s="14">
        <f>M1012+N1012</f>
        <v/>
      </c>
      <c r="P1012" s="15">
        <f>O1012/$P$1</f>
        <v/>
      </c>
    </row>
    <row r="1013" ht="15.75" customHeight="1" s="2">
      <c r="A1013" s="32" t="inlineStr">
        <is>
          <t>весна</t>
        </is>
      </c>
      <c r="B1013" s="21" t="inlineStr">
        <is>
          <t>Преддипломная практика</t>
        </is>
      </c>
      <c r="C1013" s="21" t="inlineStr">
        <is>
          <t>Преддипломная практика</t>
        </is>
      </c>
      <c r="D1013" s="21" t="inlineStr">
        <is>
          <t>Т11О-204М-19</t>
        </is>
      </c>
      <c r="E1013" s="23" t="n">
        <v>8</v>
      </c>
      <c r="F1013" s="9" t="n"/>
      <c r="G1013" s="11" t="n">
        <v>0</v>
      </c>
      <c r="H1013" s="9" t="n"/>
      <c r="I1013" s="40" t="inlineStr">
        <is>
          <t xml:space="preserve">Федоров Сергей Александрович </t>
        </is>
      </c>
      <c r="J1013" s="34" t="inlineStr">
        <is>
          <t>профессор</t>
        </is>
      </c>
      <c r="K1013" s="9" t="n"/>
      <c r="L1013" s="9" t="n"/>
      <c r="M1013" s="12">
        <f>SUMIFS($E$2:$E$1130,$A$2:$A$1130,"осень",$I$2:$I$1130,I1013)</f>
        <v/>
      </c>
      <c r="N1013" s="13">
        <f>SUMIFS($E$2:$E$1130,$A$2:$A$1130,"весна",$I$2:$I$1130,I1013)</f>
        <v/>
      </c>
      <c r="O1013" s="14">
        <f>M1013+N1013</f>
        <v/>
      </c>
      <c r="P1013" s="15">
        <f>O1013/$P$1</f>
        <v/>
      </c>
    </row>
    <row r="1014" ht="15.75" customHeight="1" s="2">
      <c r="A1014" s="32" t="inlineStr">
        <is>
          <t>весна</t>
        </is>
      </c>
      <c r="B1014" s="21" t="inlineStr">
        <is>
          <t>Преддипломная практика</t>
        </is>
      </c>
      <c r="C1014" s="21" t="inlineStr">
        <is>
          <t>Преддипломная практика</t>
        </is>
      </c>
      <c r="D1014" s="21" t="inlineStr">
        <is>
          <t>Т11О-204М-19</t>
        </is>
      </c>
      <c r="E1014" s="23" t="n">
        <v>8</v>
      </c>
      <c r="F1014" s="9" t="n"/>
      <c r="G1014" s="11" t="n">
        <v>0</v>
      </c>
      <c r="H1014" s="9" t="n"/>
      <c r="I1014" s="40" t="inlineStr">
        <is>
          <t xml:space="preserve">Конкевич Валентин Юрьевич </t>
        </is>
      </c>
      <c r="J1014" s="34" t="inlineStr">
        <is>
          <t>профессор</t>
        </is>
      </c>
      <c r="K1014" s="9" t="n"/>
      <c r="L1014" s="9" t="n"/>
      <c r="M1014" s="12">
        <f>SUMIFS($E$2:$E$1130,$A$2:$A$1130,"осень",$I$2:$I$1130,I1014)</f>
        <v/>
      </c>
      <c r="N1014" s="13">
        <f>SUMIFS($E$2:$E$1130,$A$2:$A$1130,"весна",$I$2:$I$1130,I1014)</f>
        <v/>
      </c>
      <c r="O1014" s="14">
        <f>M1014+N1014</f>
        <v/>
      </c>
      <c r="P1014" s="15">
        <f>O1014/$P$1</f>
        <v/>
      </c>
    </row>
    <row r="1015" ht="15.75" customHeight="1" s="2">
      <c r="A1015" s="32" t="inlineStr">
        <is>
          <t>весна</t>
        </is>
      </c>
      <c r="B1015" s="21" t="inlineStr">
        <is>
          <t>Преддипломная практика</t>
        </is>
      </c>
      <c r="C1015" s="21" t="inlineStr">
        <is>
          <t>Преддипломная практика</t>
        </is>
      </c>
      <c r="D1015" s="21" t="inlineStr">
        <is>
          <t>Т11О-204М-19</t>
        </is>
      </c>
      <c r="E1015" s="23" t="n">
        <v>8</v>
      </c>
      <c r="F1015" s="9" t="n"/>
      <c r="G1015" s="11" t="n">
        <v>0</v>
      </c>
      <c r="H1015" s="9" t="n"/>
      <c r="I1015" s="40" t="inlineStr">
        <is>
          <t xml:space="preserve">Пашков Игорь Николаевич </t>
        </is>
      </c>
      <c r="J1015" s="34" t="inlineStr">
        <is>
          <t>профессор</t>
        </is>
      </c>
      <c r="K1015" s="9" t="n"/>
      <c r="L1015" s="9" t="n"/>
      <c r="M1015" s="12">
        <f>SUMIFS($E$2:$E$1130,$A$2:$A$1130,"осень",$I$2:$I$1130,I1015)</f>
        <v/>
      </c>
      <c r="N1015" s="13">
        <f>SUMIFS($E$2:$E$1130,$A$2:$A$1130,"весна",$I$2:$I$1130,I1015)</f>
        <v/>
      </c>
      <c r="O1015" s="14">
        <f>M1015+N1015</f>
        <v/>
      </c>
      <c r="P1015" s="15">
        <f>O1015/$P$1</f>
        <v/>
      </c>
    </row>
    <row r="1016" ht="15.75" customHeight="1" s="2">
      <c r="A1016" s="32" t="inlineStr">
        <is>
          <t>весна</t>
        </is>
      </c>
      <c r="B1016" s="21" t="inlineStr">
        <is>
          <t>Учебно-ознакомительная практика</t>
        </is>
      </c>
      <c r="C1016" s="21" t="inlineStr">
        <is>
          <t>Практика</t>
        </is>
      </c>
      <c r="D1016" s="21" t="inlineStr">
        <is>
          <t>Т11О-101Б-20</t>
        </is>
      </c>
      <c r="E1016" s="10" t="n">
        <v>30</v>
      </c>
      <c r="F1016" s="9" t="n"/>
      <c r="G1016" s="11" t="n">
        <v>0</v>
      </c>
      <c r="H1016" s="21" t="inlineStr">
        <is>
          <t xml:space="preserve">95790     </t>
        </is>
      </c>
      <c r="I1016" s="21" t="inlineStr">
        <is>
          <t>Шляпцева Анастасия Дмитриевна</t>
        </is>
      </c>
      <c r="J1016" s="21" t="n"/>
      <c r="K1016" s="9" t="n"/>
      <c r="L1016" s="9" t="n"/>
      <c r="M1016" s="12">
        <f>SUMIFS($E$2:$E$1130,$A$2:$A$1130,"осень",$I$2:$I$1130,I1016)</f>
        <v/>
      </c>
      <c r="N1016" s="13">
        <f>SUMIFS($E$2:$E$1130,$A$2:$A$1130,"весна",$I$2:$I$1130,I1016)</f>
        <v/>
      </c>
      <c r="O1016" s="14">
        <f>M1016+N1016</f>
        <v/>
      </c>
      <c r="P1016" s="15">
        <f>O1016/$P$1</f>
        <v/>
      </c>
    </row>
    <row r="1017" ht="15.75" customHeight="1" s="2">
      <c r="A1017" s="32" t="inlineStr">
        <is>
          <t>весна</t>
        </is>
      </c>
      <c r="B1017" s="21" t="inlineStr">
        <is>
          <t>Учебно-ознакомительная практика</t>
        </is>
      </c>
      <c r="C1017" s="21" t="inlineStr">
        <is>
          <t>Практика</t>
        </is>
      </c>
      <c r="D1017" s="21" t="inlineStr">
        <is>
          <t>Т11О-102Б-20</t>
        </is>
      </c>
      <c r="E1017" s="10" t="n">
        <v>30</v>
      </c>
      <c r="F1017" s="9" t="n"/>
      <c r="G1017" s="11" t="n">
        <v>0</v>
      </c>
      <c r="H1017" s="21" t="inlineStr">
        <is>
          <t xml:space="preserve">95790     </t>
        </is>
      </c>
      <c r="I1017" s="21" t="inlineStr">
        <is>
          <t>Шляпцева Анастасия Дмитриевна</t>
        </is>
      </c>
      <c r="J1017" s="21" t="n"/>
      <c r="K1017" s="9" t="n"/>
      <c r="L1017" s="9" t="n"/>
      <c r="M1017" s="12">
        <f>SUMIFS($E$2:$E$1130,$A$2:$A$1130,"осень",$I$2:$I$1130,I1017)</f>
        <v/>
      </c>
      <c r="N1017" s="13">
        <f>SUMIFS($E$2:$E$1130,$A$2:$A$1130,"весна",$I$2:$I$1130,I1017)</f>
        <v/>
      </c>
      <c r="O1017" s="14">
        <f>M1017+N1017</f>
        <v/>
      </c>
      <c r="P1017" s="15">
        <f>O1017/$P$1</f>
        <v/>
      </c>
    </row>
    <row r="1018" ht="15.75" customHeight="1" s="2">
      <c r="A1018" s="32" t="inlineStr">
        <is>
          <t>весна</t>
        </is>
      </c>
      <c r="B1018" s="9" t="inlineStr">
        <is>
          <t>Учебно-ознакомительная практика</t>
        </is>
      </c>
      <c r="C1018" s="9" t="inlineStr">
        <is>
          <t>Практика</t>
        </is>
      </c>
      <c r="D1018" s="9" t="inlineStr">
        <is>
          <t>Т11О-103Б-20</t>
        </is>
      </c>
      <c r="E1018" s="10" t="n">
        <v>30</v>
      </c>
      <c r="F1018" s="9" t="n"/>
      <c r="G1018" s="11" t="n">
        <v>0</v>
      </c>
      <c r="H1018" s="9" t="inlineStr">
        <is>
          <t xml:space="preserve">81724     </t>
        </is>
      </c>
      <c r="I1018" s="9" t="inlineStr">
        <is>
          <t xml:space="preserve">Галкин Евгений Владимирович </t>
        </is>
      </c>
      <c r="J1018" s="9" t="inlineStr">
        <is>
          <t>доцент</t>
        </is>
      </c>
      <c r="K1018" s="9" t="n"/>
      <c r="L1018" s="9" t="n"/>
      <c r="M1018" s="12">
        <f>SUMIFS($E$2:$E$1130,$A$2:$A$1130,"осень",$I$2:$I$1130,I1018)</f>
        <v/>
      </c>
      <c r="N1018" s="13">
        <f>SUMIFS($E$2:$E$1130,$A$2:$A$1130,"весна",$I$2:$I$1130,I1018)</f>
        <v/>
      </c>
      <c r="O1018" s="14">
        <f>M1018+N1018</f>
        <v/>
      </c>
      <c r="P1018" s="15">
        <f>O1018/$P$1</f>
        <v/>
      </c>
    </row>
    <row r="1019" ht="15.75" customHeight="1" s="2">
      <c r="A1019" s="32" t="inlineStr">
        <is>
          <t>весна</t>
        </is>
      </c>
      <c r="B1019" s="9" t="inlineStr">
        <is>
          <t>Государственный экзамен</t>
        </is>
      </c>
      <c r="C1019" s="9" t="inlineStr">
        <is>
          <t>Преддипломная практика</t>
        </is>
      </c>
      <c r="D1019" s="9" t="inlineStr">
        <is>
          <t>Т1О-402А-17</t>
        </is>
      </c>
      <c r="E1019" s="10" t="n">
        <v>4</v>
      </c>
      <c r="F1019" s="9" t="n"/>
      <c r="G1019" s="11" t="n">
        <v>0</v>
      </c>
      <c r="H1019" s="9" t="inlineStr">
        <is>
          <t xml:space="preserve">92509     </t>
        </is>
      </c>
      <c r="I1019" s="9" t="inlineStr">
        <is>
          <t xml:space="preserve">Пашков Игорь Николаевич </t>
        </is>
      </c>
      <c r="J1019" s="9" t="n"/>
      <c r="K1019" s="9" t="n"/>
      <c r="L1019" s="9" t="inlineStr">
        <is>
          <t>Морозов Шаргаев</t>
        </is>
      </c>
      <c r="M1019" s="12">
        <f>SUMIFS($E$2:$E$1130,$A$2:$A$1130,"осень",$I$2:$I$1130,I1019)</f>
        <v/>
      </c>
      <c r="N1019" s="13">
        <f>SUMIFS($E$2:$E$1130,$A$2:$A$1130,"весна",$I$2:$I$1130,I1019)</f>
        <v/>
      </c>
      <c r="O1019" s="14">
        <f>M1019+N1019</f>
        <v/>
      </c>
      <c r="P1019" s="15">
        <f>O1019/$P$1</f>
        <v/>
      </c>
    </row>
    <row r="1020" ht="15.75" customHeight="1" s="2">
      <c r="A1020" s="32" t="inlineStr">
        <is>
          <t>весна</t>
        </is>
      </c>
      <c r="B1020" s="9" t="inlineStr">
        <is>
          <t>Государственный экзамен</t>
        </is>
      </c>
      <c r="C1020" s="9" t="inlineStr">
        <is>
          <t>Преддипломная практика</t>
        </is>
      </c>
      <c r="D1020" s="9" t="inlineStr">
        <is>
          <t>Т1О-407А-17</t>
        </is>
      </c>
      <c r="E1020" s="10" t="n">
        <v>2</v>
      </c>
      <c r="F1020" s="9" t="n"/>
      <c r="G1020" s="11" t="n">
        <v>0</v>
      </c>
      <c r="H1020" s="9" t="inlineStr">
        <is>
          <t xml:space="preserve">82060     </t>
        </is>
      </c>
      <c r="I1020" s="9" t="inlineStr">
        <is>
          <t xml:space="preserve">Лозован Александр Александрович </t>
        </is>
      </c>
      <c r="J1020" s="9" t="inlineStr">
        <is>
          <t>профессор</t>
        </is>
      </c>
      <c r="K1020" s="9" t="n"/>
      <c r="L1020" s="9" t="inlineStr">
        <is>
          <t>Павлов</t>
        </is>
      </c>
      <c r="M1020" s="12">
        <f>SUMIFS($E$2:$E$1130,$A$2:$A$1130,"осень",$I$2:$I$1130,I1020)</f>
        <v/>
      </c>
      <c r="N1020" s="13">
        <f>SUMIFS($E$2:$E$1130,$A$2:$A$1130,"весна",$I$2:$I$1130,I1020)</f>
        <v/>
      </c>
      <c r="O1020" s="14">
        <f>M1020+N1020</f>
        <v/>
      </c>
      <c r="P1020" s="15">
        <f>O1020/$P$1</f>
        <v/>
      </c>
    </row>
    <row r="1021" ht="15.75" customHeight="1" s="2">
      <c r="A1021" s="32" t="inlineStr">
        <is>
          <t>весна</t>
        </is>
      </c>
      <c r="B1021" s="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021" s="9" t="inlineStr">
        <is>
          <t>Преддипломная практика</t>
        </is>
      </c>
      <c r="D1021" s="9" t="inlineStr">
        <is>
          <t>Т1О-402А-17</t>
        </is>
      </c>
      <c r="E1021" s="10" t="n">
        <v>8</v>
      </c>
      <c r="F1021" s="9" t="n"/>
      <c r="G1021" s="11" t="n">
        <v>0</v>
      </c>
      <c r="H1021" s="9" t="inlineStr">
        <is>
          <t xml:space="preserve">92509     </t>
        </is>
      </c>
      <c r="I1021" s="9" t="inlineStr">
        <is>
          <t xml:space="preserve">Пашков Игорь Николаевич </t>
        </is>
      </c>
      <c r="J1021" s="9" t="n"/>
      <c r="K1021" s="9" t="n"/>
      <c r="L1021" s="9" t="inlineStr">
        <is>
          <t>Морозов Шаргаев</t>
        </is>
      </c>
      <c r="M1021" s="12">
        <f>SUMIFS($E$2:$E$1130,$A$2:$A$1130,"осень",$I$2:$I$1130,I1021)</f>
        <v/>
      </c>
      <c r="N1021" s="13">
        <f>SUMIFS($E$2:$E$1130,$A$2:$A$1130,"весна",$I$2:$I$1130,I1021)</f>
        <v/>
      </c>
      <c r="O1021" s="14">
        <f>M1021+N1021</f>
        <v/>
      </c>
      <c r="P1021" s="15">
        <f>O1021/$P$1</f>
        <v/>
      </c>
    </row>
    <row r="1022" ht="15.75" customHeight="1" s="2">
      <c r="A1022" s="32" t="inlineStr">
        <is>
          <t>весна</t>
        </is>
      </c>
      <c r="B1022" s="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022" s="9" t="inlineStr">
        <is>
          <t>Преддипломная практика</t>
        </is>
      </c>
      <c r="D1022" s="9" t="inlineStr">
        <is>
          <t>Т1О-407А-17</t>
        </is>
      </c>
      <c r="E1022" s="10" t="n">
        <v>4</v>
      </c>
      <c r="F1022" s="9" t="n"/>
      <c r="G1022" s="11" t="n">
        <v>0</v>
      </c>
      <c r="H1022" s="9" t="inlineStr">
        <is>
          <t xml:space="preserve">82060     </t>
        </is>
      </c>
      <c r="I1022" s="9" t="inlineStr">
        <is>
          <t xml:space="preserve">Лозован Александр Александрович </t>
        </is>
      </c>
      <c r="J1022" s="9" t="inlineStr">
        <is>
          <t>профессор</t>
        </is>
      </c>
      <c r="K1022" s="9" t="n"/>
      <c r="L1022" s="9" t="inlineStr">
        <is>
          <t>Павлов</t>
        </is>
      </c>
      <c r="M1022" s="12">
        <f>SUMIFS($E$2:$E$1130,$A$2:$A$1130,"осень",$I$2:$I$1130,I1022)</f>
        <v/>
      </c>
      <c r="N1022" s="13">
        <f>SUMIFS($E$2:$E$1130,$A$2:$A$1130,"весна",$I$2:$I$1130,I1022)</f>
        <v/>
      </c>
      <c r="O1022" s="14">
        <f>M1022+N1022</f>
        <v/>
      </c>
      <c r="P1022" s="15">
        <f>O1022/$P$1</f>
        <v/>
      </c>
    </row>
    <row r="1023" ht="15.75" customHeight="1" s="2">
      <c r="A1023" s="32" t="inlineStr">
        <is>
          <t>весна</t>
        </is>
      </c>
      <c r="B1023" s="9" t="inlineStr">
        <is>
          <t>Научно-исследовательская практика</t>
        </is>
      </c>
      <c r="C1023" s="9" t="inlineStr">
        <is>
          <t>Преддипломная практика</t>
        </is>
      </c>
      <c r="D1023" s="9" t="inlineStr">
        <is>
          <t>Т1О-402А-17</t>
        </is>
      </c>
      <c r="E1023" s="10" t="n">
        <v>4</v>
      </c>
      <c r="F1023" s="9" t="n"/>
      <c r="G1023" s="11" t="n">
        <v>0</v>
      </c>
      <c r="H1023" s="9" t="inlineStr">
        <is>
          <t xml:space="preserve">92509     </t>
        </is>
      </c>
      <c r="I1023" s="9" t="inlineStr">
        <is>
          <t xml:space="preserve">Пашков Игорь Николаевич </t>
        </is>
      </c>
      <c r="J1023" s="9" t="n"/>
      <c r="K1023" s="9" t="n"/>
      <c r="L1023" s="9" t="inlineStr">
        <is>
          <t>Морозов Шаргаев</t>
        </is>
      </c>
      <c r="M1023" s="12">
        <f>SUMIFS($E$2:$E$1130,$A$2:$A$1130,"осень",$I$2:$I$1130,I1023)</f>
        <v/>
      </c>
      <c r="N1023" s="13">
        <f>SUMIFS($E$2:$E$1130,$A$2:$A$1130,"весна",$I$2:$I$1130,I1023)</f>
        <v/>
      </c>
      <c r="O1023" s="14">
        <f>M1023+N1023</f>
        <v/>
      </c>
      <c r="P1023" s="15">
        <f>O1023/$P$1</f>
        <v/>
      </c>
    </row>
    <row r="1024" ht="15.75" customHeight="1" s="2">
      <c r="A1024" s="32" t="inlineStr">
        <is>
          <t>весна</t>
        </is>
      </c>
      <c r="B1024" s="9" t="inlineStr">
        <is>
          <t>Научно-исследовательская практика</t>
        </is>
      </c>
      <c r="C1024" s="9" t="inlineStr">
        <is>
          <t>Преддипломная практика</t>
        </is>
      </c>
      <c r="D1024" s="9" t="inlineStr">
        <is>
          <t>Т1О-407А-17</t>
        </is>
      </c>
      <c r="E1024" s="10" t="n">
        <v>2</v>
      </c>
      <c r="F1024" s="9" t="n"/>
      <c r="G1024" s="11" t="n">
        <v>0</v>
      </c>
      <c r="H1024" s="9" t="inlineStr">
        <is>
          <t xml:space="preserve">82060     </t>
        </is>
      </c>
      <c r="I1024" s="9" t="inlineStr">
        <is>
          <t xml:space="preserve">Лозован Александр Александрович </t>
        </is>
      </c>
      <c r="J1024" s="9" t="inlineStr">
        <is>
          <t>профессор</t>
        </is>
      </c>
      <c r="K1024" s="9" t="n"/>
      <c r="L1024" s="9" t="inlineStr">
        <is>
          <t>Павлов</t>
        </is>
      </c>
      <c r="M1024" s="12">
        <f>SUMIFS($E$2:$E$1130,$A$2:$A$1130,"осень",$I$2:$I$1130,I1024)</f>
        <v/>
      </c>
      <c r="N1024" s="13">
        <f>SUMIFS($E$2:$E$1130,$A$2:$A$1130,"весна",$I$2:$I$1130,I1024)</f>
        <v/>
      </c>
      <c r="O1024" s="14">
        <f>M1024+N1024</f>
        <v/>
      </c>
      <c r="P1024" s="15">
        <f>O1024/$P$1</f>
        <v/>
      </c>
    </row>
    <row r="1025" ht="15.75" customHeight="1" s="2">
      <c r="A1025" s="32" t="inlineStr">
        <is>
          <t>весна</t>
        </is>
      </c>
      <c r="B1025" s="21" t="inlineStr">
        <is>
          <t>Руководство магистрами</t>
        </is>
      </c>
      <c r="C1025" s="21" t="inlineStr">
        <is>
          <t>Руководство магистрами</t>
        </is>
      </c>
      <c r="D1025" s="21" t="inlineStr">
        <is>
          <t>Т11О-101М-20</t>
        </is>
      </c>
      <c r="E1025" s="23" t="n">
        <v>30</v>
      </c>
      <c r="F1025" s="24" t="n"/>
      <c r="G1025" s="25" t="n"/>
      <c r="H1025" s="24" t="inlineStr">
        <is>
          <t xml:space="preserve">81731     </t>
        </is>
      </c>
      <c r="I1025" s="24" t="inlineStr">
        <is>
          <t xml:space="preserve">Беспалов Александр Владимирович </t>
        </is>
      </c>
      <c r="J1025" s="24" t="inlineStr">
        <is>
          <t>доцент</t>
        </is>
      </c>
      <c r="K1025" s="24" t="n"/>
      <c r="L1025" s="24" t="inlineStr">
        <is>
          <t>2 чел</t>
        </is>
      </c>
      <c r="M1025" s="12">
        <f>SUMIFS($E$2:$E$1130,$A$2:$A$1130,"осень",$I$2:$I$1130,I1025)</f>
        <v/>
      </c>
      <c r="N1025" s="13">
        <f>SUMIFS($E$2:$E$1130,$A$2:$A$1130,"весна",$I$2:$I$1130,I1025)</f>
        <v/>
      </c>
      <c r="O1025" s="14">
        <f>M1025+N1025</f>
        <v/>
      </c>
      <c r="P1025" s="15">
        <f>O1025/$P$1</f>
        <v/>
      </c>
    </row>
    <row r="1026" ht="15.75" customHeight="1" s="2">
      <c r="A1026" s="32" t="inlineStr">
        <is>
          <t>весна</t>
        </is>
      </c>
      <c r="B1026" s="21" t="inlineStr">
        <is>
          <t>Руководство магистрами</t>
        </is>
      </c>
      <c r="C1026" s="21" t="inlineStr">
        <is>
          <t>Руководство магистрами</t>
        </is>
      </c>
      <c r="D1026" s="21" t="inlineStr">
        <is>
          <t>Т11О-101М-20</t>
        </is>
      </c>
      <c r="E1026" s="23" t="n">
        <v>30</v>
      </c>
      <c r="F1026" s="24" t="n"/>
      <c r="G1026" s="25" t="n"/>
      <c r="H1026" s="24" t="inlineStr">
        <is>
          <t xml:space="preserve">81728     </t>
        </is>
      </c>
      <c r="I1026" s="24" t="inlineStr">
        <is>
          <t xml:space="preserve">Галкин Виктор Иванович </t>
        </is>
      </c>
      <c r="J1026" s="24" t="inlineStr">
        <is>
          <t>профессор</t>
        </is>
      </c>
      <c r="K1026" s="24" t="n"/>
      <c r="L1026" s="24" t="inlineStr">
        <is>
          <t>2 чел</t>
        </is>
      </c>
      <c r="M1026" s="12">
        <f>SUMIFS($E$2:$E$1130,$A$2:$A$1130,"осень",$I$2:$I$1130,I1026)</f>
        <v/>
      </c>
      <c r="N1026" s="13">
        <f>SUMIFS($E$2:$E$1130,$A$2:$A$1130,"весна",$I$2:$I$1130,I1026)</f>
        <v/>
      </c>
      <c r="O1026" s="14">
        <f>M1026+N1026</f>
        <v/>
      </c>
      <c r="P1026" s="15">
        <f>O1026/$P$1</f>
        <v/>
      </c>
    </row>
    <row r="1027" ht="15.75" customHeight="1" s="2">
      <c r="A1027" s="32" t="inlineStr">
        <is>
          <t>весна</t>
        </is>
      </c>
      <c r="B1027" s="21" t="inlineStr">
        <is>
          <t>Руководство магистрами</t>
        </is>
      </c>
      <c r="C1027" s="21" t="inlineStr">
        <is>
          <t>Руководство магистрами</t>
        </is>
      </c>
      <c r="D1027" s="21" t="inlineStr">
        <is>
          <t>Т11О-101М-20</t>
        </is>
      </c>
      <c r="E1027" s="23" t="n">
        <v>15</v>
      </c>
      <c r="F1027" s="24" t="n"/>
      <c r="G1027" s="25" t="n"/>
      <c r="H1027" s="24" t="inlineStr">
        <is>
          <t xml:space="preserve">81732     </t>
        </is>
      </c>
      <c r="I1027" s="24" t="inlineStr">
        <is>
          <t xml:space="preserve">Петров Анатолий Павлович </t>
        </is>
      </c>
      <c r="J1027" s="24" t="inlineStr">
        <is>
          <t>профессор</t>
        </is>
      </c>
      <c r="K1027" s="24" t="n"/>
      <c r="L1027" s="24" t="inlineStr">
        <is>
          <t>1 чел</t>
        </is>
      </c>
      <c r="M1027" s="12">
        <f>SUMIFS($E$2:$E$1130,$A$2:$A$1130,"осень",$I$2:$I$1130,I1027)</f>
        <v/>
      </c>
      <c r="N1027" s="13">
        <f>SUMIFS($E$2:$E$1130,$A$2:$A$1130,"весна",$I$2:$I$1130,I1027)</f>
        <v/>
      </c>
      <c r="O1027" s="14">
        <f>M1027+N1027</f>
        <v/>
      </c>
      <c r="P1027" s="15">
        <f>O1027/$P$1</f>
        <v/>
      </c>
    </row>
    <row r="1028" ht="15.75" customHeight="1" s="2">
      <c r="A1028" s="32" t="inlineStr">
        <is>
          <t>весна</t>
        </is>
      </c>
      <c r="B1028" s="21" t="inlineStr">
        <is>
          <t>Руководство магистрами</t>
        </is>
      </c>
      <c r="C1028" s="21" t="inlineStr">
        <is>
          <t>Руководство магистрами</t>
        </is>
      </c>
      <c r="D1028" s="21" t="inlineStr">
        <is>
          <t>Т11О-101М-20</t>
        </is>
      </c>
      <c r="E1028" s="23" t="n">
        <v>15</v>
      </c>
      <c r="F1028" s="24" t="n"/>
      <c r="G1028" s="25" t="n">
        <v>0</v>
      </c>
      <c r="H1028" s="24" t="inlineStr">
        <is>
          <t xml:space="preserve">81730     </t>
        </is>
      </c>
      <c r="I1028" s="24" t="inlineStr">
        <is>
          <t>Федоров Анатолий Александрович</t>
        </is>
      </c>
      <c r="J1028" s="24" t="inlineStr">
        <is>
          <t>профессор</t>
        </is>
      </c>
      <c r="K1028" s="24" t="n"/>
      <c r="L1028" s="24" t="inlineStr">
        <is>
          <t>1 чел</t>
        </is>
      </c>
      <c r="M1028" s="12">
        <f>SUMIFS($E$2:$E$1130,$A$2:$A$1130,"осень",$I$2:$I$1130,I1028)</f>
        <v/>
      </c>
      <c r="N1028" s="13">
        <f>SUMIFS($E$2:$E$1130,$A$2:$A$1130,"весна",$I$2:$I$1130,I1028)</f>
        <v/>
      </c>
      <c r="O1028" s="14">
        <f>M1028+N1028</f>
        <v/>
      </c>
      <c r="P1028" s="15">
        <f>O1028/$P$1</f>
        <v/>
      </c>
    </row>
    <row r="1029" ht="15.75" customHeight="1" s="2">
      <c r="A1029" s="32" t="inlineStr">
        <is>
          <t>весна</t>
        </is>
      </c>
      <c r="B1029" s="21" t="inlineStr">
        <is>
          <t>Руководство магистрами</t>
        </is>
      </c>
      <c r="C1029" s="21" t="inlineStr">
        <is>
          <t>Руководство магистрами</t>
        </is>
      </c>
      <c r="D1029" s="21" t="inlineStr">
        <is>
          <t>Т11О-102М-20</t>
        </is>
      </c>
      <c r="E1029" s="23" t="n">
        <v>15</v>
      </c>
      <c r="F1029" s="9" t="n"/>
      <c r="G1029" s="11" t="n">
        <v>0</v>
      </c>
      <c r="H1029" s="9" t="inlineStr">
        <is>
          <t xml:space="preserve">82020     </t>
        </is>
      </c>
      <c r="I1029" s="9" t="inlineStr">
        <is>
          <t xml:space="preserve">Варфоломеев Максим Сергеевич </t>
        </is>
      </c>
      <c r="J1029" s="9" t="inlineStr">
        <is>
          <t>доцент</t>
        </is>
      </c>
      <c r="K1029" s="9" t="n"/>
      <c r="L1029" s="9" t="inlineStr">
        <is>
          <t>1 чел</t>
        </is>
      </c>
      <c r="M1029" s="12">
        <f>SUMIFS($E$2:$E$1130,$A$2:$A$1130,"осень",$I$2:$I$1130,I1029)</f>
        <v/>
      </c>
      <c r="N1029" s="13">
        <f>SUMIFS($E$2:$E$1130,$A$2:$A$1130,"весна",$I$2:$I$1130,I1029)</f>
        <v/>
      </c>
      <c r="O1029" s="14">
        <f>M1029+N1029</f>
        <v/>
      </c>
      <c r="P1029" s="15">
        <f>O1029/$P$1</f>
        <v/>
      </c>
    </row>
    <row r="1030" ht="15.75" customHeight="1" s="2">
      <c r="A1030" s="32" t="inlineStr">
        <is>
          <t>весна</t>
        </is>
      </c>
      <c r="B1030" s="21" t="inlineStr">
        <is>
          <t>Руководство магистрами</t>
        </is>
      </c>
      <c r="C1030" s="21" t="inlineStr">
        <is>
          <t>Руководство магистрами</t>
        </is>
      </c>
      <c r="D1030" s="21" t="inlineStr">
        <is>
          <t>Т11О-102М-20</t>
        </is>
      </c>
      <c r="E1030" s="23" t="n">
        <v>15</v>
      </c>
      <c r="F1030" s="9" t="n"/>
      <c r="G1030" s="11" t="n">
        <v>0</v>
      </c>
      <c r="H1030" s="9" t="inlineStr">
        <is>
          <t xml:space="preserve">82086     </t>
        </is>
      </c>
      <c r="I1030" s="9" t="inlineStr">
        <is>
          <t xml:space="preserve">Смыков Андрей Федорович </t>
        </is>
      </c>
      <c r="J1030" s="9" t="inlineStr">
        <is>
          <t>профессор</t>
        </is>
      </c>
      <c r="K1030" s="9" t="n"/>
      <c r="L1030" s="9" t="inlineStr">
        <is>
          <t>1 чел</t>
        </is>
      </c>
      <c r="M1030" s="12">
        <f>SUMIFS($E$2:$E$1130,$A$2:$A$1130,"осень",$I$2:$I$1130,I1030)</f>
        <v/>
      </c>
      <c r="N1030" s="13">
        <f>SUMIFS($E$2:$E$1130,$A$2:$A$1130,"весна",$I$2:$I$1130,I1030)</f>
        <v/>
      </c>
      <c r="O1030" s="14">
        <f>M1030+N1030</f>
        <v/>
      </c>
      <c r="P1030" s="15">
        <f>O1030/$P$1</f>
        <v/>
      </c>
    </row>
    <row r="1031" ht="15.75" customHeight="1" s="2">
      <c r="A1031" s="32" t="inlineStr">
        <is>
          <t>весна</t>
        </is>
      </c>
      <c r="B1031" s="21" t="inlineStr">
        <is>
          <t>Руководство магистрами</t>
        </is>
      </c>
      <c r="C1031" s="21" t="inlineStr">
        <is>
          <t>Руководство магистрами</t>
        </is>
      </c>
      <c r="D1031" s="21" t="inlineStr">
        <is>
          <t>Т11О-102М-20</t>
        </is>
      </c>
      <c r="E1031" s="23" t="n">
        <v>15</v>
      </c>
      <c r="F1031" s="9" t="n"/>
      <c r="G1031" s="11" t="n">
        <v>0</v>
      </c>
      <c r="H1031" s="9" t="inlineStr">
        <is>
          <t xml:space="preserve">89067     </t>
        </is>
      </c>
      <c r="I1031" s="9" t="inlineStr">
        <is>
          <t xml:space="preserve">Ряховский Александр Павлович </t>
        </is>
      </c>
      <c r="J1031" s="9" t="inlineStr">
        <is>
          <t>доцент</t>
        </is>
      </c>
      <c r="K1031" s="9" t="n"/>
      <c r="L1031" s="9" t="inlineStr">
        <is>
          <t>1 чел</t>
        </is>
      </c>
      <c r="M1031" s="12">
        <f>SUMIFS($E$2:$E$1130,$A$2:$A$1130,"осень",$I$2:$I$1130,I1031)</f>
        <v/>
      </c>
      <c r="N1031" s="13">
        <f>SUMIFS($E$2:$E$1130,$A$2:$A$1130,"весна",$I$2:$I$1130,I1031)</f>
        <v/>
      </c>
      <c r="O1031" s="14">
        <f>M1031+N1031</f>
        <v/>
      </c>
      <c r="P1031" s="15">
        <f>O1031/$P$1</f>
        <v/>
      </c>
    </row>
    <row r="1032" ht="15.75" customHeight="1" s="2">
      <c r="A1032" s="32" t="inlineStr">
        <is>
          <t>весна</t>
        </is>
      </c>
      <c r="B1032" s="21" t="inlineStr">
        <is>
          <t>Руководство магистрами</t>
        </is>
      </c>
      <c r="C1032" s="21" t="inlineStr">
        <is>
          <t>Руководство магистрами</t>
        </is>
      </c>
      <c r="D1032" s="21" t="inlineStr">
        <is>
          <t>Т11О-102М-20</t>
        </is>
      </c>
      <c r="E1032" s="23" t="n">
        <v>15</v>
      </c>
      <c r="F1032" s="9" t="n"/>
      <c r="G1032" s="11" t="n">
        <v>0</v>
      </c>
      <c r="H1032" s="9" t="inlineStr">
        <is>
          <t xml:space="preserve">82061     </t>
        </is>
      </c>
      <c r="I1032" s="9" t="inlineStr">
        <is>
          <t xml:space="preserve">Моисеев Виктор Сергеевич </t>
        </is>
      </c>
      <c r="J1032" s="9" t="n"/>
      <c r="K1032" s="9" t="n"/>
      <c r="L1032" s="9" t="inlineStr">
        <is>
          <t>1 чел</t>
        </is>
      </c>
      <c r="M1032" s="12">
        <f>SUMIFS($E$2:$E$1130,$A$2:$A$1130,"осень",$I$2:$I$1130,I1032)</f>
        <v/>
      </c>
      <c r="N1032" s="13">
        <f>SUMIFS($E$2:$E$1130,$A$2:$A$1130,"весна",$I$2:$I$1130,I1032)</f>
        <v/>
      </c>
      <c r="O1032" s="14">
        <f>M1032+N1032</f>
        <v/>
      </c>
      <c r="P1032" s="15">
        <f>O1032/$P$1</f>
        <v/>
      </c>
    </row>
    <row r="1033" ht="15.75" customHeight="1" s="2">
      <c r="A1033" s="32" t="inlineStr">
        <is>
          <t>весна</t>
        </is>
      </c>
      <c r="B1033" s="21" t="inlineStr">
        <is>
          <t>Руководство магистрами</t>
        </is>
      </c>
      <c r="C1033" s="21" t="inlineStr">
        <is>
          <t>Руководство магистрами</t>
        </is>
      </c>
      <c r="D1033" s="21" t="inlineStr">
        <is>
          <t>Т11О-102М-20</t>
        </is>
      </c>
      <c r="E1033" s="23" t="n">
        <v>15</v>
      </c>
      <c r="F1033" s="9" t="n"/>
      <c r="G1033" s="11" t="n">
        <v>0</v>
      </c>
      <c r="H1033" s="9" t="inlineStr">
        <is>
          <t xml:space="preserve">82018     </t>
        </is>
      </c>
      <c r="I1033" s="9" t="inlineStr">
        <is>
          <t>Бережной Дмитрий Васильевич</t>
        </is>
      </c>
      <c r="J1033" s="9" t="inlineStr">
        <is>
          <t>доцент</t>
        </is>
      </c>
      <c r="K1033" s="9" t="n"/>
      <c r="L1033" s="9" t="inlineStr">
        <is>
          <t>1 чел</t>
        </is>
      </c>
      <c r="M1033" s="12">
        <f>SUMIFS($E$2:$E$1130,$A$2:$A$1130,"осень",$I$2:$I$1130,I1033)</f>
        <v/>
      </c>
      <c r="N1033" s="13">
        <f>SUMIFS($E$2:$E$1130,$A$2:$A$1130,"весна",$I$2:$I$1130,I1033)</f>
        <v/>
      </c>
      <c r="O1033" s="14">
        <f>M1033+N1033</f>
        <v/>
      </c>
      <c r="P1033" s="15">
        <f>O1033/$P$1</f>
        <v/>
      </c>
    </row>
    <row r="1034" ht="15.75" customHeight="1" s="2">
      <c r="A1034" s="32" t="inlineStr">
        <is>
          <t>весна</t>
        </is>
      </c>
      <c r="B1034" s="21" t="inlineStr">
        <is>
          <t>Руководство магистрами</t>
        </is>
      </c>
      <c r="C1034" s="21" t="inlineStr">
        <is>
          <t>Руководство магистрами</t>
        </is>
      </c>
      <c r="D1034" s="21" t="inlineStr">
        <is>
          <t>Т11О-103М-20</t>
        </is>
      </c>
      <c r="E1034" s="23" t="n">
        <v>30</v>
      </c>
      <c r="F1034" s="9" t="n"/>
      <c r="G1034" s="11" t="n">
        <v>0</v>
      </c>
      <c r="H1034" s="9" t="inlineStr">
        <is>
          <t xml:space="preserve">82090     </t>
        </is>
      </c>
      <c r="I1034" s="9" t="inlineStr">
        <is>
          <t xml:space="preserve">Барабанова Ольга Алексеевна </t>
        </is>
      </c>
      <c r="J1034" s="9" t="n"/>
      <c r="K1034" s="9" t="inlineStr">
        <is>
          <t>2 чел</t>
        </is>
      </c>
      <c r="L1034" s="9" t="n"/>
      <c r="M1034" s="12">
        <f>SUMIFS($E$2:$E$1130,$A$2:$A$1130,"осень",$I$2:$I$1130,I1034)</f>
        <v/>
      </c>
      <c r="N1034" s="13">
        <f>SUMIFS($E$2:$E$1130,$A$2:$A$1130,"весна",$I$2:$I$1130,I1034)</f>
        <v/>
      </c>
      <c r="O1034" s="14">
        <f>M1034+N1034</f>
        <v/>
      </c>
      <c r="P1034" s="15">
        <f>O1034/$P$1</f>
        <v/>
      </c>
    </row>
    <row r="1035" ht="15.75" customHeight="1" s="2">
      <c r="A1035" s="32" t="inlineStr">
        <is>
          <t>весна</t>
        </is>
      </c>
      <c r="B1035" s="21" t="inlineStr">
        <is>
          <t>Руководство магистрами</t>
        </is>
      </c>
      <c r="C1035" s="21" t="inlineStr">
        <is>
          <t>Руководство магистрами</t>
        </is>
      </c>
      <c r="D1035" s="21" t="inlineStr">
        <is>
          <t>Т11О-103М-20</t>
        </is>
      </c>
      <c r="E1035" s="23" t="n">
        <v>30</v>
      </c>
      <c r="F1035" s="9" t="n"/>
      <c r="G1035" s="11" t="n">
        <v>0</v>
      </c>
      <c r="H1035" s="9" t="inlineStr">
        <is>
          <t xml:space="preserve">82066     </t>
        </is>
      </c>
      <c r="I1035" s="9" t="inlineStr">
        <is>
          <t xml:space="preserve">Серов Михаил Михайлович </t>
        </is>
      </c>
      <c r="J1035" s="9" t="inlineStr">
        <is>
          <t>профессор</t>
        </is>
      </c>
      <c r="K1035" s="9" t="inlineStr">
        <is>
          <t>2 чел</t>
        </is>
      </c>
      <c r="L1035" s="9" t="n"/>
      <c r="M1035" s="12">
        <f>SUMIFS($E$2:$E$1130,$A$2:$A$1130,"осень",$I$2:$I$1130,I1035)</f>
        <v/>
      </c>
      <c r="N1035" s="13">
        <f>SUMIFS($E$2:$E$1130,$A$2:$A$1130,"весна",$I$2:$I$1130,I1035)</f>
        <v/>
      </c>
      <c r="O1035" s="14">
        <f>M1035+N1035</f>
        <v/>
      </c>
      <c r="P1035" s="15">
        <f>O1035/$P$1</f>
        <v/>
      </c>
    </row>
    <row r="1036" ht="15.75" customHeight="1" s="2">
      <c r="A1036" s="32" t="inlineStr">
        <is>
          <t>весна</t>
        </is>
      </c>
      <c r="B1036" s="21" t="inlineStr">
        <is>
          <t>Руководство магистрами</t>
        </is>
      </c>
      <c r="C1036" s="21" t="inlineStr">
        <is>
          <t>Руководство магистрами</t>
        </is>
      </c>
      <c r="D1036" s="21" t="inlineStr">
        <is>
          <t>Т11О-103М-20</t>
        </is>
      </c>
      <c r="E1036" s="23" t="n">
        <v>15</v>
      </c>
      <c r="F1036" s="9" t="n"/>
      <c r="G1036" s="11" t="n">
        <v>0</v>
      </c>
      <c r="H1036" s="9" t="inlineStr">
        <is>
          <t xml:space="preserve">93685     </t>
        </is>
      </c>
      <c r="I1036" s="9" t="inlineStr">
        <is>
          <t xml:space="preserve">Банишев Александр Федорович </t>
        </is>
      </c>
      <c r="J1036" s="9" t="n"/>
      <c r="K1036" s="9" t="inlineStr">
        <is>
          <t>1 чел</t>
        </is>
      </c>
      <c r="L1036" s="9" t="n"/>
      <c r="M1036" s="12">
        <f>SUMIFS($E$2:$E$1130,$A$2:$A$1130,"осень",$I$2:$I$1130,I1036)</f>
        <v/>
      </c>
      <c r="N1036" s="13">
        <f>SUMIFS($E$2:$E$1130,$A$2:$A$1130,"весна",$I$2:$I$1130,I1036)</f>
        <v/>
      </c>
      <c r="O1036" s="14">
        <f>M1036+N1036</f>
        <v/>
      </c>
      <c r="P1036" s="15">
        <f>O1036/$P$1</f>
        <v/>
      </c>
    </row>
    <row r="1037" ht="15.75" customHeight="1" s="2">
      <c r="A1037" s="32" t="inlineStr">
        <is>
          <t>весна</t>
        </is>
      </c>
      <c r="B1037" s="21" t="inlineStr">
        <is>
          <t>Руководство магистрами</t>
        </is>
      </c>
      <c r="C1037" s="21" t="inlineStr">
        <is>
          <t>Руководство магистрами</t>
        </is>
      </c>
      <c r="D1037" s="21" t="inlineStr">
        <is>
          <t>Т11О-104М-20</t>
        </is>
      </c>
      <c r="E1037" s="10" t="n">
        <v>30</v>
      </c>
      <c r="F1037" s="9" t="n"/>
      <c r="G1037" s="11" t="n">
        <v>0</v>
      </c>
      <c r="H1037" s="9" t="inlineStr">
        <is>
          <t xml:space="preserve">82056     </t>
        </is>
      </c>
      <c r="I1037" s="9" t="inlineStr">
        <is>
          <t xml:space="preserve">Никитина Елена Владимировна </t>
        </is>
      </c>
      <c r="J1037" s="9" t="n"/>
      <c r="K1037" s="9" t="inlineStr">
        <is>
          <t>2 чел</t>
        </is>
      </c>
      <c r="L1037" s="9" t="n"/>
      <c r="M1037" s="12">
        <f>SUMIFS($E$2:$E$1130,$A$2:$A$1130,"осень",$I$2:$I$1130,I1037)</f>
        <v/>
      </c>
      <c r="N1037" s="13">
        <f>SUMIFS($E$2:$E$1130,$A$2:$A$1130,"весна",$I$2:$I$1130,I1037)</f>
        <v/>
      </c>
      <c r="O1037" s="14">
        <f>M1037+N1037</f>
        <v/>
      </c>
      <c r="P1037" s="15">
        <f>O1037/$P$1</f>
        <v/>
      </c>
    </row>
    <row r="1038" ht="15.75" customHeight="1" s="2">
      <c r="A1038" s="32" t="inlineStr">
        <is>
          <t>весна</t>
        </is>
      </c>
      <c r="B1038" s="21" t="inlineStr">
        <is>
          <t>Руководство магистрами</t>
        </is>
      </c>
      <c r="C1038" s="21" t="inlineStr">
        <is>
          <t>Руководство магистрами</t>
        </is>
      </c>
      <c r="D1038" s="21" t="inlineStr">
        <is>
          <t>Т11О-104М-20</t>
        </is>
      </c>
      <c r="E1038" s="10" t="n">
        <v>30</v>
      </c>
      <c r="F1038" s="9" t="n"/>
      <c r="G1038" s="11" t="n">
        <v>0</v>
      </c>
      <c r="H1038" s="9" t="inlineStr">
        <is>
          <t xml:space="preserve">87438     </t>
        </is>
      </c>
      <c r="I1038" s="9" t="inlineStr">
        <is>
          <t xml:space="preserve">Конкевич Валентин Юрьевич </t>
        </is>
      </c>
      <c r="J1038" s="9" t="n"/>
      <c r="K1038" s="9" t="inlineStr">
        <is>
          <t>2 чел</t>
        </is>
      </c>
      <c r="L1038" s="9" t="n"/>
      <c r="M1038" s="12">
        <f>SUMIFS($E$2:$E$1130,$A$2:$A$1130,"осень",$I$2:$I$1130,I1038)</f>
        <v/>
      </c>
      <c r="N1038" s="13">
        <f>SUMIFS($E$2:$E$1130,$A$2:$A$1130,"весна",$I$2:$I$1130,I1038)</f>
        <v/>
      </c>
      <c r="O1038" s="14">
        <f>M1038+N1038</f>
        <v/>
      </c>
      <c r="P1038" s="15">
        <f>O1038/$P$1</f>
        <v/>
      </c>
    </row>
    <row r="1039" ht="15.75" customHeight="1" s="2">
      <c r="A1039" s="32" t="inlineStr">
        <is>
          <t>весна</t>
        </is>
      </c>
      <c r="B1039" s="21" t="inlineStr">
        <is>
          <t>Руководство магистрами</t>
        </is>
      </c>
      <c r="C1039" s="21" t="inlineStr">
        <is>
          <t>Руководство магистрами</t>
        </is>
      </c>
      <c r="D1039" s="21" t="inlineStr">
        <is>
          <t>Т11О-104М-20</t>
        </is>
      </c>
      <c r="E1039" s="10" t="n">
        <v>15</v>
      </c>
      <c r="F1039" s="9" t="n"/>
      <c r="G1039" s="11" t="n">
        <v>0</v>
      </c>
      <c r="H1039" s="9" t="inlineStr">
        <is>
          <t xml:space="preserve">92509     </t>
        </is>
      </c>
      <c r="I1039" s="9" t="inlineStr">
        <is>
          <t xml:space="preserve">Пашков Игорь Николаевич </t>
        </is>
      </c>
      <c r="J1039" s="9" t="n"/>
      <c r="K1039" s="9" t="inlineStr">
        <is>
          <t>1 чел</t>
        </is>
      </c>
      <c r="L1039" s="9" t="n"/>
      <c r="M1039" s="12">
        <f>SUMIFS($E$2:$E$1130,$A$2:$A$1130,"осень",$I$2:$I$1130,I1039)</f>
        <v/>
      </c>
      <c r="N1039" s="13">
        <f>SUMIFS($E$2:$E$1130,$A$2:$A$1130,"весна",$I$2:$I$1130,I1039)</f>
        <v/>
      </c>
      <c r="O1039" s="14">
        <f>M1039+N1039</f>
        <v/>
      </c>
      <c r="P1039" s="15">
        <f>O1039/$P$1</f>
        <v/>
      </c>
    </row>
    <row r="1040" ht="15.75" customHeight="1" s="2">
      <c r="A1040" s="32" t="inlineStr">
        <is>
          <t>весна</t>
        </is>
      </c>
      <c r="B1040" s="21" t="inlineStr">
        <is>
          <t>Руководство магистрами</t>
        </is>
      </c>
      <c r="C1040" s="21" t="inlineStr">
        <is>
          <t>Руководство магистрами</t>
        </is>
      </c>
      <c r="D1040" s="21" t="inlineStr">
        <is>
          <t>Т11О-104М-20</t>
        </is>
      </c>
      <c r="E1040" s="10" t="n">
        <v>15</v>
      </c>
      <c r="F1040" s="9" t="n"/>
      <c r="G1040" s="11" t="n">
        <v>0</v>
      </c>
      <c r="H1040" s="9" t="inlineStr">
        <is>
          <t xml:space="preserve">82023     </t>
        </is>
      </c>
      <c r="I1040" s="9" t="inlineStr">
        <is>
          <t xml:space="preserve">Федоров Сергей Александрович </t>
        </is>
      </c>
      <c r="J1040" s="9" t="n"/>
      <c r="K1040" s="9" t="inlineStr">
        <is>
          <t>1 чел</t>
        </is>
      </c>
      <c r="L1040" s="9" t="n"/>
      <c r="M1040" s="12">
        <f>SUMIFS($E$2:$E$1130,$A$2:$A$1130,"осень",$I$2:$I$1130,I1040)</f>
        <v/>
      </c>
      <c r="N1040" s="13">
        <f>SUMIFS($E$2:$E$1130,$A$2:$A$1130,"весна",$I$2:$I$1130,I1040)</f>
        <v/>
      </c>
      <c r="O1040" s="14">
        <f>M1040+N1040</f>
        <v/>
      </c>
      <c r="P1040" s="15">
        <f>O1040/$P$1</f>
        <v/>
      </c>
    </row>
    <row r="1041" ht="15.75" customHeight="1" s="2">
      <c r="A1041" s="32" t="inlineStr">
        <is>
          <t>весна</t>
        </is>
      </c>
      <c r="B1041" s="9" t="inlineStr">
        <is>
          <t>Руководство аспирантами</t>
        </is>
      </c>
      <c r="C1041" s="9" t="inlineStr">
        <is>
          <t>Руководство аспирантами</t>
        </is>
      </c>
      <c r="D1041" s="9" t="inlineStr">
        <is>
          <t>Т11О-107А-20</t>
        </is>
      </c>
      <c r="E1041" s="10" t="n">
        <v>50</v>
      </c>
      <c r="F1041" s="9" t="n"/>
      <c r="G1041" s="11" t="n">
        <v>0</v>
      </c>
      <c r="H1041" s="9" t="inlineStr">
        <is>
          <t xml:space="preserve">82060     </t>
        </is>
      </c>
      <c r="I1041" s="9" t="inlineStr">
        <is>
          <t xml:space="preserve">Лозован Александр Александрович </t>
        </is>
      </c>
      <c r="J1041" s="9" t="inlineStr">
        <is>
          <t>профессор</t>
        </is>
      </c>
      <c r="K1041" s="9" t="n"/>
      <c r="L1041" s="21" t="inlineStr">
        <is>
          <t>Жуковский+Митрофанов</t>
        </is>
      </c>
      <c r="M1041" s="12">
        <f>SUMIFS($E$2:$E$1130,$A$2:$A$1130,"осень",$I$2:$I$1130,I1041)</f>
        <v/>
      </c>
      <c r="N1041" s="13">
        <f>SUMIFS($E$2:$E$1130,$A$2:$A$1130,"весна",$I$2:$I$1130,I1041)</f>
        <v/>
      </c>
      <c r="O1041" s="14">
        <f>M1041+N1041</f>
        <v/>
      </c>
      <c r="P1041" s="15">
        <f>O1041/$P$1</f>
        <v/>
      </c>
    </row>
    <row r="1042" ht="15.75" customHeight="1" s="2">
      <c r="A1042" s="32" t="inlineStr">
        <is>
          <t>весна</t>
        </is>
      </c>
      <c r="B1042" s="9" t="inlineStr">
        <is>
          <t>Руководство аспирантами</t>
        </is>
      </c>
      <c r="C1042" s="9" t="inlineStr">
        <is>
          <t>Руководство аспирантами</t>
        </is>
      </c>
      <c r="D1042" s="9" t="inlineStr">
        <is>
          <t>Т1О-310А-18</t>
        </is>
      </c>
      <c r="E1042" s="10" t="n">
        <v>25</v>
      </c>
      <c r="F1042" s="9" t="n"/>
      <c r="G1042" s="11" t="n">
        <v>0</v>
      </c>
      <c r="H1042" s="21" t="inlineStr">
        <is>
          <t xml:space="preserve">81732     </t>
        </is>
      </c>
      <c r="I1042" s="21" t="inlineStr">
        <is>
          <t xml:space="preserve">Петров Анатолий Павлович </t>
        </is>
      </c>
      <c r="J1042" s="21" t="inlineStr">
        <is>
          <t>профессор</t>
        </is>
      </c>
      <c r="K1042" s="21" t="n"/>
      <c r="L1042" s="21" t="inlineStr">
        <is>
          <t>Захарова (Борунова) Татьяна Ивановна</t>
        </is>
      </c>
      <c r="M1042" s="12">
        <f>SUMIFS($E$2:$E$1130,$A$2:$A$1130,"осень",$I$2:$I$1130,I1042)</f>
        <v/>
      </c>
      <c r="N1042" s="13">
        <f>SUMIFS($E$2:$E$1130,$A$2:$A$1130,"весна",$I$2:$I$1130,I1042)</f>
        <v/>
      </c>
      <c r="O1042" s="14">
        <f>M1042+N1042</f>
        <v/>
      </c>
      <c r="P1042" s="15">
        <f>O1042/$P$1</f>
        <v/>
      </c>
    </row>
    <row r="1043" ht="15.75" customHeight="1" s="2">
      <c r="A1043" s="32" t="inlineStr">
        <is>
          <t>весна</t>
        </is>
      </c>
      <c r="B1043" s="9" t="inlineStr">
        <is>
          <t>Руководство аспирантами</t>
        </is>
      </c>
      <c r="C1043" s="9" t="inlineStr">
        <is>
          <t>Руководство аспирантами</t>
        </is>
      </c>
      <c r="D1043" s="9" t="inlineStr">
        <is>
          <t>Т11О-302А-18</t>
        </is>
      </c>
      <c r="E1043" s="10" t="n">
        <v>25</v>
      </c>
      <c r="F1043" s="9" t="n"/>
      <c r="G1043" s="11" t="n">
        <v>0</v>
      </c>
      <c r="H1043" s="9" t="inlineStr">
        <is>
          <t xml:space="preserve">92509     </t>
        </is>
      </c>
      <c r="I1043" s="9" t="inlineStr">
        <is>
          <t xml:space="preserve">Пашков Игорь Николаевич </t>
        </is>
      </c>
      <c r="J1043" s="9" t="n"/>
      <c r="K1043" s="9" t="n"/>
      <c r="L1043" s="9" t="inlineStr">
        <is>
          <t>Мисников Валерий Евгеньевич</t>
        </is>
      </c>
      <c r="M1043" s="12">
        <f>SUMIFS($E$2:$E$1130,$A$2:$A$1130,"осень",$I$2:$I$1130,I1043)</f>
        <v/>
      </c>
      <c r="N1043" s="13">
        <f>SUMIFS($E$2:$E$1130,$A$2:$A$1130,"весна",$I$2:$I$1130,I1043)</f>
        <v/>
      </c>
      <c r="O1043" s="14">
        <f>M1043+N1043</f>
        <v/>
      </c>
      <c r="P1043" s="15">
        <f>O1043/$P$1</f>
        <v/>
      </c>
    </row>
    <row r="1044" ht="15.75" customHeight="1" s="2">
      <c r="A1044" s="32" t="inlineStr">
        <is>
          <t>весна</t>
        </is>
      </c>
      <c r="B1044" s="9" t="inlineStr">
        <is>
          <t>Руководство аспирантами</t>
        </is>
      </c>
      <c r="C1044" s="9" t="inlineStr">
        <is>
          <t>Руководство аспирантами</t>
        </is>
      </c>
      <c r="D1044" s="9" t="inlineStr">
        <is>
          <t>Т11О-307А-18</t>
        </is>
      </c>
      <c r="E1044" s="10" t="n">
        <v>75</v>
      </c>
      <c r="F1044" s="9" t="n"/>
      <c r="G1044" s="11" t="n">
        <v>0</v>
      </c>
      <c r="H1044" s="9" t="inlineStr">
        <is>
          <t xml:space="preserve">82060     </t>
        </is>
      </c>
      <c r="I1044" s="9" t="inlineStr">
        <is>
          <t xml:space="preserve">Лозован Александр Александрович </t>
        </is>
      </c>
      <c r="J1044" s="9" t="inlineStr">
        <is>
          <t>профессор</t>
        </is>
      </c>
      <c r="K1044" s="9" t="n"/>
      <c r="L1044" s="9" t="inlineStr">
        <is>
          <t>Быкадоров Кубатина Иванов</t>
        </is>
      </c>
      <c r="M1044" s="12">
        <f>SUMIFS($E$2:$E$1130,$A$2:$A$1130,"осень",$I$2:$I$1130,I1044)</f>
        <v/>
      </c>
      <c r="N1044" s="13">
        <f>SUMIFS($E$2:$E$1130,$A$2:$A$1130,"весна",$I$2:$I$1130,I1044)</f>
        <v/>
      </c>
      <c r="O1044" s="14">
        <f>M1044+N1044</f>
        <v/>
      </c>
      <c r="P1044" s="15">
        <f>O1044/$P$1</f>
        <v/>
      </c>
    </row>
    <row r="1045" ht="15.75" customHeight="1" s="2">
      <c r="A1045" s="32" t="inlineStr">
        <is>
          <t>весна</t>
        </is>
      </c>
      <c r="B1045" s="9" t="inlineStr">
        <is>
          <t>Руководство аспирантами</t>
        </is>
      </c>
      <c r="C1045" s="9" t="inlineStr">
        <is>
          <t>Руководство аспирантами</t>
        </is>
      </c>
      <c r="D1045" s="9" t="inlineStr">
        <is>
          <t>Т11О-202А-19</t>
        </is>
      </c>
      <c r="E1045" s="10" t="n">
        <v>25</v>
      </c>
      <c r="F1045" s="9" t="n"/>
      <c r="G1045" s="11" t="n">
        <v>0</v>
      </c>
      <c r="H1045" s="9" t="inlineStr">
        <is>
          <t xml:space="preserve">92509     </t>
        </is>
      </c>
      <c r="I1045" s="9" t="inlineStr">
        <is>
          <t xml:space="preserve">Пашков Игорь Николаевич </t>
        </is>
      </c>
      <c r="J1045" s="9" t="n"/>
      <c r="K1045" s="9" t="n"/>
      <c r="L1045" s="9" t="inlineStr">
        <is>
          <t>Степанов Максим Александрович</t>
        </is>
      </c>
      <c r="M1045" s="12">
        <f>SUMIFS($E$2:$E$1130,$A$2:$A$1130,"осень",$I$2:$I$1130,I1045)</f>
        <v/>
      </c>
      <c r="N1045" s="13">
        <f>SUMIFS($E$2:$E$1130,$A$2:$A$1130,"весна",$I$2:$I$1130,I1045)</f>
        <v/>
      </c>
      <c r="O1045" s="14">
        <f>M1045+N1045</f>
        <v/>
      </c>
      <c r="P1045" s="15">
        <f>O1045/$P$1</f>
        <v/>
      </c>
    </row>
    <row r="1046" ht="15.75" customHeight="1" s="2">
      <c r="A1046" s="32" t="inlineStr">
        <is>
          <t>весна</t>
        </is>
      </c>
      <c r="B1046" s="9" t="inlineStr">
        <is>
          <t>Руководство аспирантами</t>
        </is>
      </c>
      <c r="C1046" s="9" t="inlineStr">
        <is>
          <t>Руководство аспирантами</t>
        </is>
      </c>
      <c r="D1046" s="9" t="inlineStr">
        <is>
          <t>Т11О-207А-19</t>
        </is>
      </c>
      <c r="E1046" s="10" t="n">
        <v>25</v>
      </c>
      <c r="F1046" s="9" t="n"/>
      <c r="G1046" s="11" t="n">
        <v>0</v>
      </c>
      <c r="H1046" s="9" t="inlineStr">
        <is>
          <t xml:space="preserve">82060     </t>
        </is>
      </c>
      <c r="I1046" s="9" t="inlineStr">
        <is>
          <t xml:space="preserve">Лозован Александр Александрович </t>
        </is>
      </c>
      <c r="J1046" s="9" t="inlineStr">
        <is>
          <t>профессор</t>
        </is>
      </c>
      <c r="K1046" s="9" t="n"/>
      <c r="L1046" s="9" t="inlineStr">
        <is>
          <t>Козлов</t>
        </is>
      </c>
      <c r="M1046" s="12">
        <f>SUMIFS($E$2:$E$1130,$A$2:$A$1130,"осень",$I$2:$I$1130,I1046)</f>
        <v/>
      </c>
      <c r="N1046" s="13">
        <f>SUMIFS($E$2:$E$1130,$A$2:$A$1130,"весна",$I$2:$I$1130,I1046)</f>
        <v/>
      </c>
      <c r="O1046" s="14">
        <f>M1046+N1046</f>
        <v/>
      </c>
      <c r="P1046" s="15">
        <f>O1046/$P$1</f>
        <v/>
      </c>
    </row>
    <row r="1047" ht="15.75" customHeight="1" s="2">
      <c r="A1047" s="32" t="inlineStr">
        <is>
          <t>весна</t>
        </is>
      </c>
      <c r="B1047" s="9" t="inlineStr">
        <is>
          <t>Руководство аспирантами</t>
        </is>
      </c>
      <c r="C1047" s="9" t="inlineStr">
        <is>
          <t>Руководство аспирантами</t>
        </is>
      </c>
      <c r="D1047" s="9" t="inlineStr">
        <is>
          <t>Т11О-207А-19</t>
        </is>
      </c>
      <c r="E1047" s="10" t="n">
        <v>50</v>
      </c>
      <c r="F1047" s="9" t="n"/>
      <c r="G1047" s="11" t="n">
        <v>0</v>
      </c>
      <c r="H1047" s="9" t="inlineStr">
        <is>
          <t xml:space="preserve">82066     </t>
        </is>
      </c>
      <c r="I1047" s="9" t="inlineStr">
        <is>
          <t xml:space="preserve">Серов Михаил Михайлович </t>
        </is>
      </c>
      <c r="J1047" s="9" t="inlineStr">
        <is>
          <t>профессор</t>
        </is>
      </c>
      <c r="K1047" s="9" t="n"/>
      <c r="L1047" s="9" t="inlineStr">
        <is>
          <t>Ярошенко Патрушев</t>
        </is>
      </c>
      <c r="M1047" s="12">
        <f>SUMIFS($E$2:$E$1130,$A$2:$A$1130,"осень",$I$2:$I$1130,I1047)</f>
        <v/>
      </c>
      <c r="N1047" s="13">
        <f>SUMIFS($E$2:$E$1130,$A$2:$A$1130,"весна",$I$2:$I$1130,I1047)</f>
        <v/>
      </c>
      <c r="O1047" s="14">
        <f>M1047+N1047</f>
        <v/>
      </c>
      <c r="P1047" s="15">
        <f>O1047/$P$1</f>
        <v/>
      </c>
    </row>
    <row r="1048" ht="15.75" customHeight="1" s="2">
      <c r="A1048" s="41" t="inlineStr">
        <is>
          <t>весна</t>
        </is>
      </c>
      <c r="B1048" s="9" t="inlineStr">
        <is>
          <t>Диплом</t>
        </is>
      </c>
      <c r="C1048" s="9" t="inlineStr">
        <is>
          <t>Диплом</t>
        </is>
      </c>
      <c r="D1048" s="42" t="inlineStr">
        <is>
          <t>Т1О-401Б-17</t>
        </is>
      </c>
      <c r="E1048" s="43" t="n"/>
      <c r="F1048" s="10" t="n">
        <v>425</v>
      </c>
      <c r="G1048" s="11" t="n">
        <v>0</v>
      </c>
      <c r="H1048" s="9" t="n"/>
      <c r="I1048" s="44" t="inlineStr">
        <is>
          <t>э-Дипломы- Д+С</t>
        </is>
      </c>
      <c r="J1048" s="44" t="inlineStr">
        <is>
          <t>17 чел</t>
        </is>
      </c>
      <c r="K1048" s="41" t="n"/>
      <c r="L1048" s="9" t="n"/>
      <c r="M1048" s="12">
        <f>SUMIFS($E$2:$E$1130,$A$2:$A$1130,"осень",$I$2:$I$1130,I1048)</f>
        <v/>
      </c>
      <c r="N1048" s="13">
        <f>SUMIFS($E$2:$E$1130,$A$2:$A$1130,"весна",$I$2:$I$1130,I1048)</f>
        <v/>
      </c>
      <c r="O1048" s="14">
        <f>M1048+N1048</f>
        <v/>
      </c>
      <c r="P1048" s="15">
        <f>O1048/$P$1</f>
        <v/>
      </c>
    </row>
    <row r="1049" ht="15.75" customHeight="1" s="2">
      <c r="A1049" s="32" t="inlineStr">
        <is>
          <t>весна</t>
        </is>
      </c>
      <c r="B1049" s="9" t="inlineStr">
        <is>
          <t>Диплом</t>
        </is>
      </c>
      <c r="C1049" s="9" t="inlineStr">
        <is>
          <t>Диплом</t>
        </is>
      </c>
      <c r="D1049" s="42" t="inlineStr">
        <is>
          <t>Т1О-401Б-17</t>
        </is>
      </c>
      <c r="E1049" s="314" t="n">
        <v>40</v>
      </c>
      <c r="F1049" s="36" t="n"/>
      <c r="G1049" s="36" t="n"/>
      <c r="H1049" s="36" t="n"/>
      <c r="I1049" s="24" t="inlineStr">
        <is>
          <t xml:space="preserve">Беспалов Александр Владимирович </t>
        </is>
      </c>
      <c r="J1049" s="24" t="inlineStr">
        <is>
          <t>доцент</t>
        </is>
      </c>
      <c r="K1049" s="31" t="inlineStr">
        <is>
          <t>2 чел</t>
        </is>
      </c>
      <c r="L1049" s="36" t="n"/>
      <c r="M1049" s="12">
        <f>SUMIFS($E$2:$E$1130,$A$2:$A$1130,"осень",$I$2:$I$1130,I1049)</f>
        <v/>
      </c>
      <c r="N1049" s="13">
        <f>SUMIFS($E$2:$E$1130,$A$2:$A$1130,"весна",$I$2:$I$1130,I1049)</f>
        <v/>
      </c>
      <c r="O1049" s="14">
        <f>M1049+N1049</f>
        <v/>
      </c>
      <c r="P1049" s="15">
        <f>O1049/$P$1</f>
        <v/>
      </c>
    </row>
    <row r="1050" ht="15.75" customHeight="1" s="2">
      <c r="A1050" s="32" t="inlineStr">
        <is>
          <t>весна</t>
        </is>
      </c>
      <c r="B1050" s="9" t="inlineStr">
        <is>
          <t>Диплом</t>
        </is>
      </c>
      <c r="C1050" s="9" t="inlineStr">
        <is>
          <t>Диплом</t>
        </is>
      </c>
      <c r="D1050" s="42" t="inlineStr">
        <is>
          <t>Т1О-401Б-17</t>
        </is>
      </c>
      <c r="E1050" s="314" t="n">
        <v>60</v>
      </c>
      <c r="F1050" s="36" t="n"/>
      <c r="G1050" s="36" t="n"/>
      <c r="H1050" s="36" t="n"/>
      <c r="I1050" s="31" t="inlineStr">
        <is>
          <t xml:space="preserve">Петров Анатолий Павлович </t>
        </is>
      </c>
      <c r="J1050" s="31" t="inlineStr">
        <is>
          <t>профессор</t>
        </is>
      </c>
      <c r="K1050" s="31" t="inlineStr">
        <is>
          <t>3 чел</t>
        </is>
      </c>
      <c r="L1050" s="36" t="inlineStr">
        <is>
          <t>кроме понедельника, желательно все занятия в один день</t>
        </is>
      </c>
      <c r="M1050" s="12">
        <f>SUMIFS($E$2:$E$1130,$A$2:$A$1130,"осень",$I$2:$I$1130,I1050)</f>
        <v/>
      </c>
      <c r="N1050" s="13">
        <f>SUMIFS($E$2:$E$1130,$A$2:$A$1130,"весна",$I$2:$I$1130,I1050)</f>
        <v/>
      </c>
      <c r="O1050" s="14">
        <f>M1050+N1050</f>
        <v/>
      </c>
      <c r="P1050" s="15">
        <f>O1050/$P$1</f>
        <v/>
      </c>
    </row>
    <row r="1051" ht="15.75" customHeight="1" s="2">
      <c r="A1051" s="32" t="inlineStr">
        <is>
          <t>весна</t>
        </is>
      </c>
      <c r="B1051" s="9" t="inlineStr">
        <is>
          <t>Диплом</t>
        </is>
      </c>
      <c r="C1051" s="9" t="inlineStr">
        <is>
          <t>Диплом</t>
        </is>
      </c>
      <c r="D1051" s="42" t="inlineStr">
        <is>
          <t>Т1О-401Б-17</t>
        </is>
      </c>
      <c r="E1051" s="314" t="n">
        <v>20</v>
      </c>
      <c r="F1051" s="36" t="n"/>
      <c r="G1051" s="36" t="n"/>
      <c r="H1051" s="36" t="n"/>
      <c r="I1051" s="9" t="inlineStr">
        <is>
          <t xml:space="preserve">Еремеев Николай Владимирович </t>
        </is>
      </c>
      <c r="J1051" s="31" t="inlineStr">
        <is>
          <t>доцент</t>
        </is>
      </c>
      <c r="K1051" s="31" t="inlineStr">
        <is>
          <t>1 чел</t>
        </is>
      </c>
      <c r="L1051" s="36" t="n"/>
      <c r="M1051" s="12">
        <f>SUMIFS($E$2:$E$1130,$A$2:$A$1130,"осень",$I$2:$I$1130,I1051)</f>
        <v/>
      </c>
      <c r="N1051" s="13">
        <f>SUMIFS($E$2:$E$1130,$A$2:$A$1130,"весна",$I$2:$I$1130,I1051)</f>
        <v/>
      </c>
      <c r="O1051" s="14">
        <f>M1051+N1051</f>
        <v/>
      </c>
      <c r="P1051" s="15">
        <f>O1051/$P$1</f>
        <v/>
      </c>
    </row>
    <row r="1052" ht="15.75" customHeight="1" s="2">
      <c r="A1052" s="32" t="inlineStr">
        <is>
          <t>весна</t>
        </is>
      </c>
      <c r="B1052" s="9" t="inlineStr">
        <is>
          <t>Диплом</t>
        </is>
      </c>
      <c r="C1052" s="9" t="inlineStr">
        <is>
          <t>Диплом</t>
        </is>
      </c>
      <c r="D1052" s="42" t="inlineStr">
        <is>
          <t>Т1О-401Б-17</t>
        </is>
      </c>
      <c r="E1052" s="314">
        <f>40+5</f>
        <v/>
      </c>
      <c r="F1052" s="36" t="n"/>
      <c r="G1052" s="36" t="n"/>
      <c r="H1052" s="36" t="n"/>
      <c r="I1052" s="31" t="inlineStr">
        <is>
          <t xml:space="preserve">Палтиевич Андрей Романович </t>
        </is>
      </c>
      <c r="J1052" s="31" t="inlineStr">
        <is>
          <t>доцент</t>
        </is>
      </c>
      <c r="K1052" s="31" t="inlineStr">
        <is>
          <t>2 чел +ком</t>
        </is>
      </c>
      <c r="L1052" s="36" t="n"/>
      <c r="M1052" s="12">
        <f>SUMIFS($E$2:$E$1130,$A$2:$A$1130,"осень",$I$2:$I$1130,I1052)</f>
        <v/>
      </c>
      <c r="N1052" s="13">
        <f>SUMIFS($E$2:$E$1130,$A$2:$A$1130,"весна",$I$2:$I$1130,I1052)</f>
        <v/>
      </c>
      <c r="O1052" s="14">
        <f>M1052+N1052</f>
        <v/>
      </c>
      <c r="P1052" s="15">
        <f>O1052/$P$1</f>
        <v/>
      </c>
    </row>
    <row r="1053" ht="15.75" customHeight="1" s="2">
      <c r="A1053" s="32" t="inlineStr">
        <is>
          <t>весна</t>
        </is>
      </c>
      <c r="B1053" s="9" t="inlineStr">
        <is>
          <t>Диплом</t>
        </is>
      </c>
      <c r="C1053" s="9" t="inlineStr">
        <is>
          <t>Диплом</t>
        </is>
      </c>
      <c r="D1053" s="42" t="inlineStr">
        <is>
          <t>Т1О-401Б-17</t>
        </is>
      </c>
      <c r="E1053" s="314" t="n">
        <v>20</v>
      </c>
      <c r="F1053" s="36" t="n"/>
      <c r="G1053" s="36" t="n"/>
      <c r="H1053" s="36" t="n"/>
      <c r="I1053" s="31" t="inlineStr">
        <is>
          <t xml:space="preserve">Преображенский Евгений Владимирович </t>
        </is>
      </c>
      <c r="J1053" s="31" t="inlineStr">
        <is>
          <t>доцент</t>
        </is>
      </c>
      <c r="K1053" s="31" t="inlineStr">
        <is>
          <t>1 чел</t>
        </is>
      </c>
      <c r="L1053" s="36" t="n"/>
      <c r="M1053" s="12">
        <f>SUMIFS($E$2:$E$1130,$A$2:$A$1130,"осень",$I$2:$I$1130,I1053)</f>
        <v/>
      </c>
      <c r="N1053" s="13">
        <f>SUMIFS($E$2:$E$1130,$A$2:$A$1130,"весна",$I$2:$I$1130,I1053)</f>
        <v/>
      </c>
      <c r="O1053" s="14">
        <f>M1053+N1053</f>
        <v/>
      </c>
      <c r="P1053" s="15">
        <f>O1053/$P$1</f>
        <v/>
      </c>
    </row>
    <row r="1054" ht="15.75" customHeight="1" s="2">
      <c r="A1054" s="119" t="inlineStr">
        <is>
          <t>весна</t>
        </is>
      </c>
      <c r="B1054" s="9" t="inlineStr">
        <is>
          <t>Диплом</t>
        </is>
      </c>
      <c r="C1054" s="9" t="inlineStr">
        <is>
          <t>Диплом</t>
        </is>
      </c>
      <c r="D1054" s="42" t="inlineStr">
        <is>
          <t>Т1О-401Б-17</t>
        </is>
      </c>
      <c r="E1054" s="314">
        <f>20+5+10</f>
        <v/>
      </c>
      <c r="F1054" s="36" t="n"/>
      <c r="G1054" s="36" t="n"/>
      <c r="H1054" s="36" t="n"/>
      <c r="I1054" s="31" t="inlineStr">
        <is>
          <t xml:space="preserve">Соколов Алексей Викторович </t>
        </is>
      </c>
      <c r="J1054" s="31" t="inlineStr">
        <is>
          <t>доцент</t>
        </is>
      </c>
      <c r="K1054" s="31" t="inlineStr">
        <is>
          <t>1 чел+ком+норм</t>
        </is>
      </c>
      <c r="L1054" s="36" t="inlineStr">
        <is>
          <t>кроме пятницы</t>
        </is>
      </c>
      <c r="M1054" s="12">
        <f>SUMIFS($E$2:$E$1130,$A$2:$A$1130,"осень",$I$2:$I$1130,I1054)</f>
        <v/>
      </c>
      <c r="N1054" s="13">
        <f>SUMIFS($E$2:$E$1130,$A$2:$A$1130,"весна",$I$2:$I$1130,I1054)</f>
        <v/>
      </c>
      <c r="O1054" s="14">
        <f>M1054+N1054</f>
        <v/>
      </c>
      <c r="P1054" s="15">
        <f>O1054/$P$1</f>
        <v/>
      </c>
    </row>
    <row r="1055" ht="15.75" customHeight="1" s="2">
      <c r="A1055" s="32" t="inlineStr">
        <is>
          <t>весна</t>
        </is>
      </c>
      <c r="B1055" s="9" t="inlineStr">
        <is>
          <t>Диплом</t>
        </is>
      </c>
      <c r="C1055" s="9" t="inlineStr">
        <is>
          <t>Диплом</t>
        </is>
      </c>
      <c r="D1055" s="42" t="inlineStr">
        <is>
          <t>Т1О-401Б-17</t>
        </is>
      </c>
      <c r="E1055" s="314" t="n">
        <v>5</v>
      </c>
      <c r="F1055" s="36" t="n"/>
      <c r="G1055" s="36" t="n"/>
      <c r="H1055" s="36" t="n"/>
      <c r="I1055" s="31" t="inlineStr">
        <is>
          <t xml:space="preserve">Комаров Роман Сергеевич </t>
        </is>
      </c>
      <c r="J1055" s="31" t="inlineStr">
        <is>
          <t>доцент</t>
        </is>
      </c>
      <c r="K1055" s="31" t="inlineStr">
        <is>
          <t>секр</t>
        </is>
      </c>
      <c r="L1055" s="36" t="n"/>
      <c r="M1055" s="12">
        <f>SUMIFS($E$2:$E$1130,$A$2:$A$1130,"осень",$I$2:$I$1130,I1055)</f>
        <v/>
      </c>
      <c r="N1055" s="13">
        <f>SUMIFS($E$2:$E$1130,$A$2:$A$1130,"весна",$I$2:$I$1130,I1055)</f>
        <v/>
      </c>
      <c r="O1055" s="14">
        <f>M1055+N1055</f>
        <v/>
      </c>
      <c r="P1055" s="15">
        <f>O1055/$P$1</f>
        <v/>
      </c>
    </row>
    <row r="1056" ht="15.75" customHeight="1" s="2">
      <c r="A1056" s="32" t="inlineStr">
        <is>
          <t>весна</t>
        </is>
      </c>
      <c r="B1056" s="9" t="inlineStr">
        <is>
          <t>Диплом</t>
        </is>
      </c>
      <c r="C1056" s="9" t="inlineStr">
        <is>
          <t>Диплом</t>
        </is>
      </c>
      <c r="D1056" s="42" t="inlineStr">
        <is>
          <t>Т1О-401Б-17</t>
        </is>
      </c>
      <c r="E1056" s="314" t="n">
        <v>5</v>
      </c>
      <c r="F1056" s="36" t="n"/>
      <c r="G1056" s="36" t="n"/>
      <c r="H1056" s="36" t="n"/>
      <c r="I1056" s="31" t="inlineStr">
        <is>
          <t xml:space="preserve">Шленский Алексей Геннадьевич </t>
        </is>
      </c>
      <c r="J1056" s="31" t="inlineStr">
        <is>
          <t>доцент</t>
        </is>
      </c>
      <c r="K1056" s="31" t="inlineStr">
        <is>
          <t>ком</t>
        </is>
      </c>
      <c r="L1056" s="36" t="n"/>
      <c r="M1056" s="12">
        <f>SUMIFS($E$2:$E$1130,$A$2:$A$1130,"осень",$I$2:$I$1130,I1056)</f>
        <v/>
      </c>
      <c r="N1056" s="13">
        <f>SUMIFS($E$2:$E$1130,$A$2:$A$1130,"весна",$I$2:$I$1130,I1056)</f>
        <v/>
      </c>
      <c r="O1056" s="14">
        <f>M1056+N1056</f>
        <v/>
      </c>
      <c r="P1056" s="15">
        <f>O1056/$P$1</f>
        <v/>
      </c>
    </row>
    <row r="1057" ht="15.75" customHeight="1" s="2">
      <c r="A1057" s="32" t="inlineStr">
        <is>
          <t>весна</t>
        </is>
      </c>
      <c r="B1057" s="9" t="inlineStr">
        <is>
          <t>Диплом</t>
        </is>
      </c>
      <c r="C1057" s="9" t="inlineStr">
        <is>
          <t>Диплом</t>
        </is>
      </c>
      <c r="D1057" s="42" t="inlineStr">
        <is>
          <t>Т1О-401Б-17 (Т1О-403Б-17)</t>
        </is>
      </c>
      <c r="E1057" s="46">
        <f>40+3.5</f>
        <v/>
      </c>
      <c r="F1057" s="36" t="n"/>
      <c r="G1057" s="36" t="n">
        <v>0</v>
      </c>
      <c r="H1057" s="36" t="n"/>
      <c r="I1057" s="31" t="inlineStr">
        <is>
          <t xml:space="preserve">Никитина Елена Владимировна </t>
        </is>
      </c>
      <c r="J1057" s="31" t="inlineStr">
        <is>
          <t>профессор</t>
        </is>
      </c>
      <c r="K1057" s="31" t="inlineStr">
        <is>
          <t>2 чел + ком</t>
        </is>
      </c>
      <c r="L1057" s="36" t="inlineStr">
        <is>
          <t>Порошки в сварку</t>
        </is>
      </c>
      <c r="M1057" s="12">
        <f>SUMIFS($E$2:$E$1130,$A$2:$A$1130,"осень",$I$2:$I$1130,I1057)</f>
        <v/>
      </c>
      <c r="N1057" s="13">
        <f>SUMIFS($E$2:$E$1130,$A$2:$A$1130,"весна",$I$2:$I$1130,I1057)</f>
        <v/>
      </c>
      <c r="O1057" s="14">
        <f>M1057+N1057</f>
        <v/>
      </c>
      <c r="P1057" s="15">
        <f>O1057/$P$1</f>
        <v/>
      </c>
    </row>
    <row r="1058" ht="15.75" customHeight="1" s="2">
      <c r="A1058" s="32" t="inlineStr">
        <is>
          <t>весна</t>
        </is>
      </c>
      <c r="B1058" s="9" t="inlineStr">
        <is>
          <t>Диплом</t>
        </is>
      </c>
      <c r="C1058" s="9" t="inlineStr">
        <is>
          <t>Диплом</t>
        </is>
      </c>
      <c r="D1058" s="42" t="inlineStr">
        <is>
          <t>Т1О-401Б-17 (Т1О-403Б-17)</t>
        </is>
      </c>
      <c r="E1058" s="46">
        <f>20+7+3.5</f>
        <v/>
      </c>
      <c r="F1058" s="36" t="n"/>
      <c r="G1058" s="36" t="n">
        <v>0</v>
      </c>
      <c r="H1058" s="36" t="n"/>
      <c r="I1058" s="31" t="inlineStr">
        <is>
          <t xml:space="preserve">Федоров Сергей Александрович </t>
        </is>
      </c>
      <c r="J1058" s="31" t="inlineStr">
        <is>
          <t>профессор</t>
        </is>
      </c>
      <c r="K1058" s="31" t="inlineStr">
        <is>
          <t>1 чел + норм+ком</t>
        </is>
      </c>
      <c r="L1058" s="36" t="inlineStr">
        <is>
          <t>Порошки в сварку</t>
        </is>
      </c>
      <c r="M1058" s="12">
        <f>SUMIFS($E$2:$E$1130,$A$2:$A$1130,"осень",$I$2:$I$1130,I1058)</f>
        <v/>
      </c>
      <c r="N1058" s="13">
        <f>SUMIFS($E$2:$E$1130,$A$2:$A$1130,"весна",$I$2:$I$1130,I1058)</f>
        <v/>
      </c>
      <c r="O1058" s="14">
        <f>M1058+N1058</f>
        <v/>
      </c>
      <c r="P1058" s="15">
        <f>O1058/$P$1</f>
        <v/>
      </c>
    </row>
    <row r="1059" ht="15.75" customHeight="1" s="2">
      <c r="A1059" s="32" t="inlineStr">
        <is>
          <t>весна</t>
        </is>
      </c>
      <c r="B1059" s="9" t="inlineStr">
        <is>
          <t>Диплом</t>
        </is>
      </c>
      <c r="C1059" s="9" t="inlineStr">
        <is>
          <t>Диплом</t>
        </is>
      </c>
      <c r="D1059" s="42" t="inlineStr">
        <is>
          <t>Т1О-401Б-17 (Т1О-403Б-17)</t>
        </is>
      </c>
      <c r="E1059" s="46">
        <f>40+3.5</f>
        <v/>
      </c>
      <c r="F1059" s="36" t="n"/>
      <c r="G1059" s="36" t="n">
        <v>0</v>
      </c>
      <c r="H1059" s="36" t="n"/>
      <c r="I1059" s="31" t="inlineStr">
        <is>
          <t xml:space="preserve">Конкевич Валентин Юрьевич </t>
        </is>
      </c>
      <c r="J1059" s="31" t="inlineStr">
        <is>
          <t>профессор</t>
        </is>
      </c>
      <c r="K1059" s="31" t="inlineStr">
        <is>
          <t>2 чел + ком</t>
        </is>
      </c>
      <c r="L1059" s="36" t="inlineStr">
        <is>
          <t>Порошки в сварку</t>
        </is>
      </c>
      <c r="M1059" s="12">
        <f>SUMIFS($E$2:$E$1130,$A$2:$A$1130,"осень",$I$2:$I$1130,I1059)</f>
        <v/>
      </c>
      <c r="N1059" s="13">
        <f>SUMIFS($E$2:$E$1130,$A$2:$A$1130,"весна",$I$2:$I$1130,I1059)</f>
        <v/>
      </c>
      <c r="O1059" s="14">
        <f>M1059+N1059</f>
        <v/>
      </c>
      <c r="P1059" s="15">
        <f>O1059/$P$1</f>
        <v/>
      </c>
    </row>
    <row r="1060" ht="15.75" customHeight="1" s="2">
      <c r="A1060" s="32" t="inlineStr">
        <is>
          <t>весна</t>
        </is>
      </c>
      <c r="B1060" s="9" t="inlineStr">
        <is>
          <t>Диплом</t>
        </is>
      </c>
      <c r="C1060" s="9" t="inlineStr">
        <is>
          <t>Диплом</t>
        </is>
      </c>
      <c r="D1060" s="42" t="inlineStr">
        <is>
          <t>Т1О-401Б-17 (Т1О-403Б-17)</t>
        </is>
      </c>
      <c r="E1060" s="47" t="n">
        <v>3.5</v>
      </c>
      <c r="F1060" s="48" t="n"/>
      <c r="G1060" s="48" t="n">
        <v>0</v>
      </c>
      <c r="H1060" s="48" t="n"/>
      <c r="I1060" s="49" t="inlineStr">
        <is>
          <t xml:space="preserve">Власенко Артем Николаевич </t>
        </is>
      </c>
      <c r="J1060" s="49" t="inlineStr">
        <is>
          <t>ст. преподаватель</t>
        </is>
      </c>
      <c r="K1060" s="49" t="inlineStr">
        <is>
          <t>секр</t>
        </is>
      </c>
      <c r="L1060" s="48" t="inlineStr">
        <is>
          <t>Порошки в сварку</t>
        </is>
      </c>
      <c r="M1060" s="12">
        <f>SUMIFS($E$2:$E$1130,$A$2:$A$1130,"осень",$I$2:$I$1130,I1060)</f>
        <v/>
      </c>
      <c r="N1060" s="13">
        <f>SUMIFS($E$2:$E$1130,$A$2:$A$1130,"весна",$I$2:$I$1130,I1060)</f>
        <v/>
      </c>
      <c r="O1060" s="14">
        <f>M1060+N1060</f>
        <v/>
      </c>
      <c r="P1060" s="15">
        <f>O1060/$P$1</f>
        <v/>
      </c>
    </row>
    <row r="1061" ht="15.75" customHeight="1" s="2">
      <c r="A1061" s="32" t="inlineStr">
        <is>
          <t>весна</t>
        </is>
      </c>
      <c r="B1061" s="9" t="inlineStr">
        <is>
          <t>Диплом</t>
        </is>
      </c>
      <c r="C1061" s="9" t="inlineStr">
        <is>
          <t>Диплом</t>
        </is>
      </c>
      <c r="D1061" s="42" t="inlineStr">
        <is>
          <t>Т1О-401Б-17 (Т1О-403Б-17)</t>
        </is>
      </c>
      <c r="E1061" s="50" t="n">
        <v>20</v>
      </c>
      <c r="F1061" s="9" t="n"/>
      <c r="G1061" s="9" t="n"/>
      <c r="H1061" s="9" t="n"/>
      <c r="I1061" s="41" t="inlineStr">
        <is>
          <t>Степанов Владимир Валерьевич</t>
        </is>
      </c>
      <c r="J1061" s="31" t="n"/>
      <c r="K1061" s="41" t="inlineStr">
        <is>
          <t>1 чел</t>
        </is>
      </c>
      <c r="L1061" s="9" t="n"/>
      <c r="M1061" s="12">
        <f>SUMIFS($E$2:$E$1130,$A$2:$A$1130,"осень",$I$2:$I$1130,I1061)</f>
        <v/>
      </c>
      <c r="N1061" s="13">
        <f>SUMIFS($E$2:$E$1130,$A$2:$A$1130,"весна",$I$2:$I$1130,I1061)</f>
        <v/>
      </c>
      <c r="O1061" s="14">
        <f>M1061+N1061</f>
        <v/>
      </c>
      <c r="P1061" s="15">
        <f>O1061/$P$1</f>
        <v/>
      </c>
    </row>
    <row r="1062" ht="15.75" customHeight="1" s="2">
      <c r="A1062" s="32" t="inlineStr">
        <is>
          <t>весна</t>
        </is>
      </c>
      <c r="B1062" s="9" t="inlineStr">
        <is>
          <t>Диплом</t>
        </is>
      </c>
      <c r="C1062" s="9" t="inlineStr">
        <is>
          <t>Диплом</t>
        </is>
      </c>
      <c r="D1062" s="42" t="inlineStr">
        <is>
          <t>Т1О-401Б-17 (Т1О-403Б-17)</t>
        </is>
      </c>
      <c r="E1062" s="51" t="n">
        <v>20</v>
      </c>
      <c r="F1062" s="9" t="n"/>
      <c r="G1062" s="9" t="n"/>
      <c r="H1062" s="9" t="n"/>
      <c r="I1062" s="41" t="inlineStr">
        <is>
          <t>Сидякин Виталий Александрович</t>
        </is>
      </c>
      <c r="J1062" s="31" t="inlineStr">
        <is>
          <t>профессор</t>
        </is>
      </c>
      <c r="K1062" s="41" t="inlineStr">
        <is>
          <t>1 чел</t>
        </is>
      </c>
      <c r="L1062" s="9" t="n"/>
      <c r="M1062" s="12">
        <f>SUMIFS($E$2:$E$1130,$A$2:$A$1130,"осень",$I$2:$I$1130,I1062)</f>
        <v/>
      </c>
      <c r="N1062" s="13">
        <f>SUMIFS($E$2:$E$1130,$A$2:$A$1130,"весна",$I$2:$I$1130,I1062)</f>
        <v/>
      </c>
      <c r="O1062" s="14">
        <f>M1062+N1062</f>
        <v/>
      </c>
      <c r="P1062" s="15">
        <f>O1062/$P$1</f>
        <v/>
      </c>
    </row>
    <row r="1063" ht="15.75" customHeight="1" s="2">
      <c r="A1063" s="41" t="inlineStr">
        <is>
          <t>весна</t>
        </is>
      </c>
      <c r="B1063" s="9" t="inlineStr">
        <is>
          <t>Диплом</t>
        </is>
      </c>
      <c r="C1063" s="9" t="inlineStr">
        <is>
          <t>Диплом</t>
        </is>
      </c>
      <c r="D1063" s="42" t="inlineStr">
        <is>
          <t>Т1О-401Б-17 (Т1О-403Б-17)</t>
        </is>
      </c>
      <c r="E1063" s="50" t="n">
        <v>34</v>
      </c>
      <c r="F1063" s="9" t="n"/>
      <c r="G1063" s="9" t="n"/>
      <c r="H1063" s="9" t="n"/>
      <c r="I1063" s="52" t="inlineStr">
        <is>
          <t>э-Комиссия-Д+С</t>
        </is>
      </c>
      <c r="J1063" s="41" t="n"/>
      <c r="K1063" s="41" t="n"/>
      <c r="L1063" s="9" t="n"/>
      <c r="M1063" s="12">
        <f>SUMIFS($E$2:$E$1130,$A$2:$A$1130,"осень",$I$2:$I$1130,I1063)</f>
        <v/>
      </c>
      <c r="N1063" s="13">
        <f>SUMIFS($E$2:$E$1130,$A$2:$A$1130,"весна",$I$2:$I$1130,I1063)</f>
        <v/>
      </c>
      <c r="O1063" s="14">
        <f>M1063+N1063</f>
        <v/>
      </c>
      <c r="P1063" s="15">
        <f>O1063/$P$1</f>
        <v/>
      </c>
    </row>
    <row r="1064" ht="15.75" customHeight="1" s="2">
      <c r="A1064" s="9" t="inlineStr">
        <is>
          <t>весна</t>
        </is>
      </c>
      <c r="B1064" s="9" t="inlineStr">
        <is>
          <t>Диплом</t>
        </is>
      </c>
      <c r="C1064" s="9" t="inlineStr">
        <is>
          <t>Диплом</t>
        </is>
      </c>
      <c r="D1064" s="9" t="inlineStr">
        <is>
          <t>Т1О-404Б-17</t>
        </is>
      </c>
      <c r="E1064" s="53" t="n"/>
      <c r="F1064" s="54" t="n">
        <v>575</v>
      </c>
      <c r="G1064" s="55" t="n">
        <v>0</v>
      </c>
      <c r="H1064" s="56" t="n"/>
      <c r="I1064" s="57" t="inlineStr">
        <is>
          <t>э-Диплома- А</t>
        </is>
      </c>
      <c r="J1064" s="57" t="inlineStr">
        <is>
          <t>23 чел</t>
        </is>
      </c>
      <c r="K1064" s="58" t="n"/>
      <c r="L1064" s="56" t="n"/>
      <c r="M1064" s="12">
        <f>SUMIFS($E$2:$E$1130,$A$2:$A$1130,"осень",$I$2:$I$1130,I1064)</f>
        <v/>
      </c>
      <c r="N1064" s="13">
        <f>SUMIFS($E$2:$E$1130,$A$2:$A$1130,"весна",$I$2:$I$1130,I1064)</f>
        <v/>
      </c>
      <c r="O1064" s="14">
        <f>M1064+N1064</f>
        <v/>
      </c>
      <c r="P1064" s="15">
        <f>O1064/$P$1</f>
        <v/>
      </c>
    </row>
    <row r="1065" ht="15.75" customHeight="1" s="2">
      <c r="A1065" s="120" t="inlineStr">
        <is>
          <t>весна</t>
        </is>
      </c>
      <c r="B1065" s="36" t="inlineStr">
        <is>
          <t>Диплом</t>
        </is>
      </c>
      <c r="C1065" s="9" t="inlineStr">
        <is>
          <t>Диплом</t>
        </is>
      </c>
      <c r="D1065" s="9" t="inlineStr">
        <is>
          <t>Т1О-404Б-17</t>
        </is>
      </c>
      <c r="E1065" s="10" t="n">
        <v>140</v>
      </c>
      <c r="F1065" s="9" t="n"/>
      <c r="G1065" s="9" t="n"/>
      <c r="H1065" s="9" t="n"/>
      <c r="I1065" s="32" t="inlineStr">
        <is>
          <t xml:space="preserve">Галкин Виктор Иванович </t>
        </is>
      </c>
      <c r="J1065" s="32" t="inlineStr">
        <is>
          <t>профессор</t>
        </is>
      </c>
      <c r="K1065" s="32" t="inlineStr">
        <is>
          <t>7 чел</t>
        </is>
      </c>
      <c r="L1065" s="9" t="inlineStr">
        <is>
          <t>кроме среды и первой пары понедельника</t>
        </is>
      </c>
      <c r="M1065" s="12">
        <f>SUMIFS($E$2:$E$1130,$A$2:$A$1130,"осень",$I$2:$I$1130,I1065)</f>
        <v/>
      </c>
      <c r="N1065" s="13">
        <f>SUMIFS($E$2:$E$1130,$A$2:$A$1130,"весна",$I$2:$I$1130,I1065)</f>
        <v/>
      </c>
      <c r="O1065" s="14">
        <f>M1065+N1065</f>
        <v/>
      </c>
      <c r="P1065" s="15">
        <f>O1065/$P$1</f>
        <v/>
      </c>
    </row>
    <row r="1066" ht="15.75" customHeight="1" s="2">
      <c r="A1066" s="120" t="inlineStr">
        <is>
          <t>весна</t>
        </is>
      </c>
      <c r="B1066" s="36" t="inlineStr">
        <is>
          <t>Диплом</t>
        </is>
      </c>
      <c r="C1066" s="9" t="inlineStr">
        <is>
          <t>Диплом</t>
        </is>
      </c>
      <c r="D1066" s="9" t="inlineStr">
        <is>
          <t>Т1О-404Б-17</t>
        </is>
      </c>
      <c r="E1066" s="10" t="n">
        <v>120</v>
      </c>
      <c r="F1066" s="9" t="n"/>
      <c r="G1066" s="9" t="n"/>
      <c r="H1066" s="9" t="n"/>
      <c r="I1066" s="32" t="inlineStr">
        <is>
          <t xml:space="preserve">Преображенский Евгений Владимирович </t>
        </is>
      </c>
      <c r="J1066" s="32" t="inlineStr">
        <is>
          <t>доцент</t>
        </is>
      </c>
      <c r="K1066" s="32" t="inlineStr">
        <is>
          <t>6 чел</t>
        </is>
      </c>
      <c r="L1066" s="9" t="n"/>
      <c r="M1066" s="12">
        <f>SUMIFS($E$2:$E$1130,$A$2:$A$1130,"осень",$I$2:$I$1130,I1066)</f>
        <v/>
      </c>
      <c r="N1066" s="13">
        <f>SUMIFS($E$2:$E$1130,$A$2:$A$1130,"весна",$I$2:$I$1130,I1066)</f>
        <v/>
      </c>
      <c r="O1066" s="14">
        <f>M1066+N1066</f>
        <v/>
      </c>
      <c r="P1066" s="15">
        <f>O1066/$P$1</f>
        <v/>
      </c>
    </row>
    <row r="1067" ht="15.75" customHeight="1" s="2">
      <c r="A1067" s="120" t="inlineStr">
        <is>
          <t>весна</t>
        </is>
      </c>
      <c r="B1067" s="36" t="inlineStr">
        <is>
          <t>Диплом</t>
        </is>
      </c>
      <c r="C1067" s="9" t="inlineStr">
        <is>
          <t>Диплом</t>
        </is>
      </c>
      <c r="D1067" s="9" t="inlineStr">
        <is>
          <t>Т1О-404Б-17</t>
        </is>
      </c>
      <c r="E1067" s="10" t="n">
        <v>80</v>
      </c>
      <c r="F1067" s="9" t="n"/>
      <c r="G1067" s="9" t="n"/>
      <c r="H1067" s="9" t="n"/>
      <c r="I1067" s="32" t="inlineStr">
        <is>
          <t xml:space="preserve">Шленский Алексей Геннадьевич </t>
        </is>
      </c>
      <c r="J1067" s="32" t="inlineStr">
        <is>
          <t>доцент</t>
        </is>
      </c>
      <c r="K1067" s="32" t="inlineStr">
        <is>
          <t>4 чел</t>
        </is>
      </c>
      <c r="L1067" s="9" t="n"/>
      <c r="M1067" s="12">
        <f>SUMIFS($E$2:$E$1130,$A$2:$A$1130,"осень",$I$2:$I$1130,I1067)</f>
        <v/>
      </c>
      <c r="N1067" s="13">
        <f>SUMIFS($E$2:$E$1130,$A$2:$A$1130,"весна",$I$2:$I$1130,I1067)</f>
        <v/>
      </c>
      <c r="O1067" s="14">
        <f>M1067+N1067</f>
        <v/>
      </c>
      <c r="P1067" s="15">
        <f>O1067/$P$1</f>
        <v/>
      </c>
    </row>
    <row r="1068" ht="15.75" customHeight="1" s="2">
      <c r="A1068" s="120" t="inlineStr">
        <is>
          <t>весна</t>
        </is>
      </c>
      <c r="B1068" s="36" t="inlineStr">
        <is>
          <t>Диплом</t>
        </is>
      </c>
      <c r="C1068" s="9" t="inlineStr">
        <is>
          <t>Диплом</t>
        </is>
      </c>
      <c r="D1068" s="9" t="inlineStr">
        <is>
          <t>Т1О-404Б-17</t>
        </is>
      </c>
      <c r="E1068" s="10" t="n">
        <v>71.5</v>
      </c>
      <c r="F1068" s="9" t="n"/>
      <c r="G1068" s="9" t="n"/>
      <c r="H1068" s="9" t="n"/>
      <c r="I1068" s="32" t="inlineStr">
        <is>
          <t xml:space="preserve">Палтиевич Андрей Романович </t>
        </is>
      </c>
      <c r="J1068" s="32" t="inlineStr">
        <is>
          <t>доцент</t>
        </is>
      </c>
      <c r="K1068" s="32" t="inlineStr">
        <is>
          <t>3 чел+ком</t>
        </is>
      </c>
      <c r="L1068" s="9" t="n"/>
      <c r="M1068" s="12">
        <f>SUMIFS($E$2:$E$1130,$A$2:$A$1130,"осень",$I$2:$I$1130,I1068)</f>
        <v/>
      </c>
      <c r="N1068" s="13">
        <f>SUMIFS($E$2:$E$1130,$A$2:$A$1130,"весна",$I$2:$I$1130,I1068)</f>
        <v/>
      </c>
      <c r="O1068" s="14">
        <f>M1068+N1068</f>
        <v/>
      </c>
      <c r="P1068" s="15">
        <f>O1068/$P$1</f>
        <v/>
      </c>
    </row>
    <row r="1069" ht="15.75" customHeight="1" s="2">
      <c r="A1069" s="120" t="inlineStr">
        <is>
          <t>весна</t>
        </is>
      </c>
      <c r="B1069" s="36" t="inlineStr">
        <is>
          <t>Диплом</t>
        </is>
      </c>
      <c r="C1069" s="9" t="inlineStr">
        <is>
          <t>Диплом</t>
        </is>
      </c>
      <c r="D1069" s="9" t="inlineStr">
        <is>
          <t>Т1О-404Б-17</t>
        </is>
      </c>
      <c r="E1069" s="10" t="n">
        <v>71.5</v>
      </c>
      <c r="F1069" s="9" t="n"/>
      <c r="G1069" s="9" t="n"/>
      <c r="H1069" s="9" t="n"/>
      <c r="I1069" s="32" t="inlineStr">
        <is>
          <t xml:space="preserve">Жаров Максим Владимирович </t>
        </is>
      </c>
      <c r="J1069" s="32" t="inlineStr">
        <is>
          <t>доцент</t>
        </is>
      </c>
      <c r="K1069" s="32" t="inlineStr">
        <is>
          <t>3 чел+ком</t>
        </is>
      </c>
      <c r="L1069" s="9" t="inlineStr">
        <is>
          <t>по первым неделям</t>
        </is>
      </c>
      <c r="M1069" s="12">
        <f>SUMIFS($E$2:$E$1130,$A$2:$A$1130,"осень",$I$2:$I$1130,I1069)</f>
        <v/>
      </c>
      <c r="N1069" s="13">
        <f>SUMIFS($E$2:$E$1130,$A$2:$A$1130,"весна",$I$2:$I$1130,I1069)</f>
        <v/>
      </c>
      <c r="O1069" s="14">
        <f>M1069+N1069</f>
        <v/>
      </c>
      <c r="P1069" s="15">
        <f>O1069/$P$1</f>
        <v/>
      </c>
    </row>
    <row r="1070" ht="15.75" customHeight="1" s="2">
      <c r="A1070" s="120" t="inlineStr">
        <is>
          <t>весна</t>
        </is>
      </c>
      <c r="B1070" s="36" t="inlineStr">
        <is>
          <t>Диплом</t>
        </is>
      </c>
      <c r="C1070" s="9" t="inlineStr">
        <is>
          <t>Диплом</t>
        </is>
      </c>
      <c r="D1070" s="9" t="inlineStr">
        <is>
          <t>Т1О-404Б-17</t>
        </is>
      </c>
      <c r="E1070" s="10" t="n">
        <v>11.5</v>
      </c>
      <c r="F1070" s="59" t="n"/>
      <c r="G1070" s="59" t="n"/>
      <c r="H1070" s="59" t="n"/>
      <c r="I1070" s="32" t="inlineStr">
        <is>
          <t xml:space="preserve">Галкин Евгений Владимирович </t>
        </is>
      </c>
      <c r="J1070" s="32" t="inlineStr">
        <is>
          <t>доцент</t>
        </is>
      </c>
      <c r="K1070" s="58" t="inlineStr">
        <is>
          <t>комиссия</t>
        </is>
      </c>
      <c r="L1070" s="56" t="n"/>
      <c r="M1070" s="12">
        <f>SUMIFS($E$2:$E$1130,$A$2:$A$1130,"осень",$I$2:$I$1130,I1070)</f>
        <v/>
      </c>
      <c r="N1070" s="13">
        <f>SUMIFS($E$2:$E$1130,$A$2:$A$1130,"весна",$I$2:$I$1130,I1070)</f>
        <v/>
      </c>
      <c r="O1070" s="14">
        <f>M1070+N1070</f>
        <v/>
      </c>
      <c r="P1070" s="15">
        <f>O1070/$P$1</f>
        <v/>
      </c>
    </row>
    <row r="1071" ht="15.75" customHeight="1" s="2">
      <c r="A1071" s="120" t="inlineStr">
        <is>
          <t>весна</t>
        </is>
      </c>
      <c r="B1071" s="36" t="inlineStr">
        <is>
          <t>Диплом</t>
        </is>
      </c>
      <c r="C1071" s="9" t="inlineStr">
        <is>
          <t>Диплом</t>
        </is>
      </c>
      <c r="D1071" s="9" t="inlineStr">
        <is>
          <t>Т1О-404Б-17</t>
        </is>
      </c>
      <c r="E1071" s="10" t="n">
        <v>11.5</v>
      </c>
      <c r="F1071" s="59" t="n"/>
      <c r="G1071" s="59" t="n"/>
      <c r="H1071" s="59" t="n"/>
      <c r="I1071" s="32" t="inlineStr">
        <is>
          <t xml:space="preserve">Комаров Роман Сергеевич </t>
        </is>
      </c>
      <c r="J1071" s="32" t="inlineStr">
        <is>
          <t>ассистент</t>
        </is>
      </c>
      <c r="K1071" s="32" t="inlineStr">
        <is>
          <t>секр</t>
        </is>
      </c>
      <c r="L1071" s="9" t="n"/>
      <c r="M1071" s="12">
        <f>SUMIFS($E$2:$E$1130,$A$2:$A$1130,"осень",$I$2:$I$1130,I1071)</f>
        <v/>
      </c>
      <c r="N1071" s="13">
        <f>SUMIFS($E$2:$E$1130,$A$2:$A$1130,"весна",$I$2:$I$1130,I1071)</f>
        <v/>
      </c>
      <c r="O1071" s="14">
        <f>M1071+N1071</f>
        <v/>
      </c>
      <c r="P1071" s="15">
        <f>O1071/$P$1</f>
        <v/>
      </c>
    </row>
    <row r="1072" ht="15.75" customHeight="1" s="2">
      <c r="A1072" s="9" t="inlineStr">
        <is>
          <t>весна</t>
        </is>
      </c>
      <c r="B1072" s="9" t="inlineStr">
        <is>
          <t>Диплом</t>
        </is>
      </c>
      <c r="C1072" s="9" t="inlineStr">
        <is>
          <t>Диплом</t>
        </is>
      </c>
      <c r="D1072" s="9" t="inlineStr">
        <is>
          <t>Т1О-404Б-17</t>
        </is>
      </c>
      <c r="E1072" s="10" t="n">
        <v>46</v>
      </c>
      <c r="F1072" s="9" t="n"/>
      <c r="G1072" s="9" t="n"/>
      <c r="H1072" s="9" t="n"/>
      <c r="I1072" s="60" t="inlineStr">
        <is>
          <t>э-Комиссия-А</t>
        </is>
      </c>
      <c r="J1072" s="32" t="n"/>
      <c r="K1072" s="32" t="inlineStr">
        <is>
          <t>комиссия сторонние</t>
        </is>
      </c>
      <c r="L1072" s="9" t="n"/>
      <c r="M1072" s="12">
        <f>SUMIFS($E$2:$E$1130,$A$2:$A$1130,"осень",$I$2:$I$1130,I1072)</f>
        <v/>
      </c>
      <c r="N1072" s="13">
        <f>SUMIFS($E$2:$E$1130,$A$2:$A$1130,"весна",$I$2:$I$1130,I1072)</f>
        <v/>
      </c>
      <c r="O1072" s="14">
        <f>M1072+N1072</f>
        <v/>
      </c>
      <c r="P1072" s="15">
        <f>O1072/$P$1</f>
        <v/>
      </c>
    </row>
    <row r="1073" ht="15.75" customHeight="1" s="2">
      <c r="A1073" s="119" t="inlineStr">
        <is>
          <t>весна</t>
        </is>
      </c>
      <c r="B1073" s="9" t="inlineStr">
        <is>
          <t>Диплом</t>
        </is>
      </c>
      <c r="C1073" s="9" t="inlineStr">
        <is>
          <t>Диплом</t>
        </is>
      </c>
      <c r="D1073" s="9" t="inlineStr">
        <is>
          <t>Т1О-404Б-17</t>
        </is>
      </c>
      <c r="E1073" s="10" t="n">
        <v>23</v>
      </c>
      <c r="F1073" s="9" t="n"/>
      <c r="G1073" s="9" t="n"/>
      <c r="H1073" s="9" t="n"/>
      <c r="I1073" s="32" t="inlineStr">
        <is>
          <t xml:space="preserve">Соколов Алексей Викторович </t>
        </is>
      </c>
      <c r="J1073" s="32" t="inlineStr">
        <is>
          <t>доцент</t>
        </is>
      </c>
      <c r="K1073" s="32" t="inlineStr">
        <is>
          <t>нормоконтроль</t>
        </is>
      </c>
      <c r="L1073" s="9" t="inlineStr">
        <is>
          <t>кроме пятницы</t>
        </is>
      </c>
      <c r="M1073" s="12">
        <f>SUMIFS($E$2:$E$1130,$A$2:$A$1130,"осень",$I$2:$I$1130,I1073)</f>
        <v/>
      </c>
      <c r="N1073" s="13">
        <f>SUMIFS($E$2:$E$1130,$A$2:$A$1130,"весна",$I$2:$I$1130,I1073)</f>
        <v/>
      </c>
      <c r="O1073" s="14">
        <f>M1073+N1073</f>
        <v/>
      </c>
      <c r="P1073" s="15">
        <f>O1073/$P$1</f>
        <v/>
      </c>
    </row>
    <row r="1074" ht="15.75" customHeight="1" s="2">
      <c r="A1074" s="41" t="inlineStr">
        <is>
          <t>весна</t>
        </is>
      </c>
      <c r="B1074" s="9" t="inlineStr">
        <is>
          <t>Диплом</t>
        </is>
      </c>
      <c r="C1074" s="9" t="inlineStr">
        <is>
          <t>Диплом</t>
        </is>
      </c>
      <c r="D1074" s="9" t="inlineStr">
        <is>
          <t>Т1О-402Б-17</t>
        </is>
      </c>
      <c r="E1074" s="53" t="n"/>
      <c r="F1074" s="10" t="n">
        <v>350</v>
      </c>
      <c r="G1074" s="11" t="n">
        <v>0</v>
      </c>
      <c r="H1074" s="9" t="n"/>
      <c r="I1074" s="61" t="inlineStr">
        <is>
          <t>э-Дипломы- Л+П</t>
        </is>
      </c>
      <c r="J1074" s="61" t="inlineStr">
        <is>
          <t>14 чел</t>
        </is>
      </c>
      <c r="K1074" s="14" t="n"/>
      <c r="L1074" s="9" t="n"/>
      <c r="M1074" s="12">
        <f>SUMIFS($E$2:$E$1130,$A$2:$A$1130,"осень",$I$2:$I$1130,I1074)</f>
        <v/>
      </c>
      <c r="N1074" s="13">
        <f>SUMIFS($E$2:$E$1130,$A$2:$A$1130,"весна",$I$2:$I$1130,I1074)</f>
        <v/>
      </c>
      <c r="O1074" s="14">
        <f>M1074+N1074</f>
        <v/>
      </c>
      <c r="P1074" s="15">
        <f>O1074/$P$1</f>
        <v/>
      </c>
    </row>
    <row r="1075" ht="15.75" customHeight="1" s="2">
      <c r="A1075" s="120" t="inlineStr">
        <is>
          <t>весна</t>
        </is>
      </c>
      <c r="B1075" s="36" t="inlineStr">
        <is>
          <t>Диплом</t>
        </is>
      </c>
      <c r="C1075" s="36" t="inlineStr">
        <is>
          <t>Диплом</t>
        </is>
      </c>
      <c r="D1075" s="36" t="inlineStr">
        <is>
          <t>Т1О-402Б-17 (Т1О-403Б-17)</t>
        </is>
      </c>
      <c r="E1075" s="62">
        <f>60+3+6</f>
        <v/>
      </c>
      <c r="F1075" s="36" t="n"/>
      <c r="G1075" s="36" t="n">
        <v>0</v>
      </c>
      <c r="H1075" s="36" t="n"/>
      <c r="I1075" s="33" t="inlineStr">
        <is>
          <t xml:space="preserve">Серов Михаил Михайлович </t>
        </is>
      </c>
      <c r="J1075" s="33" t="inlineStr">
        <is>
          <t>профессор</t>
        </is>
      </c>
      <c r="K1075" s="33" t="inlineStr">
        <is>
          <t>3чел +ком+норм</t>
        </is>
      </c>
      <c r="L1075" s="36" t="inlineStr">
        <is>
          <t>Порошки в порошки</t>
        </is>
      </c>
      <c r="M1075" s="12">
        <f>SUMIFS($E$2:$E$1130,$A$2:$A$1130,"осень",$I$2:$I$1130,I1075)</f>
        <v/>
      </c>
      <c r="N1075" s="13">
        <f>SUMIFS($E$2:$E$1130,$A$2:$A$1130,"весна",$I$2:$I$1130,I1075)</f>
        <v/>
      </c>
      <c r="O1075" s="14">
        <f>M1075+N1075</f>
        <v/>
      </c>
      <c r="P1075" s="15">
        <f>O1075/$P$1</f>
        <v/>
      </c>
    </row>
    <row r="1076" ht="15.75" customHeight="1" s="2">
      <c r="A1076" s="120" t="inlineStr">
        <is>
          <t>весна</t>
        </is>
      </c>
      <c r="B1076" s="36" t="inlineStr">
        <is>
          <t>Диплом</t>
        </is>
      </c>
      <c r="C1076" s="36" t="inlineStr">
        <is>
          <t>Диплом</t>
        </is>
      </c>
      <c r="D1076" s="36" t="inlineStr">
        <is>
          <t>Т1О-402Б-17 (Т1О-403Б-17)</t>
        </is>
      </c>
      <c r="E1076" s="62">
        <f>40+3</f>
        <v/>
      </c>
      <c r="F1076" s="36" t="n"/>
      <c r="G1076" s="36" t="n">
        <v>0</v>
      </c>
      <c r="H1076" s="36" t="n"/>
      <c r="I1076" s="33" t="inlineStr">
        <is>
          <t xml:space="preserve">Барабанова Ольга Алексеевна </t>
        </is>
      </c>
      <c r="J1076" s="33" t="inlineStr">
        <is>
          <t>профессор</t>
        </is>
      </c>
      <c r="K1076" s="33" t="inlineStr">
        <is>
          <t xml:space="preserve">2чел +ком </t>
        </is>
      </c>
      <c r="L1076" s="36" t="inlineStr">
        <is>
          <t>Порошки в порошки</t>
        </is>
      </c>
      <c r="M1076" s="12">
        <f>SUMIFS($E$2:$E$1130,$A$2:$A$1130,"осень",$I$2:$I$1130,I1076)</f>
        <v/>
      </c>
      <c r="N1076" s="13">
        <f>SUMIFS($E$2:$E$1130,$A$2:$A$1130,"весна",$I$2:$I$1130,I1076)</f>
        <v/>
      </c>
      <c r="O1076" s="14">
        <f>M1076+N1076</f>
        <v/>
      </c>
      <c r="P1076" s="15">
        <f>O1076/$P$1</f>
        <v/>
      </c>
    </row>
    <row r="1077" ht="15.75" customHeight="1" s="2">
      <c r="A1077" s="120" t="inlineStr">
        <is>
          <t>весна</t>
        </is>
      </c>
      <c r="B1077" s="36" t="inlineStr">
        <is>
          <t>Диплом</t>
        </is>
      </c>
      <c r="C1077" s="36" t="inlineStr">
        <is>
          <t>Диплом</t>
        </is>
      </c>
      <c r="D1077" s="36" t="inlineStr">
        <is>
          <t>Т1О-402Б-17 (Т1О-403Б-17)</t>
        </is>
      </c>
      <c r="E1077" s="62" t="n">
        <v>20</v>
      </c>
      <c r="F1077" s="36" t="n"/>
      <c r="G1077" s="36" t="n">
        <v>0</v>
      </c>
      <c r="H1077" s="36" t="n"/>
      <c r="I1077" s="33" t="inlineStr">
        <is>
          <t xml:space="preserve">Банишев Александр Федорович </t>
        </is>
      </c>
      <c r="J1077" s="33" t="inlineStr">
        <is>
          <t>профессор</t>
        </is>
      </c>
      <c r="K1077" s="33" t="inlineStr">
        <is>
          <t xml:space="preserve">1 чел </t>
        </is>
      </c>
      <c r="L1077" s="36" t="inlineStr">
        <is>
          <t>Порошки в порошки</t>
        </is>
      </c>
      <c r="M1077" s="12">
        <f>SUMIFS($E$2:$E$1130,$A$2:$A$1130,"осень",$I$2:$I$1130,I1077)</f>
        <v/>
      </c>
      <c r="N1077" s="13">
        <f>SUMIFS($E$2:$E$1130,$A$2:$A$1130,"весна",$I$2:$I$1130,I1077)</f>
        <v/>
      </c>
      <c r="O1077" s="14">
        <f>M1077+N1077</f>
        <v/>
      </c>
      <c r="P1077" s="15">
        <f>O1077/$P$1</f>
        <v/>
      </c>
    </row>
    <row r="1078" ht="15.75" customHeight="1" s="2">
      <c r="A1078" s="120" t="inlineStr">
        <is>
          <t>весна</t>
        </is>
      </c>
      <c r="B1078" s="36" t="inlineStr">
        <is>
          <t>Диплом</t>
        </is>
      </c>
      <c r="C1078" s="36" t="inlineStr">
        <is>
          <t>Диплом</t>
        </is>
      </c>
      <c r="D1078" s="36" t="inlineStr">
        <is>
          <t>Т1О-402Б-17 (Т1О-403Б-17)</t>
        </is>
      </c>
      <c r="E1078" s="62" t="n">
        <v>3</v>
      </c>
      <c r="F1078" s="36" t="n"/>
      <c r="G1078" s="36" t="n">
        <v>0</v>
      </c>
      <c r="H1078" s="9" t="inlineStr">
        <is>
          <t xml:space="preserve">95460     </t>
        </is>
      </c>
      <c r="I1078" s="9" t="inlineStr">
        <is>
          <t>Кубатина Екатерина Павловна</t>
        </is>
      </c>
      <c r="J1078" s="33" t="inlineStr">
        <is>
          <t>ассистент</t>
        </is>
      </c>
      <c r="K1078" s="33" t="inlineStr">
        <is>
          <t>секр</t>
        </is>
      </c>
      <c r="L1078" s="36" t="inlineStr">
        <is>
          <t>Порошки в порошки</t>
        </is>
      </c>
      <c r="M1078" s="12">
        <f>SUMIFS($E$2:$E$1130,$A$2:$A$1130,"осень",$I$2:$I$1130,I1078)</f>
        <v/>
      </c>
      <c r="N1078" s="13">
        <f>SUMIFS($E$2:$E$1130,$A$2:$A$1130,"весна",$I$2:$I$1130,I1078)</f>
        <v/>
      </c>
      <c r="O1078" s="14">
        <f>M1078+N1078</f>
        <v/>
      </c>
      <c r="P1078" s="15">
        <f>O1078/$P$1</f>
        <v/>
      </c>
    </row>
    <row r="1079" ht="15.75" customHeight="1" s="2">
      <c r="A1079" s="120" t="inlineStr">
        <is>
          <t>весна</t>
        </is>
      </c>
      <c r="B1079" s="36" t="inlineStr">
        <is>
          <t>Диплом</t>
        </is>
      </c>
      <c r="C1079" s="36" t="inlineStr">
        <is>
          <t>Диплом</t>
        </is>
      </c>
      <c r="D1079" s="36" t="inlineStr">
        <is>
          <t>Т1О-402Б-17 (Т1О-403Б-17)</t>
        </is>
      </c>
      <c r="E1079" s="62" t="n">
        <v>3</v>
      </c>
      <c r="F1079" s="36" t="n"/>
      <c r="G1079" s="36" t="n">
        <v>0</v>
      </c>
      <c r="H1079" s="36" t="n"/>
      <c r="I1079" s="33" t="inlineStr">
        <is>
          <t xml:space="preserve">Лозован Александр Александрович </t>
        </is>
      </c>
      <c r="J1079" s="33" t="inlineStr">
        <is>
          <t>профессор</t>
        </is>
      </c>
      <c r="K1079" s="33" t="inlineStr">
        <is>
          <t>ком</t>
        </is>
      </c>
      <c r="L1079" s="48" t="inlineStr">
        <is>
          <t>Порошки в порошки</t>
        </is>
      </c>
      <c r="M1079" s="12">
        <f>SUMIFS($E$2:$E$1130,$A$2:$A$1130,"осень",$I$2:$I$1130,I1079)</f>
        <v/>
      </c>
      <c r="N1079" s="13">
        <f>SUMIFS($E$2:$E$1130,$A$2:$A$1130,"весна",$I$2:$I$1130,I1079)</f>
        <v/>
      </c>
      <c r="O1079" s="14">
        <f>M1079+N1079</f>
        <v/>
      </c>
      <c r="P1079" s="15">
        <f>O1079/$P$1</f>
        <v/>
      </c>
    </row>
    <row r="1080" ht="15.75" customHeight="1" s="2">
      <c r="A1080" s="120" t="inlineStr">
        <is>
          <t>весна</t>
        </is>
      </c>
      <c r="B1080" s="36" t="inlineStr">
        <is>
          <t>Диплом</t>
        </is>
      </c>
      <c r="C1080" s="36" t="inlineStr">
        <is>
          <t>Диплом</t>
        </is>
      </c>
      <c r="D1080" s="36" t="inlineStr">
        <is>
          <t>Т1О-402Б-17</t>
        </is>
      </c>
      <c r="E1080" s="62">
        <f>40+8</f>
        <v/>
      </c>
      <c r="F1080" s="36" t="n"/>
      <c r="G1080" s="36" t="n">
        <v>0</v>
      </c>
      <c r="H1080" s="36" t="inlineStr">
        <is>
          <t xml:space="preserve">82086     </t>
        </is>
      </c>
      <c r="I1080" s="33" t="inlineStr">
        <is>
          <t xml:space="preserve">Смыков Андрей Федорович </t>
        </is>
      </c>
      <c r="J1080" s="33" t="inlineStr">
        <is>
          <t>профессор</t>
        </is>
      </c>
      <c r="K1080" s="33" t="inlineStr">
        <is>
          <t>2 чел + норм</t>
        </is>
      </c>
      <c r="L1080" s="63" t="n"/>
      <c r="M1080" s="12">
        <f>SUMIFS($E$2:$E$1130,$A$2:$A$1130,"осень",$I$2:$I$1130,I1080)</f>
        <v/>
      </c>
      <c r="N1080" s="13">
        <f>SUMIFS($E$2:$E$1130,$A$2:$A$1130,"весна",$I$2:$I$1130,I1080)</f>
        <v/>
      </c>
      <c r="O1080" s="14">
        <f>M1080+N1080</f>
        <v/>
      </c>
      <c r="P1080" s="15">
        <f>O1080/$P$1</f>
        <v/>
      </c>
    </row>
    <row r="1081" ht="15.75" customHeight="1" s="2">
      <c r="A1081" s="120" t="inlineStr">
        <is>
          <t>весна</t>
        </is>
      </c>
      <c r="B1081" s="36" t="inlineStr">
        <is>
          <t>Диплом</t>
        </is>
      </c>
      <c r="C1081" s="36" t="inlineStr">
        <is>
          <t>Диплом</t>
        </is>
      </c>
      <c r="D1081" s="36" t="inlineStr">
        <is>
          <t>Т1О-402Б-17</t>
        </is>
      </c>
      <c r="E1081" s="62" t="n">
        <v>20</v>
      </c>
      <c r="F1081" s="36" t="n"/>
      <c r="G1081" s="36" t="n">
        <v>0</v>
      </c>
      <c r="H1081" s="36" t="inlineStr">
        <is>
          <t xml:space="preserve">82022     </t>
        </is>
      </c>
      <c r="I1081" s="33" t="inlineStr">
        <is>
          <t xml:space="preserve">Ряховский Александр Павлович </t>
        </is>
      </c>
      <c r="J1081" s="33" t="inlineStr">
        <is>
          <t>доцент</t>
        </is>
      </c>
      <c r="K1081" s="33" t="inlineStr">
        <is>
          <t>1 чел</t>
        </is>
      </c>
      <c r="L1081" s="63" t="n"/>
      <c r="M1081" s="12">
        <f>SUMIFS($E$2:$E$1130,$A$2:$A$1130,"осень",$I$2:$I$1130,I1081)</f>
        <v/>
      </c>
      <c r="N1081" s="13">
        <f>SUMIFS($E$2:$E$1130,$A$2:$A$1130,"весна",$I$2:$I$1130,I1081)</f>
        <v/>
      </c>
      <c r="O1081" s="14">
        <f>M1081+N1081</f>
        <v/>
      </c>
      <c r="P1081" s="15">
        <f>O1081/$P$1</f>
        <v/>
      </c>
    </row>
    <row r="1082" ht="15.75" customHeight="1" s="2">
      <c r="A1082" s="120" t="inlineStr">
        <is>
          <t>весна</t>
        </is>
      </c>
      <c r="B1082" s="36" t="inlineStr">
        <is>
          <t>Диплом</t>
        </is>
      </c>
      <c r="C1082" s="36" t="inlineStr">
        <is>
          <t>Диплом</t>
        </is>
      </c>
      <c r="D1082" s="36" t="inlineStr">
        <is>
          <t>Т1О-402Б-17</t>
        </is>
      </c>
      <c r="E1082" s="62" t="n">
        <v>4</v>
      </c>
      <c r="F1082" s="36" t="n"/>
      <c r="G1082" s="36" t="n">
        <v>0</v>
      </c>
      <c r="H1082" s="36" t="inlineStr">
        <is>
          <t xml:space="preserve">89068     </t>
        </is>
      </c>
      <c r="I1082" s="33" t="inlineStr">
        <is>
          <t xml:space="preserve">Петров Игорь Алексеевич </t>
        </is>
      </c>
      <c r="J1082" s="33" t="inlineStr">
        <is>
          <t>доцент</t>
        </is>
      </c>
      <c r="K1082" s="33" t="inlineStr">
        <is>
          <t>секр</t>
        </is>
      </c>
      <c r="L1082" s="63" t="n"/>
      <c r="M1082" s="12">
        <f>SUMIFS($E$2:$E$1130,$A$2:$A$1130,"осень",$I$2:$I$1130,I1082)</f>
        <v/>
      </c>
      <c r="N1082" s="13">
        <f>SUMIFS($E$2:$E$1130,$A$2:$A$1130,"весна",$I$2:$I$1130,I1082)</f>
        <v/>
      </c>
      <c r="O1082" s="14">
        <f>M1082+N1082</f>
        <v/>
      </c>
      <c r="P1082" s="15">
        <f>O1082/$P$1</f>
        <v/>
      </c>
    </row>
    <row r="1083" ht="15.75" customHeight="1" s="2">
      <c r="A1083" s="120" t="inlineStr">
        <is>
          <t>весна</t>
        </is>
      </c>
      <c r="B1083" s="36" t="inlineStr">
        <is>
          <t>Диплом</t>
        </is>
      </c>
      <c r="C1083" s="36" t="inlineStr">
        <is>
          <t>Диплом</t>
        </is>
      </c>
      <c r="D1083" s="36" t="inlineStr">
        <is>
          <t>Т1О-402Б-17</t>
        </is>
      </c>
      <c r="E1083" s="62" t="n">
        <v>24</v>
      </c>
      <c r="F1083" s="36" t="n"/>
      <c r="G1083" s="36" t="n"/>
      <c r="H1083" s="36" t="inlineStr">
        <is>
          <t xml:space="preserve">82061     </t>
        </is>
      </c>
      <c r="I1083" s="33" t="inlineStr">
        <is>
          <t xml:space="preserve">Моисеев Виктор Сергеевич </t>
        </is>
      </c>
      <c r="J1083" s="33" t="inlineStr">
        <is>
          <t>зав. кафедрой</t>
        </is>
      </c>
      <c r="K1083" s="33" t="inlineStr">
        <is>
          <t>1чел +ком</t>
        </is>
      </c>
      <c r="L1083" s="63" t="n"/>
      <c r="M1083" s="12">
        <f>SUMIFS($E$2:$E$1130,$A$2:$A$1130,"осень",$I$2:$I$1130,I1083)</f>
        <v/>
      </c>
      <c r="N1083" s="13">
        <f>SUMIFS($E$2:$E$1130,$A$2:$A$1130,"весна",$I$2:$I$1130,I1083)</f>
        <v/>
      </c>
      <c r="O1083" s="14">
        <f>M1083+N1083</f>
        <v/>
      </c>
      <c r="P1083" s="15">
        <f>O1083/$P$1</f>
        <v/>
      </c>
    </row>
    <row r="1084" ht="15.75" customHeight="1" s="2">
      <c r="A1084" s="120" t="inlineStr">
        <is>
          <t>весна</t>
        </is>
      </c>
      <c r="B1084" s="36" t="inlineStr">
        <is>
          <t>Диплом</t>
        </is>
      </c>
      <c r="C1084" s="36" t="inlineStr">
        <is>
          <t>Диплом</t>
        </is>
      </c>
      <c r="D1084" s="36" t="inlineStr">
        <is>
          <t>Т1О-402Б-17</t>
        </is>
      </c>
      <c r="E1084" s="62" t="n">
        <v>44</v>
      </c>
      <c r="F1084" s="36" t="n"/>
      <c r="G1084" s="36" t="n"/>
      <c r="H1084" s="36" t="inlineStr">
        <is>
          <t xml:space="preserve">82020     </t>
        </is>
      </c>
      <c r="I1084" s="33" t="inlineStr">
        <is>
          <t xml:space="preserve">Варфоломеев Максим Сергеевич </t>
        </is>
      </c>
      <c r="J1084" s="33" t="inlineStr">
        <is>
          <t>доцент</t>
        </is>
      </c>
      <c r="K1084" s="33" t="inlineStr">
        <is>
          <t>2 чел + ком</t>
        </is>
      </c>
      <c r="L1084" s="63" t="n"/>
      <c r="M1084" s="12">
        <f>SUMIFS($E$2:$E$1130,$A$2:$A$1130,"осень",$I$2:$I$1130,I1084)</f>
        <v/>
      </c>
      <c r="N1084" s="13">
        <f>SUMIFS($E$2:$E$1130,$A$2:$A$1130,"весна",$I$2:$I$1130,I1084)</f>
        <v/>
      </c>
      <c r="O1084" s="14">
        <f>M1084+N1084</f>
        <v/>
      </c>
      <c r="P1084" s="15">
        <f>O1084/$P$1</f>
        <v/>
      </c>
    </row>
    <row r="1085" ht="15.75" customHeight="1" s="2">
      <c r="A1085" s="120" t="inlineStr">
        <is>
          <t>весна</t>
        </is>
      </c>
      <c r="B1085" s="36" t="inlineStr">
        <is>
          <t>Диплом</t>
        </is>
      </c>
      <c r="C1085" s="36" t="inlineStr">
        <is>
          <t>Диплом</t>
        </is>
      </c>
      <c r="D1085" s="36" t="inlineStr">
        <is>
          <t>Т1О-402Б-17</t>
        </is>
      </c>
      <c r="E1085" s="62" t="n">
        <v>44</v>
      </c>
      <c r="F1085" s="36" t="n"/>
      <c r="G1085" s="36" t="n"/>
      <c r="H1085" s="36" t="inlineStr">
        <is>
          <t xml:space="preserve">82018     </t>
        </is>
      </c>
      <c r="I1085" s="33" t="inlineStr">
        <is>
          <t>Бережной Дмитрий Васильевич</t>
        </is>
      </c>
      <c r="J1085" s="33" t="inlineStr">
        <is>
          <t>доцент</t>
        </is>
      </c>
      <c r="K1085" s="33" t="inlineStr">
        <is>
          <t>2 чел + ком</t>
        </is>
      </c>
      <c r="L1085" s="63" t="n"/>
      <c r="M1085" s="12">
        <f>SUMIFS($E$2:$E$1130,$A$2:$A$1130,"осень",$I$2:$I$1130,I1085)</f>
        <v/>
      </c>
      <c r="N1085" s="13">
        <f>SUMIFS($E$2:$E$1130,$A$2:$A$1130,"весна",$I$2:$I$1130,I1085)</f>
        <v/>
      </c>
      <c r="O1085" s="14">
        <f>M1085+N1085</f>
        <v/>
      </c>
      <c r="P1085" s="15">
        <f>O1085/$P$1</f>
        <v/>
      </c>
    </row>
    <row r="1086" ht="15.75" customHeight="1" s="2">
      <c r="A1086" s="31" t="inlineStr">
        <is>
          <t>весна</t>
        </is>
      </c>
      <c r="B1086" s="36" t="inlineStr">
        <is>
          <t>Диплом</t>
        </is>
      </c>
      <c r="C1086" s="36" t="inlineStr">
        <is>
          <t>Диплом</t>
        </is>
      </c>
      <c r="D1086" s="36" t="inlineStr">
        <is>
          <t>Т1О-402Б-17 (Т1О-403Б-17)</t>
        </is>
      </c>
      <c r="E1086" s="62" t="n">
        <v>28</v>
      </c>
      <c r="F1086" s="36" t="n"/>
      <c r="G1086" s="36" t="n"/>
      <c r="H1086" s="36" t="inlineStr">
        <is>
          <t xml:space="preserve">82018     </t>
        </is>
      </c>
      <c r="I1086" s="33" t="inlineStr">
        <is>
          <t>э-комиссия Л+П</t>
        </is>
      </c>
      <c r="J1086" s="33" t="n"/>
      <c r="K1086" s="33" t="inlineStr">
        <is>
          <t>внеш ком</t>
        </is>
      </c>
      <c r="L1086" s="63" t="n"/>
      <c r="M1086" s="12">
        <f>SUMIFS($E$2:$E$1130,$A$2:$A$1130,"осень",$I$2:$I$1130,I1086)</f>
        <v/>
      </c>
      <c r="N1086" s="13">
        <f>SUMIFS($E$2:$E$1130,$A$2:$A$1130,"весна",$I$2:$I$1130,I1086)</f>
        <v/>
      </c>
      <c r="O1086" s="14">
        <f>M1086+N1086</f>
        <v/>
      </c>
      <c r="P1086" s="15">
        <f>O1086/$P$1</f>
        <v/>
      </c>
    </row>
    <row r="1087" ht="15.75" customHeight="1" s="2">
      <c r="A1087" s="32" t="inlineStr">
        <is>
          <t>весна</t>
        </is>
      </c>
      <c r="B1087" s="18" t="inlineStr">
        <is>
          <t>Диплом</t>
        </is>
      </c>
      <c r="C1087" s="18" t="inlineStr">
        <is>
          <t>Диплом</t>
        </is>
      </c>
      <c r="D1087" s="18" t="inlineStr">
        <is>
          <t>Т1О-402Б-17</t>
        </is>
      </c>
      <c r="E1087" s="19" t="n">
        <v>50</v>
      </c>
      <c r="F1087" s="19" t="n">
        <v>50</v>
      </c>
      <c r="G1087" s="27" t="n"/>
      <c r="H1087" s="18" t="n"/>
      <c r="I1087" s="20" t="inlineStr">
        <is>
          <t xml:space="preserve">Моисеев Виктор Сергеевич </t>
        </is>
      </c>
      <c r="J1087" s="18" t="n"/>
      <c r="K1087" s="18" t="n"/>
      <c r="L1087" s="18" t="inlineStr">
        <is>
          <t>резерв лишние</t>
        </is>
      </c>
      <c r="M1087" s="12">
        <f>SUMIFS($E$2:$E$1130,$A$2:$A$1130,"осень",$I$2:$I$1130,I1087)</f>
        <v/>
      </c>
      <c r="N1087" s="13">
        <f>SUMIFS($E$2:$E$1130,$A$2:$A$1130,"весна",$I$2:$I$1130,I1087)</f>
        <v/>
      </c>
      <c r="O1087" s="14">
        <f>M1087+N1087</f>
        <v/>
      </c>
      <c r="P1087" s="15">
        <f>O1087/$P$1</f>
        <v/>
      </c>
    </row>
    <row r="1088" ht="15.75" customHeight="1" s="2">
      <c r="A1088" s="32" t="inlineStr">
        <is>
          <t>весна</t>
        </is>
      </c>
      <c r="B1088" s="9" t="inlineStr">
        <is>
          <t>Диплом</t>
        </is>
      </c>
      <c r="C1088" s="9" t="inlineStr">
        <is>
          <t>Диплом</t>
        </is>
      </c>
      <c r="D1088" s="9" t="inlineStr">
        <is>
          <t>Т1О-402А-17</t>
        </is>
      </c>
      <c r="E1088" s="10" t="n">
        <v>50</v>
      </c>
      <c r="F1088" s="9" t="n"/>
      <c r="G1088" s="11" t="n">
        <v>0</v>
      </c>
      <c r="H1088" s="9" t="inlineStr">
        <is>
          <t xml:space="preserve">92509     </t>
        </is>
      </c>
      <c r="I1088" s="9" t="inlineStr">
        <is>
          <t xml:space="preserve">Пашков Игорь Николаевич </t>
        </is>
      </c>
      <c r="J1088" s="9" t="n"/>
      <c r="K1088" s="9" t="n"/>
      <c r="L1088" s="9" t="inlineStr">
        <is>
          <t>Морозов Шаргаев</t>
        </is>
      </c>
      <c r="M1088" s="12">
        <f>SUMIFS($E$2:$E$1130,$A$2:$A$1130,"осень",$I$2:$I$1130,I1088)</f>
        <v/>
      </c>
      <c r="N1088" s="13">
        <f>SUMIFS($E$2:$E$1130,$A$2:$A$1130,"весна",$I$2:$I$1130,I1088)</f>
        <v/>
      </c>
      <c r="O1088" s="14">
        <f>M1088+N1088</f>
        <v/>
      </c>
      <c r="P1088" s="15">
        <f>O1088/$P$1</f>
        <v/>
      </c>
    </row>
    <row r="1089" ht="15.75" customHeight="1" s="2">
      <c r="A1089" s="32" t="inlineStr">
        <is>
          <t>весна</t>
        </is>
      </c>
      <c r="B1089" s="9" t="inlineStr">
        <is>
          <t>Диплом</t>
        </is>
      </c>
      <c r="C1089" s="9" t="inlineStr">
        <is>
          <t>Диплом</t>
        </is>
      </c>
      <c r="D1089" s="9" t="inlineStr">
        <is>
          <t>Т1О-407А-17</t>
        </is>
      </c>
      <c r="E1089" s="10" t="n">
        <v>25</v>
      </c>
      <c r="F1089" s="9" t="n"/>
      <c r="G1089" s="11" t="n">
        <v>0</v>
      </c>
      <c r="H1089" s="9" t="inlineStr">
        <is>
          <t xml:space="preserve">82060     </t>
        </is>
      </c>
      <c r="I1089" s="9" t="inlineStr">
        <is>
          <t xml:space="preserve">Лозован Александр Александрович </t>
        </is>
      </c>
      <c r="J1089" s="9" t="inlineStr">
        <is>
          <t>профессор</t>
        </is>
      </c>
      <c r="K1089" s="9" t="n"/>
      <c r="L1089" s="9" t="inlineStr">
        <is>
          <t>Павлов</t>
        </is>
      </c>
      <c r="M1089" s="12">
        <f>SUMIFS($E$2:$E$1130,$A$2:$A$1130,"осень",$I$2:$I$1130,I1089)</f>
        <v/>
      </c>
      <c r="N1089" s="13">
        <f>SUMIFS($E$2:$E$1130,$A$2:$A$1130,"весна",$I$2:$I$1130,I1089)</f>
        <v/>
      </c>
      <c r="O1089" s="14">
        <f>M1089+N1089</f>
        <v/>
      </c>
      <c r="P1089" s="15">
        <f>O1089/$P$1</f>
        <v/>
      </c>
    </row>
    <row r="1090" ht="15.75" customHeight="1" s="2">
      <c r="A1090" s="41" t="inlineStr">
        <is>
          <t>весна</t>
        </is>
      </c>
      <c r="B1090" s="9" t="inlineStr">
        <is>
          <t>Диплом</t>
        </is>
      </c>
      <c r="C1090" s="9" t="inlineStr">
        <is>
          <t>Диплом</t>
        </is>
      </c>
      <c r="D1090" s="9" t="inlineStr">
        <is>
          <t>Т1В-516Б-16</t>
        </is>
      </c>
      <c r="E1090" s="65" t="n"/>
      <c r="F1090" s="10" t="n">
        <v>150</v>
      </c>
      <c r="G1090" s="11" t="n">
        <v>0</v>
      </c>
      <c r="H1090" s="9" t="n"/>
      <c r="I1090" s="66" t="inlineStr">
        <is>
          <t>э-Диплом-ВЕЧЕР</t>
        </is>
      </c>
      <c r="J1090" s="9" t="n"/>
      <c r="K1090" s="9" t="n"/>
      <c r="L1090" s="9" t="n"/>
      <c r="M1090" s="12">
        <f>SUMIFS($E$2:$E$1130,$A$2:$A$1130,"осень",$I$2:$I$1130,I1090)</f>
        <v/>
      </c>
      <c r="N1090" s="13">
        <f>SUMIFS($E$2:$E$1130,$A$2:$A$1130,"весна",$I$2:$I$1130,I1090)</f>
        <v/>
      </c>
      <c r="O1090" s="14">
        <f>M1090+N1090</f>
        <v/>
      </c>
      <c r="P1090" s="15">
        <f>O1090/$P$1</f>
        <v/>
      </c>
    </row>
    <row r="1091" ht="15.75" customHeight="1" s="2">
      <c r="A1091" s="32" t="inlineStr">
        <is>
          <t>весна</t>
        </is>
      </c>
      <c r="B1091" s="9" t="inlineStr">
        <is>
          <t>Диплом</t>
        </is>
      </c>
      <c r="C1091" s="9" t="inlineStr">
        <is>
          <t>Диплом</t>
        </is>
      </c>
      <c r="D1091" s="9" t="inlineStr">
        <is>
          <t>Т1В-516Б-16</t>
        </is>
      </c>
      <c r="E1091" s="67" t="n">
        <v>43</v>
      </c>
      <c r="F1091" s="10" t="n"/>
      <c r="G1091" s="11" t="n"/>
      <c r="H1091" s="9" t="n"/>
      <c r="I1091" s="9" t="inlineStr">
        <is>
          <t xml:space="preserve">Петров Анатолий Павлович </t>
        </is>
      </c>
      <c r="J1091" s="9" t="n"/>
      <c r="K1091" s="9" t="inlineStr">
        <is>
          <t>2 чел ком</t>
        </is>
      </c>
      <c r="L1091" s="9" t="n"/>
      <c r="M1091" s="12">
        <f>SUMIFS($E$2:$E$1130,$A$2:$A$1130,"осень",$I$2:$I$1130,I1091)</f>
        <v/>
      </c>
      <c r="N1091" s="13">
        <f>SUMIFS($E$2:$E$1130,$A$2:$A$1130,"весна",$I$2:$I$1130,I1091)</f>
        <v/>
      </c>
      <c r="O1091" s="14">
        <f>M1091+N1091</f>
        <v/>
      </c>
      <c r="P1091" s="15">
        <f>O1091/$P$1</f>
        <v/>
      </c>
    </row>
    <row r="1092" ht="15.75" customHeight="1" s="2">
      <c r="A1092" s="119" t="inlineStr">
        <is>
          <t>весна</t>
        </is>
      </c>
      <c r="B1092" s="9" t="inlineStr">
        <is>
          <t>Диплом</t>
        </is>
      </c>
      <c r="C1092" s="9" t="inlineStr">
        <is>
          <t>Диплом</t>
        </is>
      </c>
      <c r="D1092" s="9" t="inlineStr">
        <is>
          <t>Т1В-516Б-16</t>
        </is>
      </c>
      <c r="E1092" s="67" t="n">
        <v>46</v>
      </c>
      <c r="F1092" s="10" t="n"/>
      <c r="G1092" s="11" t="n"/>
      <c r="H1092" s="9" t="n"/>
      <c r="I1092" s="9" t="inlineStr">
        <is>
          <t xml:space="preserve">Соколов Алексей Викторович </t>
        </is>
      </c>
      <c r="J1092" s="9" t="n"/>
      <c r="K1092" s="9" t="inlineStr">
        <is>
          <t>2 чел + ком+норм</t>
        </is>
      </c>
      <c r="L1092" s="9" t="n"/>
      <c r="M1092" s="12">
        <f>SUMIFS($E$2:$E$1130,$A$2:$A$1130,"осень",$I$2:$I$1130,I1092)</f>
        <v/>
      </c>
      <c r="N1092" s="13">
        <f>SUMIFS($E$2:$E$1130,$A$2:$A$1130,"весна",$I$2:$I$1130,I1092)</f>
        <v/>
      </c>
      <c r="O1092" s="14">
        <f>M1092+N1092</f>
        <v/>
      </c>
      <c r="P1092" s="15">
        <f>O1092/$P$1</f>
        <v/>
      </c>
    </row>
    <row r="1093" ht="15.75" customHeight="1" s="2">
      <c r="A1093" s="32" t="inlineStr">
        <is>
          <t>весна</t>
        </is>
      </c>
      <c r="B1093" s="9" t="inlineStr">
        <is>
          <t>Диплом</t>
        </is>
      </c>
      <c r="C1093" s="9" t="inlineStr">
        <is>
          <t>Диплом</t>
        </is>
      </c>
      <c r="D1093" s="9" t="inlineStr">
        <is>
          <t>Т1В-516Б-16</t>
        </is>
      </c>
      <c r="E1093" s="67" t="n">
        <v>23</v>
      </c>
      <c r="F1093" s="10" t="n"/>
      <c r="G1093" s="11" t="n"/>
      <c r="H1093" s="9" t="n"/>
      <c r="I1093" s="9" t="inlineStr">
        <is>
          <t xml:space="preserve">Шленский Алексей Геннадьевич </t>
        </is>
      </c>
      <c r="J1093" s="9" t="n"/>
      <c r="K1093" s="9" t="inlineStr">
        <is>
          <t>1+ ком</t>
        </is>
      </c>
      <c r="L1093" s="9" t="n"/>
      <c r="M1093" s="12">
        <f>SUMIFS($E$2:$E$1130,$A$2:$A$1130,"осень",$I$2:$I$1130,I1093)</f>
        <v/>
      </c>
      <c r="N1093" s="13">
        <f>SUMIFS($E$2:$E$1130,$A$2:$A$1130,"весна",$I$2:$I$1130,I1093)</f>
        <v/>
      </c>
      <c r="O1093" s="14">
        <f>M1093+N1093</f>
        <v/>
      </c>
      <c r="P1093" s="15">
        <f>O1093/$P$1</f>
        <v/>
      </c>
    </row>
    <row r="1094" ht="15.75" customHeight="1" s="2">
      <c r="A1094" s="32" t="inlineStr">
        <is>
          <t>весна</t>
        </is>
      </c>
      <c r="B1094" s="9" t="inlineStr">
        <is>
          <t>Диплом</t>
        </is>
      </c>
      <c r="C1094" s="9" t="inlineStr">
        <is>
          <t>Диплом</t>
        </is>
      </c>
      <c r="D1094" s="9" t="inlineStr">
        <is>
          <t>Т1В-516Б-16</t>
        </is>
      </c>
      <c r="E1094" s="67" t="n">
        <v>3</v>
      </c>
      <c r="F1094" s="10" t="n"/>
      <c r="G1094" s="11" t="n"/>
      <c r="H1094" s="9" t="n"/>
      <c r="I1094" s="9" t="inlineStr">
        <is>
          <t xml:space="preserve">Комаров Роман Сергеевич </t>
        </is>
      </c>
      <c r="J1094" s="9" t="n"/>
      <c r="K1094" s="9" t="inlineStr">
        <is>
          <t>секрет</t>
        </is>
      </c>
      <c r="L1094" s="9" t="n"/>
      <c r="M1094" s="12">
        <f>SUMIFS($E$2:$E$1130,$A$2:$A$1130,"осень",$I$2:$I$1130,I1094)</f>
        <v/>
      </c>
      <c r="N1094" s="13">
        <f>SUMIFS($E$2:$E$1130,$A$2:$A$1130,"весна",$I$2:$I$1130,I1094)</f>
        <v/>
      </c>
      <c r="O1094" s="14">
        <f>M1094+N1094</f>
        <v/>
      </c>
      <c r="P1094" s="15">
        <f>O1094/$P$1</f>
        <v/>
      </c>
    </row>
    <row r="1095" ht="15.75" customHeight="1" s="2">
      <c r="A1095" s="32" t="inlineStr">
        <is>
          <t>весна</t>
        </is>
      </c>
      <c r="B1095" s="9" t="inlineStr">
        <is>
          <t>Диплом</t>
        </is>
      </c>
      <c r="C1095" s="9" t="inlineStr">
        <is>
          <t>Диплом</t>
        </is>
      </c>
      <c r="D1095" s="9" t="inlineStr">
        <is>
          <t>Т1В-516Б-16</t>
        </is>
      </c>
      <c r="E1095" s="67" t="n">
        <v>23</v>
      </c>
      <c r="F1095" s="10" t="n"/>
      <c r="G1095" s="11" t="n"/>
      <c r="H1095" s="9" t="n"/>
      <c r="I1095" s="9" t="inlineStr">
        <is>
          <t xml:space="preserve">Еремеев Николай Владимирович </t>
        </is>
      </c>
      <c r="J1095" s="9" t="n"/>
      <c r="K1095" s="9" t="inlineStr">
        <is>
          <t>1 + ком</t>
        </is>
      </c>
      <c r="L1095" s="9" t="n"/>
      <c r="M1095" s="12">
        <f>SUMIFS($E$2:$E$1130,$A$2:$A$1130,"осень",$I$2:$I$1130,I1095)</f>
        <v/>
      </c>
      <c r="N1095" s="13">
        <f>SUMIFS($E$2:$E$1130,$A$2:$A$1130,"весна",$I$2:$I$1130,I1095)</f>
        <v/>
      </c>
      <c r="O1095" s="14">
        <f>M1095+N1095</f>
        <v/>
      </c>
      <c r="P1095" s="15">
        <f>O1095/$P$1</f>
        <v/>
      </c>
    </row>
    <row r="1096" ht="15.75" customHeight="1" s="2">
      <c r="A1096" s="41" t="inlineStr">
        <is>
          <t>весна</t>
        </is>
      </c>
      <c r="B1096" s="9" t="inlineStr">
        <is>
          <t>Диплом</t>
        </is>
      </c>
      <c r="C1096" s="9" t="inlineStr">
        <is>
          <t>Диплом</t>
        </is>
      </c>
      <c r="D1096" s="9" t="inlineStr">
        <is>
          <t>Т1В-516Б-16</t>
        </is>
      </c>
      <c r="E1096" s="67" t="n">
        <v>12</v>
      </c>
      <c r="F1096" s="10" t="n"/>
      <c r="G1096" s="11" t="n"/>
      <c r="H1096" s="9" t="n"/>
      <c r="I1096" s="9" t="inlineStr">
        <is>
          <t>э-Комиссия-В</t>
        </is>
      </c>
      <c r="J1096" s="9" t="n"/>
      <c r="K1096" s="9" t="inlineStr">
        <is>
          <t>внеш+предс</t>
        </is>
      </c>
      <c r="L1096" s="9" t="n"/>
      <c r="M1096" s="12">
        <f>SUMIFS($E$2:$E$1130,$A$2:$A$1130,"осень",$I$2:$I$1130,I1096)</f>
        <v/>
      </c>
      <c r="N1096" s="13">
        <f>SUMIFS($E$2:$E$1130,$A$2:$A$1130,"весна",$I$2:$I$1130,I1096)</f>
        <v/>
      </c>
      <c r="O1096" s="14">
        <f>M1096+N1096</f>
        <v/>
      </c>
      <c r="P1096" s="15">
        <f>O1096/$P$1</f>
        <v/>
      </c>
    </row>
    <row r="1097" ht="15.75" customHeight="1" s="2">
      <c r="A1097" s="41" t="inlineStr">
        <is>
          <t>весна</t>
        </is>
      </c>
      <c r="B1097" s="9" t="inlineStr">
        <is>
          <t>Диплом</t>
        </is>
      </c>
      <c r="C1097" s="9" t="inlineStr">
        <is>
          <t>Диплом</t>
        </is>
      </c>
      <c r="D1097" s="9" t="inlineStr">
        <is>
          <t>Т11О-201М-19</t>
        </is>
      </c>
      <c r="E1097" s="53" t="n"/>
      <c r="F1097" s="10" t="n">
        <v>245</v>
      </c>
      <c r="G1097" s="11" t="n">
        <v>0</v>
      </c>
      <c r="H1097" s="9" t="n"/>
      <c r="I1097" s="66" t="inlineStr">
        <is>
          <t>э-Диплом-Д</t>
        </is>
      </c>
      <c r="J1097" s="9" t="n"/>
      <c r="K1097" s="9" t="n"/>
      <c r="L1097" s="9" t="n"/>
      <c r="M1097" s="12">
        <f>SUMIFS($E$2:$E$1130,$A$2:$A$1130,"осень",$I$2:$I$1130,I1097)</f>
        <v/>
      </c>
      <c r="N1097" s="13">
        <f>SUMIFS($E$2:$E$1130,$A$2:$A$1130,"весна",$I$2:$I$1130,I1097)</f>
        <v/>
      </c>
      <c r="O1097" s="14">
        <f>M1097+N1097</f>
        <v/>
      </c>
      <c r="P1097" s="15">
        <f>O1097/$P$1</f>
        <v/>
      </c>
    </row>
    <row r="1098" ht="15.75" customHeight="1" s="2">
      <c r="A1098" s="32" t="inlineStr">
        <is>
          <t>весна</t>
        </is>
      </c>
      <c r="B1098" s="9" t="inlineStr">
        <is>
          <t>Диплом</t>
        </is>
      </c>
      <c r="C1098" s="9" t="inlineStr">
        <is>
          <t>Диплом</t>
        </is>
      </c>
      <c r="D1098" s="35" t="inlineStr">
        <is>
          <t>Т11О-201М-19</t>
        </is>
      </c>
      <c r="E1098" s="68" t="n">
        <v>30</v>
      </c>
      <c r="F1098" s="35" t="n"/>
      <c r="G1098" s="35" t="n"/>
      <c r="H1098" s="35" t="n"/>
      <c r="I1098" s="24" t="inlineStr">
        <is>
          <t xml:space="preserve">Беспалов Александр Владимирович </t>
        </is>
      </c>
      <c r="J1098" s="24" t="inlineStr">
        <is>
          <t>доцент</t>
        </is>
      </c>
      <c r="K1098" s="9" t="inlineStr">
        <is>
          <t>1 чел</t>
        </is>
      </c>
      <c r="L1098" s="35" t="inlineStr">
        <is>
          <t>вторник, среда</t>
        </is>
      </c>
      <c r="M1098" s="12">
        <f>SUMIFS($E$2:$E$1130,$A$2:$A$1130,"осень",$I$2:$I$1130,I1098)</f>
        <v/>
      </c>
      <c r="N1098" s="13">
        <f>SUMIFS($E$2:$E$1130,$A$2:$A$1130,"весна",$I$2:$I$1130,I1098)</f>
        <v/>
      </c>
      <c r="O1098" s="14">
        <f>M1098+N1098</f>
        <v/>
      </c>
      <c r="P1098" s="15">
        <f>O1098/$P$1</f>
        <v/>
      </c>
    </row>
    <row r="1099" ht="15.75" customHeight="1" s="2">
      <c r="A1099" s="32" t="inlineStr">
        <is>
          <t>весна</t>
        </is>
      </c>
      <c r="B1099" s="9" t="inlineStr">
        <is>
          <t>Диплом</t>
        </is>
      </c>
      <c r="C1099" s="9" t="inlineStr">
        <is>
          <t>Диплом</t>
        </is>
      </c>
      <c r="D1099" s="35" t="inlineStr">
        <is>
          <t>Т11О-201М-19</t>
        </is>
      </c>
      <c r="E1099" s="68" t="n">
        <v>33</v>
      </c>
      <c r="F1099" s="35" t="n"/>
      <c r="G1099" s="35" t="n"/>
      <c r="H1099" s="35" t="n"/>
      <c r="I1099" s="9" t="inlineStr">
        <is>
          <t xml:space="preserve">Галкин Виктор Иванович </t>
        </is>
      </c>
      <c r="J1099" s="34" t="inlineStr">
        <is>
          <t>профессор</t>
        </is>
      </c>
      <c r="K1099" s="24" t="inlineStr">
        <is>
          <t>1 чел+комиссия</t>
        </is>
      </c>
      <c r="L1099" s="35" t="inlineStr">
        <is>
          <t>кроме среды и первой пары понедельника</t>
        </is>
      </c>
      <c r="M1099" s="12">
        <f>SUMIFS($E$2:$E$1130,$A$2:$A$1130,"осень",$I$2:$I$1130,I1099)</f>
        <v/>
      </c>
      <c r="N1099" s="13">
        <f>SUMIFS($E$2:$E$1130,$A$2:$A$1130,"весна",$I$2:$I$1130,I1099)</f>
        <v/>
      </c>
      <c r="O1099" s="14">
        <f>M1099+N1099</f>
        <v/>
      </c>
      <c r="P1099" s="15">
        <f>O1099/$P$1</f>
        <v/>
      </c>
    </row>
    <row r="1100" ht="15.75" customHeight="1" s="2">
      <c r="A1100" s="32" t="inlineStr">
        <is>
          <t>весна</t>
        </is>
      </c>
      <c r="B1100" s="9" t="inlineStr">
        <is>
          <t>Диплом</t>
        </is>
      </c>
      <c r="C1100" s="9" t="inlineStr">
        <is>
          <t>Диплом</t>
        </is>
      </c>
      <c r="D1100" s="35" t="inlineStr">
        <is>
          <t>Т11О-201М-19</t>
        </is>
      </c>
      <c r="E1100" s="68" t="n">
        <v>33</v>
      </c>
      <c r="F1100" s="35" t="n"/>
      <c r="G1100" s="35" t="n"/>
      <c r="H1100" s="35" t="n"/>
      <c r="I1100" s="35" t="inlineStr">
        <is>
          <t xml:space="preserve">Петров Анатолий Павлович </t>
        </is>
      </c>
      <c r="J1100" s="35" t="inlineStr">
        <is>
          <t>профессор</t>
        </is>
      </c>
      <c r="K1100" s="24" t="inlineStr">
        <is>
          <t>1 чел+комиссия</t>
        </is>
      </c>
      <c r="L1100" s="69" t="inlineStr">
        <is>
          <t>кроме понедельника, желательно все занятия в один день</t>
        </is>
      </c>
      <c r="M1100" s="12">
        <f>SUMIFS($E$2:$E$1130,$A$2:$A$1130,"осень",$I$2:$I$1130,I1100)</f>
        <v/>
      </c>
      <c r="N1100" s="13">
        <f>SUMIFS($E$2:$E$1130,$A$2:$A$1130,"весна",$I$2:$I$1130,I1100)</f>
        <v/>
      </c>
      <c r="O1100" s="14">
        <f>M1100+N1100</f>
        <v/>
      </c>
      <c r="P1100" s="15">
        <f>O1100/$P$1</f>
        <v/>
      </c>
    </row>
    <row r="1101" ht="15.75" customHeight="1" s="2">
      <c r="A1101" s="32" t="inlineStr">
        <is>
          <t>весна</t>
        </is>
      </c>
      <c r="B1101" s="9" t="inlineStr">
        <is>
          <t>Диплом</t>
        </is>
      </c>
      <c r="C1101" s="9" t="inlineStr">
        <is>
          <t>Диплом</t>
        </is>
      </c>
      <c r="D1101" s="35" t="inlineStr">
        <is>
          <t>Т11О-201М-19</t>
        </is>
      </c>
      <c r="E1101" s="68" t="n">
        <v>63</v>
      </c>
      <c r="F1101" s="35" t="n"/>
      <c r="G1101" s="35" t="n"/>
      <c r="H1101" s="35" t="n"/>
      <c r="I1101" s="35" t="inlineStr">
        <is>
          <t>Федоров Анатолий Александрович</t>
        </is>
      </c>
      <c r="J1101" s="9" t="inlineStr">
        <is>
          <t>профессор</t>
        </is>
      </c>
      <c r="K1101" s="24" t="inlineStr">
        <is>
          <t>2 чел+ком</t>
        </is>
      </c>
      <c r="L1101" s="53" t="n"/>
      <c r="M1101" s="12">
        <f>SUMIFS($E$2:$E$1130,$A$2:$A$1130,"осень",$I$2:$I$1130,I1101)</f>
        <v/>
      </c>
      <c r="N1101" s="13">
        <f>SUMIFS($E$2:$E$1130,$A$2:$A$1130,"весна",$I$2:$I$1130,I1101)</f>
        <v/>
      </c>
      <c r="O1101" s="14">
        <f>M1101+N1101</f>
        <v/>
      </c>
      <c r="P1101" s="15">
        <f>O1101/$P$1</f>
        <v/>
      </c>
    </row>
    <row r="1102" ht="15.75" customHeight="1" s="2">
      <c r="A1102" s="32" t="inlineStr">
        <is>
          <t>весна</t>
        </is>
      </c>
      <c r="B1102" s="9" t="inlineStr">
        <is>
          <t>Диплом</t>
        </is>
      </c>
      <c r="C1102" s="9" t="inlineStr">
        <is>
          <t>Диплом</t>
        </is>
      </c>
      <c r="D1102" s="35" t="inlineStr">
        <is>
          <t>Т11О-201М-19</t>
        </is>
      </c>
      <c r="E1102" s="68" t="n">
        <v>30</v>
      </c>
      <c r="F1102" s="35" t="n"/>
      <c r="G1102" s="35" t="n"/>
      <c r="H1102" s="35" t="n"/>
      <c r="I1102" s="35" t="inlineStr">
        <is>
          <t xml:space="preserve">Шленский Алексей Геннадьевич </t>
        </is>
      </c>
      <c r="J1102" s="9" t="inlineStr">
        <is>
          <t>доцент</t>
        </is>
      </c>
      <c r="K1102" s="24" t="inlineStr">
        <is>
          <t>1 чел</t>
        </is>
      </c>
      <c r="L1102" s="35" t="inlineStr">
        <is>
          <t>кроме пятницы</t>
        </is>
      </c>
      <c r="M1102" s="12">
        <f>SUMIFS($E$2:$E$1130,$A$2:$A$1130,"осень",$I$2:$I$1130,I1102)</f>
        <v/>
      </c>
      <c r="N1102" s="13">
        <f>SUMIFS($E$2:$E$1130,$A$2:$A$1130,"весна",$I$2:$I$1130,I1102)</f>
        <v/>
      </c>
      <c r="O1102" s="14">
        <f>M1102+N1102</f>
        <v/>
      </c>
      <c r="P1102" s="15">
        <f>O1102/$P$1</f>
        <v/>
      </c>
    </row>
    <row r="1103" ht="15.75" customHeight="1" s="2">
      <c r="A1103" s="119" t="inlineStr">
        <is>
          <t>весна</t>
        </is>
      </c>
      <c r="B1103" s="9" t="inlineStr">
        <is>
          <t>Диплом</t>
        </is>
      </c>
      <c r="C1103" s="9" t="inlineStr">
        <is>
          <t>Диплом</t>
        </is>
      </c>
      <c r="D1103" s="35" t="inlineStr">
        <is>
          <t>Т11О-201М-19</t>
        </is>
      </c>
      <c r="E1103" s="68" t="n">
        <v>6</v>
      </c>
      <c r="F1103" s="35" t="n"/>
      <c r="G1103" s="35" t="n"/>
      <c r="H1103" s="35" t="n"/>
      <c r="I1103" s="36" t="inlineStr">
        <is>
          <t xml:space="preserve">Соколов Алексей Викторович </t>
        </is>
      </c>
      <c r="J1103" s="9" t="inlineStr">
        <is>
          <t>доцент</t>
        </is>
      </c>
      <c r="K1103" s="24" t="inlineStr">
        <is>
          <t>председ</t>
        </is>
      </c>
      <c r="L1103" s="37" t="n"/>
      <c r="M1103" s="12">
        <f>SUMIFS($E$2:$E$1130,$A$2:$A$1130,"осень",$I$2:$I$1130,I1103)</f>
        <v/>
      </c>
      <c r="N1103" s="13">
        <f>SUMIFS($E$2:$E$1130,$A$2:$A$1130,"весна",$I$2:$I$1130,I1103)</f>
        <v/>
      </c>
      <c r="O1103" s="14">
        <f>M1103+N1103</f>
        <v/>
      </c>
      <c r="P1103" s="15">
        <f>O1103/$P$1</f>
        <v/>
      </c>
    </row>
    <row r="1104" ht="15.75" customHeight="1" s="2">
      <c r="A1104" s="41" t="inlineStr">
        <is>
          <t>весна</t>
        </is>
      </c>
      <c r="B1104" s="9" t="inlineStr">
        <is>
          <t>Диплом</t>
        </is>
      </c>
      <c r="C1104" s="9" t="inlineStr">
        <is>
          <t>Диплом</t>
        </is>
      </c>
      <c r="D1104" s="35" t="inlineStr">
        <is>
          <t>Т11О-201М-19</t>
        </is>
      </c>
      <c r="E1104" s="68" t="n">
        <v>15</v>
      </c>
      <c r="F1104" s="35" t="n"/>
      <c r="G1104" s="35" t="n"/>
      <c r="H1104" s="35" t="n"/>
      <c r="I1104" s="70" t="inlineStr">
        <is>
          <t>э-Комиссия-Д</t>
        </is>
      </c>
      <c r="J1104" s="9" t="n"/>
      <c r="K1104" s="24" t="inlineStr">
        <is>
          <t>внеш+председ</t>
        </is>
      </c>
      <c r="L1104" s="37" t="n"/>
      <c r="M1104" s="12">
        <f>SUMIFS($E$2:$E$1130,$A$2:$A$1130,"осень",$I$2:$I$1130,I1104)</f>
        <v/>
      </c>
      <c r="N1104" s="13">
        <f>SUMIFS($E$2:$E$1130,$A$2:$A$1130,"весна",$I$2:$I$1130,I1104)</f>
        <v/>
      </c>
      <c r="O1104" s="14">
        <f>M1104+N1104</f>
        <v/>
      </c>
      <c r="P1104" s="15">
        <f>O1104/$P$1</f>
        <v/>
      </c>
    </row>
    <row r="1105" ht="15.75" customHeight="1" s="2">
      <c r="A1105" s="41" t="inlineStr">
        <is>
          <t>весна</t>
        </is>
      </c>
      <c r="B1105" s="18" t="inlineStr">
        <is>
          <t>Диплом</t>
        </is>
      </c>
      <c r="C1105" s="18" t="inlineStr">
        <is>
          <t>Диплом</t>
        </is>
      </c>
      <c r="D1105" s="71" t="inlineStr">
        <is>
          <t>Т11О-201М-19</t>
        </is>
      </c>
      <c r="E1105" s="72" t="n">
        <v>35</v>
      </c>
      <c r="F1105" s="71" t="n"/>
      <c r="G1105" s="71" t="n"/>
      <c r="H1105" s="71" t="n"/>
      <c r="I1105" s="73" t="inlineStr">
        <is>
          <t>ю-Отчсление</t>
        </is>
      </c>
      <c r="J1105" s="74" t="n"/>
      <c r="K1105" s="75" t="inlineStr">
        <is>
          <t>1 чел</t>
        </is>
      </c>
      <c r="L1105" s="76" t="n"/>
      <c r="M1105" s="12">
        <f>SUMIFS($E$2:$E$1130,$A$2:$A$1130,"осень",$I$2:$I$1130,I1105)</f>
        <v/>
      </c>
      <c r="N1105" s="13">
        <f>SUMIFS($E$2:$E$1130,$A$2:$A$1130,"весна",$I$2:$I$1130,I1105)</f>
        <v/>
      </c>
      <c r="O1105" s="14">
        <f>M1105+N1105</f>
        <v/>
      </c>
      <c r="P1105" s="15">
        <f>O1105/$P$1</f>
        <v/>
      </c>
    </row>
    <row r="1106" ht="15.75" customHeight="1" s="2">
      <c r="A1106" s="41" t="inlineStr">
        <is>
          <t>весна</t>
        </is>
      </c>
      <c r="B1106" s="9" t="inlineStr">
        <is>
          <t>Диплом</t>
        </is>
      </c>
      <c r="C1106" s="9" t="inlineStr">
        <is>
          <t>Диплом</t>
        </is>
      </c>
      <c r="D1106" s="9" t="inlineStr">
        <is>
          <t>Т11О-202М-19</t>
        </is>
      </c>
      <c r="E1106" s="53" t="n"/>
      <c r="F1106" s="10" t="n">
        <v>210</v>
      </c>
      <c r="G1106" s="11" t="n">
        <v>0</v>
      </c>
      <c r="H1106" s="9" t="n"/>
      <c r="I1106" s="66" t="inlineStr">
        <is>
          <t>э-Диплом-Л</t>
        </is>
      </c>
      <c r="J1106" s="9" t="n"/>
      <c r="K1106" s="9" t="n"/>
      <c r="L1106" s="9" t="n"/>
      <c r="M1106" s="12">
        <f>SUMIFS($E$2:$E$1130,$A$2:$A$1130,"осень",$I$2:$I$1130,I1106)</f>
        <v/>
      </c>
      <c r="N1106" s="13">
        <f>SUMIFS($E$2:$E$1130,$A$2:$A$1130,"весна",$I$2:$I$1130,I1106)</f>
        <v/>
      </c>
      <c r="O1106" s="14">
        <f>M1106+N1106</f>
        <v/>
      </c>
      <c r="P1106" s="15">
        <f>O1106/$P$1</f>
        <v/>
      </c>
    </row>
    <row r="1107" ht="15.75" customHeight="1" s="2">
      <c r="A1107" s="32" t="inlineStr">
        <is>
          <t>весна</t>
        </is>
      </c>
      <c r="B1107" s="9" t="inlineStr">
        <is>
          <t>Диплом</t>
        </is>
      </c>
      <c r="C1107" s="9" t="inlineStr">
        <is>
          <t>Диплом</t>
        </is>
      </c>
      <c r="D1107" s="9" t="inlineStr">
        <is>
          <t>Т11О-202М-19</t>
        </is>
      </c>
      <c r="E1107" s="10" t="n">
        <v>32.5</v>
      </c>
      <c r="F1107" s="9" t="n"/>
      <c r="G1107" s="11" t="n">
        <v>0</v>
      </c>
      <c r="H1107" s="9" t="n"/>
      <c r="I1107" s="9" t="inlineStr">
        <is>
          <t xml:space="preserve">Петров Игорь Алексеевич </t>
        </is>
      </c>
      <c r="J1107" s="9" t="inlineStr">
        <is>
          <t>доцент</t>
        </is>
      </c>
      <c r="K1107" s="26" t="inlineStr">
        <is>
          <t>1 чел+секр</t>
        </is>
      </c>
      <c r="L1107" s="26" t="n"/>
      <c r="M1107" s="12">
        <f>SUMIFS($E$2:$E$1130,$A$2:$A$1130,"осень",$I$2:$I$1130,I1107)</f>
        <v/>
      </c>
      <c r="N1107" s="13">
        <f>SUMIFS($E$2:$E$1130,$A$2:$A$1130,"весна",$I$2:$I$1130,I1107)</f>
        <v/>
      </c>
      <c r="O1107" s="14">
        <f>M1107+N1107</f>
        <v/>
      </c>
      <c r="P1107" s="15">
        <f>O1107/$P$1</f>
        <v/>
      </c>
    </row>
    <row r="1108" ht="15.75" customHeight="1" s="2">
      <c r="A1108" s="32" t="inlineStr">
        <is>
          <t>весна</t>
        </is>
      </c>
      <c r="B1108" s="9" t="inlineStr">
        <is>
          <t>Диплом</t>
        </is>
      </c>
      <c r="C1108" s="9" t="inlineStr">
        <is>
          <t>Диплом</t>
        </is>
      </c>
      <c r="D1108" s="9" t="inlineStr">
        <is>
          <t>Т11О-202М-19</t>
        </is>
      </c>
      <c r="E1108" s="10" t="n">
        <v>32.5</v>
      </c>
      <c r="F1108" s="9" t="n"/>
      <c r="G1108" s="11" t="n">
        <v>0</v>
      </c>
      <c r="H1108" s="9" t="n"/>
      <c r="I1108" s="9" t="inlineStr">
        <is>
          <t xml:space="preserve">Варфоломеев Максим Сергеевич </t>
        </is>
      </c>
      <c r="J1108" s="9" t="n"/>
      <c r="K1108" s="26" t="inlineStr">
        <is>
          <t>1 чел+ком</t>
        </is>
      </c>
      <c r="L1108" s="26" t="n"/>
      <c r="M1108" s="12">
        <f>SUMIFS($E$2:$E$1130,$A$2:$A$1130,"осень",$I$2:$I$1130,I1108)</f>
        <v/>
      </c>
      <c r="N1108" s="13">
        <f>SUMIFS($E$2:$E$1130,$A$2:$A$1130,"весна",$I$2:$I$1130,I1108)</f>
        <v/>
      </c>
      <c r="O1108" s="14">
        <f>M1108+N1108</f>
        <v/>
      </c>
      <c r="P1108" s="15">
        <f>O1108/$P$1</f>
        <v/>
      </c>
    </row>
    <row r="1109" ht="15.75" customHeight="1" s="2">
      <c r="A1109" s="32" t="inlineStr">
        <is>
          <t>весна</t>
        </is>
      </c>
      <c r="B1109" s="9" t="inlineStr">
        <is>
          <t>Диплом</t>
        </is>
      </c>
      <c r="C1109" s="9" t="inlineStr">
        <is>
          <t>Диплом</t>
        </is>
      </c>
      <c r="D1109" s="9" t="inlineStr">
        <is>
          <t>Т11О-202М-19</t>
        </is>
      </c>
      <c r="E1109" s="10" t="n">
        <v>30</v>
      </c>
      <c r="F1109" s="9" t="n"/>
      <c r="G1109" s="11" t="n">
        <v>0</v>
      </c>
      <c r="H1109" s="9" t="n"/>
      <c r="I1109" s="9" t="inlineStr">
        <is>
          <t>Бережной Дмитрий Васильевич</t>
        </is>
      </c>
      <c r="J1109" s="9" t="inlineStr">
        <is>
          <t>доцент</t>
        </is>
      </c>
      <c r="K1109" s="26" t="inlineStr">
        <is>
          <t>1 чел</t>
        </is>
      </c>
      <c r="L1109" s="26" t="n"/>
      <c r="M1109" s="12">
        <f>SUMIFS($E$2:$E$1130,$A$2:$A$1130,"осень",$I$2:$I$1130,I1109)</f>
        <v/>
      </c>
      <c r="N1109" s="13">
        <f>SUMIFS($E$2:$E$1130,$A$2:$A$1130,"весна",$I$2:$I$1130,I1109)</f>
        <v/>
      </c>
      <c r="O1109" s="14">
        <f>M1109+N1109</f>
        <v/>
      </c>
      <c r="P1109" s="15">
        <f>O1109/$P$1</f>
        <v/>
      </c>
    </row>
    <row r="1110" ht="15.75" customHeight="1" s="2">
      <c r="A1110" s="32" t="inlineStr">
        <is>
          <t>весна</t>
        </is>
      </c>
      <c r="B1110" s="9" t="inlineStr">
        <is>
          <t>Диплом</t>
        </is>
      </c>
      <c r="C1110" s="9" t="inlineStr">
        <is>
          <t>Диплом</t>
        </is>
      </c>
      <c r="D1110" s="9" t="inlineStr">
        <is>
          <t>Т11О-202М-19</t>
        </is>
      </c>
      <c r="E1110" s="10" t="n">
        <v>35</v>
      </c>
      <c r="F1110" s="9" t="n"/>
      <c r="G1110" s="11" t="n">
        <v>0</v>
      </c>
      <c r="H1110" s="9" t="n"/>
      <c r="I1110" s="9" t="inlineStr">
        <is>
          <t xml:space="preserve">Смыков Андрей Федорович </t>
        </is>
      </c>
      <c r="J1110" s="9" t="n"/>
      <c r="K1110" s="26" t="inlineStr">
        <is>
          <t>1 чел+ком</t>
        </is>
      </c>
      <c r="L1110" s="26" t="n"/>
      <c r="M1110" s="12">
        <f>SUMIFS($E$2:$E$1130,$A$2:$A$1130,"осень",$I$2:$I$1130,I1110)</f>
        <v/>
      </c>
      <c r="N1110" s="13">
        <f>SUMIFS($E$2:$E$1130,$A$2:$A$1130,"весна",$I$2:$I$1130,I1110)</f>
        <v/>
      </c>
      <c r="O1110" s="14">
        <f>M1110+N1110</f>
        <v/>
      </c>
      <c r="P1110" s="15">
        <f>O1110/$P$1</f>
        <v/>
      </c>
    </row>
    <row r="1111" ht="15.75" customHeight="1" s="2">
      <c r="A1111" s="32" t="inlineStr">
        <is>
          <t>весна</t>
        </is>
      </c>
      <c r="B1111" s="9" t="inlineStr">
        <is>
          <t>Диплом</t>
        </is>
      </c>
      <c r="C1111" s="9" t="inlineStr">
        <is>
          <t>Диплом</t>
        </is>
      </c>
      <c r="D1111" s="9" t="inlineStr">
        <is>
          <t>Т11О-202М-19</t>
        </is>
      </c>
      <c r="E1111" s="10" t="n">
        <v>30</v>
      </c>
      <c r="F1111" s="9" t="n"/>
      <c r="G1111" s="11" t="n">
        <v>0</v>
      </c>
      <c r="H1111" s="9" t="n"/>
      <c r="I1111" s="9" t="inlineStr">
        <is>
          <t xml:space="preserve">Ряховский Александр Павлович </t>
        </is>
      </c>
      <c r="J1111" s="9" t="n"/>
      <c r="K1111" s="26" t="inlineStr">
        <is>
          <t>1 чел</t>
        </is>
      </c>
      <c r="L1111" s="26" t="n"/>
      <c r="M1111" s="12">
        <f>SUMIFS($E$2:$E$1130,$A$2:$A$1130,"осень",$I$2:$I$1130,I1111)</f>
        <v/>
      </c>
      <c r="N1111" s="13">
        <f>SUMIFS($E$2:$E$1130,$A$2:$A$1130,"весна",$I$2:$I$1130,I1111)</f>
        <v/>
      </c>
      <c r="O1111" s="14">
        <f>M1111+N1111</f>
        <v/>
      </c>
      <c r="P1111" s="15">
        <f>O1111/$P$1</f>
        <v/>
      </c>
    </row>
    <row r="1112" ht="15.75" customHeight="1" s="2">
      <c r="A1112" s="32" t="inlineStr">
        <is>
          <t>весна</t>
        </is>
      </c>
      <c r="B1112" s="9" t="inlineStr">
        <is>
          <t>Диплом</t>
        </is>
      </c>
      <c r="C1112" s="9" t="inlineStr">
        <is>
          <t>Диплом</t>
        </is>
      </c>
      <c r="D1112" s="9" t="inlineStr">
        <is>
          <t>Т11О-202М-19</t>
        </is>
      </c>
      <c r="E1112" s="10" t="n">
        <v>2.5</v>
      </c>
      <c r="F1112" s="9" t="n"/>
      <c r="G1112" s="11" t="n"/>
      <c r="H1112" s="9" t="n"/>
      <c r="I1112" s="38" t="inlineStr">
        <is>
          <t xml:space="preserve">Моисеев Виктор Сергеевич </t>
        </is>
      </c>
      <c r="J1112" s="77" t="inlineStr">
        <is>
          <t>зав. кафедрой</t>
        </is>
      </c>
      <c r="K1112" s="78" t="inlineStr">
        <is>
          <t>ком</t>
        </is>
      </c>
      <c r="L1112" s="78" t="n"/>
      <c r="M1112" s="12">
        <f>SUMIFS($E$2:$E$1130,$A$2:$A$1130,"осень",$I$2:$I$1130,I1112)</f>
        <v/>
      </c>
      <c r="N1112" s="13">
        <f>SUMIFS($E$2:$E$1130,$A$2:$A$1130,"весна",$I$2:$I$1130,I1112)</f>
        <v/>
      </c>
      <c r="O1112" s="14">
        <f>M1112+N1112</f>
        <v/>
      </c>
      <c r="P1112" s="15">
        <f>O1112/$P$1</f>
        <v/>
      </c>
    </row>
    <row r="1113" ht="15.75" customHeight="1" s="2">
      <c r="A1113" s="41" t="inlineStr">
        <is>
          <t>весна</t>
        </is>
      </c>
      <c r="B1113" s="9" t="inlineStr">
        <is>
          <t>Диплом</t>
        </is>
      </c>
      <c r="C1113" s="9" t="inlineStr">
        <is>
          <t>Диплом</t>
        </is>
      </c>
      <c r="D1113" s="9" t="inlineStr">
        <is>
          <t>Т11О-202М-19</t>
        </is>
      </c>
      <c r="E1113" s="10" t="n">
        <v>12.5</v>
      </c>
      <c r="F1113" s="9" t="n"/>
      <c r="G1113" s="11" t="n"/>
      <c r="H1113" s="9" t="n"/>
      <c r="I1113" s="9" t="inlineStr">
        <is>
          <t>э-Комиссия-Л</t>
        </is>
      </c>
      <c r="J1113" s="79" t="n"/>
      <c r="K1113" s="63" t="inlineStr">
        <is>
          <t>внеш+председ</t>
        </is>
      </c>
      <c r="L1113" s="26" t="n"/>
      <c r="M1113" s="12">
        <f>SUMIFS($E$2:$E$1130,$A$2:$A$1130,"осень",$I$2:$I$1130,I1113)</f>
        <v/>
      </c>
      <c r="N1113" s="13">
        <f>SUMIFS($E$2:$E$1130,$A$2:$A$1130,"весна",$I$2:$I$1130,I1113)</f>
        <v/>
      </c>
      <c r="O1113" s="14">
        <f>M1113+N1113</f>
        <v/>
      </c>
      <c r="P1113" s="15">
        <f>O1113/$P$1</f>
        <v/>
      </c>
    </row>
    <row r="1114" ht="15.75" customHeight="1" s="2">
      <c r="A1114" s="80" t="inlineStr">
        <is>
          <t>весна</t>
        </is>
      </c>
      <c r="B1114" s="81" t="inlineStr">
        <is>
          <t>Диплом</t>
        </is>
      </c>
      <c r="C1114" s="81" t="inlineStr">
        <is>
          <t>Диплом</t>
        </is>
      </c>
      <c r="D1114" s="74" t="inlineStr">
        <is>
          <t>Т11О-202М-19</t>
        </is>
      </c>
      <c r="E1114" s="82" t="n">
        <v>35</v>
      </c>
      <c r="F1114" s="74" t="n"/>
      <c r="G1114" s="74" t="n">
        <v>0</v>
      </c>
      <c r="H1114" s="83" t="n"/>
      <c r="I1114" s="20" t="inlineStr">
        <is>
          <t>ю-Отчсление</t>
        </is>
      </c>
      <c r="J1114" s="81" t="n"/>
      <c r="K1114" s="81" t="inlineStr">
        <is>
          <t>1чел</t>
        </is>
      </c>
      <c r="L1114" s="28" t="n"/>
      <c r="M1114" s="12">
        <f>SUMIFS($E$2:$E$1130,$A$2:$A$1130,"осень",$I$2:$I$1130,I1114)</f>
        <v/>
      </c>
      <c r="N1114" s="13">
        <f>SUMIFS($E$2:$E$1130,$A$2:$A$1130,"весна",$I$2:$I$1130,I1114)</f>
        <v/>
      </c>
      <c r="O1114" s="14">
        <f>M1114+N1114</f>
        <v/>
      </c>
      <c r="P1114" s="15">
        <f>O1114/$P$1</f>
        <v/>
      </c>
    </row>
    <row r="1115" ht="15.75" customHeight="1" s="2">
      <c r="A1115" s="41" t="inlineStr">
        <is>
          <t>весна</t>
        </is>
      </c>
      <c r="B1115" s="9" t="inlineStr">
        <is>
          <t>Диплом</t>
        </is>
      </c>
      <c r="C1115" s="9" t="inlineStr">
        <is>
          <t>Диплом</t>
        </is>
      </c>
      <c r="D1115" s="9" t="inlineStr">
        <is>
          <t>Т11О-203М-19</t>
        </is>
      </c>
      <c r="E1115" s="53" t="n"/>
      <c r="F1115" s="10" t="n">
        <v>245</v>
      </c>
      <c r="G1115" s="11" t="n">
        <v>0</v>
      </c>
      <c r="H1115" s="9" t="n"/>
      <c r="I1115" s="66" t="inlineStr">
        <is>
          <t>э-Диплом-П</t>
        </is>
      </c>
      <c r="J1115" s="9" t="n"/>
      <c r="K1115" s="9" t="n"/>
      <c r="L1115" s="9" t="n"/>
      <c r="M1115" s="12">
        <f>SUMIFS($E$2:$E$1130,$A$2:$A$1130,"осень",$I$2:$I$1130,I1115)</f>
        <v/>
      </c>
      <c r="N1115" s="13">
        <f>SUMIFS($E$2:$E$1130,$A$2:$A$1130,"весна",$I$2:$I$1130,I1115)</f>
        <v/>
      </c>
      <c r="O1115" s="14">
        <f>M1115+N1115</f>
        <v/>
      </c>
      <c r="P1115" s="15">
        <f>O1115/$P$1</f>
        <v/>
      </c>
    </row>
    <row r="1116" ht="15.75" customHeight="1" s="2">
      <c r="A1116" s="32" t="inlineStr">
        <is>
          <t>весна</t>
        </is>
      </c>
      <c r="B1116" s="9" t="inlineStr">
        <is>
          <t>Диплом</t>
        </is>
      </c>
      <c r="C1116" s="9" t="inlineStr">
        <is>
          <t>Диплом</t>
        </is>
      </c>
      <c r="D1116" s="9" t="inlineStr">
        <is>
          <t>Т11О-203М-19</t>
        </is>
      </c>
      <c r="E1116" s="68" t="n">
        <v>35</v>
      </c>
      <c r="F1116" s="35" t="n"/>
      <c r="G1116" s="84" t="n">
        <v>0</v>
      </c>
      <c r="H1116" s="35" t="n"/>
      <c r="I1116" s="39" t="inlineStr">
        <is>
          <t xml:space="preserve">Лозован Александр Александрович </t>
        </is>
      </c>
      <c r="J1116" s="34" t="inlineStr">
        <is>
          <t>профессор</t>
        </is>
      </c>
      <c r="K1116" s="36" t="inlineStr">
        <is>
          <t>1чел+председ</t>
        </is>
      </c>
      <c r="L1116" s="53" t="n"/>
      <c r="M1116" s="12">
        <f>SUMIFS($E$2:$E$1130,$A$2:$A$1130,"осень",$I$2:$I$1130,I1116)</f>
        <v/>
      </c>
      <c r="N1116" s="13">
        <f>SUMIFS($E$2:$E$1130,$A$2:$A$1130,"весна",$I$2:$I$1130,I1116)</f>
        <v/>
      </c>
      <c r="O1116" s="14">
        <f>M1116+N1116</f>
        <v/>
      </c>
      <c r="P1116" s="15">
        <f>O1116/$P$1</f>
        <v/>
      </c>
    </row>
    <row r="1117" ht="15.75" customHeight="1" s="2">
      <c r="A1117" s="32" t="inlineStr">
        <is>
          <t>весна</t>
        </is>
      </c>
      <c r="B1117" s="9" t="inlineStr">
        <is>
          <t>Диплом</t>
        </is>
      </c>
      <c r="C1117" s="9" t="inlineStr">
        <is>
          <t>Диплом</t>
        </is>
      </c>
      <c r="D1117" s="9" t="inlineStr">
        <is>
          <t>Т11О-203М-19</t>
        </is>
      </c>
      <c r="E1117" s="68" t="n">
        <v>62.5</v>
      </c>
      <c r="F1117" s="35" t="n"/>
      <c r="G1117" s="84" t="n">
        <v>0</v>
      </c>
      <c r="H1117" s="35" t="n"/>
      <c r="I1117" s="39" t="inlineStr">
        <is>
          <t xml:space="preserve">Серов Михаил Михайлович </t>
        </is>
      </c>
      <c r="J1117" s="34" t="inlineStr">
        <is>
          <t>профессор</t>
        </is>
      </c>
      <c r="K1117" s="36" t="inlineStr">
        <is>
          <t>2чел+ком</t>
        </is>
      </c>
      <c r="L1117" s="53" t="n"/>
      <c r="M1117" s="12">
        <f>SUMIFS($E$2:$E$1130,$A$2:$A$1130,"осень",$I$2:$I$1130,I1117)</f>
        <v/>
      </c>
      <c r="N1117" s="13">
        <f>SUMIFS($E$2:$E$1130,$A$2:$A$1130,"весна",$I$2:$I$1130,I1117)</f>
        <v/>
      </c>
      <c r="O1117" s="14">
        <f>M1117+N1117</f>
        <v/>
      </c>
      <c r="P1117" s="15">
        <f>O1117/$P$1</f>
        <v/>
      </c>
    </row>
    <row r="1118" ht="15.75" customHeight="1" s="2">
      <c r="A1118" s="32" t="inlineStr">
        <is>
          <t>весна</t>
        </is>
      </c>
      <c r="B1118" s="9" t="inlineStr">
        <is>
          <t>Диплом</t>
        </is>
      </c>
      <c r="C1118" s="9" t="inlineStr">
        <is>
          <t>Диплом</t>
        </is>
      </c>
      <c r="D1118" s="9" t="inlineStr">
        <is>
          <t>Т11О-203М-19</t>
        </is>
      </c>
      <c r="E1118" s="68" t="n">
        <v>30</v>
      </c>
      <c r="F1118" s="35" t="n"/>
      <c r="G1118" s="84" t="n">
        <v>0</v>
      </c>
      <c r="H1118" s="35" t="n"/>
      <c r="I1118" s="39" t="inlineStr">
        <is>
          <t xml:space="preserve">Пашков Игорь Николаевич </t>
        </is>
      </c>
      <c r="J1118" s="34" t="inlineStr">
        <is>
          <t>профессор</t>
        </is>
      </c>
      <c r="K1118" s="34" t="inlineStr">
        <is>
          <t>1 чел</t>
        </is>
      </c>
      <c r="L1118" s="39" t="n"/>
      <c r="M1118" s="12">
        <f>SUMIFS($E$2:$E$1130,$A$2:$A$1130,"осень",$I$2:$I$1130,I1118)</f>
        <v/>
      </c>
      <c r="N1118" s="13">
        <f>SUMIFS($E$2:$E$1130,$A$2:$A$1130,"весна",$I$2:$I$1130,I1118)</f>
        <v/>
      </c>
      <c r="O1118" s="14">
        <f>M1118+N1118</f>
        <v/>
      </c>
      <c r="P1118" s="15">
        <f>O1118/$P$1</f>
        <v/>
      </c>
    </row>
    <row r="1119" ht="15.75" customHeight="1" s="2">
      <c r="A1119" s="32" t="inlineStr">
        <is>
          <t>весна</t>
        </is>
      </c>
      <c r="B1119" s="9" t="inlineStr">
        <is>
          <t>Диплом</t>
        </is>
      </c>
      <c r="C1119" s="9" t="inlineStr">
        <is>
          <t>Диплом</t>
        </is>
      </c>
      <c r="D1119" s="9" t="inlineStr">
        <is>
          <t>Т11О-203М-19</t>
        </is>
      </c>
      <c r="E1119" s="68" t="n">
        <v>2.5</v>
      </c>
      <c r="F1119" s="35" t="n"/>
      <c r="G1119" s="84" t="n"/>
      <c r="H1119" s="9" t="inlineStr">
        <is>
          <t xml:space="preserve">95460     </t>
        </is>
      </c>
      <c r="I1119" s="9" t="inlineStr">
        <is>
          <t>Кубатина Екатерина Павловна</t>
        </is>
      </c>
      <c r="J1119" s="34" t="inlineStr">
        <is>
          <t>ассистент</t>
        </is>
      </c>
      <c r="K1119" s="34" t="inlineStr">
        <is>
          <t>секр</t>
        </is>
      </c>
      <c r="L1119" s="39" t="n"/>
      <c r="M1119" s="12">
        <f>SUMIFS($E$2:$E$1130,$A$2:$A$1130,"осень",$I$2:$I$1130,I1119)</f>
        <v/>
      </c>
      <c r="N1119" s="13">
        <f>SUMIFS($E$2:$E$1130,$A$2:$A$1130,"весна",$I$2:$I$1130,I1119)</f>
        <v/>
      </c>
      <c r="O1119" s="14">
        <f>M1119+N1119</f>
        <v/>
      </c>
      <c r="P1119" s="15">
        <f>O1119/$P$1</f>
        <v/>
      </c>
    </row>
    <row r="1120" ht="15.75" customHeight="1" s="2">
      <c r="A1120" s="32" t="inlineStr">
        <is>
          <t>весна</t>
        </is>
      </c>
      <c r="B1120" s="9" t="inlineStr">
        <is>
          <t>Диплом</t>
        </is>
      </c>
      <c r="C1120" s="9" t="inlineStr">
        <is>
          <t>Диплом</t>
        </is>
      </c>
      <c r="D1120" s="9" t="inlineStr">
        <is>
          <t>Т11О-203М-19</t>
        </is>
      </c>
      <c r="E1120" s="68" t="n">
        <v>2.5</v>
      </c>
      <c r="F1120" s="35" t="n"/>
      <c r="G1120" s="84" t="n"/>
      <c r="H1120" s="35" t="n"/>
      <c r="I1120" s="39" t="inlineStr">
        <is>
          <t xml:space="preserve">Барабанова Ольга Алексеевна </t>
        </is>
      </c>
      <c r="J1120" s="34" t="inlineStr">
        <is>
          <t>профессор</t>
        </is>
      </c>
      <c r="K1120" s="34" t="inlineStr">
        <is>
          <t>ком</t>
        </is>
      </c>
      <c r="L1120" s="39" t="n"/>
      <c r="M1120" s="12">
        <f>SUMIFS($E$2:$E$1130,$A$2:$A$1130,"осень",$I$2:$I$1130,I1120)</f>
        <v/>
      </c>
      <c r="N1120" s="13">
        <f>SUMIFS($E$2:$E$1130,$A$2:$A$1130,"весна",$I$2:$I$1130,I1120)</f>
        <v/>
      </c>
      <c r="O1120" s="14">
        <f>M1120+N1120</f>
        <v/>
      </c>
      <c r="P1120" s="15">
        <f>O1120/$P$1</f>
        <v/>
      </c>
    </row>
    <row r="1121" ht="15.75" customHeight="1" s="2">
      <c r="A1121" s="32" t="inlineStr">
        <is>
          <t>весна</t>
        </is>
      </c>
      <c r="B1121" s="9" t="inlineStr">
        <is>
          <t>Диплом</t>
        </is>
      </c>
      <c r="C1121" s="9" t="inlineStr">
        <is>
          <t>Диплом</t>
        </is>
      </c>
      <c r="D1121" s="9" t="inlineStr">
        <is>
          <t>Т11О-203М-19</t>
        </is>
      </c>
      <c r="E1121" s="68" t="n">
        <v>30</v>
      </c>
      <c r="F1121" s="35" t="n"/>
      <c r="G1121" s="84" t="n">
        <v>0</v>
      </c>
      <c r="H1121" s="35" t="n"/>
      <c r="I1121" s="39" t="inlineStr">
        <is>
          <t xml:space="preserve">Конкевич Валентин Юрьевич </t>
        </is>
      </c>
      <c r="J1121" s="34" t="inlineStr">
        <is>
          <t>профессор</t>
        </is>
      </c>
      <c r="K1121" s="35" t="inlineStr">
        <is>
          <t>1 чел</t>
        </is>
      </c>
      <c r="L1121" s="39" t="n"/>
      <c r="M1121" s="12">
        <f>SUMIFS($E$2:$E$1130,$A$2:$A$1130,"осень",$I$2:$I$1130,I1121)</f>
        <v/>
      </c>
      <c r="N1121" s="13">
        <f>SUMIFS($E$2:$E$1130,$A$2:$A$1130,"весна",$I$2:$I$1130,I1121)</f>
        <v/>
      </c>
      <c r="O1121" s="14">
        <f>M1121+N1121</f>
        <v/>
      </c>
      <c r="P1121" s="15">
        <f>O1121/$P$1</f>
        <v/>
      </c>
    </row>
    <row r="1122" ht="15.75" customHeight="1" s="2">
      <c r="A1122" s="41" t="inlineStr">
        <is>
          <t>весна</t>
        </is>
      </c>
      <c r="B1122" s="9" t="inlineStr">
        <is>
          <t>Диплом</t>
        </is>
      </c>
      <c r="C1122" s="9" t="inlineStr">
        <is>
          <t>Диплом</t>
        </is>
      </c>
      <c r="D1122" s="9" t="inlineStr">
        <is>
          <t>Т11О-203М-19</t>
        </is>
      </c>
      <c r="E1122" s="10" t="n">
        <v>12.5</v>
      </c>
      <c r="F1122" s="63" t="n"/>
      <c r="G1122" s="63" t="n"/>
      <c r="H1122" s="63" t="n"/>
      <c r="I1122" s="9" t="inlineStr">
        <is>
          <t>э-Комиссия-П</t>
        </is>
      </c>
      <c r="J1122" s="63" t="n"/>
      <c r="K1122" s="63" t="inlineStr">
        <is>
          <t>внеш+председ</t>
        </is>
      </c>
      <c r="L1122" s="63" t="n"/>
      <c r="M1122" s="12">
        <f>SUMIFS($E$2:$E$1130,$A$2:$A$1130,"осень",$I$2:$I$1130,I1122)</f>
        <v/>
      </c>
      <c r="N1122" s="13">
        <f>SUMIFS($E$2:$E$1130,$A$2:$A$1130,"весна",$I$2:$I$1130,I1122)</f>
        <v/>
      </c>
      <c r="O1122" s="14">
        <f>M1122+N1122</f>
        <v/>
      </c>
      <c r="P1122" s="15">
        <f>O1122/$P$1</f>
        <v/>
      </c>
    </row>
    <row r="1123" ht="15.75" customHeight="1" s="2">
      <c r="A1123" s="80" t="inlineStr">
        <is>
          <t>весна</t>
        </is>
      </c>
      <c r="B1123" s="81" t="inlineStr">
        <is>
          <t>Диплом</t>
        </is>
      </c>
      <c r="C1123" s="81" t="inlineStr">
        <is>
          <t>Диплом</t>
        </is>
      </c>
      <c r="D1123" s="85" t="inlineStr">
        <is>
          <t>Т11О-203М-19</t>
        </is>
      </c>
      <c r="E1123" s="86" t="n">
        <v>70</v>
      </c>
      <c r="F1123" s="85" t="n"/>
      <c r="G1123" s="87" t="n">
        <v>0</v>
      </c>
      <c r="H1123" s="85" t="n"/>
      <c r="I1123" s="20" t="inlineStr">
        <is>
          <t>ю-Отчсление</t>
        </is>
      </c>
      <c r="J1123" s="85" t="n"/>
      <c r="K1123" s="88" t="inlineStr">
        <is>
          <t>2 чел</t>
        </is>
      </c>
      <c r="L1123" s="28" t="inlineStr">
        <is>
          <t>2 чел отчисление</t>
        </is>
      </c>
      <c r="M1123" s="12">
        <f>SUMIFS($E$2:$E$1130,$A$2:$A$1130,"осень",$I$2:$I$1130,I1123)</f>
        <v/>
      </c>
      <c r="N1123" s="13">
        <f>SUMIFS($E$2:$E$1130,$A$2:$A$1130,"весна",$I$2:$I$1130,I1123)</f>
        <v/>
      </c>
      <c r="O1123" s="14">
        <f>M1123+N1123</f>
        <v/>
      </c>
      <c r="P1123" s="15">
        <f>O1123/$P$1</f>
        <v/>
      </c>
    </row>
    <row r="1124" ht="15.75" customHeight="1" s="2">
      <c r="A1124" s="89" t="inlineStr">
        <is>
          <t>весна</t>
        </is>
      </c>
      <c r="B1124" s="90" t="inlineStr">
        <is>
          <t>Диплом</t>
        </is>
      </c>
      <c r="C1124" s="90" t="inlineStr">
        <is>
          <t>Диплом</t>
        </is>
      </c>
      <c r="D1124" s="90" t="inlineStr">
        <is>
          <t>Т11О-204М-19</t>
        </is>
      </c>
      <c r="E1124" s="53" t="n"/>
      <c r="F1124" s="10" t="n">
        <v>315</v>
      </c>
      <c r="G1124" s="11" t="n">
        <v>0</v>
      </c>
      <c r="H1124" s="91" t="n"/>
      <c r="I1124" s="66" t="inlineStr">
        <is>
          <t>э-Диплом-С</t>
        </is>
      </c>
      <c r="J1124" s="90" t="n"/>
      <c r="K1124" s="90" t="n"/>
      <c r="L1124" s="90" t="n"/>
      <c r="M1124" s="12">
        <f>SUMIFS($E$2:$E$1130,$A$2:$A$1130,"осень",$I$2:$I$1130,I1124)</f>
        <v/>
      </c>
      <c r="N1124" s="13">
        <f>SUMIFS($E$2:$E$1130,$A$2:$A$1130,"весна",$I$2:$I$1130,I1124)</f>
        <v/>
      </c>
      <c r="O1124" s="14">
        <f>M1124+N1124</f>
        <v/>
      </c>
      <c r="P1124" s="15">
        <f>O1124/$P$1</f>
        <v/>
      </c>
    </row>
    <row r="1125" ht="15.75" customHeight="1" s="2">
      <c r="A1125" s="121" t="inlineStr">
        <is>
          <t>весна</t>
        </is>
      </c>
      <c r="B1125" s="90" t="inlineStr">
        <is>
          <t>Диплом</t>
        </is>
      </c>
      <c r="C1125" s="90" t="inlineStr">
        <is>
          <t>Диплом</t>
        </is>
      </c>
      <c r="D1125" s="90" t="inlineStr">
        <is>
          <t>Т11О-204М-19</t>
        </is>
      </c>
      <c r="E1125" s="10" t="n">
        <v>99</v>
      </c>
      <c r="F1125" s="9" t="n"/>
      <c r="G1125" s="11" t="n">
        <v>0</v>
      </c>
      <c r="H1125" s="92" t="n"/>
      <c r="I1125" s="40" t="inlineStr">
        <is>
          <t xml:space="preserve">Никитина Елена Владимировна </t>
        </is>
      </c>
      <c r="J1125" s="34" t="inlineStr">
        <is>
          <t>профессор</t>
        </is>
      </c>
      <c r="K1125" s="9" t="inlineStr">
        <is>
          <t>3 чел+ком</t>
        </is>
      </c>
      <c r="L1125" s="53" t="n"/>
      <c r="M1125" s="12">
        <f>SUMIFS($E$2:$E$1130,$A$2:$A$1130,"осень",$I$2:$I$1130,I1125)</f>
        <v/>
      </c>
      <c r="N1125" s="13">
        <f>SUMIFS($E$2:$E$1130,$A$2:$A$1130,"весна",$I$2:$I$1130,I1125)</f>
        <v/>
      </c>
      <c r="O1125" s="14">
        <f>M1125+N1125</f>
        <v/>
      </c>
      <c r="P1125" s="15">
        <f>O1125/$P$1</f>
        <v/>
      </c>
    </row>
    <row r="1126" ht="15.75" customHeight="1" s="2">
      <c r="A1126" s="121" t="inlineStr">
        <is>
          <t>весна</t>
        </is>
      </c>
      <c r="B1126" s="90" t="inlineStr">
        <is>
          <t>Диплом</t>
        </is>
      </c>
      <c r="C1126" s="90" t="inlineStr">
        <is>
          <t>Диплом</t>
        </is>
      </c>
      <c r="D1126" s="90" t="inlineStr">
        <is>
          <t>Т11О-204М-19</t>
        </is>
      </c>
      <c r="E1126" s="93" t="n">
        <v>64.5</v>
      </c>
      <c r="F1126" s="94" t="n"/>
      <c r="G1126" s="95" t="n">
        <v>0</v>
      </c>
      <c r="H1126" s="94" t="n"/>
      <c r="I1126" s="40" t="inlineStr">
        <is>
          <t xml:space="preserve">Федоров Сергей Александрович </t>
        </is>
      </c>
      <c r="J1126" s="34" t="inlineStr">
        <is>
          <t>профессор</t>
        </is>
      </c>
      <c r="K1126" s="9" t="inlineStr">
        <is>
          <t>2 чел+ком</t>
        </is>
      </c>
      <c r="L1126" s="53" t="n"/>
      <c r="M1126" s="12">
        <f>SUMIFS($E$2:$E$1130,$A$2:$A$1130,"осень",$I$2:$I$1130,I1126)</f>
        <v/>
      </c>
      <c r="N1126" s="13">
        <f>SUMIFS($E$2:$E$1130,$A$2:$A$1130,"весна",$I$2:$I$1130,I1126)</f>
        <v/>
      </c>
      <c r="O1126" s="14">
        <f>M1126+N1126</f>
        <v/>
      </c>
      <c r="P1126" s="15">
        <f>O1126/$P$1</f>
        <v/>
      </c>
    </row>
    <row r="1127" ht="15.75" customHeight="1" s="2">
      <c r="A1127" s="121" t="inlineStr">
        <is>
          <t>весна</t>
        </is>
      </c>
      <c r="B1127" s="90" t="inlineStr">
        <is>
          <t>Диплом</t>
        </is>
      </c>
      <c r="C1127" s="90" t="inlineStr">
        <is>
          <t>Диплом</t>
        </is>
      </c>
      <c r="D1127" s="90" t="inlineStr">
        <is>
          <t>Т11О-204М-19</t>
        </is>
      </c>
      <c r="E1127" s="93" t="n">
        <v>64.5</v>
      </c>
      <c r="F1127" s="94" t="n"/>
      <c r="G1127" s="95" t="n">
        <v>0</v>
      </c>
      <c r="H1127" s="94" t="n"/>
      <c r="I1127" s="40" t="inlineStr">
        <is>
          <t xml:space="preserve">Конкевич Валентин Юрьевич </t>
        </is>
      </c>
      <c r="J1127" s="34" t="inlineStr">
        <is>
          <t>профессор</t>
        </is>
      </c>
      <c r="K1127" s="9" t="inlineStr">
        <is>
          <t>2 чел+ком</t>
        </is>
      </c>
      <c r="L1127" s="53" t="n"/>
      <c r="M1127" s="12">
        <f>SUMIFS($E$2:$E$1130,$A$2:$A$1130,"осень",$I$2:$I$1130,I1127)</f>
        <v/>
      </c>
      <c r="N1127" s="13">
        <f>SUMIFS($E$2:$E$1130,$A$2:$A$1130,"весна",$I$2:$I$1130,I1127)</f>
        <v/>
      </c>
      <c r="O1127" s="14">
        <f>M1127+N1127</f>
        <v/>
      </c>
      <c r="P1127" s="15">
        <f>O1127/$P$1</f>
        <v/>
      </c>
    </row>
    <row r="1128" ht="15.75" customHeight="1" s="2">
      <c r="A1128" s="121" t="inlineStr">
        <is>
          <t>весна</t>
        </is>
      </c>
      <c r="B1128" s="90" t="inlineStr">
        <is>
          <t>Диплом</t>
        </is>
      </c>
      <c r="C1128" s="90" t="inlineStr">
        <is>
          <t>Диплом</t>
        </is>
      </c>
      <c r="D1128" s="90" t="inlineStr">
        <is>
          <t>Т11О-204М-19</t>
        </is>
      </c>
      <c r="E1128" s="93" t="n">
        <v>60</v>
      </c>
      <c r="F1128" s="94" t="n"/>
      <c r="G1128" s="95" t="n">
        <v>0</v>
      </c>
      <c r="H1128" s="94" t="n"/>
      <c r="I1128" s="40" t="inlineStr">
        <is>
          <t xml:space="preserve">Пашков Игорь Николаевич </t>
        </is>
      </c>
      <c r="J1128" s="34" t="inlineStr">
        <is>
          <t>профессор</t>
        </is>
      </c>
      <c r="K1128" s="9" t="inlineStr">
        <is>
          <t>2 чел</t>
        </is>
      </c>
      <c r="L1128" s="53" t="n"/>
      <c r="M1128" s="12">
        <f>SUMIFS($E$2:$E$1130,$A$2:$A$1130,"осень",$I$2:$I$1130,I1128)</f>
        <v/>
      </c>
      <c r="N1128" s="13">
        <f>SUMIFS($E$2:$E$1130,$A$2:$A$1130,"весна",$I$2:$I$1130,I1128)</f>
        <v/>
      </c>
      <c r="O1128" s="14">
        <f>M1128+N1128</f>
        <v/>
      </c>
      <c r="P1128" s="15">
        <f>O1128/$P$1</f>
        <v/>
      </c>
    </row>
    <row r="1129" ht="15.75" customHeight="1" s="2">
      <c r="A1129" s="32" t="inlineStr">
        <is>
          <t>весна</t>
        </is>
      </c>
      <c r="B1129" s="9" t="inlineStr">
        <is>
          <t>Диплом</t>
        </is>
      </c>
      <c r="C1129" s="9" t="inlineStr">
        <is>
          <t>Диплом</t>
        </is>
      </c>
      <c r="D1129" s="9" t="inlineStr">
        <is>
          <t>Т11О-204М-19</t>
        </is>
      </c>
      <c r="E1129" s="53" t="n">
        <v>4.5</v>
      </c>
      <c r="F1129" s="10" t="n"/>
      <c r="G1129" s="11" t="n"/>
      <c r="H1129" s="9" t="n"/>
      <c r="I1129" s="96" t="inlineStr">
        <is>
          <t xml:space="preserve">Власенко Артем Николаевич </t>
        </is>
      </c>
      <c r="J1129" s="9" t="inlineStr">
        <is>
          <t>ст. преподаватель</t>
        </is>
      </c>
      <c r="K1129" s="9" t="inlineStr">
        <is>
          <t>секр</t>
        </is>
      </c>
      <c r="L1129" s="9" t="n"/>
      <c r="M1129" s="12">
        <f>SUMIFS($E$2:$E$1130,$A$2:$A$1130,"осень",$I$2:$I$1130,I1129)</f>
        <v/>
      </c>
      <c r="N1129" s="13">
        <f>SUMIFS($E$2:$E$1130,$A$2:$A$1130,"весна",$I$2:$I$1130,I1129)</f>
        <v/>
      </c>
      <c r="O1129" s="14">
        <f>M1129+N1129</f>
        <v/>
      </c>
      <c r="P1129" s="15">
        <f>O1129/$P$1</f>
        <v/>
      </c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</row>
    <row r="1130" ht="15.75" customHeight="1" s="2">
      <c r="A1130" s="41" t="inlineStr">
        <is>
          <t>весна</t>
        </is>
      </c>
      <c r="B1130" s="9" t="inlineStr">
        <is>
          <t>Диплом</t>
        </is>
      </c>
      <c r="C1130" s="9" t="inlineStr">
        <is>
          <t>Диплом</t>
        </is>
      </c>
      <c r="D1130" s="9" t="inlineStr">
        <is>
          <t>Т11О-204М-19</t>
        </is>
      </c>
      <c r="E1130" s="53" t="n">
        <v>22.5</v>
      </c>
      <c r="F1130" s="10" t="n"/>
      <c r="G1130" s="11" t="n"/>
      <c r="H1130" s="9" t="n"/>
      <c r="I1130" s="9" t="inlineStr">
        <is>
          <t>э-Комиссия-С</t>
        </is>
      </c>
      <c r="J1130" s="63" t="n"/>
      <c r="K1130" s="63" t="inlineStr">
        <is>
          <t>внеш+председ</t>
        </is>
      </c>
      <c r="L1130" s="9" t="n"/>
      <c r="M1130" s="12">
        <f>SUMIFS($E$2:$E$1130,$A$2:$A$1130,"осень",$I$2:$I$1130,I1130)</f>
        <v/>
      </c>
      <c r="N1130" s="13">
        <f>SUMIFS($E$2:$E$1130,$A$2:$A$1130,"весна",$I$2:$I$1130,I1130)</f>
        <v/>
      </c>
      <c r="O1130" s="14">
        <f>M1130+N1130</f>
        <v/>
      </c>
      <c r="P1130" s="15">
        <f>O1130/$P$1</f>
        <v/>
      </c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</row>
    <row r="1131" ht="15.75" customHeight="1" s="2">
      <c r="B1131" s="97" t="n"/>
      <c r="C1131" s="97" t="n"/>
      <c r="D1131" s="97" t="n"/>
      <c r="E1131" s="98" t="n"/>
      <c r="F1131" s="97" t="n"/>
      <c r="G1131" s="97" t="n"/>
      <c r="H1131" s="97" t="n"/>
      <c r="I1131" s="97" t="n"/>
      <c r="J1131" s="97" t="n"/>
      <c r="K1131" s="97" t="n"/>
      <c r="L1131" s="97" t="n"/>
    </row>
    <row r="1132" ht="15.75" customHeight="1" s="2">
      <c r="B1132" s="97" t="n"/>
      <c r="C1132" s="97" t="n"/>
      <c r="D1132" s="97" t="n"/>
      <c r="E1132" s="98">
        <f>SUBTOTAL(9,E2:E1131)</f>
        <v/>
      </c>
      <c r="F1132" s="97" t="n"/>
      <c r="G1132" s="97" t="n"/>
      <c r="H1132" s="97" t="n"/>
      <c r="I1132" s="97" t="n"/>
      <c r="J1132" s="97" t="n"/>
      <c r="K1132" s="97" t="n"/>
      <c r="L1132" s="97" t="n"/>
    </row>
    <row r="1133" ht="15.75" customHeight="1" s="2">
      <c r="B1133" s="97" t="n"/>
      <c r="C1133" s="97" t="n"/>
      <c r="D1133" s="97" t="n"/>
      <c r="E1133" s="98" t="n"/>
      <c r="F1133" s="97" t="n"/>
      <c r="G1133" s="97" t="n"/>
      <c r="H1133" s="97" t="n"/>
      <c r="I1133" s="97" t="n"/>
      <c r="J1133" s="97" t="n"/>
      <c r="K1133" s="97" t="n"/>
      <c r="L1133" s="97" t="n"/>
    </row>
    <row r="1134" ht="15.75" customHeight="1" s="2">
      <c r="B1134" s="97" t="n"/>
      <c r="C1134" s="97" t="n"/>
      <c r="D1134" s="97" t="n"/>
      <c r="E1134" s="98" t="n"/>
      <c r="F1134" s="97" t="n"/>
      <c r="G1134" s="97" t="n"/>
      <c r="H1134" s="97" t="n"/>
      <c r="I1134" s="97" t="n"/>
      <c r="J1134" s="97" t="n"/>
      <c r="K1134" s="97" t="n"/>
      <c r="L1134" s="97" t="n"/>
    </row>
    <row r="1135" ht="15.75" customHeight="1" s="2">
      <c r="B1135" s="97" t="n"/>
      <c r="C1135" s="97" t="n"/>
      <c r="D1135" s="97" t="n"/>
      <c r="E1135" s="98" t="n"/>
      <c r="F1135" s="97" t="n"/>
      <c r="G1135" s="97" t="n"/>
      <c r="H1135" s="97" t="n"/>
      <c r="I1135" s="97" t="n"/>
      <c r="J1135" s="99">
        <f>F1048-225</f>
        <v/>
      </c>
      <c r="K1135" s="97" t="n"/>
      <c r="L1135" s="97" t="n"/>
    </row>
    <row r="1136" ht="15.75" customHeight="1" s="2">
      <c r="B1136" s="97" t="n"/>
      <c r="C1136" s="97" t="n"/>
      <c r="D1136" s="100" t="n"/>
      <c r="E1136" s="101" t="inlineStr">
        <is>
          <t>сумма</t>
        </is>
      </c>
      <c r="F1136" s="102" t="inlineStr">
        <is>
          <t>чел</t>
        </is>
      </c>
      <c r="G1136" s="100" t="n"/>
      <c r="H1136" s="100" t="n"/>
      <c r="I1136" s="100" t="n"/>
      <c r="J1136" s="100" t="n"/>
      <c r="K1136" s="97" t="n"/>
      <c r="L1136" s="97" t="n"/>
    </row>
    <row r="1137" ht="15.75" customHeight="1" s="2">
      <c r="B1137" s="97" t="n"/>
      <c r="C1137" s="97" t="n"/>
      <c r="D1137" s="100" t="n"/>
      <c r="E1137" s="101" t="n">
        <v>150</v>
      </c>
      <c r="F1137" s="102">
        <f>E1137/25</f>
        <v/>
      </c>
      <c r="G1137" s="100" t="n"/>
      <c r="H1137" s="103" t="n"/>
      <c r="I1137" s="100" t="n"/>
      <c r="J1137" s="100" t="n"/>
      <c r="K1137" s="97" t="n"/>
      <c r="L1137" s="97" t="n"/>
    </row>
    <row r="1138" ht="15.75" customHeight="1" s="2">
      <c r="B1138" s="97" t="n"/>
      <c r="C1138" s="97" t="n"/>
      <c r="D1138" s="103" t="inlineStr">
        <is>
          <t xml:space="preserve">бакалавры </t>
        </is>
      </c>
      <c r="E1138" s="104" t="inlineStr">
        <is>
          <t>руковод</t>
        </is>
      </c>
      <c r="F1138" s="100" t="n">
        <v>20</v>
      </c>
      <c r="G1138" s="100">
        <f>$F$1137*F1138</f>
        <v/>
      </c>
      <c r="H1138" s="100" t="n"/>
      <c r="I1138" s="100" t="n"/>
      <c r="J1138" s="100" t="n"/>
      <c r="K1138" s="97" t="n"/>
      <c r="L1138" s="97" t="n"/>
    </row>
    <row r="1139" ht="15.75" customHeight="1" s="2">
      <c r="B1139" s="97" t="n"/>
      <c r="C1139" s="97" t="n"/>
      <c r="D1139" s="103" t="n"/>
      <c r="E1139" s="105" t="inlineStr">
        <is>
          <t>Норма</t>
        </is>
      </c>
      <c r="F1139" s="106" t="n">
        <v>1</v>
      </c>
      <c r="G1139" s="106">
        <f>F1139*$F$1137</f>
        <v/>
      </c>
      <c r="H1139" s="100" t="n"/>
      <c r="I1139" s="100" t="n"/>
      <c r="J1139" s="100" t="n"/>
      <c r="K1139" s="97" t="n">
        <v>230</v>
      </c>
      <c r="L1139" s="97" t="n"/>
    </row>
    <row r="1140" ht="15.75" customHeight="1" s="2">
      <c r="B1140" s="97" t="n"/>
      <c r="C1140" s="97" t="n"/>
      <c r="D1140" s="103" t="n"/>
      <c r="E1140" s="107" t="inlineStr">
        <is>
          <t>секр</t>
        </is>
      </c>
      <c r="F1140" s="108" t="n">
        <v>0.5</v>
      </c>
      <c r="G1140" s="108">
        <f>F1140*$F$1137</f>
        <v/>
      </c>
      <c r="H1140" s="100" t="n"/>
      <c r="I1140" s="100" t="n"/>
      <c r="J1140" s="100" t="n"/>
      <c r="K1140" s="97" t="n">
        <v>175</v>
      </c>
      <c r="L1140" s="97" t="n"/>
    </row>
    <row r="1141" ht="15.75" customHeight="1" s="2">
      <c r="B1141" s="97" t="n"/>
      <c r="C1141" s="97" t="n"/>
      <c r="D1141" s="103" t="n"/>
      <c r="E1141" s="109" t="inlineStr">
        <is>
          <t>комисс1</t>
        </is>
      </c>
      <c r="F1141" s="110" t="n">
        <v>0.5</v>
      </c>
      <c r="G1141" s="109">
        <f>F1141*$F$1137</f>
        <v/>
      </c>
      <c r="H1141" s="100" t="n"/>
      <c r="I1141" s="100" t="n"/>
      <c r="J1141" s="100" t="n"/>
      <c r="K1141" s="97" t="n"/>
      <c r="L1141" s="97" t="n"/>
      <c r="M1141" t="n">
        <v>1126</v>
      </c>
    </row>
    <row r="1142" ht="15.75" customHeight="1" s="2">
      <c r="B1142" s="97" t="n"/>
      <c r="C1142" s="97" t="n"/>
      <c r="D1142" s="103" t="n"/>
      <c r="E1142" s="109" t="inlineStr">
        <is>
          <t>комисс2</t>
        </is>
      </c>
      <c r="F1142" s="110" t="n">
        <v>0.5</v>
      </c>
      <c r="G1142" s="109">
        <f>F1142*$F$1137</f>
        <v/>
      </c>
      <c r="H1142" s="100" t="n"/>
      <c r="I1142" s="100" t="n"/>
      <c r="J1142" s="100" t="n"/>
      <c r="K1142" s="97" t="n"/>
      <c r="L1142" s="97" t="n"/>
      <c r="M1142">
        <f>M1141-830</f>
        <v/>
      </c>
    </row>
    <row r="1143" ht="15.75" customHeight="1" s="2">
      <c r="B1143" s="97" t="n"/>
      <c r="C1143" s="97" t="n"/>
      <c r="D1143" s="103" t="n"/>
      <c r="E1143" s="105" t="inlineStr">
        <is>
          <t>комисс3</t>
        </is>
      </c>
      <c r="F1143" s="106" t="n">
        <v>0.5</v>
      </c>
      <c r="G1143" s="106">
        <f>F1143*$F$1137</f>
        <v/>
      </c>
      <c r="H1143" s="100" t="n"/>
      <c r="I1143" s="100" t="n"/>
      <c r="J1143" s="100" t="n"/>
      <c r="K1143" s="97" t="n"/>
      <c r="L1143" s="97" t="n"/>
    </row>
    <row r="1144" ht="15.75" customHeight="1" s="2">
      <c r="B1144" s="97" t="n"/>
      <c r="C1144" s="97" t="n"/>
      <c r="D1144" s="103" t="n"/>
      <c r="E1144" s="105" t="inlineStr">
        <is>
          <t>комисс4</t>
        </is>
      </c>
      <c r="F1144" s="106" t="n">
        <v>0.5</v>
      </c>
      <c r="G1144" s="106">
        <f>F1144*$F$1137</f>
        <v/>
      </c>
      <c r="H1144" s="100" t="n"/>
      <c r="I1144" s="100" t="inlineStr">
        <is>
          <t>Комиссия</t>
        </is>
      </c>
      <c r="J1144" s="100" t="n"/>
      <c r="K1144" s="97" t="n"/>
      <c r="L1144" s="97" t="n"/>
    </row>
    <row r="1145" ht="15.75" customHeight="1" s="2">
      <c r="B1145" s="97" t="n"/>
      <c r="C1145" s="97" t="n"/>
      <c r="D1145" s="103" t="n"/>
      <c r="E1145" s="105" t="inlineStr">
        <is>
          <t>комисс4</t>
        </is>
      </c>
      <c r="F1145" s="106" t="n">
        <v>0.5</v>
      </c>
      <c r="G1145" s="106">
        <f>F1145*$F$1137</f>
        <v/>
      </c>
      <c r="H1145" s="100" t="n"/>
      <c r="I1145" s="106">
        <f>G1143+G1144+G1145</f>
        <v/>
      </c>
      <c r="J1145" s="111" t="inlineStr">
        <is>
          <t>&lt;--сумма наших</t>
        </is>
      </c>
      <c r="K1145" s="97" t="n"/>
      <c r="L1145" s="97" t="n"/>
      <c r="M1145">
        <f>963-830</f>
        <v/>
      </c>
    </row>
    <row r="1146" ht="15.75" customHeight="1" s="2">
      <c r="B1146" s="97" t="n"/>
      <c r="C1146" s="97" t="n"/>
      <c r="D1146" s="103" t="n"/>
      <c r="E1146" s="109" t="inlineStr">
        <is>
          <t>председ</t>
        </is>
      </c>
      <c r="F1146" s="110" t="n">
        <v>1</v>
      </c>
      <c r="G1146" s="110">
        <f>F1146*$F$1137</f>
        <v/>
      </c>
      <c r="H1146" s="112" t="n"/>
      <c r="I1146" s="109">
        <f>G1146+G1142+G1141</f>
        <v/>
      </c>
      <c r="J1146" s="111" t="inlineStr">
        <is>
          <t>&lt;--сумма внешних</t>
        </is>
      </c>
      <c r="K1146" s="97" t="n"/>
      <c r="L1146" s="97" t="n"/>
    </row>
    <row r="1147" ht="15.75" customHeight="1" s="2">
      <c r="B1147" s="97" t="n"/>
      <c r="C1147" s="97" t="n"/>
      <c r="D1147" s="113" t="n"/>
      <c r="E1147" s="114" t="n"/>
      <c r="F1147" s="115">
        <f>SUBTOTAL(9,F1138:F1146)</f>
        <v/>
      </c>
      <c r="G1147" s="115">
        <f>SUBTOTAL(9,G1138:G1146)</f>
        <v/>
      </c>
      <c r="H1147" s="115" t="n"/>
      <c r="I1147" s="100" t="n"/>
      <c r="J1147" s="111" t="n"/>
      <c r="K1147" s="97" t="n"/>
      <c r="L1147" s="97" t="n"/>
    </row>
    <row r="1148" ht="15.75" customHeight="1" s="2">
      <c r="B1148" s="97" t="n"/>
      <c r="C1148" s="97" t="n"/>
      <c r="D1148" s="103" t="n"/>
      <c r="E1148" s="100" t="n"/>
      <c r="F1148" s="100" t="n"/>
      <c r="G1148" s="100" t="n"/>
      <c r="H1148" s="100" t="n"/>
      <c r="I1148" s="100" t="n"/>
      <c r="J1148" s="111" t="n"/>
      <c r="K1148" s="97" t="n"/>
      <c r="L1148" s="97" t="n"/>
    </row>
    <row r="1149" ht="15.75" customHeight="1" s="2">
      <c r="B1149" s="97" t="n"/>
      <c r="C1149" s="97" t="n"/>
      <c r="D1149" s="103" t="n"/>
      <c r="E1149" s="101" t="inlineStr">
        <is>
          <t>сумма</t>
        </is>
      </c>
      <c r="F1149" s="102" t="inlineStr">
        <is>
          <t>чел</t>
        </is>
      </c>
      <c r="G1149" s="100" t="n"/>
      <c r="H1149" s="100" t="n"/>
      <c r="I1149" s="100" t="n"/>
      <c r="J1149" s="111" t="n"/>
      <c r="K1149" s="97" t="n"/>
      <c r="L1149" s="97" t="n"/>
    </row>
    <row r="1150" ht="15.75" customHeight="1" s="2">
      <c r="B1150" s="97" t="n"/>
      <c r="C1150" s="97" t="n"/>
      <c r="D1150" s="103" t="n"/>
      <c r="E1150" s="101" t="n">
        <v>315</v>
      </c>
      <c r="F1150" s="102">
        <f>E1150/35</f>
        <v/>
      </c>
      <c r="G1150" s="100" t="n"/>
      <c r="H1150" s="100" t="n"/>
      <c r="I1150" s="100" t="n"/>
      <c r="J1150" s="111" t="n"/>
      <c r="K1150" s="97" t="n"/>
      <c r="L1150" s="97" t="n"/>
    </row>
    <row r="1151" ht="15.75" customHeight="1" s="2">
      <c r="B1151" s="97" t="n"/>
      <c r="C1151" s="97" t="n"/>
      <c r="D1151" s="103" t="inlineStr">
        <is>
          <t xml:space="preserve">магистры </t>
        </is>
      </c>
      <c r="E1151" s="104" t="inlineStr">
        <is>
          <t>руковод</t>
        </is>
      </c>
      <c r="F1151" s="100" t="n">
        <v>30</v>
      </c>
      <c r="G1151" s="100">
        <f>$F$1150*F1151</f>
        <v/>
      </c>
      <c r="H1151" s="100" t="n"/>
      <c r="I1151" s="100" t="n"/>
      <c r="J1151" s="111" t="n"/>
      <c r="K1151" s="97" t="n"/>
      <c r="L1151" s="97" t="n"/>
    </row>
    <row r="1152" ht="15.75" customHeight="1" s="2">
      <c r="B1152" s="97" t="n"/>
      <c r="C1152" s="97" t="n"/>
      <c r="D1152" s="103" t="n"/>
      <c r="E1152" s="105" t="inlineStr">
        <is>
          <t>Норма</t>
        </is>
      </c>
      <c r="F1152" s="106" t="n">
        <v>1</v>
      </c>
      <c r="G1152" s="106">
        <f>F1152*$F$1150</f>
        <v/>
      </c>
      <c r="H1152" s="100" t="n"/>
      <c r="I1152" s="100" t="n"/>
      <c r="J1152" s="111" t="n"/>
      <c r="K1152" s="97" t="n"/>
      <c r="L1152" s="97" t="n"/>
    </row>
    <row r="1153" ht="15.75" customHeight="1" s="2">
      <c r="B1153" s="97" t="n"/>
      <c r="C1153" s="97" t="n"/>
      <c r="D1153" s="103" t="n"/>
      <c r="E1153" s="107" t="inlineStr">
        <is>
          <t>секр</t>
        </is>
      </c>
      <c r="F1153" s="108" t="n">
        <v>0.5</v>
      </c>
      <c r="G1153" s="108">
        <f>F1153*$F$1150</f>
        <v/>
      </c>
      <c r="H1153" s="100" t="n"/>
      <c r="I1153" s="100" t="n"/>
      <c r="J1153" s="111" t="n"/>
      <c r="K1153" s="97" t="n"/>
      <c r="L1153" s="97" t="n"/>
    </row>
    <row r="1154" ht="15.75" customHeight="1" s="2">
      <c r="B1154" s="97" t="n"/>
      <c r="C1154" s="97" t="n"/>
      <c r="D1154" s="103" t="n"/>
      <c r="E1154" s="109" t="inlineStr">
        <is>
          <t>комисс1</t>
        </is>
      </c>
      <c r="F1154" s="110" t="n">
        <v>0.5</v>
      </c>
      <c r="G1154" s="109">
        <f>F1154*$F$1150</f>
        <v/>
      </c>
      <c r="H1154" s="100" t="n"/>
      <c r="I1154" s="100" t="n"/>
      <c r="J1154" s="111" t="n"/>
      <c r="K1154" s="97" t="n"/>
      <c r="L1154" s="97" t="n"/>
    </row>
    <row r="1155" ht="15.75" customHeight="1" s="2">
      <c r="B1155" s="97" t="n"/>
      <c r="C1155" s="97" t="n"/>
      <c r="D1155" s="103" t="n"/>
      <c r="E1155" s="109" t="inlineStr">
        <is>
          <t>комисс2</t>
        </is>
      </c>
      <c r="F1155" s="110" t="n">
        <v>0.5</v>
      </c>
      <c r="G1155" s="109">
        <f>F1155*$F$1150</f>
        <v/>
      </c>
      <c r="H1155" s="100" t="n"/>
      <c r="I1155" s="100" t="n"/>
      <c r="J1155" s="111" t="n"/>
      <c r="K1155" s="97" t="n"/>
      <c r="L1155" s="97" t="n"/>
    </row>
    <row r="1156" ht="15.75" customHeight="1" s="2">
      <c r="B1156" s="97" t="n"/>
      <c r="C1156" s="97" t="n"/>
      <c r="D1156" s="103" t="n"/>
      <c r="E1156" s="105" t="inlineStr">
        <is>
          <t>комисс3</t>
        </is>
      </c>
      <c r="F1156" s="106" t="n">
        <v>0.5</v>
      </c>
      <c r="G1156" s="106">
        <f>F1156*$F$1150</f>
        <v/>
      </c>
      <c r="H1156" s="100" t="n"/>
      <c r="I1156" s="100" t="n"/>
      <c r="J1156" s="111" t="n"/>
      <c r="K1156" s="97" t="n"/>
      <c r="L1156" s="97" t="n"/>
    </row>
    <row r="1157" ht="15.75" customHeight="1" s="2">
      <c r="B1157" s="97" t="n"/>
      <c r="C1157" s="97" t="n"/>
      <c r="D1157" s="103" t="n"/>
      <c r="E1157" s="105" t="inlineStr">
        <is>
          <t>комисс4</t>
        </is>
      </c>
      <c r="F1157" s="106" t="n">
        <v>0.5</v>
      </c>
      <c r="G1157" s="106">
        <f>F1157*$F$1150</f>
        <v/>
      </c>
      <c r="H1157" s="100" t="n"/>
      <c r="I1157" s="100" t="inlineStr">
        <is>
          <t>Комиссия</t>
        </is>
      </c>
      <c r="J1157" s="111" t="n"/>
      <c r="K1157" s="97" t="n"/>
      <c r="L1157" s="97" t="n"/>
    </row>
    <row r="1158" ht="15.75" customHeight="1" s="2">
      <c r="B1158" s="97" t="n"/>
      <c r="C1158" s="97" t="n"/>
      <c r="D1158" s="103" t="n"/>
      <c r="E1158" s="105" t="inlineStr">
        <is>
          <t>комисс4</t>
        </is>
      </c>
      <c r="F1158" s="106" t="n">
        <v>0.5</v>
      </c>
      <c r="G1158" s="106">
        <f>F1158*$F$1150</f>
        <v/>
      </c>
      <c r="H1158" s="100" t="n"/>
      <c r="I1158" s="106">
        <f>G1156+G1157+G1158</f>
        <v/>
      </c>
      <c r="J1158" s="111" t="inlineStr">
        <is>
          <t>&lt;--сумма наших</t>
        </is>
      </c>
      <c r="K1158" s="97" t="n"/>
      <c r="L1158" s="97" t="n"/>
    </row>
    <row r="1159" ht="15.75" customHeight="1" s="2">
      <c r="B1159" s="97" t="n"/>
      <c r="C1159" s="97" t="n"/>
      <c r="D1159" s="103" t="n"/>
      <c r="E1159" s="109" t="inlineStr">
        <is>
          <t>председ</t>
        </is>
      </c>
      <c r="F1159" s="110" t="n">
        <v>1</v>
      </c>
      <c r="G1159" s="109">
        <f>F1159*$F$1150</f>
        <v/>
      </c>
      <c r="H1159" s="112" t="n"/>
      <c r="I1159" s="109">
        <f>G1159+G1155+G1154</f>
        <v/>
      </c>
      <c r="J1159" s="111" t="inlineStr">
        <is>
          <t>&lt;--сумма внешних</t>
        </is>
      </c>
      <c r="K1159" s="97" t="n"/>
      <c r="L1159" s="97" t="n"/>
    </row>
    <row r="1160" ht="15.75" customHeight="1" s="2">
      <c r="B1160" s="97" t="n"/>
      <c r="C1160" s="97" t="n"/>
      <c r="D1160" s="113" t="n"/>
      <c r="E1160" s="114" t="n"/>
      <c r="F1160" s="115">
        <f>SUBTOTAL(9,F1151:F1159)</f>
        <v/>
      </c>
      <c r="G1160" s="115">
        <f>SUBTOTAL(9,G1151:G1159)</f>
        <v/>
      </c>
      <c r="H1160" s="115" t="n"/>
      <c r="I1160" s="100" t="n"/>
      <c r="J1160" s="100" t="n"/>
      <c r="K1160" s="97" t="n"/>
      <c r="L1160" s="97" t="n"/>
    </row>
    <row r="1161" ht="15.75" customHeight="1" s="2">
      <c r="B1161" s="97" t="n"/>
      <c r="C1161" s="97" t="n"/>
      <c r="D1161" s="97" t="n"/>
      <c r="E1161" s="98" t="n"/>
      <c r="F1161" s="97" t="n"/>
      <c r="G1161" s="97" t="n"/>
      <c r="H1161" s="97" t="n"/>
      <c r="I1161" s="97" t="n"/>
      <c r="J1161" s="97" t="n"/>
      <c r="K1161" s="97" t="n"/>
      <c r="L1161" s="97" t="n"/>
    </row>
    <row r="1162" ht="15.75" customHeight="1" s="2">
      <c r="B1162" s="97" t="n"/>
      <c r="C1162" s="97" t="n"/>
      <c r="D1162" s="97" t="n"/>
      <c r="E1162" s="98" t="n"/>
      <c r="F1162" s="97" t="n"/>
      <c r="G1162" s="97" t="n"/>
      <c r="H1162" s="97" t="n"/>
      <c r="I1162" s="97" t="n"/>
      <c r="J1162" s="97" t="n"/>
      <c r="K1162" s="97" t="n"/>
      <c r="L1162" s="97" t="n"/>
    </row>
    <row r="1163" ht="15.75" customHeight="1" s="2">
      <c r="B1163" s="97" t="n"/>
      <c r="C1163" s="97" t="n"/>
      <c r="D1163" s="103" t="n"/>
      <c r="E1163" s="101" t="inlineStr">
        <is>
          <t>сумма</t>
        </is>
      </c>
      <c r="F1163" s="102" t="inlineStr">
        <is>
          <t>чел</t>
        </is>
      </c>
      <c r="G1163" s="100" t="n"/>
      <c r="H1163" s="97" t="n"/>
      <c r="I1163" s="97" t="n"/>
      <c r="J1163" s="97" t="n"/>
      <c r="K1163" s="97" t="n"/>
      <c r="L1163" s="97" t="n"/>
    </row>
    <row r="1164" ht="15.75" customHeight="1" s="2">
      <c r="B1164" s="97" t="n"/>
      <c r="C1164" s="97" t="n"/>
      <c r="D1164" s="103" t="n"/>
      <c r="E1164" s="101" t="n">
        <v>75</v>
      </c>
      <c r="F1164" s="102">
        <f>E1164/F1165</f>
        <v/>
      </c>
      <c r="G1164" s="100" t="n"/>
      <c r="H1164" s="97" t="n"/>
      <c r="I1164" s="97" t="n"/>
      <c r="J1164" s="97" t="n"/>
      <c r="K1164" s="97" t="n"/>
      <c r="L1164" s="97" t="n"/>
    </row>
    <row r="1165" ht="15.75" customHeight="1" s="2">
      <c r="B1165" s="97" t="n"/>
      <c r="C1165" s="97" t="n"/>
      <c r="D1165" s="103" t="inlineStr">
        <is>
          <t>руководство магистрами</t>
        </is>
      </c>
      <c r="E1165" s="104" t="inlineStr">
        <is>
          <t>руковод</t>
        </is>
      </c>
      <c r="F1165" s="100" t="n">
        <v>15</v>
      </c>
      <c r="G1165" s="100" t="n"/>
      <c r="H1165" s="97" t="n"/>
      <c r="I1165" s="97" t="n"/>
      <c r="J1165" s="97" t="n"/>
      <c r="K1165" s="97" t="n"/>
      <c r="L1165" s="97" t="n"/>
    </row>
    <row r="1166" ht="15.75" customHeight="1" s="2">
      <c r="B1166" s="97" t="n"/>
      <c r="C1166" s="97" t="n"/>
      <c r="D1166" s="97" t="n"/>
      <c r="E1166" s="98" t="n"/>
      <c r="F1166" s="97" t="n"/>
      <c r="G1166" s="97" t="n"/>
      <c r="H1166" s="97" t="n"/>
      <c r="I1166" s="97" t="n"/>
      <c r="J1166" s="97" t="n"/>
      <c r="K1166" s="97" t="n"/>
      <c r="L1166" s="97" t="n"/>
    </row>
    <row r="1167" ht="15.75" customHeight="1" s="2">
      <c r="B1167" s="97" t="n"/>
      <c r="C1167" s="97" t="n"/>
      <c r="D1167" s="97" t="n"/>
      <c r="E1167" s="98" t="n"/>
      <c r="F1167" s="97" t="n"/>
      <c r="G1167" s="97" t="n"/>
      <c r="H1167" s="97" t="n"/>
      <c r="I1167" s="97" t="n"/>
      <c r="J1167" s="97" t="n"/>
      <c r="K1167" s="97" t="n"/>
      <c r="L1167" s="97" t="n"/>
    </row>
    <row r="1168" ht="15.75" customHeight="1" s="2">
      <c r="B1168" s="97" t="n"/>
      <c r="C1168" s="97" t="n"/>
      <c r="D1168" s="97" t="n"/>
      <c r="E1168" s="98" t="n"/>
      <c r="F1168" s="97" t="n"/>
      <c r="G1168" s="97" t="n"/>
      <c r="H1168" s="97" t="n"/>
      <c r="I1168" s="97" t="n"/>
      <c r="J1168" s="97" t="n"/>
      <c r="K1168" s="97" t="n"/>
      <c r="L1168" s="97" t="n"/>
    </row>
    <row r="1169" ht="15.75" customHeight="1" s="2">
      <c r="B1169" s="97" t="n"/>
      <c r="C1169" s="97" t="n"/>
      <c r="D1169" s="97" t="n"/>
      <c r="E1169" s="98" t="n"/>
      <c r="F1169" s="97" t="n"/>
      <c r="G1169" s="97" t="n"/>
      <c r="H1169" s="97" t="n"/>
      <c r="I1169" s="97" t="n"/>
      <c r="J1169" s="97" t="n"/>
      <c r="K1169" s="97" t="n"/>
      <c r="L1169" s="97" t="n"/>
    </row>
    <row r="1170" ht="15.75" customHeight="1" s="2">
      <c r="B1170" s="97" t="n"/>
      <c r="C1170" s="97" t="n"/>
      <c r="D1170" s="97" t="n"/>
      <c r="E1170" s="98" t="n"/>
      <c r="F1170" s="97" t="n"/>
      <c r="G1170" s="97" t="n"/>
      <c r="H1170" s="97" t="n"/>
      <c r="I1170" s="97" t="n"/>
      <c r="J1170" s="97" t="n"/>
      <c r="K1170" s="97" t="n"/>
      <c r="L1170" s="97" t="n"/>
    </row>
    <row r="1171" ht="15.75" customHeight="1" s="2">
      <c r="B1171" s="97" t="n"/>
      <c r="C1171" s="97" t="n"/>
      <c r="D1171" s="97" t="n"/>
      <c r="E1171" s="98" t="n"/>
      <c r="F1171" s="97" t="n"/>
      <c r="G1171" s="97" t="n"/>
      <c r="H1171" s="97" t="n"/>
      <c r="I1171" s="97" t="n"/>
      <c r="J1171" s="97" t="n"/>
      <c r="K1171" s="97" t="n"/>
      <c r="L1171" s="97" t="n"/>
    </row>
    <row r="1172" ht="15.75" customHeight="1" s="2">
      <c r="B1172" s="97" t="n"/>
      <c r="C1172" s="97" t="n"/>
      <c r="D1172" s="97" t="n"/>
      <c r="E1172" s="98" t="n"/>
      <c r="F1172" s="97" t="n"/>
      <c r="G1172" s="97" t="n"/>
      <c r="H1172" s="97" t="n"/>
      <c r="I1172" s="97" t="n"/>
      <c r="J1172" s="97" t="n"/>
      <c r="K1172" s="97" t="n"/>
      <c r="L1172" s="97" t="n"/>
    </row>
    <row r="1173" ht="15.75" customHeight="1" s="2">
      <c r="B1173" s="97" t="n"/>
      <c r="C1173" s="97" t="n"/>
      <c r="D1173" s="97" t="n"/>
      <c r="E1173" s="98" t="n"/>
      <c r="F1173" s="97" t="n"/>
      <c r="G1173" s="97" t="n"/>
      <c r="H1173" s="97" t="n"/>
      <c r="I1173" s="97" t="n"/>
      <c r="J1173" s="97" t="n"/>
      <c r="K1173" s="97" t="n"/>
      <c r="L1173" s="97" t="n"/>
    </row>
    <row r="1174" ht="15.75" customHeight="1" s="2">
      <c r="B1174" s="116" t="n"/>
      <c r="C1174" s="97" t="n"/>
      <c r="D1174" s="97" t="n"/>
      <c r="E1174" s="98" t="n"/>
      <c r="F1174" s="97" t="n"/>
      <c r="G1174" s="97" t="n"/>
      <c r="H1174" s="97" t="n"/>
      <c r="I1174" s="97" t="n"/>
      <c r="J1174" s="97" t="n"/>
      <c r="K1174" s="97" t="n"/>
      <c r="L1174" s="97" t="n"/>
    </row>
  </sheetData>
  <autoFilter ref="A1:Q1130"/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0"/>
  <sheetViews>
    <sheetView zoomScale="100" workbookViewId="0">
      <selection activeCell="A10" activeCellId="0" sqref="A10"/>
    </sheetView>
  </sheetViews>
  <sheetFormatPr baseColWidth="8" defaultColWidth="14.42578125" defaultRowHeight="15" customHeight="1"/>
  <cols>
    <col width="40" customWidth="1" style="2" min="1" max="1"/>
    <col width="7.28515625" customWidth="1" style="2" min="2" max="2"/>
    <col width="6.140625" customWidth="1" style="2" min="3" max="3"/>
    <col width="7.140625" customWidth="1" style="2" min="4" max="4"/>
    <col width="6.28515625" customWidth="1" style="2" min="5" max="5"/>
    <col hidden="1" width="0.85546875" customWidth="1" style="2" min="6" max="10"/>
    <col width="25.7109375" customWidth="1" style="2" min="11" max="11"/>
    <col width="9.140625" customWidth="1" style="2" min="12" max="12"/>
    <col width="8" customWidth="1" style="2" min="13" max="13"/>
    <col hidden="1" width="9.140625" customWidth="1" style="2" min="14" max="15"/>
    <col width="7.28515625" customWidth="1" style="2" min="16" max="16"/>
    <col width="8" customWidth="1" style="2" min="17" max="17"/>
    <col width="16.85546875" customWidth="1" style="2" min="18" max="18"/>
    <col width="8.28515625" customWidth="1" style="2" min="19" max="19"/>
    <col width="8" customWidth="1" style="2" min="20" max="26"/>
  </cols>
  <sheetData>
    <row r="1">
      <c r="A1" s="122" t="inlineStr">
        <is>
          <t>Должность</t>
        </is>
      </c>
      <c r="B1" s="122" t="inlineStr">
        <is>
          <t>(Все)</t>
        </is>
      </c>
      <c r="M1" s="123" t="n"/>
    </row>
    <row r="2">
      <c r="M2" s="123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124" t="n"/>
      <c r="M3" s="123" t="n"/>
    </row>
    <row r="4">
      <c r="A4" s="125" t="inlineStr">
        <is>
          <t>ФИО</t>
        </is>
      </c>
      <c r="B4" s="125" t="inlineStr">
        <is>
          <t>осень</t>
        </is>
      </c>
      <c r="C4" s="125" t="inlineStr">
        <is>
          <t>весна</t>
        </is>
      </c>
      <c r="D4" s="125" t="inlineStr">
        <is>
          <t>всего</t>
        </is>
      </c>
      <c r="E4" s="125" t="inlineStr">
        <is>
          <t>830</t>
        </is>
      </c>
      <c r="F4" s="39" t="n"/>
      <c r="G4" s="39" t="n"/>
      <c r="H4" s="39" t="n"/>
      <c r="I4" s="39" t="n"/>
      <c r="J4" s="39" t="n"/>
      <c r="K4" s="124" t="n"/>
      <c r="L4" s="126" t="inlineStr">
        <is>
          <t>п/ч</t>
        </is>
      </c>
      <c r="M4" s="127" t="inlineStr">
        <is>
          <t>новая</t>
        </is>
      </c>
      <c r="N4" s="126" t="n"/>
      <c r="O4" s="126" t="n"/>
      <c r="P4" s="126" t="inlineStr">
        <is>
          <t>сейчас</t>
        </is>
      </c>
      <c r="Q4" s="122" t="inlineStr">
        <is>
          <t>разница</t>
        </is>
      </c>
      <c r="R4" s="122" t="n"/>
    </row>
    <row r="5">
      <c r="A5" s="128" t="inlineStr">
        <is>
          <t xml:space="preserve">Александрова Светлана Сергеевна </t>
        </is>
      </c>
      <c r="B5" s="125" t="n">
        <v>271</v>
      </c>
      <c r="C5" s="125" t="n">
        <v>281</v>
      </c>
      <c r="D5" s="125" t="n">
        <v>552</v>
      </c>
      <c r="E5" s="129" t="n">
        <v>0.6650602409638554</v>
      </c>
      <c r="F5" s="122" t="n"/>
      <c r="G5" s="122" t="n"/>
      <c r="H5" s="122" t="n"/>
      <c r="I5" s="122" t="n"/>
      <c r="J5" s="122" t="n"/>
      <c r="K5" s="122" t="n"/>
      <c r="L5" s="130">
        <f>D5-M5*830</f>
        <v/>
      </c>
      <c r="M5" s="131" t="n">
        <v>0.8</v>
      </c>
      <c r="N5" s="130">
        <f>E5-M5</f>
        <v/>
      </c>
      <c r="O5" s="132">
        <f>N5/M5</f>
        <v/>
      </c>
      <c r="P5" s="122" t="n">
        <v>0.7</v>
      </c>
      <c r="Q5" s="130">
        <f>M5-P5</f>
        <v/>
      </c>
      <c r="R5" s="122" t="n"/>
      <c r="T5" s="133" t="n"/>
    </row>
    <row r="6">
      <c r="A6" s="125" t="inlineStr">
        <is>
          <t xml:space="preserve">Барабанова Ольга Алексеевна </t>
        </is>
      </c>
      <c r="B6" s="125" t="n">
        <v>220</v>
      </c>
      <c r="C6" s="125" t="n">
        <v>250</v>
      </c>
      <c r="D6" s="125" t="n">
        <v>470</v>
      </c>
      <c r="E6" s="129" t="n">
        <v>0.5662650602409639</v>
      </c>
      <c r="F6" s="122" t="n"/>
      <c r="G6" s="122" t="n"/>
      <c r="H6" s="122" t="n"/>
      <c r="I6" s="122" t="n"/>
      <c r="J6" s="122" t="n"/>
      <c r="K6" s="122" t="n"/>
      <c r="L6" s="130">
        <f>D6-M6*830</f>
        <v/>
      </c>
      <c r="M6" s="131" t="n">
        <v>0.5</v>
      </c>
      <c r="N6" s="130">
        <f>E6-M6</f>
        <v/>
      </c>
      <c r="O6" s="132">
        <f>N6/M6</f>
        <v/>
      </c>
      <c r="P6" s="122" t="n">
        <v>0.55</v>
      </c>
      <c r="Q6" s="130">
        <f>M6-P6</f>
        <v/>
      </c>
      <c r="R6" s="122" t="n"/>
      <c r="T6" s="133" t="n"/>
    </row>
    <row r="7">
      <c r="A7" s="128" t="inlineStr">
        <is>
          <t>Бережной Дмитрий Васильевич</t>
        </is>
      </c>
      <c r="B7" s="125" t="n">
        <v>299</v>
      </c>
      <c r="C7" s="125" t="n">
        <v>378</v>
      </c>
      <c r="D7" s="125" t="n">
        <v>677</v>
      </c>
      <c r="E7" s="129" t="n">
        <v>0.8156626506024096</v>
      </c>
      <c r="F7" s="122" t="n"/>
      <c r="G7" s="122" t="n"/>
      <c r="H7" s="122" t="n"/>
      <c r="I7" s="122" t="n"/>
      <c r="J7" s="122" t="n"/>
      <c r="K7" s="122" t="n"/>
      <c r="L7" s="130">
        <f>D7-M7*830</f>
        <v/>
      </c>
      <c r="M7" s="131" t="n">
        <v>0.9</v>
      </c>
      <c r="N7" s="130">
        <f>E7-M7</f>
        <v/>
      </c>
      <c r="O7" s="132">
        <f>N7/M7</f>
        <v/>
      </c>
      <c r="P7" s="122" t="n">
        <v>0.85</v>
      </c>
      <c r="Q7" s="130">
        <f>M7-P7</f>
        <v/>
      </c>
      <c r="R7" s="122" t="n"/>
      <c r="T7" s="133" t="n"/>
    </row>
    <row r="8">
      <c r="A8" s="125" t="inlineStr">
        <is>
          <t xml:space="preserve">Беспалов Александр Владимирович </t>
        </is>
      </c>
      <c r="B8" s="125" t="n">
        <v>118</v>
      </c>
      <c r="C8" s="125" t="n">
        <v>135</v>
      </c>
      <c r="D8" s="125" t="n">
        <v>253</v>
      </c>
      <c r="E8" s="129" t="n">
        <v>0.3048192771084338</v>
      </c>
      <c r="F8" s="122" t="n"/>
      <c r="G8" s="122" t="n"/>
      <c r="H8" s="122" t="n"/>
      <c r="I8" s="122" t="n"/>
      <c r="J8" s="122" t="n"/>
      <c r="K8" s="122" t="n"/>
      <c r="L8" s="130">
        <f>D8-M8*830</f>
        <v/>
      </c>
      <c r="M8" s="131" t="n">
        <v>0.25</v>
      </c>
      <c r="N8" s="130">
        <f>E8-M8</f>
        <v/>
      </c>
      <c r="O8" s="132">
        <f>N8/M8</f>
        <v/>
      </c>
      <c r="P8" s="122" t="n">
        <v>0.25</v>
      </c>
      <c r="Q8" s="130">
        <f>M8-P8</f>
        <v/>
      </c>
      <c r="R8" s="122" t="n"/>
      <c r="T8" s="133" t="n"/>
    </row>
    <row r="9">
      <c r="A9" s="125" t="inlineStr">
        <is>
          <t>Бецофен Сергей Яковлевич</t>
        </is>
      </c>
      <c r="B9" s="125" t="n">
        <v>216</v>
      </c>
      <c r="C9" s="125" t="n">
        <v>245</v>
      </c>
      <c r="D9" s="125" t="n">
        <v>461</v>
      </c>
      <c r="E9" s="129" t="n">
        <v>0.555421686746988</v>
      </c>
      <c r="F9" s="122" t="n"/>
      <c r="G9" s="122" t="n"/>
      <c r="H9" s="122" t="n"/>
      <c r="I9" s="122" t="n"/>
      <c r="J9" s="122" t="n"/>
      <c r="K9" s="122" t="n"/>
      <c r="L9" s="130">
        <f>D9-M9*830</f>
        <v/>
      </c>
      <c r="M9" s="131" t="n">
        <v>0.55</v>
      </c>
      <c r="N9" s="130">
        <f>E9-M9</f>
        <v/>
      </c>
      <c r="O9" s="132">
        <f>N9/M9</f>
        <v/>
      </c>
      <c r="P9" s="122" t="n">
        <v>0.55</v>
      </c>
      <c r="Q9" s="130">
        <f>M9-P9</f>
        <v/>
      </c>
      <c r="R9" s="122" t="n"/>
      <c r="T9" s="133" t="n"/>
    </row>
    <row r="10">
      <c r="A10" s="125" t="inlineStr">
        <is>
          <t xml:space="preserve">Бобрышев Борис Леонидович </t>
        </is>
      </c>
      <c r="B10" s="125" t="n">
        <v>0</v>
      </c>
      <c r="C10" s="125" t="n">
        <v>87</v>
      </c>
      <c r="D10" s="125" t="n">
        <v>87</v>
      </c>
      <c r="E10" s="129" t="n">
        <v>0.1048192771084337</v>
      </c>
      <c r="F10" s="122" t="n"/>
      <c r="G10" s="122" t="n"/>
      <c r="H10" s="122" t="n"/>
      <c r="I10" s="122" t="n"/>
      <c r="J10" s="122" t="n"/>
      <c r="K10" s="122" t="n"/>
      <c r="L10" s="130">
        <f>D10-M10*830</f>
        <v/>
      </c>
      <c r="M10" s="131" t="n">
        <v>0.15</v>
      </c>
      <c r="N10" s="130">
        <f>E10-M10</f>
        <v/>
      </c>
      <c r="O10" s="132">
        <f>N10/M10</f>
        <v/>
      </c>
      <c r="P10" s="122" t="n">
        <v>0</v>
      </c>
      <c r="Q10" s="130">
        <f>M10-P10</f>
        <v/>
      </c>
      <c r="R10" s="122" t="inlineStr">
        <is>
          <t>пока это Еремеев</t>
        </is>
      </c>
      <c r="S10" t="n">
        <v>0.1</v>
      </c>
      <c r="T10" s="133" t="n"/>
    </row>
    <row r="11">
      <c r="A11" s="125" t="inlineStr">
        <is>
          <t xml:space="preserve">Варфоломеев Максим Сергеевич </t>
        </is>
      </c>
      <c r="B11" s="125" t="n">
        <v>305</v>
      </c>
      <c r="C11" s="125" t="n">
        <v>387</v>
      </c>
      <c r="D11" s="125" t="n">
        <v>692</v>
      </c>
      <c r="E11" s="129" t="n">
        <v>0.8337349397590361</v>
      </c>
      <c r="F11" s="122" t="n"/>
      <c r="G11" s="122" t="n"/>
      <c r="H11" s="122" t="n"/>
      <c r="I11" s="122" t="n"/>
      <c r="J11" s="122" t="n"/>
      <c r="K11" s="122" t="n"/>
      <c r="L11" s="130">
        <f>D11-M11*830</f>
        <v/>
      </c>
      <c r="M11" s="131" t="n">
        <v>0.8</v>
      </c>
      <c r="N11" s="130">
        <f>E11-M11</f>
        <v/>
      </c>
      <c r="O11" s="132">
        <f>N11/M11</f>
        <v/>
      </c>
      <c r="P11" s="122" t="n">
        <v>0.9</v>
      </c>
      <c r="Q11" s="130">
        <f>M11-P11</f>
        <v/>
      </c>
      <c r="R11" s="122" t="n"/>
      <c r="T11" s="133" t="n"/>
    </row>
    <row r="12">
      <c r="A12" s="125" t="inlineStr">
        <is>
          <t xml:space="preserve">Власенко Артем Николаевич </t>
        </is>
      </c>
      <c r="B12" s="125" t="n">
        <v>84</v>
      </c>
      <c r="C12" s="125" t="n">
        <v>0</v>
      </c>
      <c r="D12" s="125" t="n">
        <v>84</v>
      </c>
      <c r="E12" s="129" t="n">
        <v>0.1012048192771084</v>
      </c>
      <c r="F12" s="122" t="n"/>
      <c r="G12" s="122" t="n"/>
      <c r="H12" s="122" t="n"/>
      <c r="I12" s="122" t="n"/>
      <c r="J12" s="122" t="n"/>
      <c r="K12" s="122" t="n"/>
      <c r="L12" s="130">
        <f>D12-M12*830</f>
        <v/>
      </c>
      <c r="M12" s="131" t="n">
        <v>0.1</v>
      </c>
      <c r="N12" s="130">
        <f>E12-M12</f>
        <v/>
      </c>
      <c r="O12" s="132">
        <f>N12/M12</f>
        <v/>
      </c>
      <c r="P12" s="122" t="n">
        <v>0.1</v>
      </c>
      <c r="Q12" s="130">
        <f>M12-P12</f>
        <v/>
      </c>
      <c r="R12" s="122" t="n"/>
      <c r="T12" s="133" t="n"/>
    </row>
    <row r="13">
      <c r="A13" s="125" t="inlineStr">
        <is>
          <t xml:space="preserve">Галкин Виктор Иванович </t>
        </is>
      </c>
      <c r="B13" s="125" t="n">
        <v>243</v>
      </c>
      <c r="C13" s="125" t="n">
        <v>558</v>
      </c>
      <c r="D13" s="125" t="n">
        <v>801</v>
      </c>
      <c r="E13" s="129" t="n">
        <v>0.9650602409638555</v>
      </c>
      <c r="F13" s="122" t="n"/>
      <c r="G13" s="122" t="n"/>
      <c r="H13" s="122" t="n"/>
      <c r="I13" s="122" t="n"/>
      <c r="J13" s="122" t="n"/>
      <c r="K13" s="122" t="n"/>
      <c r="L13" s="130">
        <f>D13-M13*830</f>
        <v/>
      </c>
      <c r="M13" s="131" t="n">
        <v>0.85</v>
      </c>
      <c r="N13" s="130">
        <f>E13-M13</f>
        <v/>
      </c>
      <c r="O13" s="132">
        <f>N13/M13</f>
        <v/>
      </c>
      <c r="P13" s="122" t="n">
        <v>0.9</v>
      </c>
      <c r="Q13" s="130">
        <f>M13-P13</f>
        <v/>
      </c>
      <c r="R13" s="122" t="n"/>
      <c r="T13" s="133" t="n"/>
    </row>
    <row r="14">
      <c r="A14" s="128" t="inlineStr">
        <is>
          <t xml:space="preserve">Галкин Евгений Владимирович </t>
        </is>
      </c>
      <c r="B14" s="125" t="n">
        <v>265</v>
      </c>
      <c r="C14" s="125" t="n">
        <v>560</v>
      </c>
      <c r="D14" s="125" t="n">
        <v>825</v>
      </c>
      <c r="E14" s="129" t="n">
        <v>0.9939759036144579</v>
      </c>
      <c r="F14" s="122" t="n"/>
      <c r="G14" s="122" t="n"/>
      <c r="H14" s="122" t="n"/>
      <c r="I14" s="122" t="n"/>
      <c r="J14" s="122" t="n"/>
      <c r="K14" s="122" t="n"/>
      <c r="L14" s="130">
        <f>D14-M14*830</f>
        <v/>
      </c>
      <c r="M14" s="131" t="n">
        <v>0.95</v>
      </c>
      <c r="N14" s="130">
        <f>E14-M14</f>
        <v/>
      </c>
      <c r="O14" s="132">
        <f>N14/M14</f>
        <v/>
      </c>
      <c r="P14" s="122" t="n">
        <v>0.9</v>
      </c>
      <c r="Q14" s="130">
        <f>M14-P14</f>
        <v/>
      </c>
      <c r="R14" s="122" t="n"/>
      <c r="T14" s="133" t="n"/>
    </row>
    <row r="15">
      <c r="A15" s="125" t="inlineStr">
        <is>
          <t xml:space="preserve">Жаров Максим Владимирович </t>
        </is>
      </c>
      <c r="B15" s="125" t="n">
        <v>338</v>
      </c>
      <c r="C15" s="125" t="n">
        <v>96</v>
      </c>
      <c r="D15" s="125" t="n">
        <v>434</v>
      </c>
      <c r="E15" s="129" t="n">
        <v>0.5228915662650603</v>
      </c>
      <c r="F15" s="122" t="n"/>
      <c r="G15" s="122" t="n"/>
      <c r="H15" s="122" t="n"/>
      <c r="I15" s="122" t="n"/>
      <c r="J15" s="122" t="n"/>
      <c r="K15" s="122" t="n"/>
      <c r="L15" s="130">
        <f>D15-M15*830</f>
        <v/>
      </c>
      <c r="M15" s="131" t="n">
        <v>0.5</v>
      </c>
      <c r="N15" s="130">
        <f>E15-M15</f>
        <v/>
      </c>
      <c r="O15" s="132">
        <f>N15/M15</f>
        <v/>
      </c>
      <c r="P15" s="122" t="n">
        <v>0.5</v>
      </c>
      <c r="Q15" s="130">
        <f>M15-P15</f>
        <v/>
      </c>
      <c r="R15" s="122" t="n"/>
      <c r="T15" s="133" t="n"/>
    </row>
    <row r="16">
      <c r="A16" s="125" t="inlineStr">
        <is>
          <t xml:space="preserve">Комаров Роман Сергеевич </t>
        </is>
      </c>
      <c r="B16" s="125" t="n">
        <v>167</v>
      </c>
      <c r="C16" s="125" t="n">
        <v>35</v>
      </c>
      <c r="D16" s="125" t="n">
        <v>202</v>
      </c>
      <c r="E16" s="129" t="n">
        <v>0.2433734939759036</v>
      </c>
      <c r="F16" s="122" t="n"/>
      <c r="G16" s="122" t="n"/>
      <c r="H16" s="122" t="n"/>
      <c r="I16" s="122" t="n"/>
      <c r="J16" s="122" t="n"/>
      <c r="K16" s="122" t="n"/>
      <c r="L16" s="130">
        <f>D16-M16*830</f>
        <v/>
      </c>
      <c r="M16" s="131" t="n">
        <v>0.2</v>
      </c>
      <c r="N16" s="130">
        <f>E16-M16</f>
        <v/>
      </c>
      <c r="O16" s="132">
        <f>N16/M16</f>
        <v/>
      </c>
      <c r="P16" s="122" t="n">
        <v>0.25</v>
      </c>
      <c r="Q16" s="130">
        <f>M16-P16</f>
        <v/>
      </c>
      <c r="R16" s="122" t="n"/>
      <c r="T16" s="133" t="n"/>
    </row>
    <row r="17">
      <c r="A17" s="125" t="inlineStr">
        <is>
          <t xml:space="preserve">Конкевич Валентин Юрьевич </t>
        </is>
      </c>
      <c r="B17" s="125" t="n">
        <v>126</v>
      </c>
      <c r="C17" s="125" t="n">
        <v>359</v>
      </c>
      <c r="D17" s="125" t="n">
        <v>485</v>
      </c>
      <c r="E17" s="129" t="n">
        <v>0.5843373493975904</v>
      </c>
      <c r="F17" s="122" t="n"/>
      <c r="G17" s="122" t="n"/>
      <c r="H17" s="122" t="n"/>
      <c r="I17" s="122" t="n"/>
      <c r="J17" s="122" t="n"/>
      <c r="K17" s="122" t="n"/>
      <c r="L17" s="130">
        <f>D17-M17*830</f>
        <v/>
      </c>
      <c r="M17" s="131" t="n">
        <v>0.5</v>
      </c>
      <c r="N17" s="130">
        <f>E17-M17</f>
        <v/>
      </c>
      <c r="O17" s="132">
        <f>N17/M17</f>
        <v/>
      </c>
      <c r="P17" s="122" t="n">
        <v>0.6</v>
      </c>
      <c r="Q17" s="130">
        <f>M17-P17</f>
        <v/>
      </c>
      <c r="R17" s="122" t="n"/>
      <c r="T17" s="133" t="n"/>
    </row>
    <row r="18">
      <c r="A18" s="125" t="inlineStr">
        <is>
          <t>Кубатина Екатерина Павловна</t>
        </is>
      </c>
      <c r="B18" s="125" t="n">
        <v>197</v>
      </c>
      <c r="C18" s="125" t="n">
        <v>92</v>
      </c>
      <c r="D18" s="125" t="n">
        <v>289</v>
      </c>
      <c r="E18" s="129" t="n">
        <v>0.3481927710843373</v>
      </c>
      <c r="F18" s="122" t="n"/>
      <c r="G18" s="122" t="n"/>
      <c r="H18" s="122" t="n"/>
      <c r="I18" s="122" t="n"/>
      <c r="J18" s="122" t="n"/>
      <c r="K18" s="122" t="n"/>
      <c r="L18" s="130">
        <f>D18-M18*830</f>
        <v/>
      </c>
      <c r="M18" s="131" t="n">
        <v>0.35</v>
      </c>
      <c r="N18" s="130">
        <f>E18-M18</f>
        <v/>
      </c>
      <c r="O18" s="132">
        <f>N18/M18</f>
        <v/>
      </c>
      <c r="P18" s="122" t="n">
        <v>0.35</v>
      </c>
      <c r="Q18" s="130">
        <f>M18-P18</f>
        <v/>
      </c>
      <c r="R18" s="122" t="n"/>
      <c r="T18" s="133" t="n"/>
    </row>
    <row r="19">
      <c r="A19" s="125" t="inlineStr">
        <is>
          <t xml:space="preserve">Ленковец Александр Сергеевич </t>
        </is>
      </c>
      <c r="B19" s="125" t="n">
        <v>0</v>
      </c>
      <c r="C19" s="125" t="n">
        <v>73</v>
      </c>
      <c r="D19" s="125" t="n">
        <v>73</v>
      </c>
      <c r="E19" s="129" t="n">
        <v>0.08795180722891566</v>
      </c>
      <c r="F19" s="122" t="n"/>
      <c r="G19" s="122" t="n"/>
      <c r="H19" s="122" t="n"/>
      <c r="I19" s="122" t="n"/>
      <c r="J19" s="122" t="n"/>
      <c r="K19" s="122" t="n"/>
      <c r="L19" s="130">
        <f>D19-M19*830</f>
        <v/>
      </c>
      <c r="M19" s="131" t="n">
        <v>0.1</v>
      </c>
      <c r="N19" s="130">
        <f>E19-M19</f>
        <v/>
      </c>
      <c r="O19" s="132">
        <f>N19/M19</f>
        <v/>
      </c>
      <c r="P19" s="122" t="n">
        <v>0.1</v>
      </c>
      <c r="Q19" s="130">
        <f>M19-P19</f>
        <v/>
      </c>
      <c r="R19" s="122" t="n"/>
      <c r="T19" s="133" t="n"/>
    </row>
    <row r="20">
      <c r="A20" s="125" t="inlineStr">
        <is>
          <t xml:space="preserve">Лозован Александр Александрович </t>
        </is>
      </c>
      <c r="B20" s="125" t="n">
        <v>368</v>
      </c>
      <c r="C20" s="125" t="n">
        <v>505</v>
      </c>
      <c r="D20" s="125" t="n">
        <v>873</v>
      </c>
      <c r="E20" s="129" t="n">
        <v>1.051807228915663</v>
      </c>
      <c r="F20" s="122" t="n"/>
      <c r="G20" s="122" t="n"/>
      <c r="H20" s="122" t="n"/>
      <c r="I20" s="122" t="n"/>
      <c r="J20" s="122" t="n"/>
      <c r="K20" s="122" t="n"/>
      <c r="L20" s="130">
        <f>D20-M20*830</f>
        <v/>
      </c>
      <c r="M20" s="131" t="n">
        <v>0.9</v>
      </c>
      <c r="N20" s="130">
        <f>E20-M20</f>
        <v/>
      </c>
      <c r="O20" s="132">
        <f>N20/M20</f>
        <v/>
      </c>
      <c r="P20" s="122" t="n">
        <v>0.9</v>
      </c>
      <c r="Q20" s="130">
        <f>M20-P20</f>
        <v/>
      </c>
      <c r="R20" s="122" t="n"/>
      <c r="T20" s="133" t="n"/>
    </row>
    <row r="21" ht="15.75" customHeight="1" s="2">
      <c r="A21" s="125" t="inlineStr">
        <is>
          <t xml:space="preserve">Моисеев Виктор Сергеевич </t>
        </is>
      </c>
      <c r="B21" s="125" t="n">
        <v>202</v>
      </c>
      <c r="C21" s="125" t="n">
        <v>238</v>
      </c>
      <c r="D21" s="125" t="n">
        <v>440</v>
      </c>
      <c r="E21" s="129" t="n">
        <v>0.5301204819277109</v>
      </c>
      <c r="F21" s="122" t="n"/>
      <c r="G21" s="122" t="n"/>
      <c r="H21" s="122" t="n"/>
      <c r="I21" s="122" t="n"/>
      <c r="J21" s="122" t="n"/>
      <c r="K21" s="122" t="n"/>
      <c r="L21" s="130">
        <f>D21-M21*830</f>
        <v/>
      </c>
      <c r="M21" s="131" t="n">
        <v>0.55</v>
      </c>
      <c r="N21" s="130">
        <f>E21-M21</f>
        <v/>
      </c>
      <c r="O21" s="132">
        <f>N21/M21</f>
        <v/>
      </c>
      <c r="P21" s="122" t="n">
        <v>1</v>
      </c>
      <c r="Q21" s="130">
        <f>M21-P21</f>
        <v/>
      </c>
      <c r="R21" s="122" t="n"/>
      <c r="T21" s="133" t="n"/>
    </row>
    <row r="22" ht="15.75" customHeight="1" s="2">
      <c r="A22" s="125" t="inlineStr">
        <is>
          <t>Монастырский Алексей Валерьевич</t>
        </is>
      </c>
      <c r="B22" s="125" t="n">
        <v>0</v>
      </c>
      <c r="C22" s="125" t="n">
        <v>56</v>
      </c>
      <c r="D22" s="125" t="n">
        <v>56</v>
      </c>
      <c r="E22" s="129" t="n">
        <v>0.06746987951807229</v>
      </c>
      <c r="F22" s="122" t="n"/>
      <c r="G22" s="122" t="n"/>
      <c r="H22" s="122" t="n"/>
      <c r="I22" s="122" t="n"/>
      <c r="J22" s="122" t="n"/>
      <c r="K22" s="122" t="n"/>
      <c r="L22" s="130">
        <f>D22-M22*830</f>
        <v/>
      </c>
      <c r="M22" s="131" t="n">
        <v>0.1</v>
      </c>
      <c r="N22" s="130">
        <f>E22-M22</f>
        <v/>
      </c>
      <c r="O22" s="132">
        <f>N22/M22</f>
        <v/>
      </c>
      <c r="P22" s="122" t="n">
        <v>0.1</v>
      </c>
      <c r="Q22" s="130">
        <f>M22-P22</f>
        <v/>
      </c>
      <c r="R22" s="122" t="n"/>
      <c r="T22" s="133" t="n"/>
    </row>
    <row r="23" ht="15.75" customHeight="1" s="2">
      <c r="A23" s="125" t="inlineStr">
        <is>
          <t xml:space="preserve">Никитина Елена Владимировна </t>
        </is>
      </c>
      <c r="B23" s="125" t="n">
        <v>278</v>
      </c>
      <c r="C23" s="125" t="n">
        <v>459</v>
      </c>
      <c r="D23" s="125" t="n">
        <v>737</v>
      </c>
      <c r="E23" s="129" t="n">
        <v>0.8879518072289156</v>
      </c>
      <c r="F23" s="122" t="n"/>
      <c r="G23" s="122" t="n"/>
      <c r="H23" s="122" t="n"/>
      <c r="I23" s="122" t="n"/>
      <c r="J23" s="122" t="n"/>
      <c r="K23" s="122" t="n"/>
      <c r="L23" s="130">
        <f>D23-M23*830</f>
        <v/>
      </c>
      <c r="M23" s="131" t="n">
        <v>0.7</v>
      </c>
      <c r="N23" s="130">
        <f>E23-M23</f>
        <v/>
      </c>
      <c r="O23" s="132">
        <f>N23/M23</f>
        <v/>
      </c>
      <c r="P23" s="122" t="n">
        <v>0.7</v>
      </c>
      <c r="Q23" s="130">
        <f>M23-P23</f>
        <v/>
      </c>
      <c r="R23" s="122" t="n"/>
      <c r="T23" s="133" t="n"/>
    </row>
    <row r="24" ht="15.75" customHeight="1" s="2">
      <c r="A24" s="128" t="inlineStr">
        <is>
          <t xml:space="preserve">Палтиевич Андрей Романович </t>
        </is>
      </c>
      <c r="B24" s="125" t="n">
        <v>418</v>
      </c>
      <c r="C24" s="125" t="n">
        <v>470</v>
      </c>
      <c r="D24" s="125" t="n">
        <v>888</v>
      </c>
      <c r="E24" s="129" t="n">
        <v>1.069879518072289</v>
      </c>
      <c r="F24" s="122" t="n"/>
      <c r="G24" s="122" t="n"/>
      <c r="H24" s="122" t="n"/>
      <c r="I24" s="122" t="n"/>
      <c r="J24" s="122" t="n"/>
      <c r="K24" s="122" t="n"/>
      <c r="L24" s="130">
        <f>D24-M24*830</f>
        <v/>
      </c>
      <c r="M24" s="131" t="n">
        <v>0.9</v>
      </c>
      <c r="N24" s="130">
        <f>E24-M24</f>
        <v/>
      </c>
      <c r="O24" s="132">
        <f>N24/M24</f>
        <v/>
      </c>
      <c r="P24" s="122" t="n">
        <v>0.9</v>
      </c>
      <c r="Q24" s="130">
        <f>M24-P24</f>
        <v/>
      </c>
      <c r="R24" s="122" t="n"/>
      <c r="T24" s="133" t="n"/>
    </row>
    <row r="25" ht="15.75" customHeight="1" s="2">
      <c r="A25" s="125" t="inlineStr">
        <is>
          <t xml:space="preserve">Пашков Игорь Николаевич </t>
        </is>
      </c>
      <c r="B25" s="125" t="n">
        <v>160</v>
      </c>
      <c r="C25" s="125" t="n">
        <v>207</v>
      </c>
      <c r="D25" s="125" t="n">
        <v>367</v>
      </c>
      <c r="E25" s="129" t="n">
        <v>0.4421686746987952</v>
      </c>
      <c r="F25" s="122" t="n"/>
      <c r="G25" s="122" t="n"/>
      <c r="H25" s="122" t="n"/>
      <c r="I25" s="122" t="n"/>
      <c r="J25" s="122" t="n"/>
      <c r="K25" s="122" t="n"/>
      <c r="L25" s="130">
        <f>D25-M25*830</f>
        <v/>
      </c>
      <c r="M25" s="131" t="n">
        <v>0.4</v>
      </c>
      <c r="N25" s="130">
        <f>E25-M25</f>
        <v/>
      </c>
      <c r="O25" s="132">
        <f>N25/M25</f>
        <v/>
      </c>
      <c r="P25" s="122" t="n">
        <v>0.5</v>
      </c>
      <c r="Q25" s="130">
        <f>M25-P25</f>
        <v/>
      </c>
      <c r="R25" s="122" t="n"/>
      <c r="T25" s="133" t="n"/>
    </row>
    <row r="26" ht="15.75" customHeight="1" s="2">
      <c r="A26" s="125" t="inlineStr">
        <is>
          <t xml:space="preserve">Петров Анатолий Павлович </t>
        </is>
      </c>
      <c r="B26" s="125" t="n">
        <v>262</v>
      </c>
      <c r="C26" s="125" t="n">
        <v>291</v>
      </c>
      <c r="D26" s="125" t="n">
        <v>553</v>
      </c>
      <c r="E26" s="129" t="n">
        <v>0.6662650602409639</v>
      </c>
      <c r="F26" s="122" t="n"/>
      <c r="G26" s="122" t="n"/>
      <c r="H26" s="122" t="n"/>
      <c r="I26" s="122" t="n"/>
      <c r="J26" s="122" t="n"/>
      <c r="K26" s="122" t="n"/>
      <c r="L26" s="130">
        <f>D26-M26*830</f>
        <v/>
      </c>
      <c r="M26" s="131" t="n">
        <v>0.6</v>
      </c>
      <c r="N26" s="130">
        <f>E26-M26</f>
        <v/>
      </c>
      <c r="O26" s="132">
        <f>N26/M26</f>
        <v/>
      </c>
      <c r="P26" s="122" t="n">
        <v>0.65</v>
      </c>
      <c r="Q26" s="130">
        <f>M26-P26</f>
        <v/>
      </c>
      <c r="R26" s="122" t="n"/>
      <c r="T26" s="133" t="n"/>
    </row>
    <row r="27" ht="15.75" customHeight="1" s="2">
      <c r="A27" s="125" t="inlineStr">
        <is>
          <t xml:space="preserve">Петров Игорь Алексеевич </t>
        </is>
      </c>
      <c r="B27" s="125" t="n">
        <v>143</v>
      </c>
      <c r="C27" s="125" t="n">
        <v>186</v>
      </c>
      <c r="D27" s="125" t="n">
        <v>329</v>
      </c>
      <c r="E27" s="129" t="n">
        <v>0.3963855421686747</v>
      </c>
      <c r="F27" s="122" t="n"/>
      <c r="G27" s="122" t="n"/>
      <c r="H27" s="122" t="n"/>
      <c r="I27" s="122" t="n"/>
      <c r="J27" s="122" t="n"/>
      <c r="K27" s="122" t="n"/>
      <c r="L27" s="130">
        <f>D27-M27*830</f>
        <v/>
      </c>
      <c r="M27" s="131" t="n">
        <v>0.4</v>
      </c>
      <c r="N27" s="130">
        <f>E27-M27</f>
        <v/>
      </c>
      <c r="O27" s="132">
        <f>N27/M27</f>
        <v/>
      </c>
      <c r="P27" s="122" t="n">
        <v>0.45</v>
      </c>
      <c r="Q27" s="130">
        <f>M27-P27</f>
        <v/>
      </c>
      <c r="R27" s="122" t="n"/>
      <c r="T27" s="133" t="n"/>
    </row>
    <row r="28" ht="15.75" customHeight="1" s="2">
      <c r="A28" s="125" t="inlineStr">
        <is>
          <t xml:space="preserve">Преображенский Евгений Владимирович </t>
        </is>
      </c>
      <c r="B28" s="125" t="n">
        <v>285</v>
      </c>
      <c r="C28" s="125" t="n">
        <v>162</v>
      </c>
      <c r="D28" s="125" t="n">
        <v>447</v>
      </c>
      <c r="E28" s="129" t="n">
        <v>0.5385542168674698</v>
      </c>
      <c r="F28" s="122" t="n"/>
      <c r="G28" s="122" t="n"/>
      <c r="H28" s="122" t="n"/>
      <c r="I28" s="122" t="n"/>
      <c r="J28" s="122" t="n"/>
      <c r="K28" s="122" t="n"/>
      <c r="L28" s="130">
        <f>D28-M28*830</f>
        <v/>
      </c>
      <c r="M28" s="131" t="n">
        <v>0.4</v>
      </c>
      <c r="N28" s="130">
        <f>E28-M28</f>
        <v/>
      </c>
      <c r="O28" s="132">
        <f>N28/M28</f>
        <v/>
      </c>
      <c r="P28" s="122" t="n">
        <v>0.55</v>
      </c>
      <c r="Q28" s="130">
        <f>M28-P28</f>
        <v/>
      </c>
      <c r="R28" s="122" t="n"/>
      <c r="T28" s="133" t="n"/>
    </row>
    <row r="29" ht="15.75" customHeight="1" s="2">
      <c r="A29" s="125" t="inlineStr">
        <is>
          <t xml:space="preserve">Ряховский Александр Павлович </t>
        </is>
      </c>
      <c r="B29" s="125" t="n">
        <v>253</v>
      </c>
      <c r="C29" s="125" t="n">
        <v>130</v>
      </c>
      <c r="D29" s="125" t="n">
        <v>383</v>
      </c>
      <c r="E29" s="129" t="n">
        <v>0.4614457831325301</v>
      </c>
      <c r="F29" s="122" t="n"/>
      <c r="G29" s="122" t="n"/>
      <c r="H29" s="122" t="n"/>
      <c r="I29" s="122" t="n"/>
      <c r="J29" s="122" t="n"/>
      <c r="K29" s="122" t="n"/>
      <c r="L29" s="130">
        <f>D29-M29*830</f>
        <v/>
      </c>
      <c r="M29" s="131" t="n">
        <v>0.4</v>
      </c>
      <c r="N29" s="130">
        <f>E29-M29</f>
        <v/>
      </c>
      <c r="O29" s="132">
        <f>N29/M29</f>
        <v/>
      </c>
      <c r="P29" s="122" t="n">
        <v>0.4</v>
      </c>
      <c r="Q29" s="130">
        <f>M29-P29</f>
        <v/>
      </c>
      <c r="R29" s="122" t="n"/>
      <c r="T29" s="133" t="n"/>
    </row>
    <row r="30" ht="15.75" customHeight="1" s="2">
      <c r="A30" s="125" t="inlineStr">
        <is>
          <t xml:space="preserve">Серов Михаил Михайлович </t>
        </is>
      </c>
      <c r="B30" s="125" t="n">
        <v>332</v>
      </c>
      <c r="C30" s="125" t="n">
        <v>473</v>
      </c>
      <c r="D30" s="125" t="n">
        <v>805</v>
      </c>
      <c r="E30" s="129" t="n">
        <v>0.9698795180722891</v>
      </c>
      <c r="F30" s="122" t="n"/>
      <c r="G30" s="122" t="n"/>
      <c r="H30" s="122" t="n"/>
      <c r="I30" s="122" t="n"/>
      <c r="J30" s="122" t="n"/>
      <c r="K30" s="122" t="n"/>
      <c r="L30" s="130">
        <f>D30-M30*830</f>
        <v/>
      </c>
      <c r="M30" s="131" t="n">
        <v>0.95</v>
      </c>
      <c r="N30" s="130">
        <f>E30-M30</f>
        <v/>
      </c>
      <c r="O30" s="132">
        <f>N30/M30</f>
        <v/>
      </c>
      <c r="P30" s="122" t="n">
        <v>0.95</v>
      </c>
      <c r="Q30" s="130">
        <f>M30-P30</f>
        <v/>
      </c>
      <c r="R30" s="122" t="n"/>
      <c r="T30" s="133" t="n"/>
    </row>
    <row r="31" ht="15.75" customHeight="1" s="2">
      <c r="A31" s="125" t="inlineStr">
        <is>
          <t>Сидякин Виталий Александрович</t>
        </is>
      </c>
      <c r="B31" s="125" t="n">
        <v>52</v>
      </c>
      <c r="C31" s="125" t="n">
        <v>22</v>
      </c>
      <c r="D31" s="125" t="n">
        <v>74</v>
      </c>
      <c r="E31" s="129" t="n">
        <v>0.0891566265060241</v>
      </c>
      <c r="F31" s="122" t="n"/>
      <c r="G31" s="122" t="n"/>
      <c r="H31" s="122" t="n"/>
      <c r="I31" s="122" t="n"/>
      <c r="J31" s="122" t="n"/>
      <c r="K31" s="122" t="n"/>
      <c r="L31" s="130">
        <f>D31-M31*830</f>
        <v/>
      </c>
      <c r="M31" s="131" t="n">
        <v>0.1</v>
      </c>
      <c r="N31" s="130">
        <f>E31-M31</f>
        <v/>
      </c>
      <c r="O31" s="132">
        <f>N31/M31</f>
        <v/>
      </c>
      <c r="P31" s="122" t="n">
        <v>0.1</v>
      </c>
      <c r="Q31" s="130">
        <f>M31-P31</f>
        <v/>
      </c>
      <c r="R31" s="122" t="n"/>
      <c r="T31" s="133" t="n"/>
    </row>
    <row r="32" ht="15.75" customHeight="1" s="2">
      <c r="A32" s="128" t="inlineStr">
        <is>
          <t xml:space="preserve">Смыков Андрей Федорович </t>
        </is>
      </c>
      <c r="B32" s="125" t="n">
        <v>575</v>
      </c>
      <c r="C32" s="125" t="n">
        <v>126</v>
      </c>
      <c r="D32" s="125" t="n">
        <v>701</v>
      </c>
      <c r="E32" s="129" t="n">
        <v>0.844578313253012</v>
      </c>
      <c r="F32" s="122" t="n"/>
      <c r="G32" s="122" t="n"/>
      <c r="H32" s="122" t="n"/>
      <c r="I32" s="122" t="n"/>
      <c r="J32" s="122" t="n"/>
      <c r="K32" s="122" t="n"/>
      <c r="L32" s="130">
        <f>D32-M32*830</f>
        <v/>
      </c>
      <c r="M32" s="131" t="n">
        <v>0.8</v>
      </c>
      <c r="N32" s="130">
        <f>E32-M32</f>
        <v/>
      </c>
      <c r="O32" s="132">
        <f>N32/M32</f>
        <v/>
      </c>
      <c r="P32" s="122" t="n">
        <v>0.9</v>
      </c>
      <c r="Q32" s="130">
        <f>M32-P32</f>
        <v/>
      </c>
      <c r="R32" s="122" t="n"/>
      <c r="T32" s="133" t="n"/>
    </row>
    <row r="33" ht="15.75" customHeight="1" s="2">
      <c r="A33" s="128" t="inlineStr">
        <is>
          <t xml:space="preserve">Соколов Алексей Викторович </t>
        </is>
      </c>
      <c r="B33" s="125" t="n">
        <v>256</v>
      </c>
      <c r="C33" s="125" t="n">
        <v>610</v>
      </c>
      <c r="D33" s="125" t="n">
        <v>866</v>
      </c>
      <c r="E33" s="129" t="n">
        <v>1.043373493975904</v>
      </c>
      <c r="F33" s="122" t="n"/>
      <c r="G33" s="122" t="n"/>
      <c r="H33" s="122" t="n"/>
      <c r="I33" s="122" t="n"/>
      <c r="J33" s="122" t="n"/>
      <c r="K33" s="122" t="n"/>
      <c r="L33" s="130">
        <f>D33-M33*830</f>
        <v/>
      </c>
      <c r="M33" s="131" t="n">
        <v>0.95</v>
      </c>
      <c r="N33" s="130">
        <f>E33-M33</f>
        <v/>
      </c>
      <c r="O33" s="132">
        <f>N33/M33</f>
        <v/>
      </c>
      <c r="P33" s="122" t="n">
        <v>0.9</v>
      </c>
      <c r="Q33" s="130">
        <f>M33-P33</f>
        <v/>
      </c>
      <c r="R33" s="122" t="n"/>
      <c r="T33" s="133" t="n"/>
    </row>
    <row r="34" ht="15.75" customHeight="1" s="2">
      <c r="A34" s="125" t="inlineStr">
        <is>
          <t>Степанов Владимир Валерьевич</t>
        </is>
      </c>
      <c r="B34" s="125" t="n">
        <v>195</v>
      </c>
      <c r="C34" s="125" t="n">
        <v>136</v>
      </c>
      <c r="D34" s="125" t="n">
        <v>331</v>
      </c>
      <c r="E34" s="129" t="n">
        <v>0.3987951807228916</v>
      </c>
      <c r="F34" s="122" t="n"/>
      <c r="G34" s="122" t="n"/>
      <c r="H34" s="122" t="n"/>
      <c r="I34" s="122" t="n"/>
      <c r="J34" s="122" t="n"/>
      <c r="K34" s="122" t="n"/>
      <c r="L34" s="130">
        <f>D34-M34*830</f>
        <v/>
      </c>
      <c r="M34" s="131" t="n">
        <v>0.4</v>
      </c>
      <c r="N34" s="130">
        <f>E34-M34</f>
        <v/>
      </c>
      <c r="O34" s="132">
        <f>N34/M34</f>
        <v/>
      </c>
      <c r="P34" s="122" t="n">
        <v>0.4</v>
      </c>
      <c r="Q34" s="130">
        <f>M34-P34</f>
        <v/>
      </c>
      <c r="R34" s="122" t="n"/>
      <c r="T34" s="133" t="n"/>
    </row>
    <row r="35" ht="15.75" customHeight="1" s="2">
      <c r="A35" s="125" t="inlineStr">
        <is>
          <t>Федоров Анатолий Александрович</t>
        </is>
      </c>
      <c r="B35" s="125" t="n">
        <v>285</v>
      </c>
      <c r="C35" s="125" t="n">
        <v>151</v>
      </c>
      <c r="D35" s="125" t="n">
        <v>436</v>
      </c>
      <c r="E35" s="129" t="n">
        <v>0.5253012048192771</v>
      </c>
      <c r="F35" s="122" t="n"/>
      <c r="G35" s="122" t="n"/>
      <c r="H35" s="122" t="n"/>
      <c r="I35" s="122" t="n"/>
      <c r="J35" s="122" t="n"/>
      <c r="K35" s="122" t="n"/>
      <c r="L35" s="130">
        <f>D35-M35*830</f>
        <v/>
      </c>
      <c r="M35" s="131" t="n">
        <v>0.4</v>
      </c>
      <c r="N35" s="130">
        <f>E35-M35</f>
        <v/>
      </c>
      <c r="O35" s="132">
        <f>N35/M35</f>
        <v/>
      </c>
      <c r="P35" s="122" t="n">
        <v>0.4</v>
      </c>
      <c r="Q35" s="130">
        <f>M35-P35</f>
        <v/>
      </c>
      <c r="R35" s="122" t="n"/>
      <c r="T35" s="133" t="n"/>
    </row>
    <row r="36" ht="15.75" customHeight="1" s="2">
      <c r="A36" s="125" t="inlineStr">
        <is>
          <t xml:space="preserve">Федоров Сергей Александрович </t>
        </is>
      </c>
      <c r="B36" s="125" t="n">
        <v>149</v>
      </c>
      <c r="C36" s="125" t="n">
        <v>189</v>
      </c>
      <c r="D36" s="125" t="n">
        <v>338</v>
      </c>
      <c r="E36" s="129" t="n">
        <v>0.4072289156626506</v>
      </c>
      <c r="F36" s="122" t="n"/>
      <c r="G36" s="122" t="n"/>
      <c r="H36" s="122" t="n"/>
      <c r="I36" s="122" t="n"/>
      <c r="J36" s="122" t="n"/>
      <c r="K36" s="122" t="n"/>
      <c r="L36" s="130">
        <f>D36-M36*830</f>
        <v/>
      </c>
      <c r="M36" s="131" t="n">
        <v>0.4</v>
      </c>
      <c r="N36" s="130">
        <f>E36-M36</f>
        <v/>
      </c>
      <c r="O36" s="132">
        <f>N36/M36</f>
        <v/>
      </c>
      <c r="P36" s="122" t="n">
        <v>0.5</v>
      </c>
      <c r="Q36" s="130">
        <f>M36-P36</f>
        <v/>
      </c>
      <c r="R36" s="122" t="n"/>
      <c r="T36" s="133" t="n"/>
    </row>
    <row r="37" ht="15.75" customHeight="1" s="2">
      <c r="A37" s="125" t="inlineStr">
        <is>
          <t xml:space="preserve">Шленский Алексей Геннадьевич </t>
        </is>
      </c>
      <c r="B37" s="125" t="n">
        <v>467</v>
      </c>
      <c r="C37" s="125" t="n">
        <v>225</v>
      </c>
      <c r="D37" s="125" t="n">
        <v>692</v>
      </c>
      <c r="E37" s="129" t="n">
        <v>0.8337349397590361</v>
      </c>
      <c r="F37" s="122" t="n"/>
      <c r="G37" s="122" t="n"/>
      <c r="H37" s="122" t="n"/>
      <c r="I37" s="122" t="n"/>
      <c r="J37" s="122" t="n"/>
      <c r="K37" s="122" t="n"/>
      <c r="L37" s="130">
        <f>D37-M37*830</f>
        <v/>
      </c>
      <c r="M37" s="131" t="n">
        <v>0.75</v>
      </c>
      <c r="N37" s="130">
        <f>E37-M37</f>
        <v/>
      </c>
      <c r="O37" s="132">
        <f>N37/M37</f>
        <v/>
      </c>
      <c r="P37" s="122" t="n">
        <v>0.85</v>
      </c>
      <c r="Q37" s="130">
        <f>M37-P37</f>
        <v/>
      </c>
      <c r="R37" s="122" t="n"/>
      <c r="T37" s="133" t="n"/>
    </row>
    <row r="38" ht="15.75" customHeight="1" s="2">
      <c r="A38" s="125" t="inlineStr">
        <is>
          <t xml:space="preserve">Шляпцева Анастасия Дмитриевна </t>
        </is>
      </c>
      <c r="B38" s="125" t="n">
        <v>66</v>
      </c>
      <c r="C38" s="125" t="n">
        <v>384</v>
      </c>
      <c r="D38" s="125" t="n">
        <v>450</v>
      </c>
      <c r="E38" s="129" t="n">
        <v>0.5421686746987951</v>
      </c>
      <c r="F38" s="122" t="n"/>
      <c r="G38" s="122" t="n"/>
      <c r="H38" s="122" t="n"/>
      <c r="I38" s="122" t="n"/>
      <c r="J38" s="122" t="n"/>
      <c r="K38" s="122" t="n"/>
      <c r="L38" s="130">
        <f>D38-M38*830</f>
        <v/>
      </c>
      <c r="M38" s="131" t="n">
        <v>0.5</v>
      </c>
      <c r="N38" s="130">
        <f>E38-M38</f>
        <v/>
      </c>
      <c r="O38" s="132">
        <f>N38/M38</f>
        <v/>
      </c>
      <c r="P38" s="122" t="n">
        <v>0.5</v>
      </c>
      <c r="Q38" s="130">
        <f>M38-P38</f>
        <v/>
      </c>
      <c r="R38" s="122" t="n"/>
      <c r="T38" s="133" t="n"/>
    </row>
    <row r="39" ht="15.75" customHeight="1" s="2">
      <c r="A39" s="39" t="inlineStr">
        <is>
          <t>э-резерв</t>
        </is>
      </c>
      <c r="B39" s="39" t="n">
        <v>160</v>
      </c>
      <c r="C39" s="39" t="n">
        <v>151.5</v>
      </c>
      <c r="D39" s="39" t="n">
        <v>311.5</v>
      </c>
      <c r="E39" s="134" t="n">
        <v>0.3753012048192771</v>
      </c>
      <c r="F39" s="39" t="n"/>
      <c r="G39" s="39" t="n"/>
      <c r="H39" s="39" t="n"/>
      <c r="I39" s="39" t="n"/>
      <c r="J39" s="39" t="n"/>
      <c r="K39" s="124" t="n"/>
      <c r="M39" s="123" t="n"/>
    </row>
    <row r="40" ht="15.75" customHeight="1" s="2">
      <c r="A40" s="39" t="inlineStr">
        <is>
          <t>Ю-внешние</t>
        </is>
      </c>
      <c r="B40" s="39" t="n">
        <v>0</v>
      </c>
      <c r="C40" s="39" t="n">
        <v>134</v>
      </c>
      <c r="D40" s="39" t="n">
        <v>134</v>
      </c>
      <c r="E40" s="134" t="n">
        <v>0.1614457831325301</v>
      </c>
      <c r="F40" s="39" t="n"/>
      <c r="G40" s="39" t="n"/>
      <c r="H40" s="39" t="n"/>
      <c r="I40" s="39" t="n"/>
      <c r="J40" s="39" t="n"/>
      <c r="K40" s="124" t="n"/>
      <c r="M40" s="123" t="n"/>
    </row>
    <row r="41" ht="15.75" customHeight="1" s="2">
      <c r="A41" s="39" t="inlineStr">
        <is>
          <t>Ю-внутренние</t>
        </is>
      </c>
      <c r="B41" s="39" t="n">
        <v>0</v>
      </c>
      <c r="C41" s="39" t="n">
        <v>100.5</v>
      </c>
      <c r="D41" s="39" t="n">
        <v>100.5</v>
      </c>
      <c r="E41" s="134" t="n">
        <v>0.1210843373493976</v>
      </c>
      <c r="F41" s="39" t="n"/>
      <c r="G41" s="39" t="n"/>
      <c r="H41" s="39" t="n"/>
      <c r="I41" s="39" t="n"/>
      <c r="J41" s="39" t="n"/>
      <c r="K41" s="124" t="n"/>
      <c r="M41" s="123" t="n"/>
    </row>
    <row r="42" ht="15.75" customHeight="1" s="2">
      <c r="A42" s="39" t="inlineStr">
        <is>
          <t>Еремеев Николай Владимирович</t>
        </is>
      </c>
      <c r="B42" s="39" t="n">
        <v>0</v>
      </c>
      <c r="C42" s="39" t="n">
        <v>0</v>
      </c>
      <c r="D42" s="39" t="n">
        <v>0</v>
      </c>
      <c r="E42" s="39" t="n">
        <v>0</v>
      </c>
      <c r="F42" s="39" t="n"/>
      <c r="G42" s="39" t="n"/>
      <c r="H42" s="39" t="n"/>
      <c r="I42" s="39" t="n"/>
      <c r="J42" s="39" t="n"/>
      <c r="K42" s="124" t="n"/>
      <c r="M42" s="123" t="n"/>
    </row>
    <row r="43" ht="15.75" customHeight="1" s="2">
      <c r="A43" s="125" t="inlineStr">
        <is>
          <t>Общий итог</t>
        </is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2" t="n"/>
      <c r="M43" s="135">
        <f>SUM(M5:M42)</f>
        <v/>
      </c>
    </row>
    <row r="44" ht="15.75" customHeight="1" s="2">
      <c r="M44" s="123" t="n"/>
    </row>
    <row r="45" ht="15.75" customHeight="1" s="2">
      <c r="M45" s="123">
        <f>M43*830</f>
        <v/>
      </c>
      <c r="N45" t="n">
        <v>16697</v>
      </c>
    </row>
    <row r="46" ht="15.75" customHeight="1" s="2">
      <c r="M46" s="123" t="n"/>
      <c r="N46">
        <f>N45-M45</f>
        <v/>
      </c>
    </row>
    <row r="47" ht="15.75" customHeight="1" s="2">
      <c r="M47" s="123" t="n"/>
    </row>
    <row r="48" ht="15.75" customHeight="1" s="2">
      <c r="M48" s="123" t="n"/>
    </row>
    <row r="49" ht="15.75" customHeight="1" s="2">
      <c r="M49" s="123" t="n"/>
    </row>
    <row r="50" ht="15.75" customHeight="1" s="2">
      <c r="M50" s="123" t="n"/>
    </row>
    <row r="51" ht="15.75" customHeight="1" s="2">
      <c r="M51" s="123" t="n"/>
    </row>
    <row r="52" ht="15.75" customHeight="1" s="2">
      <c r="M52" s="123" t="n"/>
    </row>
    <row r="53" ht="15.75" customHeight="1" s="2">
      <c r="M53" s="123" t="n"/>
    </row>
    <row r="54" ht="15.75" customHeight="1" s="2">
      <c r="M54" s="123" t="n"/>
    </row>
    <row r="55" ht="15.75" customHeight="1" s="2">
      <c r="M55" s="123" t="n"/>
    </row>
    <row r="56" ht="15.75" customHeight="1" s="2">
      <c r="M56" s="123" t="n"/>
    </row>
    <row r="57" ht="15.75" customHeight="1" s="2">
      <c r="M57" s="123" t="n"/>
    </row>
    <row r="58" ht="15.75" customHeight="1" s="2">
      <c r="M58" s="123" t="n"/>
    </row>
    <row r="59" ht="15.75" customHeight="1" s="2">
      <c r="M59" s="123" t="n"/>
    </row>
    <row r="60" ht="15.75" customHeight="1" s="2">
      <c r="M60" s="123" t="n"/>
    </row>
    <row r="61" ht="15.75" customHeight="1" s="2">
      <c r="M61" s="123" t="n"/>
    </row>
    <row r="62" ht="15.75" customHeight="1" s="2">
      <c r="M62" s="123" t="n"/>
    </row>
    <row r="63" ht="15.75" customHeight="1" s="2">
      <c r="M63" s="123" t="n"/>
    </row>
    <row r="64" ht="15.75" customHeight="1" s="2">
      <c r="M64" s="123" t="n"/>
    </row>
    <row r="65" ht="15.75" customHeight="1" s="2">
      <c r="M65" s="123" t="n"/>
    </row>
    <row r="66" ht="15.75" customHeight="1" s="2">
      <c r="M66" s="123" t="n"/>
    </row>
    <row r="67" ht="15.75" customHeight="1" s="2">
      <c r="M67" s="123" t="n"/>
    </row>
    <row r="68" ht="15.75" customHeight="1" s="2">
      <c r="M68" s="123" t="n"/>
    </row>
    <row r="69" ht="15.75" customHeight="1" s="2">
      <c r="M69" s="123" t="n"/>
    </row>
    <row r="70" ht="15.75" customHeight="1" s="2">
      <c r="M70" s="123" t="n"/>
    </row>
    <row r="71" ht="15.75" customHeight="1" s="2">
      <c r="M71" s="123" t="n"/>
    </row>
    <row r="72" ht="15.75" customHeight="1" s="2">
      <c r="M72" s="123" t="n"/>
    </row>
    <row r="73" ht="15.75" customHeight="1" s="2">
      <c r="M73" s="123" t="n"/>
    </row>
    <row r="74" ht="15.75" customHeight="1" s="2">
      <c r="M74" s="123" t="n"/>
    </row>
    <row r="75" ht="15.75" customHeight="1" s="2">
      <c r="M75" s="123" t="n"/>
    </row>
    <row r="76" ht="15.75" customHeight="1" s="2">
      <c r="M76" s="123" t="n"/>
    </row>
    <row r="77" ht="15.75" customHeight="1" s="2">
      <c r="M77" s="123" t="n"/>
    </row>
    <row r="78" ht="15.75" customHeight="1" s="2">
      <c r="M78" s="123" t="n"/>
    </row>
    <row r="79" ht="15.75" customHeight="1" s="2">
      <c r="M79" s="123" t="n"/>
    </row>
    <row r="80" ht="15.75" customHeight="1" s="2">
      <c r="M80" s="123" t="n"/>
    </row>
    <row r="81" ht="15.75" customHeight="1" s="2">
      <c r="M81" s="123" t="n"/>
    </row>
    <row r="82" ht="15.75" customHeight="1" s="2">
      <c r="M82" s="123" t="n"/>
    </row>
    <row r="83" ht="15.75" customHeight="1" s="2">
      <c r="M83" s="123" t="n"/>
    </row>
    <row r="84" ht="15.75" customHeight="1" s="2">
      <c r="M84" s="123" t="n"/>
    </row>
    <row r="85" ht="15.75" customHeight="1" s="2">
      <c r="M85" s="123" t="n"/>
    </row>
    <row r="86" ht="15.75" customHeight="1" s="2">
      <c r="M86" s="123" t="n"/>
    </row>
    <row r="87" ht="15.75" customHeight="1" s="2">
      <c r="M87" s="123" t="n"/>
    </row>
    <row r="88" ht="15.75" customHeight="1" s="2">
      <c r="M88" s="123" t="n"/>
    </row>
    <row r="89" ht="15.75" customHeight="1" s="2">
      <c r="M89" s="123" t="n"/>
    </row>
    <row r="90" ht="15.75" customHeight="1" s="2">
      <c r="M90" s="123" t="n"/>
    </row>
    <row r="91" ht="15.75" customHeight="1" s="2">
      <c r="M91" s="123" t="n"/>
    </row>
    <row r="92" ht="15.75" customHeight="1" s="2">
      <c r="M92" s="123" t="n"/>
    </row>
    <row r="93" ht="15.75" customHeight="1" s="2">
      <c r="M93" s="123" t="n"/>
    </row>
    <row r="94" ht="15.75" customHeight="1" s="2">
      <c r="M94" s="123" t="n"/>
    </row>
    <row r="95" ht="15.75" customHeight="1" s="2">
      <c r="M95" s="123" t="n"/>
    </row>
    <row r="96" ht="15.75" customHeight="1" s="2">
      <c r="M96" s="123" t="n"/>
    </row>
    <row r="97" ht="15.75" customHeight="1" s="2">
      <c r="M97" s="123" t="n"/>
    </row>
    <row r="98" ht="15.75" customHeight="1" s="2">
      <c r="M98" s="123" t="n"/>
    </row>
    <row r="99" ht="15.75" customHeight="1" s="2">
      <c r="M99" s="123" t="n"/>
    </row>
    <row r="100" ht="15.75" customHeight="1" s="2">
      <c r="M100" s="123" t="n"/>
    </row>
    <row r="101" ht="15.75" customHeight="1" s="2">
      <c r="M101" s="123" t="n"/>
    </row>
    <row r="102" ht="15.75" customHeight="1" s="2">
      <c r="M102" s="123" t="n"/>
    </row>
    <row r="103" ht="15.75" customHeight="1" s="2">
      <c r="M103" s="123" t="n"/>
    </row>
    <row r="104" ht="15.75" customHeight="1" s="2">
      <c r="M104" s="123" t="n"/>
    </row>
    <row r="105" ht="15.75" customHeight="1" s="2">
      <c r="M105" s="123" t="n"/>
    </row>
    <row r="106" ht="15.75" customHeight="1" s="2">
      <c r="M106" s="123" t="n"/>
    </row>
    <row r="107" ht="15.75" customHeight="1" s="2">
      <c r="M107" s="123" t="n"/>
    </row>
    <row r="108" ht="15.75" customHeight="1" s="2">
      <c r="M108" s="123" t="n"/>
    </row>
    <row r="109" ht="15.75" customHeight="1" s="2">
      <c r="M109" s="123" t="n"/>
    </row>
    <row r="110" ht="15.75" customHeight="1" s="2">
      <c r="M110" s="123" t="n"/>
    </row>
    <row r="111" ht="15.75" customHeight="1" s="2">
      <c r="M111" s="123" t="n"/>
    </row>
    <row r="112" ht="15.75" customHeight="1" s="2">
      <c r="M112" s="123" t="n"/>
    </row>
    <row r="113" ht="15.75" customHeight="1" s="2">
      <c r="M113" s="123" t="n"/>
    </row>
    <row r="114" ht="15.75" customHeight="1" s="2">
      <c r="M114" s="123" t="n"/>
    </row>
    <row r="115" ht="15.75" customHeight="1" s="2">
      <c r="M115" s="123" t="n"/>
    </row>
    <row r="116" ht="15.75" customHeight="1" s="2">
      <c r="M116" s="123" t="n"/>
    </row>
    <row r="117" ht="15.75" customHeight="1" s="2">
      <c r="M117" s="123" t="n"/>
    </row>
    <row r="118" ht="15.75" customHeight="1" s="2">
      <c r="M118" s="123" t="n"/>
    </row>
    <row r="119" ht="15.75" customHeight="1" s="2">
      <c r="M119" s="123" t="n"/>
    </row>
    <row r="120" ht="15.75" customHeight="1" s="2">
      <c r="M120" s="123" t="n"/>
    </row>
    <row r="121" ht="15.75" customHeight="1" s="2">
      <c r="M121" s="123" t="n"/>
    </row>
    <row r="122" ht="15.75" customHeight="1" s="2">
      <c r="M122" s="123" t="n"/>
    </row>
    <row r="123" ht="15.75" customHeight="1" s="2">
      <c r="M123" s="123" t="n"/>
    </row>
    <row r="124" ht="15.75" customHeight="1" s="2">
      <c r="M124" s="123" t="n"/>
    </row>
    <row r="125" ht="15.75" customHeight="1" s="2">
      <c r="M125" s="123" t="n"/>
    </row>
    <row r="126" ht="15.75" customHeight="1" s="2">
      <c r="M126" s="123" t="n"/>
    </row>
    <row r="127" ht="15.75" customHeight="1" s="2">
      <c r="M127" s="123" t="n"/>
    </row>
    <row r="128" ht="15.75" customHeight="1" s="2">
      <c r="M128" s="123" t="n"/>
    </row>
    <row r="129" ht="15.75" customHeight="1" s="2">
      <c r="M129" s="123" t="n"/>
    </row>
    <row r="130" ht="15.75" customHeight="1" s="2">
      <c r="M130" s="123" t="n"/>
    </row>
    <row r="131" ht="15.75" customHeight="1" s="2">
      <c r="M131" s="123" t="n"/>
    </row>
    <row r="132" ht="15.75" customHeight="1" s="2">
      <c r="M132" s="123" t="n"/>
    </row>
    <row r="133" ht="15.75" customHeight="1" s="2">
      <c r="M133" s="123" t="n"/>
    </row>
    <row r="134" ht="15.75" customHeight="1" s="2">
      <c r="M134" s="123" t="n"/>
    </row>
    <row r="135" ht="15.75" customHeight="1" s="2">
      <c r="M135" s="123" t="n"/>
    </row>
    <row r="136" ht="15.75" customHeight="1" s="2">
      <c r="M136" s="123" t="n"/>
    </row>
    <row r="137" ht="15.75" customHeight="1" s="2">
      <c r="M137" s="123" t="n"/>
    </row>
    <row r="138" ht="15.75" customHeight="1" s="2">
      <c r="M138" s="123" t="n"/>
    </row>
    <row r="139" ht="15.75" customHeight="1" s="2">
      <c r="M139" s="123" t="n"/>
    </row>
    <row r="140" ht="15.75" customHeight="1" s="2">
      <c r="M140" s="123" t="n"/>
    </row>
    <row r="141" ht="15.75" customHeight="1" s="2">
      <c r="M141" s="123" t="n"/>
    </row>
    <row r="142" ht="15.75" customHeight="1" s="2">
      <c r="M142" s="123" t="n"/>
    </row>
    <row r="143" ht="15.75" customHeight="1" s="2">
      <c r="M143" s="123" t="n"/>
    </row>
    <row r="144" ht="15.75" customHeight="1" s="2">
      <c r="M144" s="123" t="n"/>
    </row>
    <row r="145" ht="15.75" customHeight="1" s="2">
      <c r="M145" s="123" t="n"/>
    </row>
    <row r="146" ht="15.75" customHeight="1" s="2">
      <c r="M146" s="123" t="n"/>
    </row>
    <row r="147" ht="15.75" customHeight="1" s="2">
      <c r="M147" s="123" t="n"/>
    </row>
    <row r="148" ht="15.75" customHeight="1" s="2">
      <c r="M148" s="123" t="n"/>
    </row>
    <row r="149" ht="15.75" customHeight="1" s="2">
      <c r="M149" s="123" t="n"/>
    </row>
    <row r="150" ht="15.75" customHeight="1" s="2">
      <c r="M150" s="123" t="n"/>
    </row>
    <row r="151" ht="15.75" customHeight="1" s="2">
      <c r="M151" s="123" t="n"/>
    </row>
    <row r="152" ht="15.75" customHeight="1" s="2">
      <c r="M152" s="123" t="n"/>
    </row>
    <row r="153" ht="15.75" customHeight="1" s="2">
      <c r="M153" s="123" t="n"/>
    </row>
    <row r="154" ht="15.75" customHeight="1" s="2">
      <c r="M154" s="123" t="n"/>
    </row>
    <row r="155" ht="15.75" customHeight="1" s="2">
      <c r="M155" s="123" t="n"/>
    </row>
    <row r="156" ht="15.75" customHeight="1" s="2">
      <c r="M156" s="123" t="n"/>
    </row>
    <row r="157" ht="15.75" customHeight="1" s="2">
      <c r="M157" s="123" t="n"/>
    </row>
    <row r="158" ht="15.75" customHeight="1" s="2">
      <c r="M158" s="123" t="n"/>
    </row>
    <row r="159" ht="15.75" customHeight="1" s="2">
      <c r="M159" s="123" t="n"/>
    </row>
    <row r="160" ht="15.75" customHeight="1" s="2">
      <c r="M160" s="123" t="n"/>
    </row>
    <row r="161" ht="15.75" customHeight="1" s="2">
      <c r="M161" s="123" t="n"/>
    </row>
    <row r="162" ht="15.75" customHeight="1" s="2">
      <c r="M162" s="123" t="n"/>
    </row>
    <row r="163" ht="15.75" customHeight="1" s="2">
      <c r="M163" s="123" t="n"/>
    </row>
    <row r="164" ht="15.75" customHeight="1" s="2">
      <c r="M164" s="123" t="n"/>
    </row>
    <row r="165" ht="15.75" customHeight="1" s="2">
      <c r="M165" s="123" t="n"/>
    </row>
    <row r="166" ht="15.75" customHeight="1" s="2">
      <c r="M166" s="123" t="n"/>
    </row>
    <row r="167" ht="15.75" customHeight="1" s="2">
      <c r="M167" s="123" t="n"/>
    </row>
    <row r="168" ht="15.75" customHeight="1" s="2">
      <c r="M168" s="123" t="n"/>
    </row>
    <row r="169" ht="15.75" customHeight="1" s="2">
      <c r="M169" s="123" t="n"/>
    </row>
    <row r="170" ht="15.75" customHeight="1" s="2">
      <c r="M170" s="123" t="n"/>
    </row>
    <row r="171" ht="15.75" customHeight="1" s="2">
      <c r="M171" s="123" t="n"/>
    </row>
    <row r="172" ht="15.75" customHeight="1" s="2">
      <c r="M172" s="123" t="n"/>
    </row>
    <row r="173" ht="15.75" customHeight="1" s="2">
      <c r="M173" s="123" t="n"/>
    </row>
    <row r="174" ht="15.75" customHeight="1" s="2">
      <c r="M174" s="123" t="n"/>
    </row>
    <row r="175" ht="15.75" customHeight="1" s="2">
      <c r="M175" s="123" t="n"/>
    </row>
    <row r="176" ht="15.75" customHeight="1" s="2">
      <c r="M176" s="123" t="n"/>
    </row>
    <row r="177" ht="15.75" customHeight="1" s="2">
      <c r="M177" s="123" t="n"/>
    </row>
    <row r="178" ht="15.75" customHeight="1" s="2">
      <c r="M178" s="123" t="n"/>
    </row>
    <row r="179" ht="15.75" customHeight="1" s="2">
      <c r="M179" s="123" t="n"/>
    </row>
    <row r="180" ht="15.75" customHeight="1" s="2">
      <c r="M180" s="123" t="n"/>
    </row>
    <row r="181" ht="15.75" customHeight="1" s="2">
      <c r="M181" s="123" t="n"/>
    </row>
    <row r="182" ht="15.75" customHeight="1" s="2">
      <c r="M182" s="123" t="n"/>
    </row>
    <row r="183" ht="15.75" customHeight="1" s="2">
      <c r="M183" s="123" t="n"/>
    </row>
    <row r="184" ht="15.75" customHeight="1" s="2">
      <c r="M184" s="123" t="n"/>
    </row>
    <row r="185" ht="15.75" customHeight="1" s="2">
      <c r="M185" s="123" t="n"/>
    </row>
    <row r="186" ht="15.75" customHeight="1" s="2">
      <c r="M186" s="123" t="n"/>
    </row>
    <row r="187" ht="15.75" customHeight="1" s="2">
      <c r="M187" s="123" t="n"/>
    </row>
    <row r="188" ht="15.75" customHeight="1" s="2">
      <c r="M188" s="123" t="n"/>
    </row>
    <row r="189" ht="15.75" customHeight="1" s="2">
      <c r="M189" s="123" t="n"/>
    </row>
    <row r="190" ht="15.75" customHeight="1" s="2">
      <c r="M190" s="123" t="n"/>
    </row>
    <row r="191" ht="15.75" customHeight="1" s="2">
      <c r="M191" s="123" t="n"/>
    </row>
    <row r="192" ht="15.75" customHeight="1" s="2">
      <c r="M192" s="123" t="n"/>
    </row>
    <row r="193" ht="15.75" customHeight="1" s="2">
      <c r="M193" s="123" t="n"/>
    </row>
    <row r="194" ht="15.75" customHeight="1" s="2">
      <c r="M194" s="123" t="n"/>
    </row>
    <row r="195" ht="15.75" customHeight="1" s="2">
      <c r="M195" s="123" t="n"/>
    </row>
    <row r="196" ht="15.75" customHeight="1" s="2">
      <c r="M196" s="123" t="n"/>
    </row>
    <row r="197" ht="15.75" customHeight="1" s="2">
      <c r="M197" s="123" t="n"/>
    </row>
    <row r="198" ht="15.75" customHeight="1" s="2">
      <c r="M198" s="123" t="n"/>
    </row>
    <row r="199" ht="15.75" customHeight="1" s="2">
      <c r="M199" s="123" t="n"/>
    </row>
    <row r="200" ht="15.75" customHeight="1" s="2">
      <c r="M200" s="123" t="n"/>
    </row>
    <row r="201" ht="15.75" customHeight="1" s="2">
      <c r="M201" s="123" t="n"/>
    </row>
    <row r="202" ht="15.75" customHeight="1" s="2">
      <c r="M202" s="123" t="n"/>
    </row>
    <row r="203" ht="15.75" customHeight="1" s="2">
      <c r="M203" s="123" t="n"/>
    </row>
    <row r="204" ht="15.75" customHeight="1" s="2">
      <c r="M204" s="123" t="n"/>
    </row>
    <row r="205" ht="15.75" customHeight="1" s="2">
      <c r="M205" s="123" t="n"/>
    </row>
    <row r="206" ht="15.75" customHeight="1" s="2">
      <c r="M206" s="123" t="n"/>
    </row>
    <row r="207" ht="15.75" customHeight="1" s="2">
      <c r="M207" s="123" t="n"/>
    </row>
    <row r="208" ht="15.75" customHeight="1" s="2">
      <c r="M208" s="123" t="n"/>
    </row>
    <row r="209" ht="15.75" customHeight="1" s="2">
      <c r="M209" s="123" t="n"/>
    </row>
    <row r="210" ht="15.75" customHeight="1" s="2">
      <c r="M210" s="123" t="n"/>
    </row>
    <row r="211" ht="15.75" customHeight="1" s="2">
      <c r="M211" s="123" t="n"/>
    </row>
    <row r="212" ht="15.75" customHeight="1" s="2">
      <c r="M212" s="123" t="n"/>
    </row>
    <row r="213" ht="15.75" customHeight="1" s="2">
      <c r="M213" s="123" t="n"/>
    </row>
    <row r="214" ht="15.75" customHeight="1" s="2">
      <c r="M214" s="123" t="n"/>
    </row>
    <row r="215" ht="15.75" customHeight="1" s="2">
      <c r="M215" s="123" t="n"/>
    </row>
    <row r="216" ht="15.75" customHeight="1" s="2">
      <c r="M216" s="123" t="n"/>
    </row>
    <row r="217" ht="15.75" customHeight="1" s="2">
      <c r="M217" s="123" t="n"/>
    </row>
    <row r="218" ht="15.75" customHeight="1" s="2">
      <c r="M218" s="123" t="n"/>
    </row>
    <row r="219" ht="15.75" customHeight="1" s="2">
      <c r="M219" s="123" t="n"/>
    </row>
    <row r="220" ht="15.75" customHeight="1" s="2">
      <c r="M220" s="123" t="n"/>
    </row>
    <row r="221" ht="15.75" customHeight="1" s="2">
      <c r="M221" s="123" t="n"/>
    </row>
    <row r="222" ht="15.75" customHeight="1" s="2">
      <c r="M222" s="123" t="n"/>
    </row>
    <row r="223" ht="15.75" customHeight="1" s="2">
      <c r="M223" s="123" t="n"/>
    </row>
    <row r="224" ht="15.75" customHeight="1" s="2">
      <c r="M224" s="123" t="n"/>
    </row>
    <row r="225" ht="15.75" customHeight="1" s="2">
      <c r="M225" s="123" t="n"/>
    </row>
    <row r="226" ht="15.75" customHeight="1" s="2">
      <c r="M226" s="123" t="n"/>
    </row>
    <row r="227" ht="15.75" customHeight="1" s="2">
      <c r="M227" s="123" t="n"/>
    </row>
    <row r="228" ht="15.75" customHeight="1" s="2">
      <c r="M228" s="123" t="n"/>
    </row>
    <row r="229" ht="15.75" customHeight="1" s="2">
      <c r="M229" s="123" t="n"/>
    </row>
    <row r="230" ht="15.75" customHeight="1" s="2">
      <c r="M230" s="123" t="n"/>
    </row>
    <row r="231" ht="15.75" customHeight="1" s="2">
      <c r="M231" s="123" t="n"/>
    </row>
    <row r="232" ht="15.75" customHeight="1" s="2">
      <c r="M232" s="123" t="n"/>
    </row>
    <row r="233" ht="15.75" customHeight="1" s="2">
      <c r="M233" s="123" t="n"/>
    </row>
    <row r="234" ht="15.75" customHeight="1" s="2">
      <c r="M234" s="123" t="n"/>
    </row>
    <row r="235" ht="15.75" customHeight="1" s="2">
      <c r="M235" s="123" t="n"/>
    </row>
    <row r="236" ht="15.75" customHeight="1" s="2">
      <c r="M236" s="123" t="n"/>
    </row>
    <row r="237" ht="15.75" customHeight="1" s="2">
      <c r="M237" s="123" t="n"/>
    </row>
    <row r="238" ht="15.75" customHeight="1" s="2">
      <c r="M238" s="123" t="n"/>
    </row>
    <row r="239" ht="15.75" customHeight="1" s="2">
      <c r="M239" s="123" t="n"/>
    </row>
    <row r="240" ht="15.75" customHeight="1" s="2">
      <c r="M240" s="123" t="n"/>
    </row>
    <row r="241" ht="15.75" customHeight="1" s="2">
      <c r="M241" s="123" t="n"/>
    </row>
    <row r="242" ht="15.75" customHeight="1" s="2">
      <c r="M242" s="123" t="n"/>
    </row>
    <row r="243" ht="15.75" customHeight="1" s="2">
      <c r="M243" s="123" t="n"/>
    </row>
    <row r="244" ht="15.75" customHeight="1" s="2">
      <c r="M244" s="123" t="n"/>
    </row>
    <row r="245" ht="15.75" customHeight="1" s="2">
      <c r="M245" s="123" t="n"/>
    </row>
    <row r="246" ht="15.75" customHeight="1" s="2">
      <c r="M246" s="123" t="n"/>
    </row>
    <row r="247" ht="15.75" customHeight="1" s="2">
      <c r="M247" s="123" t="n"/>
    </row>
    <row r="248" ht="15.75" customHeight="1" s="2">
      <c r="M248" s="123" t="n"/>
    </row>
    <row r="249" ht="15.75" customHeight="1" s="2">
      <c r="M249" s="123" t="n"/>
    </row>
    <row r="250" ht="15.75" customHeight="1" s="2">
      <c r="M250" s="123" t="n"/>
    </row>
    <row r="251" ht="15.75" customHeight="1" s="2">
      <c r="M251" s="123" t="n"/>
    </row>
    <row r="252" ht="15.75" customHeight="1" s="2">
      <c r="M252" s="123" t="n"/>
    </row>
    <row r="253" ht="15.75" customHeight="1" s="2">
      <c r="M253" s="123" t="n"/>
    </row>
    <row r="254" ht="15.75" customHeight="1" s="2">
      <c r="M254" s="123" t="n"/>
    </row>
    <row r="255" ht="15.75" customHeight="1" s="2">
      <c r="M255" s="123" t="n"/>
    </row>
    <row r="256" ht="15.75" customHeight="1" s="2">
      <c r="M256" s="123" t="n"/>
    </row>
    <row r="257" ht="15.75" customHeight="1" s="2">
      <c r="M257" s="123" t="n"/>
    </row>
    <row r="258" ht="15.75" customHeight="1" s="2">
      <c r="M258" s="123" t="n"/>
    </row>
    <row r="259" ht="15.75" customHeight="1" s="2">
      <c r="M259" s="123" t="n"/>
    </row>
    <row r="260" ht="15.75" customHeight="1" s="2">
      <c r="M260" s="123" t="n"/>
    </row>
    <row r="261" ht="15.75" customHeight="1" s="2">
      <c r="M261" s="123" t="n"/>
    </row>
    <row r="262" ht="15.75" customHeight="1" s="2">
      <c r="M262" s="123" t="n"/>
    </row>
    <row r="263" ht="15.75" customHeight="1" s="2">
      <c r="M263" s="123" t="n"/>
    </row>
    <row r="264" ht="15.75" customHeight="1" s="2">
      <c r="M264" s="123" t="n"/>
    </row>
    <row r="265" ht="15.75" customHeight="1" s="2">
      <c r="M265" s="123" t="n"/>
    </row>
    <row r="266" ht="15.75" customHeight="1" s="2">
      <c r="M266" s="123" t="n"/>
    </row>
    <row r="267" ht="15.75" customHeight="1" s="2">
      <c r="M267" s="123" t="n"/>
    </row>
    <row r="268" ht="15.75" customHeight="1" s="2">
      <c r="M268" s="123" t="n"/>
    </row>
    <row r="269" ht="15.75" customHeight="1" s="2">
      <c r="M269" s="123" t="n"/>
    </row>
    <row r="270" ht="15.75" customHeight="1" s="2">
      <c r="M270" s="123" t="n"/>
    </row>
    <row r="271" ht="15.75" customHeight="1" s="2">
      <c r="M271" s="123" t="n"/>
    </row>
    <row r="272" ht="15.75" customHeight="1" s="2">
      <c r="M272" s="123" t="n"/>
    </row>
    <row r="273" ht="15.75" customHeight="1" s="2">
      <c r="M273" s="123" t="n"/>
    </row>
    <row r="274" ht="15.75" customHeight="1" s="2">
      <c r="M274" s="123" t="n"/>
    </row>
    <row r="275" ht="15.75" customHeight="1" s="2">
      <c r="M275" s="123" t="n"/>
    </row>
    <row r="276" ht="15.75" customHeight="1" s="2">
      <c r="M276" s="123" t="n"/>
    </row>
    <row r="277" ht="15.75" customHeight="1" s="2">
      <c r="M277" s="123" t="n"/>
    </row>
    <row r="278" ht="15.75" customHeight="1" s="2">
      <c r="M278" s="123" t="n"/>
    </row>
    <row r="279" ht="15.75" customHeight="1" s="2">
      <c r="M279" s="123" t="n"/>
    </row>
    <row r="280" ht="15.75" customHeight="1" s="2">
      <c r="M280" s="123" t="n"/>
    </row>
    <row r="281" ht="15.75" customHeight="1" s="2">
      <c r="M281" s="123" t="n"/>
    </row>
    <row r="282" ht="15.75" customHeight="1" s="2">
      <c r="M282" s="123" t="n"/>
    </row>
    <row r="283" ht="15.75" customHeight="1" s="2">
      <c r="M283" s="123" t="n"/>
    </row>
    <row r="284" ht="15.75" customHeight="1" s="2">
      <c r="M284" s="123" t="n"/>
    </row>
    <row r="285" ht="15.75" customHeight="1" s="2">
      <c r="M285" s="123" t="n"/>
    </row>
    <row r="286" ht="15.75" customHeight="1" s="2">
      <c r="M286" s="123" t="n"/>
    </row>
    <row r="287" ht="15.75" customHeight="1" s="2">
      <c r="M287" s="123" t="n"/>
    </row>
    <row r="288" ht="15.75" customHeight="1" s="2">
      <c r="M288" s="123" t="n"/>
    </row>
    <row r="289" ht="15.75" customHeight="1" s="2">
      <c r="M289" s="123" t="n"/>
    </row>
    <row r="290" ht="15.75" customHeight="1" s="2">
      <c r="M290" s="123" t="n"/>
    </row>
    <row r="291" ht="15.75" customHeight="1" s="2">
      <c r="M291" s="123" t="n"/>
    </row>
    <row r="292" ht="15.75" customHeight="1" s="2">
      <c r="M292" s="123" t="n"/>
    </row>
    <row r="293" ht="15.75" customHeight="1" s="2">
      <c r="M293" s="123" t="n"/>
    </row>
    <row r="294" ht="15.75" customHeight="1" s="2">
      <c r="M294" s="123" t="n"/>
    </row>
    <row r="295" ht="15.75" customHeight="1" s="2">
      <c r="M295" s="123" t="n"/>
    </row>
    <row r="296" ht="15.75" customHeight="1" s="2">
      <c r="M296" s="123" t="n"/>
    </row>
    <row r="297" ht="15.75" customHeight="1" s="2">
      <c r="M297" s="123" t="n"/>
    </row>
    <row r="298" ht="15.75" customHeight="1" s="2">
      <c r="M298" s="123" t="n"/>
    </row>
    <row r="299" ht="15.75" customHeight="1" s="2">
      <c r="M299" s="123" t="n"/>
    </row>
    <row r="300" ht="15.75" customHeight="1" s="2">
      <c r="M300" s="123" t="n"/>
    </row>
    <row r="301" ht="15.75" customHeight="1" s="2">
      <c r="M301" s="123" t="n"/>
    </row>
    <row r="302" ht="15.75" customHeight="1" s="2">
      <c r="M302" s="123" t="n"/>
    </row>
    <row r="303" ht="15.75" customHeight="1" s="2">
      <c r="M303" s="123" t="n"/>
    </row>
    <row r="304" ht="15.75" customHeight="1" s="2">
      <c r="M304" s="123" t="n"/>
    </row>
    <row r="305" ht="15.75" customHeight="1" s="2">
      <c r="M305" s="123" t="n"/>
    </row>
    <row r="306" ht="15.75" customHeight="1" s="2">
      <c r="M306" s="123" t="n"/>
    </row>
    <row r="307" ht="15.75" customHeight="1" s="2">
      <c r="M307" s="123" t="n"/>
    </row>
    <row r="308" ht="15.75" customHeight="1" s="2">
      <c r="M308" s="123" t="n"/>
    </row>
    <row r="309" ht="15.75" customHeight="1" s="2">
      <c r="M309" s="123" t="n"/>
    </row>
    <row r="310" ht="15.75" customHeight="1" s="2">
      <c r="M310" s="123" t="n"/>
    </row>
    <row r="311" ht="15.75" customHeight="1" s="2">
      <c r="M311" s="123" t="n"/>
    </row>
    <row r="312" ht="15.75" customHeight="1" s="2">
      <c r="M312" s="123" t="n"/>
    </row>
    <row r="313" ht="15.75" customHeight="1" s="2">
      <c r="M313" s="123" t="n"/>
    </row>
    <row r="314" ht="15.75" customHeight="1" s="2">
      <c r="M314" s="123" t="n"/>
    </row>
    <row r="315" ht="15.75" customHeight="1" s="2">
      <c r="M315" s="123" t="n"/>
    </row>
    <row r="316" ht="15.75" customHeight="1" s="2">
      <c r="M316" s="123" t="n"/>
    </row>
    <row r="317" ht="15.75" customHeight="1" s="2">
      <c r="M317" s="123" t="n"/>
    </row>
    <row r="318" ht="15.75" customHeight="1" s="2">
      <c r="M318" s="123" t="n"/>
    </row>
    <row r="319" ht="15.75" customHeight="1" s="2">
      <c r="M319" s="123" t="n"/>
    </row>
    <row r="320" ht="15.75" customHeight="1" s="2">
      <c r="M320" s="123" t="n"/>
    </row>
    <row r="321" ht="15.75" customHeight="1" s="2">
      <c r="M321" s="123" t="n"/>
    </row>
    <row r="322" ht="15.75" customHeight="1" s="2">
      <c r="M322" s="123" t="n"/>
    </row>
    <row r="323" ht="15.75" customHeight="1" s="2">
      <c r="M323" s="123" t="n"/>
    </row>
    <row r="324" ht="15.75" customHeight="1" s="2">
      <c r="M324" s="123" t="n"/>
    </row>
    <row r="325" ht="15.75" customHeight="1" s="2">
      <c r="M325" s="123" t="n"/>
    </row>
    <row r="326" ht="15.75" customHeight="1" s="2">
      <c r="M326" s="123" t="n"/>
    </row>
    <row r="327" ht="15.75" customHeight="1" s="2">
      <c r="M327" s="123" t="n"/>
    </row>
    <row r="328" ht="15.75" customHeight="1" s="2">
      <c r="M328" s="123" t="n"/>
    </row>
    <row r="329" ht="15.75" customHeight="1" s="2">
      <c r="M329" s="123" t="n"/>
    </row>
    <row r="330" ht="15.75" customHeight="1" s="2">
      <c r="M330" s="123" t="n"/>
    </row>
    <row r="331" ht="15.75" customHeight="1" s="2">
      <c r="M331" s="123" t="n"/>
    </row>
    <row r="332" ht="15.75" customHeight="1" s="2">
      <c r="M332" s="123" t="n"/>
    </row>
    <row r="333" ht="15.75" customHeight="1" s="2">
      <c r="M333" s="123" t="n"/>
    </row>
    <row r="334" ht="15.75" customHeight="1" s="2">
      <c r="M334" s="123" t="n"/>
    </row>
    <row r="335" ht="15.75" customHeight="1" s="2">
      <c r="M335" s="123" t="n"/>
    </row>
    <row r="336" ht="15.75" customHeight="1" s="2">
      <c r="M336" s="123" t="n"/>
    </row>
    <row r="337" ht="15.75" customHeight="1" s="2">
      <c r="M337" s="123" t="n"/>
    </row>
    <row r="338" ht="15.75" customHeight="1" s="2">
      <c r="M338" s="123" t="n"/>
    </row>
    <row r="339" ht="15.75" customHeight="1" s="2">
      <c r="M339" s="123" t="n"/>
    </row>
    <row r="340" ht="15.75" customHeight="1" s="2">
      <c r="M340" s="123" t="n"/>
    </row>
    <row r="341" ht="15.75" customHeight="1" s="2">
      <c r="M341" s="123" t="n"/>
    </row>
    <row r="342" ht="15.75" customHeight="1" s="2">
      <c r="M342" s="123" t="n"/>
    </row>
    <row r="343" ht="15.75" customHeight="1" s="2">
      <c r="M343" s="123" t="n"/>
    </row>
    <row r="344" ht="15.75" customHeight="1" s="2">
      <c r="M344" s="123" t="n"/>
    </row>
    <row r="345" ht="15.75" customHeight="1" s="2">
      <c r="M345" s="123" t="n"/>
    </row>
    <row r="346" ht="15.75" customHeight="1" s="2">
      <c r="M346" s="123" t="n"/>
    </row>
    <row r="347" ht="15.75" customHeight="1" s="2">
      <c r="M347" s="123" t="n"/>
    </row>
    <row r="348" ht="15.75" customHeight="1" s="2">
      <c r="M348" s="123" t="n"/>
    </row>
    <row r="349" ht="15.75" customHeight="1" s="2">
      <c r="M349" s="123" t="n"/>
    </row>
    <row r="350" ht="15.75" customHeight="1" s="2">
      <c r="M350" s="123" t="n"/>
    </row>
    <row r="351" ht="15.75" customHeight="1" s="2">
      <c r="M351" s="123" t="n"/>
    </row>
    <row r="352" ht="15.75" customHeight="1" s="2">
      <c r="M352" s="123" t="n"/>
    </row>
    <row r="353" ht="15.75" customHeight="1" s="2">
      <c r="M353" s="123" t="n"/>
    </row>
    <row r="354" ht="15.75" customHeight="1" s="2">
      <c r="M354" s="123" t="n"/>
    </row>
    <row r="355" ht="15.75" customHeight="1" s="2">
      <c r="M355" s="123" t="n"/>
    </row>
    <row r="356" ht="15.75" customHeight="1" s="2">
      <c r="M356" s="123" t="n"/>
    </row>
    <row r="357" ht="15.75" customHeight="1" s="2">
      <c r="M357" s="123" t="n"/>
    </row>
    <row r="358" ht="15.75" customHeight="1" s="2">
      <c r="M358" s="123" t="n"/>
    </row>
    <row r="359" ht="15.75" customHeight="1" s="2">
      <c r="M359" s="123" t="n"/>
    </row>
    <row r="360" ht="15.75" customHeight="1" s="2">
      <c r="M360" s="123" t="n"/>
    </row>
    <row r="361" ht="15.75" customHeight="1" s="2">
      <c r="M361" s="123" t="n"/>
    </row>
    <row r="362" ht="15.75" customHeight="1" s="2">
      <c r="M362" s="123" t="n"/>
    </row>
    <row r="363" ht="15.75" customHeight="1" s="2">
      <c r="M363" s="123" t="n"/>
    </row>
    <row r="364" ht="15.75" customHeight="1" s="2">
      <c r="M364" s="123" t="n"/>
    </row>
    <row r="365" ht="15.75" customHeight="1" s="2">
      <c r="M365" s="123" t="n"/>
    </row>
    <row r="366" ht="15.75" customHeight="1" s="2">
      <c r="M366" s="123" t="n"/>
    </row>
    <row r="367" ht="15.75" customHeight="1" s="2">
      <c r="M367" s="123" t="n"/>
    </row>
    <row r="368" ht="15.75" customHeight="1" s="2">
      <c r="M368" s="123" t="n"/>
    </row>
    <row r="369" ht="15.75" customHeight="1" s="2">
      <c r="M369" s="123" t="n"/>
    </row>
    <row r="370" ht="15.75" customHeight="1" s="2">
      <c r="M370" s="123" t="n"/>
    </row>
    <row r="371" ht="15.75" customHeight="1" s="2">
      <c r="M371" s="123" t="n"/>
    </row>
    <row r="372" ht="15.75" customHeight="1" s="2">
      <c r="M372" s="123" t="n"/>
    </row>
    <row r="373" ht="15.75" customHeight="1" s="2">
      <c r="M373" s="123" t="n"/>
    </row>
    <row r="374" ht="15.75" customHeight="1" s="2">
      <c r="M374" s="123" t="n"/>
    </row>
    <row r="375" ht="15.75" customHeight="1" s="2">
      <c r="M375" s="123" t="n"/>
    </row>
    <row r="376" ht="15.75" customHeight="1" s="2">
      <c r="M376" s="123" t="n"/>
    </row>
    <row r="377" ht="15.75" customHeight="1" s="2">
      <c r="M377" s="123" t="n"/>
    </row>
    <row r="378" ht="15.75" customHeight="1" s="2">
      <c r="M378" s="123" t="n"/>
    </row>
    <row r="379" ht="15.75" customHeight="1" s="2">
      <c r="M379" s="123" t="n"/>
    </row>
    <row r="380" ht="15.75" customHeight="1" s="2">
      <c r="M380" s="123" t="n"/>
    </row>
    <row r="381" ht="15.75" customHeight="1" s="2">
      <c r="M381" s="123" t="n"/>
    </row>
    <row r="382" ht="15.75" customHeight="1" s="2">
      <c r="M382" s="123" t="n"/>
    </row>
    <row r="383" ht="15.75" customHeight="1" s="2">
      <c r="M383" s="123" t="n"/>
    </row>
    <row r="384" ht="15.75" customHeight="1" s="2">
      <c r="M384" s="123" t="n"/>
    </row>
    <row r="385" ht="15.75" customHeight="1" s="2">
      <c r="M385" s="123" t="n"/>
    </row>
    <row r="386" ht="15.75" customHeight="1" s="2">
      <c r="M386" s="123" t="n"/>
    </row>
    <row r="387" ht="15.75" customHeight="1" s="2">
      <c r="M387" s="123" t="n"/>
    </row>
    <row r="388" ht="15.75" customHeight="1" s="2">
      <c r="M388" s="123" t="n"/>
    </row>
    <row r="389" ht="15.75" customHeight="1" s="2">
      <c r="M389" s="123" t="n"/>
    </row>
    <row r="390" ht="15.75" customHeight="1" s="2">
      <c r="M390" s="123" t="n"/>
    </row>
    <row r="391" ht="15.75" customHeight="1" s="2">
      <c r="M391" s="123" t="n"/>
    </row>
    <row r="392" ht="15.75" customHeight="1" s="2">
      <c r="M392" s="123" t="n"/>
    </row>
    <row r="393" ht="15.75" customHeight="1" s="2">
      <c r="M393" s="123" t="n"/>
    </row>
    <row r="394" ht="15.75" customHeight="1" s="2">
      <c r="M394" s="123" t="n"/>
    </row>
    <row r="395" ht="15.75" customHeight="1" s="2">
      <c r="M395" s="123" t="n"/>
    </row>
    <row r="396" ht="15.75" customHeight="1" s="2">
      <c r="M396" s="123" t="n"/>
    </row>
    <row r="397" ht="15.75" customHeight="1" s="2">
      <c r="M397" s="123" t="n"/>
    </row>
    <row r="398" ht="15.75" customHeight="1" s="2">
      <c r="M398" s="123" t="n"/>
    </row>
    <row r="399" ht="15.75" customHeight="1" s="2">
      <c r="M399" s="123" t="n"/>
    </row>
    <row r="400" ht="15.75" customHeight="1" s="2">
      <c r="M400" s="123" t="n"/>
    </row>
    <row r="401" ht="15.75" customHeight="1" s="2">
      <c r="M401" s="123" t="n"/>
    </row>
    <row r="402" ht="15.75" customHeight="1" s="2">
      <c r="M402" s="123" t="n"/>
    </row>
    <row r="403" ht="15.75" customHeight="1" s="2">
      <c r="M403" s="123" t="n"/>
    </row>
    <row r="404" ht="15.75" customHeight="1" s="2">
      <c r="M404" s="123" t="n"/>
    </row>
    <row r="405" ht="15.75" customHeight="1" s="2">
      <c r="M405" s="123" t="n"/>
    </row>
    <row r="406" ht="15.75" customHeight="1" s="2">
      <c r="M406" s="123" t="n"/>
    </row>
    <row r="407" ht="15.75" customHeight="1" s="2">
      <c r="M407" s="123" t="n"/>
    </row>
    <row r="408" ht="15.75" customHeight="1" s="2">
      <c r="M408" s="123" t="n"/>
    </row>
    <row r="409" ht="15.75" customHeight="1" s="2">
      <c r="M409" s="123" t="n"/>
    </row>
    <row r="410" ht="15.75" customHeight="1" s="2">
      <c r="M410" s="123" t="n"/>
    </row>
    <row r="411" ht="15.75" customHeight="1" s="2">
      <c r="M411" s="123" t="n"/>
    </row>
    <row r="412" ht="15.75" customHeight="1" s="2">
      <c r="M412" s="123" t="n"/>
    </row>
    <row r="413" ht="15.75" customHeight="1" s="2">
      <c r="M413" s="123" t="n"/>
    </row>
    <row r="414" ht="15.75" customHeight="1" s="2">
      <c r="M414" s="123" t="n"/>
    </row>
    <row r="415" ht="15.75" customHeight="1" s="2">
      <c r="M415" s="123" t="n"/>
    </row>
    <row r="416" ht="15.75" customHeight="1" s="2">
      <c r="M416" s="123" t="n"/>
    </row>
    <row r="417" ht="15.75" customHeight="1" s="2">
      <c r="M417" s="123" t="n"/>
    </row>
    <row r="418" ht="15.75" customHeight="1" s="2">
      <c r="M418" s="123" t="n"/>
    </row>
    <row r="419" ht="15.75" customHeight="1" s="2">
      <c r="M419" s="123" t="n"/>
    </row>
    <row r="420" ht="15.75" customHeight="1" s="2">
      <c r="M420" s="123" t="n"/>
    </row>
    <row r="421" ht="15.75" customHeight="1" s="2">
      <c r="M421" s="123" t="n"/>
    </row>
    <row r="422" ht="15.75" customHeight="1" s="2">
      <c r="M422" s="123" t="n"/>
    </row>
    <row r="423" ht="15.75" customHeight="1" s="2">
      <c r="M423" s="123" t="n"/>
    </row>
    <row r="424" ht="15.75" customHeight="1" s="2">
      <c r="M424" s="123" t="n"/>
    </row>
    <row r="425" ht="15.75" customHeight="1" s="2">
      <c r="M425" s="123" t="n"/>
    </row>
    <row r="426" ht="15.75" customHeight="1" s="2">
      <c r="M426" s="123" t="n"/>
    </row>
    <row r="427" ht="15.75" customHeight="1" s="2">
      <c r="M427" s="123" t="n"/>
    </row>
    <row r="428" ht="15.75" customHeight="1" s="2">
      <c r="M428" s="123" t="n"/>
    </row>
    <row r="429" ht="15.75" customHeight="1" s="2">
      <c r="M429" s="123" t="n"/>
    </row>
    <row r="430" ht="15.75" customHeight="1" s="2">
      <c r="M430" s="123" t="n"/>
    </row>
    <row r="431" ht="15.75" customHeight="1" s="2">
      <c r="M431" s="123" t="n"/>
    </row>
    <row r="432" ht="15.75" customHeight="1" s="2">
      <c r="M432" s="123" t="n"/>
    </row>
    <row r="433" ht="15.75" customHeight="1" s="2">
      <c r="M433" s="123" t="n"/>
    </row>
    <row r="434" ht="15.75" customHeight="1" s="2">
      <c r="M434" s="123" t="n"/>
    </row>
    <row r="435" ht="15.75" customHeight="1" s="2">
      <c r="M435" s="123" t="n"/>
    </row>
    <row r="436" ht="15.75" customHeight="1" s="2">
      <c r="M436" s="123" t="n"/>
    </row>
    <row r="437" ht="15.75" customHeight="1" s="2">
      <c r="M437" s="123" t="n"/>
    </row>
    <row r="438" ht="15.75" customHeight="1" s="2">
      <c r="M438" s="123" t="n"/>
    </row>
    <row r="439" ht="15.75" customHeight="1" s="2">
      <c r="M439" s="123" t="n"/>
    </row>
    <row r="440" ht="15.75" customHeight="1" s="2">
      <c r="M440" s="123" t="n"/>
    </row>
    <row r="441" ht="15.75" customHeight="1" s="2">
      <c r="M441" s="123" t="n"/>
    </row>
    <row r="442" ht="15.75" customHeight="1" s="2">
      <c r="M442" s="123" t="n"/>
    </row>
    <row r="443" ht="15.75" customHeight="1" s="2">
      <c r="M443" s="123" t="n"/>
    </row>
    <row r="444" ht="15.75" customHeight="1" s="2">
      <c r="M444" s="123" t="n"/>
    </row>
    <row r="445" ht="15.75" customHeight="1" s="2">
      <c r="M445" s="123" t="n"/>
    </row>
    <row r="446" ht="15.75" customHeight="1" s="2">
      <c r="M446" s="123" t="n"/>
    </row>
    <row r="447" ht="15.75" customHeight="1" s="2">
      <c r="M447" s="123" t="n"/>
    </row>
    <row r="448" ht="15.75" customHeight="1" s="2">
      <c r="M448" s="123" t="n"/>
    </row>
    <row r="449" ht="15.75" customHeight="1" s="2">
      <c r="M449" s="123" t="n"/>
    </row>
    <row r="450" ht="15.75" customHeight="1" s="2">
      <c r="M450" s="123" t="n"/>
    </row>
    <row r="451" ht="15.75" customHeight="1" s="2">
      <c r="M451" s="123" t="n"/>
    </row>
    <row r="452" ht="15.75" customHeight="1" s="2">
      <c r="M452" s="123" t="n"/>
    </row>
    <row r="453" ht="15.75" customHeight="1" s="2">
      <c r="M453" s="123" t="n"/>
    </row>
    <row r="454" ht="15.75" customHeight="1" s="2">
      <c r="M454" s="123" t="n"/>
    </row>
    <row r="455" ht="15.75" customHeight="1" s="2">
      <c r="M455" s="123" t="n"/>
    </row>
    <row r="456" ht="15.75" customHeight="1" s="2">
      <c r="M456" s="123" t="n"/>
    </row>
    <row r="457" ht="15.75" customHeight="1" s="2">
      <c r="M457" s="123" t="n"/>
    </row>
    <row r="458" ht="15.75" customHeight="1" s="2">
      <c r="M458" s="123" t="n"/>
    </row>
    <row r="459" ht="15.75" customHeight="1" s="2">
      <c r="M459" s="123" t="n"/>
    </row>
    <row r="460" ht="15.75" customHeight="1" s="2">
      <c r="M460" s="123" t="n"/>
    </row>
    <row r="461" ht="15.75" customHeight="1" s="2">
      <c r="M461" s="123" t="n"/>
    </row>
    <row r="462" ht="15.75" customHeight="1" s="2">
      <c r="M462" s="123" t="n"/>
    </row>
    <row r="463" ht="15.75" customHeight="1" s="2">
      <c r="M463" s="123" t="n"/>
    </row>
    <row r="464" ht="15.75" customHeight="1" s="2">
      <c r="M464" s="123" t="n"/>
    </row>
    <row r="465" ht="15.75" customHeight="1" s="2">
      <c r="M465" s="123" t="n"/>
    </row>
    <row r="466" ht="15.75" customHeight="1" s="2">
      <c r="M466" s="123" t="n"/>
    </row>
    <row r="467" ht="15.75" customHeight="1" s="2">
      <c r="M467" s="123" t="n"/>
    </row>
    <row r="468" ht="15.75" customHeight="1" s="2">
      <c r="M468" s="123" t="n"/>
    </row>
    <row r="469" ht="15.75" customHeight="1" s="2">
      <c r="M469" s="123" t="n"/>
    </row>
    <row r="470" ht="15.75" customHeight="1" s="2">
      <c r="M470" s="123" t="n"/>
    </row>
    <row r="471" ht="15.75" customHeight="1" s="2">
      <c r="M471" s="123" t="n"/>
    </row>
    <row r="472" ht="15.75" customHeight="1" s="2">
      <c r="M472" s="123" t="n"/>
    </row>
    <row r="473" ht="15.75" customHeight="1" s="2">
      <c r="M473" s="123" t="n"/>
    </row>
    <row r="474" ht="15.75" customHeight="1" s="2">
      <c r="M474" s="123" t="n"/>
    </row>
    <row r="475" ht="15.75" customHeight="1" s="2">
      <c r="M475" s="123" t="n"/>
    </row>
    <row r="476" ht="15.75" customHeight="1" s="2">
      <c r="M476" s="123" t="n"/>
    </row>
    <row r="477" ht="15.75" customHeight="1" s="2">
      <c r="M477" s="123" t="n"/>
    </row>
    <row r="478" ht="15.75" customHeight="1" s="2">
      <c r="M478" s="123" t="n"/>
    </row>
    <row r="479" ht="15.75" customHeight="1" s="2">
      <c r="M479" s="123" t="n"/>
    </row>
    <row r="480" ht="15.75" customHeight="1" s="2">
      <c r="M480" s="123" t="n"/>
    </row>
    <row r="481" ht="15.75" customHeight="1" s="2">
      <c r="M481" s="123" t="n"/>
    </row>
    <row r="482" ht="15.75" customHeight="1" s="2">
      <c r="M482" s="123" t="n"/>
    </row>
    <row r="483" ht="15.75" customHeight="1" s="2">
      <c r="M483" s="123" t="n"/>
    </row>
    <row r="484" ht="15.75" customHeight="1" s="2">
      <c r="M484" s="123" t="n"/>
    </row>
    <row r="485" ht="15.75" customHeight="1" s="2">
      <c r="M485" s="123" t="n"/>
    </row>
    <row r="486" ht="15.75" customHeight="1" s="2">
      <c r="M486" s="123" t="n"/>
    </row>
    <row r="487" ht="15.75" customHeight="1" s="2">
      <c r="M487" s="123" t="n"/>
    </row>
    <row r="488" ht="15.75" customHeight="1" s="2">
      <c r="M488" s="123" t="n"/>
    </row>
    <row r="489" ht="15.75" customHeight="1" s="2">
      <c r="M489" s="123" t="n"/>
    </row>
    <row r="490" ht="15.75" customHeight="1" s="2">
      <c r="M490" s="123" t="n"/>
    </row>
    <row r="491" ht="15.75" customHeight="1" s="2">
      <c r="M491" s="123" t="n"/>
    </row>
    <row r="492" ht="15.75" customHeight="1" s="2">
      <c r="M492" s="123" t="n"/>
    </row>
    <row r="493" ht="15.75" customHeight="1" s="2">
      <c r="M493" s="123" t="n"/>
    </row>
    <row r="494" ht="15.75" customHeight="1" s="2">
      <c r="M494" s="123" t="n"/>
    </row>
    <row r="495" ht="15.75" customHeight="1" s="2">
      <c r="M495" s="123" t="n"/>
    </row>
    <row r="496" ht="15.75" customHeight="1" s="2">
      <c r="M496" s="123" t="n"/>
    </row>
    <row r="497" ht="15.75" customHeight="1" s="2">
      <c r="M497" s="123" t="n"/>
    </row>
    <row r="498" ht="15.75" customHeight="1" s="2">
      <c r="M498" s="123" t="n"/>
    </row>
    <row r="499" ht="15.75" customHeight="1" s="2">
      <c r="M499" s="123" t="n"/>
    </row>
    <row r="500" ht="15.75" customHeight="1" s="2">
      <c r="M500" s="123" t="n"/>
    </row>
    <row r="501" ht="15.75" customHeight="1" s="2">
      <c r="M501" s="123" t="n"/>
    </row>
    <row r="502" ht="15.75" customHeight="1" s="2">
      <c r="M502" s="123" t="n"/>
    </row>
    <row r="503" ht="15.75" customHeight="1" s="2">
      <c r="M503" s="123" t="n"/>
    </row>
    <row r="504" ht="15.75" customHeight="1" s="2">
      <c r="M504" s="123" t="n"/>
    </row>
    <row r="505" ht="15.75" customHeight="1" s="2">
      <c r="M505" s="123" t="n"/>
    </row>
    <row r="506" ht="15.75" customHeight="1" s="2">
      <c r="M506" s="123" t="n"/>
    </row>
    <row r="507" ht="15.75" customHeight="1" s="2">
      <c r="M507" s="123" t="n"/>
    </row>
    <row r="508" ht="15.75" customHeight="1" s="2">
      <c r="M508" s="123" t="n"/>
    </row>
    <row r="509" ht="15.75" customHeight="1" s="2">
      <c r="M509" s="123" t="n"/>
    </row>
    <row r="510" ht="15.75" customHeight="1" s="2">
      <c r="M510" s="123" t="n"/>
    </row>
    <row r="511" ht="15.75" customHeight="1" s="2">
      <c r="M511" s="123" t="n"/>
    </row>
    <row r="512" ht="15.75" customHeight="1" s="2">
      <c r="M512" s="123" t="n"/>
    </row>
    <row r="513" ht="15.75" customHeight="1" s="2">
      <c r="M513" s="123" t="n"/>
    </row>
    <row r="514" ht="15.75" customHeight="1" s="2">
      <c r="M514" s="123" t="n"/>
    </row>
    <row r="515" ht="15.75" customHeight="1" s="2">
      <c r="M515" s="123" t="n"/>
    </row>
    <row r="516" ht="15.75" customHeight="1" s="2">
      <c r="M516" s="123" t="n"/>
    </row>
    <row r="517" ht="15.75" customHeight="1" s="2">
      <c r="M517" s="123" t="n"/>
    </row>
    <row r="518" ht="15.75" customHeight="1" s="2">
      <c r="M518" s="123" t="n"/>
    </row>
    <row r="519" ht="15.75" customHeight="1" s="2">
      <c r="M519" s="123" t="n"/>
    </row>
    <row r="520" ht="15.75" customHeight="1" s="2">
      <c r="M520" s="123" t="n"/>
    </row>
    <row r="521" ht="15.75" customHeight="1" s="2">
      <c r="M521" s="123" t="n"/>
    </row>
    <row r="522" ht="15.75" customHeight="1" s="2">
      <c r="M522" s="123" t="n"/>
    </row>
    <row r="523" ht="15.75" customHeight="1" s="2">
      <c r="M523" s="123" t="n"/>
    </row>
    <row r="524" ht="15.75" customHeight="1" s="2">
      <c r="M524" s="123" t="n"/>
    </row>
    <row r="525" ht="15.75" customHeight="1" s="2">
      <c r="M525" s="123" t="n"/>
    </row>
    <row r="526" ht="15.75" customHeight="1" s="2">
      <c r="M526" s="123" t="n"/>
    </row>
    <row r="527" ht="15.75" customHeight="1" s="2">
      <c r="M527" s="123" t="n"/>
    </row>
    <row r="528" ht="15.75" customHeight="1" s="2">
      <c r="M528" s="123" t="n"/>
    </row>
    <row r="529" ht="15.75" customHeight="1" s="2">
      <c r="M529" s="123" t="n"/>
    </row>
    <row r="530" ht="15.75" customHeight="1" s="2">
      <c r="M530" s="123" t="n"/>
    </row>
    <row r="531" ht="15.75" customHeight="1" s="2">
      <c r="M531" s="123" t="n"/>
    </row>
    <row r="532" ht="15.75" customHeight="1" s="2">
      <c r="M532" s="123" t="n"/>
    </row>
    <row r="533" ht="15.75" customHeight="1" s="2">
      <c r="M533" s="123" t="n"/>
    </row>
    <row r="534" ht="15.75" customHeight="1" s="2">
      <c r="M534" s="123" t="n"/>
    </row>
    <row r="535" ht="15.75" customHeight="1" s="2">
      <c r="M535" s="123" t="n"/>
    </row>
    <row r="536" ht="15.75" customHeight="1" s="2">
      <c r="M536" s="123" t="n"/>
    </row>
    <row r="537" ht="15.75" customHeight="1" s="2">
      <c r="M537" s="123" t="n"/>
    </row>
    <row r="538" ht="15.75" customHeight="1" s="2">
      <c r="M538" s="123" t="n"/>
    </row>
    <row r="539" ht="15.75" customHeight="1" s="2">
      <c r="M539" s="123" t="n"/>
    </row>
    <row r="540" ht="15.75" customHeight="1" s="2">
      <c r="M540" s="123" t="n"/>
    </row>
    <row r="541" ht="15.75" customHeight="1" s="2">
      <c r="M541" s="123" t="n"/>
    </row>
    <row r="542" ht="15.75" customHeight="1" s="2">
      <c r="M542" s="123" t="n"/>
    </row>
    <row r="543" ht="15.75" customHeight="1" s="2">
      <c r="M543" s="123" t="n"/>
    </row>
    <row r="544" ht="15.75" customHeight="1" s="2">
      <c r="M544" s="123" t="n"/>
    </row>
    <row r="545" ht="15.75" customHeight="1" s="2">
      <c r="M545" s="123" t="n"/>
    </row>
    <row r="546" ht="15.75" customHeight="1" s="2">
      <c r="M546" s="123" t="n"/>
    </row>
    <row r="547" ht="15.75" customHeight="1" s="2">
      <c r="M547" s="123" t="n"/>
    </row>
    <row r="548" ht="15.75" customHeight="1" s="2">
      <c r="M548" s="123" t="n"/>
    </row>
    <row r="549" ht="15.75" customHeight="1" s="2">
      <c r="M549" s="123" t="n"/>
    </row>
    <row r="550" ht="15.75" customHeight="1" s="2">
      <c r="M550" s="123" t="n"/>
    </row>
    <row r="551" ht="15.75" customHeight="1" s="2">
      <c r="M551" s="123" t="n"/>
    </row>
    <row r="552" ht="15.75" customHeight="1" s="2">
      <c r="M552" s="123" t="n"/>
    </row>
    <row r="553" ht="15.75" customHeight="1" s="2">
      <c r="M553" s="123" t="n"/>
    </row>
    <row r="554" ht="15.75" customHeight="1" s="2">
      <c r="M554" s="123" t="n"/>
    </row>
    <row r="555" ht="15.75" customHeight="1" s="2">
      <c r="M555" s="123" t="n"/>
    </row>
    <row r="556" ht="15.75" customHeight="1" s="2">
      <c r="M556" s="123" t="n"/>
    </row>
    <row r="557" ht="15.75" customHeight="1" s="2">
      <c r="M557" s="123" t="n"/>
    </row>
    <row r="558" ht="15.75" customHeight="1" s="2">
      <c r="M558" s="123" t="n"/>
    </row>
    <row r="559" ht="15.75" customHeight="1" s="2">
      <c r="M559" s="123" t="n"/>
    </row>
    <row r="560" ht="15.75" customHeight="1" s="2">
      <c r="M560" s="123" t="n"/>
    </row>
    <row r="561" ht="15.75" customHeight="1" s="2">
      <c r="M561" s="123" t="n"/>
    </row>
    <row r="562" ht="15.75" customHeight="1" s="2">
      <c r="M562" s="123" t="n"/>
    </row>
    <row r="563" ht="15.75" customHeight="1" s="2">
      <c r="M563" s="123" t="n"/>
    </row>
    <row r="564" ht="15.75" customHeight="1" s="2">
      <c r="M564" s="123" t="n"/>
    </row>
    <row r="565" ht="15.75" customHeight="1" s="2">
      <c r="M565" s="123" t="n"/>
    </row>
    <row r="566" ht="15.75" customHeight="1" s="2">
      <c r="M566" s="123" t="n"/>
    </row>
    <row r="567" ht="15.75" customHeight="1" s="2">
      <c r="M567" s="123" t="n"/>
    </row>
    <row r="568" ht="15.75" customHeight="1" s="2">
      <c r="M568" s="123" t="n"/>
    </row>
    <row r="569" ht="15.75" customHeight="1" s="2">
      <c r="M569" s="123" t="n"/>
    </row>
    <row r="570" ht="15.75" customHeight="1" s="2">
      <c r="M570" s="123" t="n"/>
    </row>
    <row r="571" ht="15.75" customHeight="1" s="2">
      <c r="M571" s="123" t="n"/>
    </row>
    <row r="572" ht="15.75" customHeight="1" s="2">
      <c r="M572" s="123" t="n"/>
    </row>
    <row r="573" ht="15.75" customHeight="1" s="2">
      <c r="M573" s="123" t="n"/>
    </row>
    <row r="574" ht="15.75" customHeight="1" s="2">
      <c r="M574" s="123" t="n"/>
    </row>
    <row r="575" ht="15.75" customHeight="1" s="2">
      <c r="M575" s="123" t="n"/>
    </row>
    <row r="576" ht="15.75" customHeight="1" s="2">
      <c r="M576" s="123" t="n"/>
    </row>
    <row r="577" ht="15.75" customHeight="1" s="2">
      <c r="M577" s="123" t="n"/>
    </row>
    <row r="578" ht="15.75" customHeight="1" s="2">
      <c r="M578" s="123" t="n"/>
    </row>
    <row r="579" ht="15.75" customHeight="1" s="2">
      <c r="M579" s="123" t="n"/>
    </row>
    <row r="580" ht="15.75" customHeight="1" s="2">
      <c r="M580" s="123" t="n"/>
    </row>
    <row r="581" ht="15.75" customHeight="1" s="2">
      <c r="M581" s="123" t="n"/>
    </row>
    <row r="582" ht="15.75" customHeight="1" s="2">
      <c r="M582" s="123" t="n"/>
    </row>
    <row r="583" ht="15.75" customHeight="1" s="2">
      <c r="M583" s="123" t="n"/>
    </row>
    <row r="584" ht="15.75" customHeight="1" s="2">
      <c r="M584" s="123" t="n"/>
    </row>
    <row r="585" ht="15.75" customHeight="1" s="2">
      <c r="M585" s="123" t="n"/>
    </row>
    <row r="586" ht="15.75" customHeight="1" s="2">
      <c r="M586" s="123" t="n"/>
    </row>
    <row r="587" ht="15.75" customHeight="1" s="2">
      <c r="M587" s="123" t="n"/>
    </row>
    <row r="588" ht="15.75" customHeight="1" s="2">
      <c r="M588" s="123" t="n"/>
    </row>
    <row r="589" ht="15.75" customHeight="1" s="2">
      <c r="M589" s="123" t="n"/>
    </row>
    <row r="590" ht="15.75" customHeight="1" s="2">
      <c r="M590" s="123" t="n"/>
    </row>
    <row r="591" ht="15.75" customHeight="1" s="2">
      <c r="M591" s="123" t="n"/>
    </row>
    <row r="592" ht="15.75" customHeight="1" s="2">
      <c r="M592" s="123" t="n"/>
    </row>
    <row r="593" ht="15.75" customHeight="1" s="2">
      <c r="M593" s="123" t="n"/>
    </row>
    <row r="594" ht="15.75" customHeight="1" s="2">
      <c r="M594" s="123" t="n"/>
    </row>
    <row r="595" ht="15.75" customHeight="1" s="2">
      <c r="M595" s="123" t="n"/>
    </row>
    <row r="596" ht="15.75" customHeight="1" s="2">
      <c r="M596" s="123" t="n"/>
    </row>
    <row r="597" ht="15.75" customHeight="1" s="2">
      <c r="M597" s="123" t="n"/>
    </row>
    <row r="598" ht="15.75" customHeight="1" s="2">
      <c r="M598" s="123" t="n"/>
    </row>
    <row r="599" ht="15.75" customHeight="1" s="2">
      <c r="M599" s="123" t="n"/>
    </row>
    <row r="600" ht="15.75" customHeight="1" s="2">
      <c r="M600" s="123" t="n"/>
    </row>
    <row r="601" ht="15.75" customHeight="1" s="2">
      <c r="M601" s="123" t="n"/>
    </row>
    <row r="602" ht="15.75" customHeight="1" s="2">
      <c r="M602" s="123" t="n"/>
    </row>
    <row r="603" ht="15.75" customHeight="1" s="2">
      <c r="M603" s="123" t="n"/>
    </row>
    <row r="604" ht="15.75" customHeight="1" s="2">
      <c r="M604" s="123" t="n"/>
    </row>
    <row r="605" ht="15.75" customHeight="1" s="2">
      <c r="M605" s="123" t="n"/>
    </row>
    <row r="606" ht="15.75" customHeight="1" s="2">
      <c r="M606" s="123" t="n"/>
    </row>
    <row r="607" ht="15.75" customHeight="1" s="2">
      <c r="M607" s="123" t="n"/>
    </row>
    <row r="608" ht="15.75" customHeight="1" s="2">
      <c r="M608" s="123" t="n"/>
    </row>
    <row r="609" ht="15.75" customHeight="1" s="2">
      <c r="M609" s="123" t="n"/>
    </row>
    <row r="610" ht="15.75" customHeight="1" s="2">
      <c r="M610" s="123" t="n"/>
    </row>
    <row r="611" ht="15.75" customHeight="1" s="2">
      <c r="M611" s="123" t="n"/>
    </row>
    <row r="612" ht="15.75" customHeight="1" s="2">
      <c r="M612" s="123" t="n"/>
    </row>
    <row r="613" ht="15.75" customHeight="1" s="2">
      <c r="M613" s="123" t="n"/>
    </row>
    <row r="614" ht="15.75" customHeight="1" s="2">
      <c r="M614" s="123" t="n"/>
    </row>
    <row r="615" ht="15.75" customHeight="1" s="2">
      <c r="M615" s="123" t="n"/>
    </row>
    <row r="616" ht="15.75" customHeight="1" s="2">
      <c r="M616" s="123" t="n"/>
    </row>
    <row r="617" ht="15.75" customHeight="1" s="2">
      <c r="M617" s="123" t="n"/>
    </row>
    <row r="618" ht="15.75" customHeight="1" s="2">
      <c r="M618" s="123" t="n"/>
    </row>
    <row r="619" ht="15.75" customHeight="1" s="2">
      <c r="M619" s="123" t="n"/>
    </row>
    <row r="620" ht="15.75" customHeight="1" s="2">
      <c r="M620" s="123" t="n"/>
    </row>
    <row r="621" ht="15.75" customHeight="1" s="2">
      <c r="M621" s="123" t="n"/>
    </row>
    <row r="622" ht="15.75" customHeight="1" s="2">
      <c r="M622" s="123" t="n"/>
    </row>
    <row r="623" ht="15.75" customHeight="1" s="2">
      <c r="M623" s="123" t="n"/>
    </row>
    <row r="624" ht="15.75" customHeight="1" s="2">
      <c r="M624" s="123" t="n"/>
    </row>
    <row r="625" ht="15.75" customHeight="1" s="2">
      <c r="M625" s="123" t="n"/>
    </row>
    <row r="626" ht="15.75" customHeight="1" s="2">
      <c r="M626" s="123" t="n"/>
    </row>
    <row r="627" ht="15.75" customHeight="1" s="2">
      <c r="M627" s="123" t="n"/>
    </row>
    <row r="628" ht="15.75" customHeight="1" s="2">
      <c r="M628" s="123" t="n"/>
    </row>
    <row r="629" ht="15.75" customHeight="1" s="2">
      <c r="M629" s="123" t="n"/>
    </row>
    <row r="630" ht="15.75" customHeight="1" s="2">
      <c r="M630" s="123" t="n"/>
    </row>
    <row r="631" ht="15.75" customHeight="1" s="2">
      <c r="M631" s="123" t="n"/>
    </row>
    <row r="632" ht="15.75" customHeight="1" s="2">
      <c r="M632" s="123" t="n"/>
    </row>
    <row r="633" ht="15.75" customHeight="1" s="2">
      <c r="M633" s="123" t="n"/>
    </row>
    <row r="634" ht="15.75" customHeight="1" s="2">
      <c r="M634" s="123" t="n"/>
    </row>
    <row r="635" ht="15.75" customHeight="1" s="2">
      <c r="M635" s="123" t="n"/>
    </row>
    <row r="636" ht="15.75" customHeight="1" s="2">
      <c r="M636" s="123" t="n"/>
    </row>
    <row r="637" ht="15.75" customHeight="1" s="2">
      <c r="M637" s="123" t="n"/>
    </row>
    <row r="638" ht="15.75" customHeight="1" s="2">
      <c r="M638" s="123" t="n"/>
    </row>
    <row r="639" ht="15.75" customHeight="1" s="2">
      <c r="M639" s="123" t="n"/>
    </row>
    <row r="640" ht="15.75" customHeight="1" s="2">
      <c r="M640" s="123" t="n"/>
    </row>
    <row r="641" ht="15.75" customHeight="1" s="2">
      <c r="M641" s="123" t="n"/>
    </row>
    <row r="642" ht="15.75" customHeight="1" s="2">
      <c r="M642" s="123" t="n"/>
    </row>
    <row r="643" ht="15.75" customHeight="1" s="2">
      <c r="M643" s="123" t="n"/>
    </row>
    <row r="644" ht="15.75" customHeight="1" s="2">
      <c r="M644" s="123" t="n"/>
    </row>
    <row r="645" ht="15.75" customHeight="1" s="2">
      <c r="M645" s="123" t="n"/>
    </row>
    <row r="646" ht="15.75" customHeight="1" s="2">
      <c r="M646" s="123" t="n"/>
    </row>
    <row r="647" ht="15.75" customHeight="1" s="2">
      <c r="M647" s="123" t="n"/>
    </row>
    <row r="648" ht="15.75" customHeight="1" s="2">
      <c r="M648" s="123" t="n"/>
    </row>
    <row r="649" ht="15.75" customHeight="1" s="2">
      <c r="M649" s="123" t="n"/>
    </row>
    <row r="650" ht="15.75" customHeight="1" s="2">
      <c r="M650" s="123" t="n"/>
    </row>
    <row r="651" ht="15.75" customHeight="1" s="2">
      <c r="M651" s="123" t="n"/>
    </row>
    <row r="652" ht="15.75" customHeight="1" s="2">
      <c r="M652" s="123" t="n"/>
    </row>
    <row r="653" ht="15.75" customHeight="1" s="2">
      <c r="M653" s="123" t="n"/>
    </row>
    <row r="654" ht="15.75" customHeight="1" s="2">
      <c r="M654" s="123" t="n"/>
    </row>
    <row r="655" ht="15.75" customHeight="1" s="2">
      <c r="M655" s="123" t="n"/>
    </row>
    <row r="656" ht="15.75" customHeight="1" s="2">
      <c r="M656" s="123" t="n"/>
    </row>
    <row r="657" ht="15.75" customHeight="1" s="2">
      <c r="M657" s="123" t="n"/>
    </row>
    <row r="658" ht="15.75" customHeight="1" s="2">
      <c r="M658" s="123" t="n"/>
    </row>
    <row r="659" ht="15.75" customHeight="1" s="2">
      <c r="M659" s="123" t="n"/>
    </row>
    <row r="660" ht="15.75" customHeight="1" s="2">
      <c r="M660" s="123" t="n"/>
    </row>
    <row r="661" ht="15.75" customHeight="1" s="2">
      <c r="M661" s="123" t="n"/>
    </row>
    <row r="662" ht="15.75" customHeight="1" s="2">
      <c r="M662" s="123" t="n"/>
    </row>
    <row r="663" ht="15.75" customHeight="1" s="2">
      <c r="M663" s="123" t="n"/>
    </row>
    <row r="664" ht="15.75" customHeight="1" s="2">
      <c r="M664" s="123" t="n"/>
    </row>
    <row r="665" ht="15.75" customHeight="1" s="2">
      <c r="M665" s="123" t="n"/>
    </row>
    <row r="666" ht="15.75" customHeight="1" s="2">
      <c r="M666" s="123" t="n"/>
    </row>
    <row r="667" ht="15.75" customHeight="1" s="2">
      <c r="M667" s="123" t="n"/>
    </row>
    <row r="668" ht="15.75" customHeight="1" s="2">
      <c r="M668" s="123" t="n"/>
    </row>
    <row r="669" ht="15.75" customHeight="1" s="2">
      <c r="M669" s="123" t="n"/>
    </row>
    <row r="670" ht="15.75" customHeight="1" s="2">
      <c r="M670" s="123" t="n"/>
    </row>
    <row r="671" ht="15.75" customHeight="1" s="2">
      <c r="M671" s="123" t="n"/>
    </row>
    <row r="672" ht="15.75" customHeight="1" s="2">
      <c r="M672" s="123" t="n"/>
    </row>
    <row r="673" ht="15.75" customHeight="1" s="2">
      <c r="M673" s="123" t="n"/>
    </row>
    <row r="674" ht="15.75" customHeight="1" s="2">
      <c r="M674" s="123" t="n"/>
    </row>
    <row r="675" ht="15.75" customHeight="1" s="2">
      <c r="M675" s="123" t="n"/>
    </row>
    <row r="676" ht="15.75" customHeight="1" s="2">
      <c r="M676" s="123" t="n"/>
    </row>
    <row r="677" ht="15.75" customHeight="1" s="2">
      <c r="M677" s="123" t="n"/>
    </row>
    <row r="678" ht="15.75" customHeight="1" s="2">
      <c r="M678" s="123" t="n"/>
    </row>
    <row r="679" ht="15.75" customHeight="1" s="2">
      <c r="M679" s="123" t="n"/>
    </row>
    <row r="680" ht="15.75" customHeight="1" s="2">
      <c r="M680" s="123" t="n"/>
    </row>
    <row r="681" ht="15.75" customHeight="1" s="2">
      <c r="M681" s="123" t="n"/>
    </row>
    <row r="682" ht="15.75" customHeight="1" s="2">
      <c r="M682" s="123" t="n"/>
    </row>
    <row r="683" ht="15.75" customHeight="1" s="2">
      <c r="M683" s="123" t="n"/>
    </row>
    <row r="684" ht="15.75" customHeight="1" s="2">
      <c r="M684" s="123" t="n"/>
    </row>
    <row r="685" ht="15.75" customHeight="1" s="2">
      <c r="M685" s="123" t="n"/>
    </row>
    <row r="686" ht="15.75" customHeight="1" s="2">
      <c r="M686" s="123" t="n"/>
    </row>
    <row r="687" ht="15.75" customHeight="1" s="2">
      <c r="M687" s="123" t="n"/>
    </row>
    <row r="688" ht="15.75" customHeight="1" s="2">
      <c r="M688" s="123" t="n"/>
    </row>
    <row r="689" ht="15.75" customHeight="1" s="2">
      <c r="M689" s="123" t="n"/>
    </row>
    <row r="690" ht="15.75" customHeight="1" s="2">
      <c r="M690" s="123" t="n"/>
    </row>
    <row r="691" ht="15.75" customHeight="1" s="2">
      <c r="M691" s="123" t="n"/>
    </row>
    <row r="692" ht="15.75" customHeight="1" s="2">
      <c r="M692" s="123" t="n"/>
    </row>
    <row r="693" ht="15.75" customHeight="1" s="2">
      <c r="M693" s="123" t="n"/>
    </row>
    <row r="694" ht="15.75" customHeight="1" s="2">
      <c r="M694" s="123" t="n"/>
    </row>
    <row r="695" ht="15.75" customHeight="1" s="2">
      <c r="M695" s="123" t="n"/>
    </row>
    <row r="696" ht="15.75" customHeight="1" s="2">
      <c r="M696" s="123" t="n"/>
    </row>
    <row r="697" ht="15.75" customHeight="1" s="2">
      <c r="M697" s="123" t="n"/>
    </row>
    <row r="698" ht="15.75" customHeight="1" s="2">
      <c r="M698" s="123" t="n"/>
    </row>
    <row r="699" ht="15.75" customHeight="1" s="2">
      <c r="M699" s="123" t="n"/>
    </row>
    <row r="700" ht="15.75" customHeight="1" s="2">
      <c r="M700" s="123" t="n"/>
    </row>
    <row r="701" ht="15.75" customHeight="1" s="2">
      <c r="M701" s="123" t="n"/>
    </row>
    <row r="702" ht="15.75" customHeight="1" s="2">
      <c r="M702" s="123" t="n"/>
    </row>
    <row r="703" ht="15.75" customHeight="1" s="2">
      <c r="M703" s="123" t="n"/>
    </row>
    <row r="704" ht="15.75" customHeight="1" s="2">
      <c r="M704" s="123" t="n"/>
    </row>
    <row r="705" ht="15.75" customHeight="1" s="2">
      <c r="M705" s="123" t="n"/>
    </row>
    <row r="706" ht="15.75" customHeight="1" s="2">
      <c r="M706" s="123" t="n"/>
    </row>
    <row r="707" ht="15.75" customHeight="1" s="2">
      <c r="M707" s="123" t="n"/>
    </row>
    <row r="708" ht="15.75" customHeight="1" s="2">
      <c r="M708" s="123" t="n"/>
    </row>
    <row r="709" ht="15.75" customHeight="1" s="2">
      <c r="M709" s="123" t="n"/>
    </row>
    <row r="710" ht="15.75" customHeight="1" s="2">
      <c r="M710" s="123" t="n"/>
    </row>
    <row r="711" ht="15.75" customHeight="1" s="2">
      <c r="M711" s="123" t="n"/>
    </row>
    <row r="712" ht="15.75" customHeight="1" s="2">
      <c r="M712" s="123" t="n"/>
    </row>
    <row r="713" ht="15.75" customHeight="1" s="2">
      <c r="M713" s="123" t="n"/>
    </row>
    <row r="714" ht="15.75" customHeight="1" s="2">
      <c r="M714" s="123" t="n"/>
    </row>
    <row r="715" ht="15.75" customHeight="1" s="2">
      <c r="M715" s="123" t="n"/>
    </row>
    <row r="716" ht="15.75" customHeight="1" s="2">
      <c r="M716" s="123" t="n"/>
    </row>
    <row r="717" ht="15.75" customHeight="1" s="2">
      <c r="M717" s="123" t="n"/>
    </row>
    <row r="718" ht="15.75" customHeight="1" s="2">
      <c r="M718" s="123" t="n"/>
    </row>
    <row r="719" ht="15.75" customHeight="1" s="2">
      <c r="M719" s="123" t="n"/>
    </row>
    <row r="720" ht="15.75" customHeight="1" s="2">
      <c r="M720" s="123" t="n"/>
    </row>
    <row r="721" ht="15.75" customHeight="1" s="2">
      <c r="M721" s="123" t="n"/>
    </row>
    <row r="722" ht="15.75" customHeight="1" s="2">
      <c r="M722" s="123" t="n"/>
    </row>
    <row r="723" ht="15.75" customHeight="1" s="2">
      <c r="M723" s="123" t="n"/>
    </row>
    <row r="724" ht="15.75" customHeight="1" s="2">
      <c r="M724" s="123" t="n"/>
    </row>
    <row r="725" ht="15.75" customHeight="1" s="2">
      <c r="M725" s="123" t="n"/>
    </row>
    <row r="726" ht="15.75" customHeight="1" s="2">
      <c r="M726" s="123" t="n"/>
    </row>
    <row r="727" ht="15.75" customHeight="1" s="2">
      <c r="M727" s="123" t="n"/>
    </row>
    <row r="728" ht="15.75" customHeight="1" s="2">
      <c r="M728" s="123" t="n"/>
    </row>
    <row r="729" ht="15.75" customHeight="1" s="2">
      <c r="M729" s="123" t="n"/>
    </row>
    <row r="730" ht="15.75" customHeight="1" s="2">
      <c r="M730" s="123" t="n"/>
    </row>
    <row r="731" ht="15.75" customHeight="1" s="2">
      <c r="M731" s="123" t="n"/>
    </row>
    <row r="732" ht="15.75" customHeight="1" s="2">
      <c r="M732" s="123" t="n"/>
    </row>
    <row r="733" ht="15.75" customHeight="1" s="2">
      <c r="M733" s="123" t="n"/>
    </row>
    <row r="734" ht="15.75" customHeight="1" s="2">
      <c r="M734" s="123" t="n"/>
    </row>
    <row r="735" ht="15.75" customHeight="1" s="2">
      <c r="M735" s="123" t="n"/>
    </row>
    <row r="736" ht="15.75" customHeight="1" s="2">
      <c r="M736" s="123" t="n"/>
    </row>
    <row r="737" ht="15.75" customHeight="1" s="2">
      <c r="M737" s="123" t="n"/>
    </row>
    <row r="738" ht="15.75" customHeight="1" s="2">
      <c r="M738" s="123" t="n"/>
    </row>
    <row r="739" ht="15.75" customHeight="1" s="2">
      <c r="M739" s="123" t="n"/>
    </row>
    <row r="740" ht="15.75" customHeight="1" s="2">
      <c r="M740" s="123" t="n"/>
    </row>
    <row r="741" ht="15.75" customHeight="1" s="2">
      <c r="M741" s="123" t="n"/>
    </row>
    <row r="742" ht="15.75" customHeight="1" s="2">
      <c r="M742" s="123" t="n"/>
    </row>
    <row r="743" ht="15.75" customHeight="1" s="2">
      <c r="M743" s="123" t="n"/>
    </row>
    <row r="744" ht="15.75" customHeight="1" s="2">
      <c r="M744" s="123" t="n"/>
    </row>
    <row r="745" ht="15.75" customHeight="1" s="2">
      <c r="M745" s="123" t="n"/>
    </row>
    <row r="746" ht="15.75" customHeight="1" s="2">
      <c r="M746" s="123" t="n"/>
    </row>
    <row r="747" ht="15.75" customHeight="1" s="2">
      <c r="M747" s="123" t="n"/>
    </row>
    <row r="748" ht="15.75" customHeight="1" s="2">
      <c r="M748" s="123" t="n"/>
    </row>
    <row r="749" ht="15.75" customHeight="1" s="2">
      <c r="M749" s="123" t="n"/>
    </row>
    <row r="750" ht="15.75" customHeight="1" s="2">
      <c r="M750" s="123" t="n"/>
    </row>
    <row r="751" ht="15.75" customHeight="1" s="2">
      <c r="M751" s="123" t="n"/>
    </row>
    <row r="752" ht="15.75" customHeight="1" s="2">
      <c r="M752" s="123" t="n"/>
    </row>
    <row r="753" ht="15.75" customHeight="1" s="2">
      <c r="M753" s="123" t="n"/>
    </row>
    <row r="754" ht="15.75" customHeight="1" s="2">
      <c r="M754" s="123" t="n"/>
    </row>
    <row r="755" ht="15.75" customHeight="1" s="2">
      <c r="M755" s="123" t="n"/>
    </row>
    <row r="756" ht="15.75" customHeight="1" s="2">
      <c r="M756" s="123" t="n"/>
    </row>
    <row r="757" ht="15.75" customHeight="1" s="2">
      <c r="M757" s="123" t="n"/>
    </row>
    <row r="758" ht="15.75" customHeight="1" s="2">
      <c r="M758" s="123" t="n"/>
    </row>
    <row r="759" ht="15.75" customHeight="1" s="2">
      <c r="M759" s="123" t="n"/>
    </row>
    <row r="760" ht="15.75" customHeight="1" s="2">
      <c r="M760" s="123" t="n"/>
    </row>
    <row r="761" ht="15.75" customHeight="1" s="2">
      <c r="M761" s="123" t="n"/>
    </row>
    <row r="762" ht="15.75" customHeight="1" s="2">
      <c r="M762" s="123" t="n"/>
    </row>
    <row r="763" ht="15.75" customHeight="1" s="2">
      <c r="M763" s="123" t="n"/>
    </row>
    <row r="764" ht="15.75" customHeight="1" s="2">
      <c r="M764" s="123" t="n"/>
    </row>
    <row r="765" ht="15.75" customHeight="1" s="2">
      <c r="M765" s="123" t="n"/>
    </row>
    <row r="766" ht="15.75" customHeight="1" s="2">
      <c r="M766" s="123" t="n"/>
    </row>
    <row r="767" ht="15.75" customHeight="1" s="2">
      <c r="M767" s="123" t="n"/>
    </row>
    <row r="768" ht="15.75" customHeight="1" s="2">
      <c r="M768" s="123" t="n"/>
    </row>
    <row r="769" ht="15.75" customHeight="1" s="2">
      <c r="M769" s="123" t="n"/>
    </row>
    <row r="770" ht="15.75" customHeight="1" s="2">
      <c r="M770" s="123" t="n"/>
    </row>
    <row r="771" ht="15.75" customHeight="1" s="2">
      <c r="M771" s="123" t="n"/>
    </row>
    <row r="772" ht="15.75" customHeight="1" s="2">
      <c r="M772" s="123" t="n"/>
    </row>
    <row r="773" ht="15.75" customHeight="1" s="2">
      <c r="M773" s="123" t="n"/>
    </row>
    <row r="774" ht="15.75" customHeight="1" s="2">
      <c r="M774" s="123" t="n"/>
    </row>
    <row r="775" ht="15.75" customHeight="1" s="2">
      <c r="M775" s="123" t="n"/>
    </row>
    <row r="776" ht="15.75" customHeight="1" s="2">
      <c r="M776" s="123" t="n"/>
    </row>
    <row r="777" ht="15.75" customHeight="1" s="2">
      <c r="M777" s="123" t="n"/>
    </row>
    <row r="778" ht="15.75" customHeight="1" s="2">
      <c r="M778" s="123" t="n"/>
    </row>
    <row r="779" ht="15.75" customHeight="1" s="2">
      <c r="M779" s="123" t="n"/>
    </row>
    <row r="780" ht="15.75" customHeight="1" s="2">
      <c r="M780" s="123" t="n"/>
    </row>
    <row r="781" ht="15.75" customHeight="1" s="2">
      <c r="M781" s="123" t="n"/>
    </row>
    <row r="782" ht="15.75" customHeight="1" s="2">
      <c r="M782" s="123" t="n"/>
    </row>
    <row r="783" ht="15.75" customHeight="1" s="2">
      <c r="M783" s="123" t="n"/>
    </row>
    <row r="784" ht="15.75" customHeight="1" s="2">
      <c r="M784" s="123" t="n"/>
    </row>
    <row r="785" ht="15.75" customHeight="1" s="2">
      <c r="M785" s="123" t="n"/>
    </row>
    <row r="786" ht="15.75" customHeight="1" s="2">
      <c r="M786" s="123" t="n"/>
    </row>
    <row r="787" ht="15.75" customHeight="1" s="2">
      <c r="M787" s="123" t="n"/>
    </row>
    <row r="788" ht="15.75" customHeight="1" s="2">
      <c r="M788" s="123" t="n"/>
    </row>
    <row r="789" ht="15.75" customHeight="1" s="2">
      <c r="M789" s="123" t="n"/>
    </row>
    <row r="790" ht="15.75" customHeight="1" s="2">
      <c r="M790" s="123" t="n"/>
    </row>
    <row r="791" ht="15.75" customHeight="1" s="2">
      <c r="M791" s="123" t="n"/>
    </row>
    <row r="792" ht="15.75" customHeight="1" s="2">
      <c r="M792" s="123" t="n"/>
    </row>
    <row r="793" ht="15.75" customHeight="1" s="2">
      <c r="M793" s="123" t="n"/>
    </row>
    <row r="794" ht="15.75" customHeight="1" s="2">
      <c r="M794" s="123" t="n"/>
    </row>
    <row r="795" ht="15.75" customHeight="1" s="2">
      <c r="M795" s="123" t="n"/>
    </row>
    <row r="796" ht="15.75" customHeight="1" s="2">
      <c r="M796" s="123" t="n"/>
    </row>
    <row r="797" ht="15.75" customHeight="1" s="2">
      <c r="M797" s="123" t="n"/>
    </row>
    <row r="798" ht="15.75" customHeight="1" s="2">
      <c r="M798" s="123" t="n"/>
    </row>
    <row r="799" ht="15.75" customHeight="1" s="2">
      <c r="M799" s="123" t="n"/>
    </row>
    <row r="800" ht="15.75" customHeight="1" s="2">
      <c r="M800" s="123" t="n"/>
    </row>
    <row r="801" ht="15.75" customHeight="1" s="2">
      <c r="M801" s="123" t="n"/>
    </row>
    <row r="802" ht="15.75" customHeight="1" s="2">
      <c r="M802" s="123" t="n"/>
    </row>
    <row r="803" ht="15.75" customHeight="1" s="2">
      <c r="M803" s="123" t="n"/>
    </row>
    <row r="804" ht="15.75" customHeight="1" s="2">
      <c r="M804" s="123" t="n"/>
    </row>
    <row r="805" ht="15.75" customHeight="1" s="2">
      <c r="M805" s="123" t="n"/>
    </row>
    <row r="806" ht="15.75" customHeight="1" s="2">
      <c r="M806" s="123" t="n"/>
    </row>
    <row r="807" ht="15.75" customHeight="1" s="2">
      <c r="M807" s="123" t="n"/>
    </row>
    <row r="808" ht="15.75" customHeight="1" s="2">
      <c r="M808" s="123" t="n"/>
    </row>
    <row r="809" ht="15.75" customHeight="1" s="2">
      <c r="M809" s="123" t="n"/>
    </row>
    <row r="810" ht="15.75" customHeight="1" s="2">
      <c r="M810" s="123" t="n"/>
    </row>
    <row r="811" ht="15.75" customHeight="1" s="2">
      <c r="M811" s="123" t="n"/>
    </row>
    <row r="812" ht="15.75" customHeight="1" s="2">
      <c r="M812" s="123" t="n"/>
    </row>
    <row r="813" ht="15.75" customHeight="1" s="2">
      <c r="M813" s="123" t="n"/>
    </row>
    <row r="814" ht="15.75" customHeight="1" s="2">
      <c r="M814" s="123" t="n"/>
    </row>
    <row r="815" ht="15.75" customHeight="1" s="2">
      <c r="M815" s="123" t="n"/>
    </row>
    <row r="816" ht="15.75" customHeight="1" s="2">
      <c r="M816" s="123" t="n"/>
    </row>
    <row r="817" ht="15.75" customHeight="1" s="2">
      <c r="M817" s="123" t="n"/>
    </row>
    <row r="818" ht="15.75" customHeight="1" s="2">
      <c r="M818" s="123" t="n"/>
    </row>
    <row r="819" ht="15.75" customHeight="1" s="2">
      <c r="M819" s="123" t="n"/>
    </row>
    <row r="820" ht="15.75" customHeight="1" s="2">
      <c r="M820" s="123" t="n"/>
    </row>
    <row r="821" ht="15.75" customHeight="1" s="2">
      <c r="M821" s="123" t="n"/>
    </row>
    <row r="822" ht="15.75" customHeight="1" s="2">
      <c r="M822" s="123" t="n"/>
    </row>
    <row r="823" ht="15.75" customHeight="1" s="2">
      <c r="M823" s="123" t="n"/>
    </row>
    <row r="824" ht="15.75" customHeight="1" s="2">
      <c r="M824" s="123" t="n"/>
    </row>
    <row r="825" ht="15.75" customHeight="1" s="2">
      <c r="M825" s="123" t="n"/>
    </row>
    <row r="826" ht="15.75" customHeight="1" s="2">
      <c r="M826" s="123" t="n"/>
    </row>
    <row r="827" ht="15.75" customHeight="1" s="2">
      <c r="M827" s="123" t="n"/>
    </row>
    <row r="828" ht="15.75" customHeight="1" s="2">
      <c r="M828" s="123" t="n"/>
    </row>
    <row r="829" ht="15.75" customHeight="1" s="2">
      <c r="M829" s="123" t="n"/>
    </row>
    <row r="830" ht="15.75" customHeight="1" s="2">
      <c r="M830" s="123" t="n"/>
    </row>
    <row r="831" ht="15.75" customHeight="1" s="2">
      <c r="M831" s="123" t="n"/>
    </row>
    <row r="832" ht="15.75" customHeight="1" s="2">
      <c r="M832" s="123" t="n"/>
    </row>
    <row r="833" ht="15.75" customHeight="1" s="2">
      <c r="M833" s="123" t="n"/>
    </row>
    <row r="834" ht="15.75" customHeight="1" s="2">
      <c r="M834" s="123" t="n"/>
    </row>
    <row r="835" ht="15.75" customHeight="1" s="2">
      <c r="M835" s="123" t="n"/>
    </row>
    <row r="836" ht="15.75" customHeight="1" s="2">
      <c r="M836" s="123" t="n"/>
    </row>
    <row r="837" ht="15.75" customHeight="1" s="2">
      <c r="M837" s="123" t="n"/>
    </row>
    <row r="838" ht="15.75" customHeight="1" s="2">
      <c r="M838" s="123" t="n"/>
    </row>
    <row r="839" ht="15.75" customHeight="1" s="2">
      <c r="M839" s="123" t="n"/>
    </row>
    <row r="840" ht="15.75" customHeight="1" s="2">
      <c r="M840" s="123" t="n"/>
    </row>
    <row r="841" ht="15.75" customHeight="1" s="2">
      <c r="M841" s="123" t="n"/>
    </row>
    <row r="842" ht="15.75" customHeight="1" s="2">
      <c r="M842" s="123" t="n"/>
    </row>
    <row r="843" ht="15.75" customHeight="1" s="2">
      <c r="M843" s="123" t="n"/>
    </row>
    <row r="844" ht="15.75" customHeight="1" s="2">
      <c r="M844" s="123" t="n"/>
    </row>
    <row r="845" ht="15.75" customHeight="1" s="2">
      <c r="M845" s="123" t="n"/>
    </row>
    <row r="846" ht="15.75" customHeight="1" s="2">
      <c r="M846" s="123" t="n"/>
    </row>
    <row r="847" ht="15.75" customHeight="1" s="2">
      <c r="M847" s="123" t="n"/>
    </row>
    <row r="848" ht="15.75" customHeight="1" s="2">
      <c r="M848" s="123" t="n"/>
    </row>
    <row r="849" ht="15.75" customHeight="1" s="2">
      <c r="M849" s="123" t="n"/>
    </row>
    <row r="850" ht="15.75" customHeight="1" s="2">
      <c r="M850" s="123" t="n"/>
    </row>
    <row r="851" ht="15.75" customHeight="1" s="2">
      <c r="M851" s="123" t="n"/>
    </row>
    <row r="852" ht="15.75" customHeight="1" s="2">
      <c r="M852" s="123" t="n"/>
    </row>
    <row r="853" ht="15.75" customHeight="1" s="2">
      <c r="M853" s="123" t="n"/>
    </row>
    <row r="854" ht="15.75" customHeight="1" s="2">
      <c r="M854" s="123" t="n"/>
    </row>
    <row r="855" ht="15.75" customHeight="1" s="2">
      <c r="M855" s="123" t="n"/>
    </row>
    <row r="856" ht="15.75" customHeight="1" s="2">
      <c r="M856" s="123" t="n"/>
    </row>
    <row r="857" ht="15.75" customHeight="1" s="2">
      <c r="M857" s="123" t="n"/>
    </row>
    <row r="858" ht="15.75" customHeight="1" s="2">
      <c r="M858" s="123" t="n"/>
    </row>
    <row r="859" ht="15.75" customHeight="1" s="2">
      <c r="M859" s="123" t="n"/>
    </row>
    <row r="860" ht="15.75" customHeight="1" s="2">
      <c r="M860" s="123" t="n"/>
    </row>
    <row r="861" ht="15.75" customHeight="1" s="2">
      <c r="M861" s="123" t="n"/>
    </row>
    <row r="862" ht="15.75" customHeight="1" s="2">
      <c r="M862" s="123" t="n"/>
    </row>
    <row r="863" ht="15.75" customHeight="1" s="2">
      <c r="M863" s="123" t="n"/>
    </row>
    <row r="864" ht="15.75" customHeight="1" s="2">
      <c r="M864" s="123" t="n"/>
    </row>
    <row r="865" ht="15.75" customHeight="1" s="2">
      <c r="M865" s="123" t="n"/>
    </row>
    <row r="866" ht="15.75" customHeight="1" s="2">
      <c r="M866" s="123" t="n"/>
    </row>
    <row r="867" ht="15.75" customHeight="1" s="2">
      <c r="M867" s="123" t="n"/>
    </row>
    <row r="868" ht="15.75" customHeight="1" s="2">
      <c r="M868" s="123" t="n"/>
    </row>
    <row r="869" ht="15.75" customHeight="1" s="2">
      <c r="M869" s="123" t="n"/>
    </row>
    <row r="870" ht="15.75" customHeight="1" s="2">
      <c r="M870" s="123" t="n"/>
    </row>
    <row r="871" ht="15.75" customHeight="1" s="2">
      <c r="M871" s="123" t="n"/>
    </row>
    <row r="872" ht="15.75" customHeight="1" s="2">
      <c r="M872" s="123" t="n"/>
    </row>
    <row r="873" ht="15.75" customHeight="1" s="2">
      <c r="M873" s="123" t="n"/>
    </row>
    <row r="874" ht="15.75" customHeight="1" s="2">
      <c r="M874" s="123" t="n"/>
    </row>
    <row r="875" ht="15.75" customHeight="1" s="2">
      <c r="M875" s="123" t="n"/>
    </row>
    <row r="876" ht="15.75" customHeight="1" s="2">
      <c r="M876" s="123" t="n"/>
    </row>
    <row r="877" ht="15.75" customHeight="1" s="2">
      <c r="M877" s="123" t="n"/>
    </row>
    <row r="878" ht="15.75" customHeight="1" s="2">
      <c r="M878" s="123" t="n"/>
    </row>
    <row r="879" ht="15.75" customHeight="1" s="2">
      <c r="M879" s="123" t="n"/>
    </row>
    <row r="880" ht="15.75" customHeight="1" s="2">
      <c r="M880" s="123" t="n"/>
    </row>
    <row r="881" ht="15.75" customHeight="1" s="2">
      <c r="M881" s="123" t="n"/>
    </row>
    <row r="882" ht="15.75" customHeight="1" s="2">
      <c r="M882" s="123" t="n"/>
    </row>
    <row r="883" ht="15.75" customHeight="1" s="2">
      <c r="M883" s="123" t="n"/>
    </row>
    <row r="884" ht="15.75" customHeight="1" s="2">
      <c r="M884" s="123" t="n"/>
    </row>
    <row r="885" ht="15.75" customHeight="1" s="2">
      <c r="M885" s="123" t="n"/>
    </row>
    <row r="886" ht="15.75" customHeight="1" s="2">
      <c r="M886" s="123" t="n"/>
    </row>
    <row r="887" ht="15.75" customHeight="1" s="2">
      <c r="M887" s="123" t="n"/>
    </row>
    <row r="888" ht="15.75" customHeight="1" s="2">
      <c r="M888" s="123" t="n"/>
    </row>
    <row r="889" ht="15.75" customHeight="1" s="2">
      <c r="M889" s="123" t="n"/>
    </row>
    <row r="890" ht="15.75" customHeight="1" s="2">
      <c r="M890" s="123" t="n"/>
    </row>
    <row r="891" ht="15.75" customHeight="1" s="2">
      <c r="M891" s="123" t="n"/>
    </row>
    <row r="892" ht="15.75" customHeight="1" s="2">
      <c r="M892" s="123" t="n"/>
    </row>
    <row r="893" ht="15.75" customHeight="1" s="2">
      <c r="M893" s="123" t="n"/>
    </row>
    <row r="894" ht="15.75" customHeight="1" s="2">
      <c r="M894" s="123" t="n"/>
    </row>
    <row r="895" ht="15.75" customHeight="1" s="2">
      <c r="M895" s="123" t="n"/>
    </row>
    <row r="896" ht="15.75" customHeight="1" s="2">
      <c r="M896" s="123" t="n"/>
    </row>
    <row r="897" ht="15.75" customHeight="1" s="2">
      <c r="M897" s="123" t="n"/>
    </row>
    <row r="898" ht="15.75" customHeight="1" s="2">
      <c r="M898" s="123" t="n"/>
    </row>
    <row r="899" ht="15.75" customHeight="1" s="2">
      <c r="M899" s="123" t="n"/>
    </row>
    <row r="900" ht="15.75" customHeight="1" s="2">
      <c r="M900" s="123" t="n"/>
    </row>
    <row r="901" ht="15.75" customHeight="1" s="2">
      <c r="M901" s="123" t="n"/>
    </row>
    <row r="902" ht="15.75" customHeight="1" s="2">
      <c r="M902" s="123" t="n"/>
    </row>
    <row r="903" ht="15.75" customHeight="1" s="2">
      <c r="M903" s="123" t="n"/>
    </row>
    <row r="904" ht="15.75" customHeight="1" s="2">
      <c r="M904" s="123" t="n"/>
    </row>
    <row r="905" ht="15.75" customHeight="1" s="2">
      <c r="M905" s="123" t="n"/>
    </row>
    <row r="906" ht="15.75" customHeight="1" s="2">
      <c r="M906" s="123" t="n"/>
    </row>
    <row r="907" ht="15.75" customHeight="1" s="2">
      <c r="M907" s="123" t="n"/>
    </row>
    <row r="908" ht="15.75" customHeight="1" s="2">
      <c r="M908" s="123" t="n"/>
    </row>
    <row r="909" ht="15.75" customHeight="1" s="2">
      <c r="M909" s="123" t="n"/>
    </row>
    <row r="910" ht="15.75" customHeight="1" s="2">
      <c r="M910" s="123" t="n"/>
    </row>
    <row r="911" ht="15.75" customHeight="1" s="2">
      <c r="M911" s="123" t="n"/>
    </row>
    <row r="912" ht="15.75" customHeight="1" s="2">
      <c r="M912" s="123" t="n"/>
    </row>
    <row r="913" ht="15.75" customHeight="1" s="2">
      <c r="M913" s="123" t="n"/>
    </row>
    <row r="914" ht="15.75" customHeight="1" s="2">
      <c r="M914" s="123" t="n"/>
    </row>
    <row r="915" ht="15.75" customHeight="1" s="2">
      <c r="M915" s="123" t="n"/>
    </row>
    <row r="916" ht="15.75" customHeight="1" s="2">
      <c r="M916" s="123" t="n"/>
    </row>
    <row r="917" ht="15.75" customHeight="1" s="2">
      <c r="M917" s="123" t="n"/>
    </row>
    <row r="918" ht="15.75" customHeight="1" s="2">
      <c r="M918" s="123" t="n"/>
    </row>
    <row r="919" ht="15.75" customHeight="1" s="2">
      <c r="M919" s="123" t="n"/>
    </row>
    <row r="920" ht="15.75" customHeight="1" s="2">
      <c r="M920" s="123" t="n"/>
    </row>
    <row r="921" ht="15.75" customHeight="1" s="2">
      <c r="M921" s="123" t="n"/>
    </row>
    <row r="922" ht="15.75" customHeight="1" s="2">
      <c r="M922" s="123" t="n"/>
    </row>
    <row r="923" ht="15.75" customHeight="1" s="2">
      <c r="M923" s="123" t="n"/>
    </row>
    <row r="924" ht="15.75" customHeight="1" s="2">
      <c r="M924" s="123" t="n"/>
    </row>
    <row r="925" ht="15.75" customHeight="1" s="2">
      <c r="M925" s="123" t="n"/>
    </row>
    <row r="926" ht="15.75" customHeight="1" s="2">
      <c r="M926" s="123" t="n"/>
    </row>
    <row r="927" ht="15.75" customHeight="1" s="2">
      <c r="M927" s="123" t="n"/>
    </row>
    <row r="928" ht="15.75" customHeight="1" s="2">
      <c r="M928" s="123" t="n"/>
    </row>
    <row r="929" ht="15.75" customHeight="1" s="2">
      <c r="M929" s="123" t="n"/>
    </row>
    <row r="930" ht="15.75" customHeight="1" s="2">
      <c r="M930" s="123" t="n"/>
    </row>
    <row r="931" ht="15.75" customHeight="1" s="2">
      <c r="M931" s="123" t="n"/>
    </row>
    <row r="932" ht="15.75" customHeight="1" s="2">
      <c r="M932" s="123" t="n"/>
    </row>
    <row r="933" ht="15.75" customHeight="1" s="2">
      <c r="M933" s="123" t="n"/>
    </row>
    <row r="934" ht="15.75" customHeight="1" s="2">
      <c r="M934" s="123" t="n"/>
    </row>
    <row r="935" ht="15.75" customHeight="1" s="2">
      <c r="M935" s="123" t="n"/>
    </row>
    <row r="936" ht="15.75" customHeight="1" s="2">
      <c r="M936" s="123" t="n"/>
    </row>
    <row r="937" ht="15.75" customHeight="1" s="2">
      <c r="M937" s="123" t="n"/>
    </row>
    <row r="938" ht="15.75" customHeight="1" s="2">
      <c r="M938" s="123" t="n"/>
    </row>
    <row r="939" ht="15.75" customHeight="1" s="2">
      <c r="M939" s="123" t="n"/>
    </row>
    <row r="940" ht="15.75" customHeight="1" s="2">
      <c r="M940" s="123" t="n"/>
    </row>
    <row r="941" ht="15.75" customHeight="1" s="2">
      <c r="M941" s="123" t="n"/>
    </row>
    <row r="942" ht="15.75" customHeight="1" s="2">
      <c r="M942" s="123" t="n"/>
    </row>
    <row r="943" ht="15.75" customHeight="1" s="2">
      <c r="M943" s="123" t="n"/>
    </row>
    <row r="944" ht="15.75" customHeight="1" s="2">
      <c r="M944" s="123" t="n"/>
    </row>
    <row r="945" ht="15.75" customHeight="1" s="2">
      <c r="M945" s="123" t="n"/>
    </row>
    <row r="946" ht="15.75" customHeight="1" s="2">
      <c r="M946" s="123" t="n"/>
    </row>
    <row r="947" ht="15.75" customHeight="1" s="2">
      <c r="M947" s="123" t="n"/>
    </row>
    <row r="948" ht="15.75" customHeight="1" s="2">
      <c r="M948" s="123" t="n"/>
    </row>
    <row r="949" ht="15.75" customHeight="1" s="2">
      <c r="M949" s="123" t="n"/>
    </row>
    <row r="950" ht="15.75" customHeight="1" s="2">
      <c r="M950" s="123" t="n"/>
    </row>
    <row r="951" ht="15.75" customHeight="1" s="2">
      <c r="M951" s="123" t="n"/>
    </row>
    <row r="952" ht="15.75" customHeight="1" s="2">
      <c r="M952" s="123" t="n"/>
    </row>
    <row r="953" ht="15.75" customHeight="1" s="2">
      <c r="M953" s="123" t="n"/>
    </row>
    <row r="954" ht="15.75" customHeight="1" s="2">
      <c r="M954" s="123" t="n"/>
    </row>
    <row r="955" ht="15.75" customHeight="1" s="2">
      <c r="M955" s="123" t="n"/>
    </row>
    <row r="956" ht="15.75" customHeight="1" s="2">
      <c r="M956" s="123" t="n"/>
    </row>
    <row r="957" ht="15.75" customHeight="1" s="2">
      <c r="M957" s="123" t="n"/>
    </row>
    <row r="958" ht="15.75" customHeight="1" s="2">
      <c r="M958" s="123" t="n"/>
    </row>
    <row r="959" ht="15.75" customHeight="1" s="2">
      <c r="M959" s="123" t="n"/>
    </row>
    <row r="960" ht="15.75" customHeight="1" s="2">
      <c r="M960" s="123" t="n"/>
    </row>
    <row r="961" ht="15.75" customHeight="1" s="2">
      <c r="M961" s="123" t="n"/>
    </row>
    <row r="962" ht="15.75" customHeight="1" s="2">
      <c r="M962" s="123" t="n"/>
    </row>
    <row r="963" ht="15.75" customHeight="1" s="2">
      <c r="M963" s="123" t="n"/>
    </row>
    <row r="964" ht="15.75" customHeight="1" s="2">
      <c r="M964" s="123" t="n"/>
    </row>
    <row r="965" ht="15.75" customHeight="1" s="2">
      <c r="M965" s="123" t="n"/>
    </row>
    <row r="966" ht="15.75" customHeight="1" s="2">
      <c r="M966" s="123" t="n"/>
    </row>
    <row r="967" ht="15.75" customHeight="1" s="2">
      <c r="M967" s="123" t="n"/>
    </row>
    <row r="968" ht="15.75" customHeight="1" s="2">
      <c r="M968" s="123" t="n"/>
    </row>
    <row r="969" ht="15.75" customHeight="1" s="2">
      <c r="M969" s="123" t="n"/>
    </row>
    <row r="970" ht="15.75" customHeight="1" s="2">
      <c r="M970" s="123" t="n"/>
    </row>
    <row r="971" ht="15.75" customHeight="1" s="2">
      <c r="M971" s="123" t="n"/>
    </row>
    <row r="972" ht="15.75" customHeight="1" s="2">
      <c r="M972" s="123" t="n"/>
    </row>
    <row r="973" ht="15.75" customHeight="1" s="2">
      <c r="M973" s="123" t="n"/>
    </row>
    <row r="974" ht="15.75" customHeight="1" s="2">
      <c r="M974" s="123" t="n"/>
    </row>
    <row r="975" ht="15.75" customHeight="1" s="2">
      <c r="M975" s="123" t="n"/>
    </row>
    <row r="976" ht="15.75" customHeight="1" s="2">
      <c r="M976" s="123" t="n"/>
    </row>
    <row r="977" ht="15.75" customHeight="1" s="2">
      <c r="M977" s="123" t="n"/>
    </row>
    <row r="978" ht="15.75" customHeight="1" s="2">
      <c r="M978" s="123" t="n"/>
    </row>
    <row r="979" ht="15.75" customHeight="1" s="2">
      <c r="M979" s="123" t="n"/>
    </row>
    <row r="980" ht="15.75" customHeight="1" s="2">
      <c r="M980" s="123" t="n"/>
    </row>
    <row r="981" ht="15.75" customHeight="1" s="2">
      <c r="M981" s="123" t="n"/>
    </row>
    <row r="982" ht="15.75" customHeight="1" s="2">
      <c r="M982" s="123" t="n"/>
    </row>
    <row r="983" ht="15.75" customHeight="1" s="2">
      <c r="M983" s="123" t="n"/>
    </row>
    <row r="984" ht="15.75" customHeight="1" s="2">
      <c r="M984" s="123" t="n"/>
    </row>
    <row r="985" ht="15.75" customHeight="1" s="2">
      <c r="M985" s="123" t="n"/>
    </row>
    <row r="986" ht="15.75" customHeight="1" s="2">
      <c r="M986" s="123" t="n"/>
    </row>
    <row r="987" ht="15.75" customHeight="1" s="2">
      <c r="M987" s="123" t="n"/>
    </row>
    <row r="988" ht="15.75" customHeight="1" s="2">
      <c r="M988" s="123" t="n"/>
    </row>
    <row r="989" ht="15.75" customHeight="1" s="2">
      <c r="M989" s="123" t="n"/>
    </row>
    <row r="990" ht="15.75" customHeight="1" s="2">
      <c r="M990" s="123" t="n"/>
    </row>
    <row r="991" ht="15.75" customHeight="1" s="2">
      <c r="M991" s="123" t="n"/>
    </row>
    <row r="992" ht="15.75" customHeight="1" s="2">
      <c r="M992" s="123" t="n"/>
    </row>
    <row r="993" ht="15.75" customHeight="1" s="2">
      <c r="M993" s="123" t="n"/>
    </row>
    <row r="994" ht="15.75" customHeight="1" s="2">
      <c r="M994" s="123" t="n"/>
    </row>
    <row r="995" ht="15.75" customHeight="1" s="2">
      <c r="M995" s="123" t="n"/>
    </row>
    <row r="996" ht="15.75" customHeight="1" s="2">
      <c r="M996" s="123" t="n"/>
    </row>
    <row r="997" ht="15.75" customHeight="1" s="2">
      <c r="M997" s="123" t="n"/>
    </row>
    <row r="998" ht="15.75" customHeight="1" s="2">
      <c r="M998" s="123" t="n"/>
    </row>
    <row r="999" ht="15.75" customHeight="1" s="2">
      <c r="M999" s="123" t="n"/>
    </row>
    <row r="1000" ht="15.75" customHeight="1" s="2">
      <c r="M1000" s="123" t="n"/>
    </row>
  </sheetData>
  <conditionalFormatting sqref="Q5:Q3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G30"/>
  <sheetViews>
    <sheetView zoomScale="100" workbookViewId="0">
      <selection activeCell="D29" activeCellId="0" sqref="D29"/>
    </sheetView>
  </sheetViews>
  <sheetFormatPr baseColWidth="8" defaultRowHeight="14.25"/>
  <cols>
    <col width="34" bestFit="1" customWidth="1" style="2" min="1" max="1"/>
    <col width="23.42578125" customWidth="1" style="2" min="2" max="2"/>
    <col width="23.28515625" bestFit="1" customWidth="1" style="2" min="3" max="3"/>
    <col width="23" bestFit="1" customWidth="1" style="2" min="4" max="4"/>
    <col width="21" bestFit="1" customWidth="1" style="2" min="5" max="5"/>
    <col width="16.140625" customWidth="1" style="2" min="7" max="7"/>
  </cols>
  <sheetData>
    <row r="3">
      <c r="A3" s="136" t="inlineStr">
        <is>
          <t>Названия строк</t>
        </is>
      </c>
      <c r="B3" t="inlineStr">
        <is>
          <t>Среднее по полю осень</t>
        </is>
      </c>
      <c r="C3" t="inlineStr">
        <is>
          <t>Среднее по полю весна</t>
        </is>
      </c>
      <c r="D3" t="inlineStr">
        <is>
          <t>Среднее по полю всего</t>
        </is>
      </c>
      <c r="E3" t="inlineStr">
        <is>
          <t>Среднее по полю 830</t>
        </is>
      </c>
    </row>
    <row r="4">
      <c r="A4" s="97" t="inlineStr">
        <is>
          <t>Александрова Светлана Сергеевна</t>
        </is>
      </c>
      <c r="B4" t="n">
        <v>205</v>
      </c>
      <c r="C4" t="n">
        <v>112</v>
      </c>
      <c r="D4" t="n">
        <v>317</v>
      </c>
      <c r="E4" s="133" t="n">
        <v>0.3819277108433736</v>
      </c>
    </row>
    <row r="5">
      <c r="A5" s="97" t="inlineStr">
        <is>
          <t>Климов Константин Николаевич</t>
        </is>
      </c>
      <c r="B5" t="n">
        <v>299</v>
      </c>
      <c r="C5" t="n">
        <v>160</v>
      </c>
      <c r="D5" t="n">
        <v>459</v>
      </c>
      <c r="E5" s="133" t="n">
        <v>0.5530120481927713</v>
      </c>
    </row>
    <row r="6">
      <c r="A6" s="97" t="inlineStr">
        <is>
          <t>Бухаров Сергей Викторович</t>
        </is>
      </c>
      <c r="B6" t="n">
        <v>230</v>
      </c>
      <c r="C6" t="n">
        <v>121.18</v>
      </c>
      <c r="D6" t="n">
        <v>351.1800000000001</v>
      </c>
      <c r="E6" s="133" t="n">
        <v>0.4231084337349398</v>
      </c>
    </row>
    <row r="7">
      <c r="A7" s="97" t="inlineStr">
        <is>
          <t>Луценко Александр Владимирович</t>
        </is>
      </c>
      <c r="B7" t="n">
        <v>103</v>
      </c>
      <c r="C7" t="n">
        <v>179</v>
      </c>
      <c r="D7" t="n">
        <v>282</v>
      </c>
      <c r="E7" s="133" t="n">
        <v>0.3397590361445783</v>
      </c>
    </row>
    <row r="8">
      <c r="A8" s="97" t="inlineStr">
        <is>
          <t>Дворецкий Виктор Васильевич</t>
        </is>
      </c>
      <c r="B8" t="n">
        <v>164</v>
      </c>
      <c r="C8" t="n">
        <v>241</v>
      </c>
      <c r="D8" t="n">
        <v>405</v>
      </c>
      <c r="E8" s="133" t="n">
        <v>0.4879518072289156</v>
      </c>
    </row>
    <row r="9">
      <c r="A9" s="97" t="inlineStr">
        <is>
          <t>Гвоздарев Роман Сергеевич</t>
        </is>
      </c>
      <c r="B9" t="n">
        <v>54</v>
      </c>
      <c r="C9" t="n">
        <v>158.18</v>
      </c>
      <c r="D9" t="n">
        <v>212.18</v>
      </c>
      <c r="E9" s="133" t="n">
        <v>0.2556385542168675</v>
      </c>
    </row>
    <row r="10">
      <c r="A10" s="97" t="inlineStr">
        <is>
          <t>Истомина Наталья Леонидовна</t>
        </is>
      </c>
      <c r="B10" t="n">
        <v>160.33</v>
      </c>
      <c r="C10" t="n">
        <v>148.33</v>
      </c>
      <c r="D10" t="n">
        <v>308.6599999999999</v>
      </c>
      <c r="E10" s="133" t="n">
        <v>0.371879518072289</v>
      </c>
    </row>
    <row r="11">
      <c r="A11" s="97" t="inlineStr">
        <is>
          <t>Белевцев Андрей Михайлович</t>
        </is>
      </c>
      <c r="B11" t="n">
        <v>96</v>
      </c>
      <c r="C11" t="n">
        <v>367</v>
      </c>
      <c r="D11" t="n">
        <v>463</v>
      </c>
      <c r="E11" s="133" t="n">
        <v>0.5578313253012048</v>
      </c>
      <c r="G11">
        <f>GETPIVOTDATA("Среднее по полю 830",$A$3,"ФИО","Александрова Светлана Сергеевна")+GETPIVOTDATA("Среднее по полю 830",$A$3,"ФИО","Бендеркий Геннадий Петрович")+GETPIVOTDATA("Среднее по полю 830",$A$3,"ФИО","Власенко Артем Николаевич")+GETPIVOTDATA("Среднее по полю 830",$A$3,"ФИО",".")</f>
        <v/>
      </c>
    </row>
    <row r="12">
      <c r="A12" s="97" t="inlineStr">
        <is>
          <t>Дрягин Иван Олегович</t>
        </is>
      </c>
      <c r="B12" t="n">
        <v>143</v>
      </c>
      <c r="C12" t="n">
        <v>196</v>
      </c>
      <c r="D12" t="n">
        <v>339</v>
      </c>
      <c r="E12" s="133" t="n">
        <v>0.408433734939759</v>
      </c>
      <c r="G12">
        <f>G11*0.15</f>
        <v/>
      </c>
    </row>
    <row r="13">
      <c r="A13" s="97" t="inlineStr">
        <is>
          <t>Анферова Маргарита Сергеевна</t>
        </is>
      </c>
      <c r="B13" t="n">
        <v>128</v>
      </c>
      <c r="C13" t="n">
        <v>130</v>
      </c>
      <c r="D13" t="n">
        <v>258</v>
      </c>
      <c r="E13" s="133" t="n">
        <v>0.3108433734939759</v>
      </c>
      <c r="G13">
        <f>G11-G12</f>
        <v/>
      </c>
    </row>
    <row r="14">
      <c r="A14" s="97" t="inlineStr">
        <is>
          <t>Молостова Юлия Михайловна</t>
        </is>
      </c>
      <c r="B14" t="n">
        <v>47</v>
      </c>
      <c r="C14" t="n">
        <v>89</v>
      </c>
      <c r="D14" t="n">
        <v>136</v>
      </c>
      <c r="E14" s="133" t="n">
        <v>0.163855421686747</v>
      </c>
    </row>
    <row r="15">
      <c r="A15" s="97" t="inlineStr">
        <is>
          <t>Воронин Павел Александрович</t>
        </is>
      </c>
      <c r="B15" t="n">
        <v>97</v>
      </c>
      <c r="C15" t="n">
        <v>80</v>
      </c>
      <c r="D15" t="n">
        <v>177</v>
      </c>
      <c r="E15" s="133" t="n">
        <v>0.2132530120481928</v>
      </c>
    </row>
    <row r="16">
      <c r="A16" s="97" t="inlineStr">
        <is>
          <t>Садреев Фарид Гайнутдинович</t>
        </is>
      </c>
      <c r="B16" t="n">
        <v>51.67</v>
      </c>
      <c r="C16" t="n">
        <v>225.03</v>
      </c>
      <c r="D16" t="n">
        <v>276.7</v>
      </c>
      <c r="E16" s="133" t="n">
        <v>0.3333734939759037</v>
      </c>
    </row>
    <row r="17">
      <c r="A17" s="97" t="inlineStr">
        <is>
          <t>Левашова Дарья Вячеславовна</t>
        </is>
      </c>
      <c r="B17" t="n">
        <v>0</v>
      </c>
      <c r="C17" t="n">
        <v>24</v>
      </c>
      <c r="D17" t="n">
        <v>24</v>
      </c>
      <c r="E17" s="133" t="n">
        <v>0.02891566265060241</v>
      </c>
    </row>
    <row r="18">
      <c r="A18" s="97" t="inlineStr">
        <is>
          <t xml:space="preserve">Бендерский Геннадий Петрович </t>
        </is>
      </c>
      <c r="B18" t="n">
        <v>75.33</v>
      </c>
      <c r="C18" t="n">
        <v>221.33</v>
      </c>
      <c r="D18" t="n">
        <v>296.6599999999999</v>
      </c>
      <c r="E18" s="133" t="n">
        <v>0.3574216867469878</v>
      </c>
    </row>
    <row r="19">
      <c r="A19" s="97" t="inlineStr">
        <is>
          <t xml:space="preserve">Власенко Артем Николаевич </t>
        </is>
      </c>
      <c r="B19" t="n">
        <v>334</v>
      </c>
      <c r="C19" t="n">
        <v>215</v>
      </c>
      <c r="D19" t="n">
        <v>549</v>
      </c>
      <c r="E19" s="133" t="n">
        <v>0.6614457831325306</v>
      </c>
    </row>
    <row r="20">
      <c r="A20" s="97" t="inlineStr">
        <is>
          <t xml:space="preserve">Крючков Василий Леонидович </t>
        </is>
      </c>
      <c r="B20" t="n">
        <v>206</v>
      </c>
      <c r="C20" t="n">
        <v>110</v>
      </c>
      <c r="D20" t="n">
        <v>316</v>
      </c>
      <c r="E20" s="133" t="n">
        <v>0.3807228915662649</v>
      </c>
    </row>
    <row r="21">
      <c r="A21" s="97" t="inlineStr">
        <is>
          <t xml:space="preserve">Кубрин Владимир Иванович </t>
        </is>
      </c>
      <c r="B21" t="n">
        <v>270.67</v>
      </c>
      <c r="C21" t="n">
        <v>355.0300000000001</v>
      </c>
      <c r="D21" t="n">
        <v>625.7000000000004</v>
      </c>
      <c r="E21" s="133" t="n">
        <v>0.7538554216867474</v>
      </c>
    </row>
    <row r="22">
      <c r="A22" s="97" t="inlineStr">
        <is>
          <t xml:space="preserve">Садковская Наталия Евгеньевна </t>
        </is>
      </c>
      <c r="B22" t="n">
        <v>332.33</v>
      </c>
      <c r="C22" t="n">
        <v>309.88</v>
      </c>
      <c r="D22" t="n">
        <v>642.2099999999995</v>
      </c>
      <c r="E22" s="133" t="n">
        <v>0.773746987951807</v>
      </c>
    </row>
    <row r="23">
      <c r="A23" s="97" t="inlineStr">
        <is>
          <t xml:space="preserve">Епанешникова Ирина Кириковна </t>
        </is>
      </c>
      <c r="B23" t="n">
        <v>280.67</v>
      </c>
      <c r="C23" t="n">
        <v>392.03</v>
      </c>
      <c r="D23" t="n">
        <v>672.7000000000002</v>
      </c>
      <c r="E23" s="133" t="n">
        <v>0.8104819277108429</v>
      </c>
    </row>
    <row r="24">
      <c r="A24" s="97" t="inlineStr">
        <is>
          <t>Общий итог</t>
        </is>
      </c>
      <c r="B24" t="n">
        <v>203.4459776536313</v>
      </c>
      <c r="C24" t="n">
        <v>219.3498324022347</v>
      </c>
      <c r="D24" t="n">
        <v>422.7958100558668</v>
      </c>
      <c r="E24" s="133" t="n">
        <v>0.5093925422359833</v>
      </c>
    </row>
    <row r="30">
      <c r="E30" s="133">
        <f>SUM(E4:E24)</f>
        <v/>
      </c>
    </row>
  </sheetData>
  <printOptions headings="0" gridLines="0"/>
  <pageMargins left="0.7" right="0.7" top="0.75" bottom="0.75" header="0.3" footer="0.3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J25"/>
  <sheetViews>
    <sheetView zoomScale="100" workbookViewId="0">
      <selection activeCell="D33" activeCellId="0" sqref="D33"/>
    </sheetView>
  </sheetViews>
  <sheetFormatPr baseColWidth="8" defaultRowHeight="14.25"/>
  <cols>
    <col width="34" bestFit="1" customWidth="1" style="2" min="1" max="1"/>
    <col width="8.140625" customWidth="1" style="2" min="2" max="2"/>
    <col width="7.85546875" customWidth="1" style="2" min="3" max="4"/>
    <col width="13.5703125" customWidth="1" style="2" min="5" max="5"/>
    <col hidden="1" width="9.140625" customWidth="1" style="2" min="6" max="6"/>
    <col hidden="1" style="2" min="8" max="8"/>
  </cols>
  <sheetData>
    <row r="3">
      <c r="A3" s="137" t="inlineStr">
        <is>
          <t>Названия строк</t>
        </is>
      </c>
      <c r="B3" s="122" t="inlineStr">
        <is>
          <t>ч.Осень</t>
        </is>
      </c>
      <c r="C3" s="122" t="inlineStr">
        <is>
          <t>ч.Весна</t>
        </is>
      </c>
      <c r="D3" s="122" t="inlineStr">
        <is>
          <t>ч.Итого</t>
        </is>
      </c>
      <c r="E3" s="122" t="inlineStr">
        <is>
          <t>Ставка расчет</t>
        </is>
      </c>
      <c r="F3" s="122" t="n"/>
      <c r="G3" s="122" t="inlineStr">
        <is>
          <t>Ставка</t>
        </is>
      </c>
      <c r="H3" s="122" t="inlineStr">
        <is>
          <t>итого ч</t>
        </is>
      </c>
      <c r="I3" s="122" t="inlineStr">
        <is>
          <t>п/ч</t>
        </is>
      </c>
      <c r="J3" s="138" t="inlineStr">
        <is>
          <t>в приказ</t>
        </is>
      </c>
    </row>
    <row r="4">
      <c r="A4" s="139" t="inlineStr">
        <is>
          <t>Александрова Светлана Сергеевна</t>
        </is>
      </c>
      <c r="B4" s="122" t="n">
        <v>205</v>
      </c>
      <c r="C4" s="122" t="n">
        <v>112</v>
      </c>
      <c r="D4" s="122" t="n">
        <v>317</v>
      </c>
      <c r="E4" s="315" t="n">
        <v>0.3819277108433736</v>
      </c>
      <c r="F4" s="122">
        <f>GETPIVOTDATA("Ставка расчет",$A$3,"ФИО","Александрова Светлана Сергеевна")</f>
        <v/>
      </c>
      <c r="G4" s="130">
        <f>F4*0.93</f>
        <v/>
      </c>
      <c r="H4" s="130">
        <f>GETPIVOTDATA("ч.Итого",$A$3,"ФИО","Александрова Светлана Сергеевна")</f>
        <v/>
      </c>
      <c r="I4" s="141">
        <f>H4-G4*830</f>
        <v/>
      </c>
      <c r="J4" s="142" t="n">
        <v>0.4</v>
      </c>
    </row>
    <row r="5">
      <c r="A5" s="139" t="inlineStr">
        <is>
          <t>Анферова Маргарита Сергеевна</t>
        </is>
      </c>
      <c r="B5" s="122" t="n">
        <v>128</v>
      </c>
      <c r="C5" s="122" t="n">
        <v>130</v>
      </c>
      <c r="D5" s="122" t="n">
        <v>258</v>
      </c>
      <c r="E5" s="315" t="n">
        <v>0.3108433734939759</v>
      </c>
      <c r="F5" s="122">
        <f>GETPIVOTDATA("Ставка расчет",$A$3,"ФИО","Анферова Маргарита Сергеевна")</f>
        <v/>
      </c>
      <c r="G5" s="130">
        <f>F5*0.93</f>
        <v/>
      </c>
      <c r="H5" s="130">
        <f>GETPIVOTDATA("ч.Итого",$A$3,"ФИО","Анферова Маргарита Сергеевна")</f>
        <v/>
      </c>
      <c r="I5" s="141">
        <f>H5-G5*830</f>
        <v/>
      </c>
      <c r="J5" s="142" t="n">
        <v>0.3</v>
      </c>
    </row>
    <row r="6">
      <c r="A6" s="139" t="inlineStr">
        <is>
          <t>Белевцев Андрей Михайлович</t>
        </is>
      </c>
      <c r="B6" s="122" t="n">
        <v>96</v>
      </c>
      <c r="C6" s="122" t="n">
        <v>367</v>
      </c>
      <c r="D6" s="122" t="n">
        <v>463</v>
      </c>
      <c r="E6" s="315" t="n">
        <v>0.5578313253012048</v>
      </c>
      <c r="F6" s="122">
        <f>GETPIVOTDATA("Ставка расчет",$A$3,"ФИО","Белевцев Андрей Михайлович")</f>
        <v/>
      </c>
      <c r="G6" s="130">
        <f>F6*0.93</f>
        <v/>
      </c>
      <c r="H6" s="130">
        <f>GETPIVOTDATA("ч.Итого",$A$3,"ФИО","Белевцев Андрей Михайлович")</f>
        <v/>
      </c>
      <c r="I6" s="141">
        <f>H6-G6*830</f>
        <v/>
      </c>
      <c r="J6" s="142" t="n">
        <v>0.4</v>
      </c>
    </row>
    <row r="7">
      <c r="A7" s="139" t="inlineStr">
        <is>
          <t xml:space="preserve">Бендерский Геннадий Петрович </t>
        </is>
      </c>
      <c r="B7" s="122" t="n">
        <v>75.33</v>
      </c>
      <c r="C7" s="122" t="n">
        <v>221.33</v>
      </c>
      <c r="D7" s="122" t="n">
        <v>296.6599999999999</v>
      </c>
      <c r="E7" s="315" t="n">
        <v>0.3574216867469878</v>
      </c>
      <c r="F7" s="122">
        <f>GETPIVOTDATA("Ставка расчет",$A$3,"ФИО","Бендерский Геннадий Петрович ")</f>
        <v/>
      </c>
      <c r="G7" s="130">
        <f>F7*0.93</f>
        <v/>
      </c>
      <c r="H7" s="130">
        <f>GETPIVOTDATA("ч.Итого",$A$3,"ФИО","Бендерский Геннадий Петрович ")</f>
        <v/>
      </c>
      <c r="I7" s="141">
        <f>H7-G7*830</f>
        <v/>
      </c>
      <c r="J7" s="142" t="n">
        <v>0.3</v>
      </c>
    </row>
    <row r="8">
      <c r="A8" s="139" t="inlineStr">
        <is>
          <t>Бухаров Сергей Викторович</t>
        </is>
      </c>
      <c r="B8" s="122" t="n">
        <v>230</v>
      </c>
      <c r="C8" s="122" t="n">
        <v>121.18</v>
      </c>
      <c r="D8" s="122" t="n">
        <v>351.1800000000001</v>
      </c>
      <c r="E8" s="315" t="n">
        <v>0.4231084337349398</v>
      </c>
      <c r="F8" s="122">
        <f>GETPIVOTDATA("Ставка расчет",$A$3,"ФИО","Бухаров Сергей Викторович")</f>
        <v/>
      </c>
      <c r="G8" s="130">
        <f>F8*0.93</f>
        <v/>
      </c>
      <c r="H8" s="130">
        <f>GETPIVOTDATA("ч.Итого",$A$3,"ФИО","Бухаров Сергей Викторович")</f>
        <v/>
      </c>
      <c r="I8" s="141">
        <f>H8-G8*830</f>
        <v/>
      </c>
      <c r="J8" s="142" t="n">
        <v>0.35</v>
      </c>
    </row>
    <row r="9">
      <c r="A9" s="139" t="inlineStr">
        <is>
          <t xml:space="preserve">Власенко Артем Николаевич </t>
        </is>
      </c>
      <c r="B9" s="122" t="n">
        <v>334</v>
      </c>
      <c r="C9" s="122" t="n">
        <v>215</v>
      </c>
      <c r="D9" s="122" t="n">
        <v>549</v>
      </c>
      <c r="E9" s="315" t="n">
        <v>0.6614457831325306</v>
      </c>
      <c r="F9" s="122">
        <f>GETPIVOTDATA("Ставка расчет",$A$3,"ФИО","Власенко Артем Николаевич ")</f>
        <v/>
      </c>
      <c r="G9" s="130">
        <f>F9*0.93</f>
        <v/>
      </c>
      <c r="H9" s="130">
        <f>GETPIVOTDATA("ч.Итого",$A$3,"ФИО","Власенко Артем Николаевич ")</f>
        <v/>
      </c>
      <c r="I9" s="141">
        <f>H9-G9*830</f>
        <v/>
      </c>
      <c r="J9" s="142" t="n">
        <v>0.75</v>
      </c>
    </row>
    <row r="10">
      <c r="A10" s="139" t="inlineStr">
        <is>
          <t>Воронин Павел Александрович</t>
        </is>
      </c>
      <c r="B10" s="122" t="n">
        <v>97</v>
      </c>
      <c r="C10" s="122" t="n">
        <v>80</v>
      </c>
      <c r="D10" s="122" t="n">
        <v>177</v>
      </c>
      <c r="E10" s="315" t="n">
        <v>0.2132530120481928</v>
      </c>
      <c r="F10" s="122">
        <f>GETPIVOTDATA("Ставка расчет",$A$3,"ФИО","Воронин Павел Александрович")</f>
        <v/>
      </c>
      <c r="G10" s="130">
        <f>F10*0.93</f>
        <v/>
      </c>
      <c r="H10" s="130">
        <f>GETPIVOTDATA("ч.Итого",$A$3,"ФИО","Воронин Павел Александрович")</f>
        <v/>
      </c>
      <c r="I10" s="141">
        <f>H10-G10*830</f>
        <v/>
      </c>
      <c r="J10" s="142" t="n">
        <v>0.4</v>
      </c>
    </row>
    <row r="11">
      <c r="A11" s="139" t="inlineStr">
        <is>
          <t>Гвоздарев Роман Сергеевич</t>
        </is>
      </c>
      <c r="B11" s="122" t="n">
        <v>54</v>
      </c>
      <c r="C11" s="122" t="n">
        <v>158.18</v>
      </c>
      <c r="D11" s="122" t="n">
        <v>212.18</v>
      </c>
      <c r="E11" s="315" t="n">
        <v>0.2556385542168675</v>
      </c>
      <c r="F11" s="122">
        <f>GETPIVOTDATA("Ставка расчет",$A$3,"ФИО","Гвоздарев Роман Сергеевич")</f>
        <v/>
      </c>
      <c r="G11" s="130">
        <f>F11*0.93</f>
        <v/>
      </c>
      <c r="H11" s="130">
        <f>GETPIVOTDATA("ч.Итого",$A$3,"ФИО","Гвоздарев Роман Сергеевич")</f>
        <v/>
      </c>
      <c r="I11" s="141">
        <f>H11-G11*830</f>
        <v/>
      </c>
      <c r="J11" s="142" t="n">
        <v>0.25</v>
      </c>
    </row>
    <row r="12">
      <c r="A12" s="139" t="inlineStr">
        <is>
          <t>Дворецкий Виктор Васильевич</t>
        </is>
      </c>
      <c r="B12" s="122" t="n">
        <v>164</v>
      </c>
      <c r="C12" s="122" t="n">
        <v>241</v>
      </c>
      <c r="D12" s="122" t="n">
        <v>405</v>
      </c>
      <c r="E12" s="315" t="n">
        <v>0.4879518072289156</v>
      </c>
      <c r="F12" s="122">
        <f>GETPIVOTDATA("Ставка расчет",$A$3,"ФИО","Дворецкий Виктор Васильевич")</f>
        <v/>
      </c>
      <c r="G12" s="130">
        <f>F12*0.93</f>
        <v/>
      </c>
      <c r="H12" s="130">
        <f>GETPIVOTDATA("ч.Итого",$A$3,"ФИО","Дворецкий Виктор Васильевич")</f>
        <v/>
      </c>
      <c r="I12" s="141">
        <f>H12-G12*830</f>
        <v/>
      </c>
      <c r="J12" s="142" t="n">
        <v>0.4</v>
      </c>
    </row>
    <row r="13">
      <c r="A13" s="139" t="inlineStr">
        <is>
          <t>Дрягин Иван Олегович</t>
        </is>
      </c>
      <c r="B13" s="122" t="n">
        <v>143</v>
      </c>
      <c r="C13" s="122" t="n">
        <v>196</v>
      </c>
      <c r="D13" s="122" t="n">
        <v>339</v>
      </c>
      <c r="E13" s="315" t="n">
        <v>0.408433734939759</v>
      </c>
      <c r="F13" s="122">
        <f>GETPIVOTDATA("Ставка расчет",$A$3,"ФИО","Дрягин Иван Олегович")</f>
        <v/>
      </c>
      <c r="G13" s="130">
        <f>F13*0.93</f>
        <v/>
      </c>
      <c r="H13" s="130">
        <f>GETPIVOTDATA("ч.Итого",$A$3,"ФИО","Дрягин Иван Олегович")</f>
        <v/>
      </c>
      <c r="I13" s="141">
        <f>H13-G13*830</f>
        <v/>
      </c>
      <c r="J13" s="142" t="n">
        <v>0.4</v>
      </c>
    </row>
    <row r="14">
      <c r="A14" s="139" t="inlineStr">
        <is>
          <t xml:space="preserve">Епанешникова Ирина Кириковна </t>
        </is>
      </c>
      <c r="B14" s="122" t="n">
        <v>280.67</v>
      </c>
      <c r="C14" s="122" t="n">
        <v>392.03</v>
      </c>
      <c r="D14" s="122" t="n">
        <v>672.7000000000002</v>
      </c>
      <c r="E14" s="315" t="n">
        <v>0.8104819277108429</v>
      </c>
      <c r="F14" s="122">
        <f>GETPIVOTDATA("Ставка расчет",$A$3,"ФИО","Епанешникова Ирина Кириковна ")</f>
        <v/>
      </c>
      <c r="G14" s="130">
        <f>F14*0.93</f>
        <v/>
      </c>
      <c r="H14" s="130">
        <f>GETPIVOTDATA("ч.Итого",$A$3,"ФИО","Епанешникова Ирина Кириковна ")</f>
        <v/>
      </c>
      <c r="I14" s="141">
        <f>H14-G14*830</f>
        <v/>
      </c>
      <c r="J14" s="142" t="n">
        <v>0.75</v>
      </c>
    </row>
    <row r="15">
      <c r="A15" s="139" t="inlineStr">
        <is>
          <t>Истомина Наталья Леонидовна</t>
        </is>
      </c>
      <c r="B15" s="122" t="n">
        <v>160.33</v>
      </c>
      <c r="C15" s="122" t="n">
        <v>148.33</v>
      </c>
      <c r="D15" s="122" t="n">
        <v>308.6599999999999</v>
      </c>
      <c r="E15" s="315" t="n">
        <v>0.371879518072289</v>
      </c>
      <c r="F15" s="122">
        <f>GETPIVOTDATA("Ставка расчет",$A$3,"ФИО","Истомина Наталья Леонидовна")</f>
        <v/>
      </c>
      <c r="G15" s="130">
        <f>F15*0.93</f>
        <v/>
      </c>
      <c r="H15" s="130">
        <f>GETPIVOTDATA("ч.Итого",$A$3,"ФИО","Истомина Наталья Леонидовна")</f>
        <v/>
      </c>
      <c r="I15" s="141">
        <f>H15-G15*830</f>
        <v/>
      </c>
      <c r="J15" s="142" t="n">
        <v>0.35</v>
      </c>
    </row>
    <row r="16">
      <c r="A16" s="139" t="inlineStr">
        <is>
          <t>Климов Константин Николаевич</t>
        </is>
      </c>
      <c r="B16" s="122" t="n">
        <v>299</v>
      </c>
      <c r="C16" s="122" t="n">
        <v>160</v>
      </c>
      <c r="D16" s="122" t="n">
        <v>459</v>
      </c>
      <c r="E16" s="315" t="n">
        <v>0.5530120481927713</v>
      </c>
      <c r="F16" s="122">
        <f>GETPIVOTDATA("Ставка расчет",$A$3,"ФИО","Климов Константин Николаевич")</f>
        <v/>
      </c>
      <c r="G16" s="130">
        <f>F16*0.93</f>
        <v/>
      </c>
      <c r="H16" s="130">
        <f>GETPIVOTDATA("ч.Итого",$A$3,"ФИО","Климов Константин Николаевич")</f>
        <v/>
      </c>
      <c r="I16" s="141">
        <f>H16-G16*830</f>
        <v/>
      </c>
      <c r="J16" s="142" t="n">
        <v>0.4</v>
      </c>
    </row>
    <row r="17">
      <c r="A17" s="139" t="inlineStr">
        <is>
          <t xml:space="preserve">Крючков Василий Леонидович </t>
        </is>
      </c>
      <c r="B17" s="122" t="n">
        <v>206</v>
      </c>
      <c r="C17" s="122" t="n">
        <v>110</v>
      </c>
      <c r="D17" s="122" t="n">
        <v>316</v>
      </c>
      <c r="E17" s="315" t="n">
        <v>0.3807228915662649</v>
      </c>
      <c r="F17" s="122">
        <f>GETPIVOTDATA("Ставка расчет",$A$3,"ФИО","Крючков Василий Леонидович ")</f>
        <v/>
      </c>
      <c r="G17" s="130">
        <f>F17*0.93</f>
        <v/>
      </c>
      <c r="H17" s="130">
        <f>GETPIVOTDATA("ч.Итого",$A$3,"ФИО","Крючков Василий Леонидович ")</f>
        <v/>
      </c>
      <c r="I17" s="141">
        <f>H17-G17*830</f>
        <v/>
      </c>
      <c r="J17" s="142" t="n">
        <v>0.35</v>
      </c>
    </row>
    <row r="18">
      <c r="A18" s="139" t="inlineStr">
        <is>
          <t xml:space="preserve">Кубрин Владимир Иванович </t>
        </is>
      </c>
      <c r="B18" s="122" t="n">
        <v>270.67</v>
      </c>
      <c r="C18" s="122" t="n">
        <v>355.0300000000001</v>
      </c>
      <c r="D18" s="122" t="n">
        <v>625.7000000000004</v>
      </c>
      <c r="E18" s="315" t="n">
        <v>0.7538554216867474</v>
      </c>
      <c r="F18" s="122">
        <f>GETPIVOTDATA("Ставка расчет",$A$3,"ФИО","Кубрин Владимир Иванович ")</f>
        <v/>
      </c>
      <c r="G18" s="130">
        <f>F18*0.93</f>
        <v/>
      </c>
      <c r="H18" s="130">
        <f>GETPIVOTDATA("ч.Итого",$A$3,"ФИО","Кубрин Владимир Иванович ")</f>
        <v/>
      </c>
      <c r="I18" s="141">
        <f>H18-G18*830</f>
        <v/>
      </c>
      <c r="J18" s="142" t="n">
        <v>0.7</v>
      </c>
    </row>
    <row r="19">
      <c r="A19" s="139" t="inlineStr">
        <is>
          <t>Левашова Дарья Вячеславовна</t>
        </is>
      </c>
      <c r="B19" s="122" t="n">
        <v>0</v>
      </c>
      <c r="C19" s="122" t="n">
        <v>24</v>
      </c>
      <c r="D19" s="122" t="n">
        <v>24</v>
      </c>
      <c r="E19" s="315" t="n">
        <v>0.02891566265060241</v>
      </c>
      <c r="F19" s="122">
        <f>GETPIVOTDATA("Ставка расчет",$A$3,"ФИО","Левашова Дарья Вячеславовна")</f>
        <v/>
      </c>
      <c r="G19" s="130">
        <f>F19*0.93</f>
        <v/>
      </c>
      <c r="H19" s="130">
        <f>GETPIVOTDATA("ч.Итого",$A$3,"ФИО","Левашова Дарья Вячеславовна")</f>
        <v/>
      </c>
      <c r="I19" s="141">
        <f>H19-G19*830</f>
        <v/>
      </c>
      <c r="J19" s="142" t="n">
        <v>0</v>
      </c>
    </row>
    <row r="20">
      <c r="A20" s="139" t="inlineStr">
        <is>
          <t>Луценко Александр Владимирович</t>
        </is>
      </c>
      <c r="B20" s="122" t="n">
        <v>103</v>
      </c>
      <c r="C20" s="122" t="n">
        <v>179</v>
      </c>
      <c r="D20" s="122" t="n">
        <v>282</v>
      </c>
      <c r="E20" s="315" t="n">
        <v>0.3397590361445783</v>
      </c>
      <c r="F20" s="122">
        <f>GETPIVOTDATA("Ставка расчет",$A$3,"ФИО","Луценко Александр Владимирович")</f>
        <v/>
      </c>
      <c r="G20" s="130">
        <f>F20*0.93</f>
        <v/>
      </c>
      <c r="H20" s="130">
        <f>GETPIVOTDATA("ч.Итого",$A$3,"ФИО","Луценко Александр Владимирович")</f>
        <v/>
      </c>
      <c r="I20" s="141">
        <f>H20-G20*830</f>
        <v/>
      </c>
      <c r="J20" s="142" t="n">
        <v>0.25</v>
      </c>
    </row>
    <row r="21">
      <c r="A21" s="139" t="inlineStr">
        <is>
          <t>Молостова Юлия Михайловна</t>
        </is>
      </c>
      <c r="B21" s="122" t="n">
        <v>47</v>
      </c>
      <c r="C21" s="122" t="n">
        <v>89</v>
      </c>
      <c r="D21" s="122" t="n">
        <v>136</v>
      </c>
      <c r="E21" s="315" t="n">
        <v>0.163855421686747</v>
      </c>
      <c r="F21" s="122">
        <f>GETPIVOTDATA("Ставка расчет",$A$3,"ФИО","Молостова Юлия Михайловна")</f>
        <v/>
      </c>
      <c r="G21" s="130">
        <f>F21*0.93</f>
        <v/>
      </c>
      <c r="H21" s="130">
        <f>GETPIVOTDATA("ч.Итого",$A$3,"ФИО","Молостова Юлия Михайловна")</f>
        <v/>
      </c>
      <c r="I21" s="141">
        <f>H21-G21*830</f>
        <v/>
      </c>
      <c r="J21" s="142" t="n">
        <v>0.2</v>
      </c>
    </row>
    <row r="22">
      <c r="A22" s="139" t="inlineStr">
        <is>
          <t xml:space="preserve">Садковская Наталия Евгеньевна </t>
        </is>
      </c>
      <c r="B22" s="122" t="n">
        <v>332.33</v>
      </c>
      <c r="C22" s="122" t="n">
        <v>309.88</v>
      </c>
      <c r="D22" s="122" t="n">
        <v>642.2099999999995</v>
      </c>
      <c r="E22" s="315" t="n">
        <v>0.773746987951807</v>
      </c>
      <c r="F22" s="122">
        <f>GETPIVOTDATA("Ставка расчет",$A$3,"ФИО","Садковская Наталия Евгеньевна ")</f>
        <v/>
      </c>
      <c r="G22" s="130">
        <f>F22*0.93</f>
        <v/>
      </c>
      <c r="H22" s="130">
        <f>GETPIVOTDATA("ч.Итого",$A$3,"ФИО","Садковская Наталия Евгеньевна ")</f>
        <v/>
      </c>
      <c r="I22" s="141">
        <f>H22-G22*830</f>
        <v/>
      </c>
      <c r="J22" s="142" t="n">
        <v>0.75</v>
      </c>
    </row>
    <row r="23">
      <c r="A23" s="139" t="inlineStr">
        <is>
          <t>Садреев Фарид Гайнутдинович</t>
        </is>
      </c>
      <c r="B23" s="122" t="n">
        <v>51.67</v>
      </c>
      <c r="C23" s="122" t="n">
        <v>225.03</v>
      </c>
      <c r="D23" s="122" t="n">
        <v>276.7</v>
      </c>
      <c r="E23" s="315" t="n">
        <v>0.3333734939759037</v>
      </c>
      <c r="F23" s="122">
        <f>GETPIVOTDATA("Ставка расчет",$A$3,"ФИО","Садреев Фарид Гайнутдинович")</f>
        <v/>
      </c>
      <c r="G23" s="130">
        <f>F23*0.93</f>
        <v/>
      </c>
      <c r="H23" s="130">
        <f>GETPIVOTDATA("ч.Итого",$A$3,"ФИО","Садреев Фарид Гайнутдинович")</f>
        <v/>
      </c>
      <c r="I23" s="141">
        <f>H23-G23*830</f>
        <v/>
      </c>
      <c r="J23" s="142" t="n">
        <v>0.3</v>
      </c>
    </row>
    <row r="24">
      <c r="F24" s="122" t="n"/>
      <c r="G24" s="130" t="n"/>
      <c r="H24" s="130" t="n"/>
      <c r="I24" s="141" t="n"/>
    </row>
    <row r="25">
      <c r="B25">
        <f>SUM(B4:B24)</f>
        <v/>
      </c>
      <c r="C25">
        <f>SUM(C4:C24)</f>
        <v/>
      </c>
      <c r="D25">
        <f>SUM(D4:D24)</f>
        <v/>
      </c>
      <c r="F25" s="122" t="n"/>
      <c r="G25" s="130">
        <f>SUM(G4:G24)</f>
        <v/>
      </c>
      <c r="H25" s="130">
        <f>SUM(H4:H24)</f>
        <v/>
      </c>
      <c r="I25" s="141">
        <f>SUM(I4:I24)</f>
        <v/>
      </c>
      <c r="J25" s="143">
        <f>SUM(J4:J24)</f>
        <v/>
      </c>
    </row>
  </sheetData>
  <printOptions headings="0" gridLines="0"/>
  <pageMargins left="0.7" right="0.7" top="0.75" bottom="0.75" header="0.3" footer="0.3"/>
  <pageSetup orientation="portrait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Q40"/>
  <sheetViews>
    <sheetView zoomScale="100" workbookViewId="0">
      <selection activeCell="C32" activeCellId="0" sqref="C32"/>
    </sheetView>
  </sheetViews>
  <sheetFormatPr baseColWidth="8" defaultRowHeight="14.25"/>
  <cols>
    <col width="37.421875" customWidth="1" style="2" min="1" max="1"/>
    <col width="9.00390625" customWidth="1" style="2" min="2" max="2"/>
    <col width="12.00390625" customWidth="1" style="2" min="3" max="3"/>
    <col width="7.8515625" customWidth="1" style="2" min="4" max="4"/>
    <col width="12.28125" customWidth="1" style="2" min="5" max="5"/>
    <col width="8.421875" customWidth="1" style="2" min="6" max="6"/>
    <col hidden="1" width="10.6328125" customWidth="1" style="2" min="7" max="7"/>
    <col hidden="1" width="10.12109375" customWidth="1" style="2" min="8" max="8"/>
    <col hidden="1" width="11.28125" customWidth="1" style="2" min="9" max="9"/>
    <col hidden="1" width="13.140625" customWidth="1" style="2" min="10" max="10"/>
    <col width="9.28125" customWidth="1" style="2" min="11" max="11"/>
    <col width="13.140625" customWidth="1" style="2" min="12" max="12"/>
    <col width="10.28125" customWidth="1" style="2" min="13" max="14"/>
    <col width="5.421875" customWidth="1" style="2" min="15" max="15"/>
    <col width="7.421875" customWidth="1" style="2" min="16" max="16"/>
    <col width="8.421875" customWidth="1" style="2" min="17" max="17"/>
  </cols>
  <sheetData>
    <row r="3">
      <c r="A3" t="inlineStr">
        <is>
          <t>Названия строк</t>
        </is>
      </c>
      <c r="B3" t="inlineStr">
        <is>
          <t>Час Итого</t>
        </is>
      </c>
      <c r="C3" t="inlineStr">
        <is>
          <t>Ставка итого</t>
        </is>
      </c>
      <c r="D3" t="inlineStr">
        <is>
          <t>ПЧ20</t>
        </is>
      </c>
      <c r="E3" t="inlineStr">
        <is>
          <t>Ставка-ПЧ20</t>
        </is>
      </c>
      <c r="F3" t="inlineStr">
        <is>
          <t>вПриказ</t>
        </is>
      </c>
      <c r="G3" s="144" t="inlineStr">
        <is>
          <t>СС1ЧасИт</t>
        </is>
      </c>
      <c r="H3" s="144" t="inlineStr">
        <is>
          <t>СС2ПЧ20</t>
        </is>
      </c>
      <c r="I3" s="144" t="inlineStr">
        <is>
          <t>СС3ФинСт</t>
        </is>
      </c>
      <c r="J3" s="144" t="inlineStr">
        <is>
          <t>СС4вПРик</t>
        </is>
      </c>
      <c r="K3" s="145" t="inlineStr">
        <is>
          <t>Итого п/ч</t>
        </is>
      </c>
      <c r="L3" s="146" t="inlineStr">
        <is>
          <t>Итого п/ч %%</t>
        </is>
      </c>
      <c r="M3" s="147" t="inlineStr">
        <is>
          <t>ставки</t>
        </is>
      </c>
      <c r="N3" s="147" t="inlineStr">
        <is>
          <t>люди</t>
        </is>
      </c>
      <c r="O3" s="147" t="inlineStr">
        <is>
          <t>Мол</t>
        </is>
      </c>
      <c r="P3" s="147" t="inlineStr">
        <is>
          <t>Сейчас</t>
        </is>
      </c>
      <c r="Q3" s="147" t="inlineStr">
        <is>
          <t>Доп</t>
        </is>
      </c>
    </row>
    <row r="4">
      <c r="A4" s="148" t="inlineStr">
        <is>
          <t>Александрова Светлана Сергеевна</t>
        </is>
      </c>
      <c r="B4" s="160" t="n">
        <v>542</v>
      </c>
      <c r="C4" s="150" t="n">
        <v>0.653012048192771</v>
      </c>
      <c r="D4" s="160" t="n">
        <v>108.4</v>
      </c>
      <c r="E4" s="150" t="n">
        <v>0.5224096385542168</v>
      </c>
      <c r="F4" s="160" t="n">
        <v>0.65</v>
      </c>
      <c r="G4" s="151">
        <f>B4</f>
        <v/>
      </c>
      <c r="H4" s="151">
        <f>D4</f>
        <v/>
      </c>
      <c r="I4" s="152">
        <f>E4</f>
        <v/>
      </c>
      <c r="J4" s="152">
        <f>F4</f>
        <v/>
      </c>
      <c r="K4" s="153">
        <f>H4+(I4-J4)*830</f>
        <v/>
      </c>
      <c r="L4" s="154">
        <f>K4/G4</f>
        <v/>
      </c>
      <c r="M4" s="155" t="inlineStr">
        <is>
          <t>Больше 3</t>
        </is>
      </c>
      <c r="N4" s="155" t="inlineStr">
        <is>
          <t>Больше 3</t>
        </is>
      </c>
      <c r="O4" s="160" t="n"/>
      <c r="P4" s="156" t="n">
        <v>0.65</v>
      </c>
      <c r="Q4" s="160" t="inlineStr">
        <is>
          <t>идпо</t>
        </is>
      </c>
    </row>
    <row r="5">
      <c r="A5" s="148" t="inlineStr">
        <is>
          <t>Барабанова Ольга Алексеевна</t>
        </is>
      </c>
      <c r="B5" s="160" t="n">
        <v>253</v>
      </c>
      <c r="C5" s="150" t="n">
        <v>0.3048192771084338</v>
      </c>
      <c r="D5" s="160" t="n">
        <v>50.6</v>
      </c>
      <c r="E5" s="150" t="n">
        <v>0.243855421686747</v>
      </c>
      <c r="F5" s="160" t="n">
        <v>0.25</v>
      </c>
      <c r="G5" s="151">
        <f>B5</f>
        <v/>
      </c>
      <c r="H5" s="151">
        <f>D5</f>
        <v/>
      </c>
      <c r="I5" s="152">
        <f>E5</f>
        <v/>
      </c>
      <c r="J5" s="152">
        <f>F5</f>
        <v/>
      </c>
      <c r="K5" s="153">
        <f>H5+(I5-J5)*830</f>
        <v/>
      </c>
      <c r="L5" s="154">
        <f>K5/G5</f>
        <v/>
      </c>
      <c r="M5" s="155" t="inlineStr">
        <is>
          <t>1 - 1.5</t>
        </is>
      </c>
      <c r="N5" s="155" t="inlineStr">
        <is>
          <t>Меньше 1</t>
        </is>
      </c>
      <c r="O5" s="160" t="n"/>
      <c r="P5" s="157" t="n">
        <v>0.45</v>
      </c>
      <c r="Q5" s="160" t="n"/>
    </row>
    <row r="6">
      <c r="A6" s="148" t="inlineStr">
        <is>
          <t>Бережной Дмитрий Васильевич</t>
        </is>
      </c>
      <c r="B6" s="160" t="n">
        <v>433</v>
      </c>
      <c r="C6" s="150" t="n">
        <v>0.5216867469879518</v>
      </c>
      <c r="D6" s="160" t="n">
        <v>86.60000000000001</v>
      </c>
      <c r="E6" s="150" t="n">
        <v>0.4173493975903615</v>
      </c>
      <c r="F6" s="160" t="n">
        <v>0.5</v>
      </c>
      <c r="G6" s="151">
        <f>B6</f>
        <v/>
      </c>
      <c r="H6" s="151">
        <f>D6</f>
        <v/>
      </c>
      <c r="I6" s="152">
        <f>E6</f>
        <v/>
      </c>
      <c r="J6" s="152">
        <f>F6</f>
        <v/>
      </c>
      <c r="K6" s="153">
        <f>H6+(I6-J6)*830</f>
        <v/>
      </c>
      <c r="L6" s="154">
        <f>K6/G6</f>
        <v/>
      </c>
      <c r="M6" s="155" t="inlineStr">
        <is>
          <t>1.5 - 1.8</t>
        </is>
      </c>
      <c r="N6" s="155" t="inlineStr">
        <is>
          <t>1 - 1.5</t>
        </is>
      </c>
      <c r="O6" s="160" t="n"/>
      <c r="P6" s="157" t="n">
        <v>0.7</v>
      </c>
      <c r="Q6" s="160" t="n"/>
    </row>
    <row r="7">
      <c r="A7" s="148" t="inlineStr">
        <is>
          <t>Беспалов Александр Владимирович</t>
        </is>
      </c>
      <c r="B7" s="160" t="n">
        <v>161</v>
      </c>
      <c r="C7" s="150" t="n">
        <v>0.1939759036144578</v>
      </c>
      <c r="D7" s="160" t="n">
        <v>32.2</v>
      </c>
      <c r="E7" s="150" t="n">
        <v>0.1551807228915663</v>
      </c>
      <c r="F7" s="160" t="n">
        <v>0.15</v>
      </c>
      <c r="G7" s="151">
        <f>B7</f>
        <v/>
      </c>
      <c r="H7" s="151">
        <f>D7</f>
        <v/>
      </c>
      <c r="I7" s="152">
        <f>E7</f>
        <v/>
      </c>
      <c r="J7" s="152">
        <f>F7</f>
        <v/>
      </c>
      <c r="K7" s="158">
        <f>H7+(I7-J7)*830</f>
        <v/>
      </c>
      <c r="L7" s="154">
        <f>K7/G7</f>
        <v/>
      </c>
      <c r="M7" s="159" t="n"/>
      <c r="N7" s="159" t="n"/>
      <c r="O7" s="160" t="n"/>
      <c r="P7" s="156" t="n">
        <v>0.2</v>
      </c>
      <c r="Q7" s="160" t="n"/>
    </row>
    <row r="8">
      <c r="A8" s="148" t="inlineStr">
        <is>
          <t>Бецофен Сергей Яковлевич</t>
        </is>
      </c>
      <c r="B8" s="160" t="n">
        <v>309</v>
      </c>
      <c r="C8" s="150" t="n">
        <v>0.372289156626506</v>
      </c>
      <c r="D8" s="160" t="n">
        <v>61.8</v>
      </c>
      <c r="E8" s="150" t="n">
        <v>0.2978313253012048</v>
      </c>
      <c r="F8" s="160" t="n">
        <v>0.3</v>
      </c>
      <c r="G8" s="151">
        <f>B8</f>
        <v/>
      </c>
      <c r="H8" s="151">
        <f>D8</f>
        <v/>
      </c>
      <c r="I8" s="152">
        <f>E8</f>
        <v/>
      </c>
      <c r="J8" s="152">
        <f>F8</f>
        <v/>
      </c>
      <c r="K8" s="153">
        <f>H8+(I8-J8)*830</f>
        <v/>
      </c>
      <c r="L8" s="154">
        <f>K8/G8</f>
        <v/>
      </c>
      <c r="M8" s="155" t="inlineStr">
        <is>
          <t>Больше 3</t>
        </is>
      </c>
      <c r="N8" s="155" t="inlineStr">
        <is>
          <t>2 - 3</t>
        </is>
      </c>
      <c r="O8" s="160" t="n"/>
      <c r="P8" s="157" t="n">
        <v>0.2</v>
      </c>
      <c r="Q8" s="160" t="inlineStr">
        <is>
          <t>дог, асп</t>
        </is>
      </c>
    </row>
    <row r="9">
      <c r="A9" s="148" t="inlineStr">
        <is>
          <t>Варфоломеев Максим Сергеевич</t>
        </is>
      </c>
      <c r="B9" s="160" t="n">
        <v>711</v>
      </c>
      <c r="C9" s="150" t="n">
        <v>0.8566265060240964</v>
      </c>
      <c r="D9" s="160" t="n">
        <v>142.2</v>
      </c>
      <c r="E9" s="150" t="n">
        <v>0.6853012048192771</v>
      </c>
      <c r="F9" s="160" t="n">
        <v>0.7</v>
      </c>
      <c r="G9" s="151">
        <f>B9</f>
        <v/>
      </c>
      <c r="H9" s="151">
        <f>D9</f>
        <v/>
      </c>
      <c r="I9" s="152">
        <f>E9</f>
        <v/>
      </c>
      <c r="J9" s="152">
        <f>F9</f>
        <v/>
      </c>
      <c r="K9" s="153">
        <f>H9+(I9-J9)*830</f>
        <v/>
      </c>
      <c r="L9" s="154">
        <f>K9/G9</f>
        <v/>
      </c>
      <c r="M9" s="155" t="inlineStr">
        <is>
          <t>1.5 - 1.8</t>
        </is>
      </c>
      <c r="N9" s="155" t="inlineStr">
        <is>
          <t>1.5 - 1.8</t>
        </is>
      </c>
      <c r="O9" s="160" t="n"/>
      <c r="P9" s="157" t="n">
        <v>1</v>
      </c>
      <c r="Q9" s="160" t="inlineStr">
        <is>
          <t>идпо</t>
        </is>
      </c>
    </row>
    <row r="10">
      <c r="A10" s="148" t="inlineStr">
        <is>
          <t>Галкин Виктор Иванович</t>
        </is>
      </c>
      <c r="B10" s="160" t="n">
        <v>799</v>
      </c>
      <c r="C10" s="150" t="n">
        <v>0.9626506024096385</v>
      </c>
      <c r="D10" s="160" t="n">
        <v>159.8</v>
      </c>
      <c r="E10" s="150" t="n">
        <v>0.7701204819277109</v>
      </c>
      <c r="F10" s="160" t="n">
        <v>0.75</v>
      </c>
      <c r="G10" s="151">
        <f>B10</f>
        <v/>
      </c>
      <c r="H10" s="151">
        <f>D10</f>
        <v/>
      </c>
      <c r="I10" s="152">
        <f>E10</f>
        <v/>
      </c>
      <c r="J10" s="152">
        <f>F10</f>
        <v/>
      </c>
      <c r="K10" s="153">
        <f>H10+(I10-J10)*830</f>
        <v/>
      </c>
      <c r="L10" s="154">
        <f>K10/G10</f>
        <v/>
      </c>
      <c r="M10" s="155" t="inlineStr">
        <is>
          <t>1.5 - 1.8</t>
        </is>
      </c>
      <c r="N10" s="155" t="inlineStr">
        <is>
          <t>1 - 1.5</t>
        </is>
      </c>
      <c r="O10" s="160" t="n"/>
      <c r="P10" s="157" t="n">
        <v>0.8</v>
      </c>
      <c r="Q10" s="160" t="inlineStr">
        <is>
          <t>асп 1к</t>
        </is>
      </c>
    </row>
    <row r="11">
      <c r="A11" s="148" t="inlineStr">
        <is>
          <t>Галкин Евгений Владимирович</t>
        </is>
      </c>
      <c r="B11" s="160" t="n">
        <v>840</v>
      </c>
      <c r="C11" s="150" t="n">
        <v>1.012048192771084</v>
      </c>
      <c r="D11" s="160" t="n">
        <v>168</v>
      </c>
      <c r="E11" s="150" t="n">
        <v>0.8096385542168675</v>
      </c>
      <c r="F11" s="160" t="n">
        <v>0.8</v>
      </c>
      <c r="G11" s="151">
        <f>B11</f>
        <v/>
      </c>
      <c r="H11" s="151">
        <f>D11</f>
        <v/>
      </c>
      <c r="I11" s="152">
        <f>E11</f>
        <v/>
      </c>
      <c r="J11" s="152">
        <f>F11</f>
        <v/>
      </c>
      <c r="K11" s="153">
        <f>H11+(I11-J11)*830</f>
        <v/>
      </c>
      <c r="L11" s="154">
        <f>K11/G11</f>
        <v/>
      </c>
      <c r="M11" s="155" t="inlineStr">
        <is>
          <t>2 - 3</t>
        </is>
      </c>
      <c r="N11" s="155" t="inlineStr">
        <is>
          <t>2 - 3</t>
        </is>
      </c>
      <c r="O11" s="161" t="inlineStr">
        <is>
          <t>Да</t>
        </is>
      </c>
      <c r="P11" s="157" t="n">
        <v>1</v>
      </c>
      <c r="Q11" s="160" t="n"/>
    </row>
    <row r="12">
      <c r="A12" s="148" t="inlineStr">
        <is>
          <t>Жаров Максим Владимирович</t>
        </is>
      </c>
      <c r="B12" s="160" t="n">
        <v>242</v>
      </c>
      <c r="C12" s="150" t="n">
        <v>0.291566265060241</v>
      </c>
      <c r="D12" s="160" t="n">
        <v>48.40000000000001</v>
      </c>
      <c r="E12" s="150" t="n">
        <v>0.2332530120481928</v>
      </c>
      <c r="F12" s="160" t="n">
        <v>0.2</v>
      </c>
      <c r="G12" s="151">
        <f>B12</f>
        <v/>
      </c>
      <c r="H12" s="151">
        <f>D12</f>
        <v/>
      </c>
      <c r="I12" s="152">
        <f>E12</f>
        <v/>
      </c>
      <c r="J12" s="152">
        <f>F12</f>
        <v/>
      </c>
      <c r="K12" s="158">
        <f>H12+(I12-J12)*830</f>
        <v/>
      </c>
      <c r="L12" s="154">
        <f>K12/G12</f>
        <v/>
      </c>
      <c r="M12" s="157" t="inlineStr">
        <is>
          <t>Больше 3</t>
        </is>
      </c>
      <c r="N12" s="157" t="inlineStr">
        <is>
          <t>1.5 - 1.8</t>
        </is>
      </c>
      <c r="O12" s="160" t="n"/>
      <c r="P12" s="157" t="n">
        <v>0.3</v>
      </c>
      <c r="Q12" s="160" t="n"/>
    </row>
    <row r="13">
      <c r="A13" s="148" t="inlineStr">
        <is>
          <t>Кубатина Екатерина Павловна</t>
        </is>
      </c>
      <c r="B13" s="160" t="n">
        <v>146</v>
      </c>
      <c r="C13" s="150" t="n">
        <v>0.1759036144578313</v>
      </c>
      <c r="D13" s="160" t="n">
        <v>29.2</v>
      </c>
      <c r="E13" s="150" t="n">
        <v>0.1407228915662651</v>
      </c>
      <c r="F13" s="160" t="n">
        <v>0.15</v>
      </c>
      <c r="G13" s="151">
        <f>B13</f>
        <v/>
      </c>
      <c r="H13" s="151">
        <f>D13</f>
        <v/>
      </c>
      <c r="I13" s="152">
        <f>E13</f>
        <v/>
      </c>
      <c r="J13" s="152">
        <f>F13</f>
        <v/>
      </c>
      <c r="K13" s="153">
        <f>H13+(I13-J13)*830</f>
        <v/>
      </c>
      <c r="L13" s="154">
        <f>K13/G13</f>
        <v/>
      </c>
      <c r="M13" s="159" t="n"/>
      <c r="N13" s="159" t="n"/>
      <c r="O13" s="160" t="n"/>
      <c r="P13" s="156" t="n">
        <v>0.25</v>
      </c>
      <c r="Q13" s="160" t="n"/>
    </row>
    <row r="14">
      <c r="A14" s="148" t="inlineStr">
        <is>
          <t>Ленковец Александр Сергеевич</t>
        </is>
      </c>
      <c r="B14" s="160" t="n">
        <v>1</v>
      </c>
      <c r="C14" s="150" t="n">
        <v>0.001204819277108434</v>
      </c>
      <c r="D14" s="160" t="n">
        <v>0.2</v>
      </c>
      <c r="E14" s="150" t="n">
        <v>0.0009638554216867472</v>
      </c>
      <c r="F14" s="160" t="n">
        <v>0</v>
      </c>
      <c r="G14" s="151">
        <f>B14</f>
        <v/>
      </c>
      <c r="H14" s="151">
        <f>D14</f>
        <v/>
      </c>
      <c r="I14" s="152">
        <f>E14</f>
        <v/>
      </c>
      <c r="J14" s="152">
        <f>F14</f>
        <v/>
      </c>
      <c r="K14" s="153">
        <f>H14+(I14-J14)*830</f>
        <v/>
      </c>
      <c r="L14" s="154">
        <f>K14/G14</f>
        <v/>
      </c>
      <c r="M14" s="159" t="n"/>
      <c r="N14" s="159" t="n"/>
      <c r="O14" s="160" t="n"/>
      <c r="P14" s="156" t="n">
        <v>0.1</v>
      </c>
      <c r="Q14" s="160" t="n"/>
    </row>
    <row r="15">
      <c r="A15" s="148" t="inlineStr">
        <is>
          <t>Лозован Александр Александрович</t>
        </is>
      </c>
      <c r="B15" s="160" t="n">
        <v>552</v>
      </c>
      <c r="C15" s="150" t="n">
        <v>0.6650602409638554</v>
      </c>
      <c r="D15" s="160" t="n">
        <v>110.4</v>
      </c>
      <c r="E15" s="150" t="n">
        <v>0.5320481927710844</v>
      </c>
      <c r="F15" s="160" t="n">
        <v>0.55</v>
      </c>
      <c r="G15" s="151">
        <f>B15</f>
        <v/>
      </c>
      <c r="H15" s="151">
        <f>D15</f>
        <v/>
      </c>
      <c r="I15" s="152">
        <f>E15</f>
        <v/>
      </c>
      <c r="J15" s="152">
        <f>F15</f>
        <v/>
      </c>
      <c r="K15" s="153">
        <f>H15+(I15-J15)*830</f>
        <v/>
      </c>
      <c r="L15" s="154">
        <f>K15/G15</f>
        <v/>
      </c>
      <c r="M15" s="157" t="inlineStr">
        <is>
          <t>Больше 3</t>
        </is>
      </c>
      <c r="N15" s="157" t="inlineStr">
        <is>
          <t>Больше 3</t>
        </is>
      </c>
      <c r="O15" s="160" t="n"/>
      <c r="P15" s="157" t="n">
        <v>0.9</v>
      </c>
      <c r="Q15" s="160" t="inlineStr">
        <is>
          <t>дог, асп</t>
        </is>
      </c>
    </row>
    <row r="16">
      <c r="A16" s="148" t="inlineStr">
        <is>
          <t>Моисеев Виктор Сергеевич</t>
        </is>
      </c>
      <c r="B16" s="160" t="n">
        <v>207</v>
      </c>
      <c r="C16" s="316" t="n">
        <v>0.2493975903614458</v>
      </c>
      <c r="D16" s="160" t="n">
        <v>41.40000000000001</v>
      </c>
      <c r="E16" s="150" t="n">
        <v>0.1995180722891566</v>
      </c>
      <c r="F16" s="160" t="n">
        <v>0.2</v>
      </c>
      <c r="G16" s="151">
        <f>B16</f>
        <v/>
      </c>
      <c r="H16" s="151">
        <f>D16</f>
        <v/>
      </c>
      <c r="I16" s="152">
        <f>E16</f>
        <v/>
      </c>
      <c r="J16" s="152">
        <f>F16</f>
        <v/>
      </c>
      <c r="K16" s="153">
        <f>H16+(I16-J16)*830</f>
        <v/>
      </c>
      <c r="L16" s="154">
        <f>K16/G16</f>
        <v/>
      </c>
      <c r="M16" s="157" t="inlineStr">
        <is>
          <t>Больше 3</t>
        </is>
      </c>
      <c r="N16" s="157" t="inlineStr">
        <is>
          <t>Меньше 1</t>
        </is>
      </c>
      <c r="O16" s="160" t="n"/>
      <c r="P16" s="157" t="n">
        <v>0.2</v>
      </c>
      <c r="Q16" s="160" t="n"/>
    </row>
    <row r="17">
      <c r="A17" s="148" t="inlineStr">
        <is>
          <t>Никитина Елена Владимировна</t>
        </is>
      </c>
      <c r="B17" s="160" t="n">
        <v>482</v>
      </c>
      <c r="C17" s="150" t="n">
        <v>0.5807228915662651</v>
      </c>
      <c r="D17" s="160" t="n">
        <v>96.40000000000001</v>
      </c>
      <c r="E17" s="150" t="n">
        <v>0.4645783132530121</v>
      </c>
      <c r="F17" s="160" t="n">
        <v>0.5</v>
      </c>
      <c r="G17" s="151">
        <f>B17</f>
        <v/>
      </c>
      <c r="H17" s="151">
        <f>D17</f>
        <v/>
      </c>
      <c r="I17" s="152">
        <f>E17</f>
        <v/>
      </c>
      <c r="J17" s="152">
        <f>F17</f>
        <v/>
      </c>
      <c r="K17" s="153">
        <f>H17+(I17-J17)*830</f>
        <v/>
      </c>
      <c r="L17" s="154">
        <f>K17/G17</f>
        <v/>
      </c>
      <c r="M17" s="155" t="inlineStr">
        <is>
          <t>1 - 1.5</t>
        </is>
      </c>
      <c r="N17" s="155" t="inlineStr">
        <is>
          <t>1 - 1.5</t>
        </is>
      </c>
      <c r="O17" s="160" t="n"/>
      <c r="P17" s="157" t="n">
        <v>0.7</v>
      </c>
      <c r="Q17" s="160" t="inlineStr">
        <is>
          <t>асп 1к</t>
        </is>
      </c>
    </row>
    <row r="18">
      <c r="A18" s="148" t="inlineStr">
        <is>
          <t>Палтиевич Андрей Романович</t>
        </is>
      </c>
      <c r="B18" s="160" t="n">
        <v>710</v>
      </c>
      <c r="C18" s="150" t="n">
        <v>0.8554216867469879</v>
      </c>
      <c r="D18" s="160" t="n">
        <v>142</v>
      </c>
      <c r="E18" s="150" t="n">
        <v>0.6843373493975904</v>
      </c>
      <c r="F18" s="160" t="n">
        <v>0.65</v>
      </c>
      <c r="G18" s="151">
        <f>B18</f>
        <v/>
      </c>
      <c r="H18" s="151">
        <f>D18</f>
        <v/>
      </c>
      <c r="I18" s="152">
        <f>E18</f>
        <v/>
      </c>
      <c r="J18" s="152">
        <f>F18</f>
        <v/>
      </c>
      <c r="K18" s="153">
        <f>H18+(I18-J18)*830</f>
        <v/>
      </c>
      <c r="L18" s="154">
        <f>K18/G18</f>
        <v/>
      </c>
      <c r="M18" s="155" t="inlineStr">
        <is>
          <t>1.8 - 2</t>
        </is>
      </c>
      <c r="N18" s="155" t="inlineStr">
        <is>
          <t>1 - 1.5</t>
        </is>
      </c>
      <c r="O18" s="160" t="n"/>
      <c r="P18" s="157" t="n">
        <v>0.7</v>
      </c>
      <c r="Q18" s="160" t="n"/>
    </row>
    <row r="19">
      <c r="A19" s="148" t="inlineStr">
        <is>
          <t>Пашков Игорь Николаевич</t>
        </is>
      </c>
      <c r="B19" s="160" t="n">
        <v>670</v>
      </c>
      <c r="C19" s="150" t="n">
        <v>0.8072289156626506</v>
      </c>
      <c r="D19" s="160" t="n">
        <v>134</v>
      </c>
      <c r="E19" s="150" t="n">
        <v>0.6457831325301205</v>
      </c>
      <c r="F19" s="160" t="n">
        <v>0.55</v>
      </c>
      <c r="G19" s="151">
        <f>B19</f>
        <v/>
      </c>
      <c r="H19" s="151">
        <f>D19</f>
        <v/>
      </c>
      <c r="I19" s="152">
        <f>E19</f>
        <v/>
      </c>
      <c r="J19" s="152">
        <f>F19</f>
        <v/>
      </c>
      <c r="K19" s="158">
        <f>H19+(I19-J19)*830</f>
        <v/>
      </c>
      <c r="L19" s="154">
        <f>K19/G19</f>
        <v/>
      </c>
      <c r="M19" s="155" t="inlineStr">
        <is>
          <t>1 - 1.5</t>
        </is>
      </c>
      <c r="N19" s="155" t="inlineStr">
        <is>
          <t>Меньше 1</t>
        </is>
      </c>
      <c r="O19" s="160" t="n"/>
      <c r="P19" s="157" t="n">
        <v>0.55</v>
      </c>
      <c r="Q19" s="160" t="inlineStr">
        <is>
          <t>дог??</t>
        </is>
      </c>
    </row>
    <row r="20">
      <c r="A20" s="148" t="inlineStr">
        <is>
          <t>Петров Анатолий Павлович</t>
        </is>
      </c>
      <c r="B20" s="160" t="n">
        <v>259</v>
      </c>
      <c r="C20" s="150" t="n">
        <v>0.3120481927710844</v>
      </c>
      <c r="D20" s="160" t="n">
        <v>51.8</v>
      </c>
      <c r="E20" s="150" t="n">
        <v>0.2496385542168675</v>
      </c>
      <c r="F20" s="160" t="n">
        <v>0.25</v>
      </c>
      <c r="G20" s="151">
        <f>B20</f>
        <v/>
      </c>
      <c r="H20" s="151">
        <f>D20</f>
        <v/>
      </c>
      <c r="I20" s="152">
        <f>E20</f>
        <v/>
      </c>
      <c r="J20" s="152">
        <f>F20</f>
        <v/>
      </c>
      <c r="K20" s="153">
        <f>H20+(I20-J20)*830</f>
        <v/>
      </c>
      <c r="L20" s="154">
        <f>K20/G20</f>
        <v/>
      </c>
      <c r="M20" s="155" t="inlineStr">
        <is>
          <t>1 - 1.5</t>
        </is>
      </c>
      <c r="N20" s="155" t="inlineStr">
        <is>
          <t>Меньше 1</t>
        </is>
      </c>
      <c r="O20" s="160" t="n"/>
      <c r="P20" s="157" t="n">
        <v>0.45</v>
      </c>
      <c r="Q20" s="160" t="n"/>
    </row>
    <row r="21">
      <c r="A21" s="148" t="inlineStr">
        <is>
          <t>Петров Игорь Алексеевич</t>
        </is>
      </c>
      <c r="B21" s="160" t="n">
        <v>318.5</v>
      </c>
      <c r="C21" s="316" t="n">
        <v>0.3837349397590362</v>
      </c>
      <c r="D21" s="160" t="n">
        <v>63.7</v>
      </c>
      <c r="E21" s="150" t="n">
        <v>0.3069879518072289</v>
      </c>
      <c r="F21" s="160" t="n">
        <v>0.35</v>
      </c>
      <c r="G21" s="151">
        <f>B21</f>
        <v/>
      </c>
      <c r="H21" s="151">
        <f>D21</f>
        <v/>
      </c>
      <c r="I21" s="152">
        <f>E21</f>
        <v/>
      </c>
      <c r="J21" s="152">
        <f>F21</f>
        <v/>
      </c>
      <c r="K21" s="153">
        <f>H21+(I21-J21)*830</f>
        <v/>
      </c>
      <c r="L21" s="154">
        <f>K21/G21</f>
        <v/>
      </c>
      <c r="M21" s="159" t="n"/>
      <c r="N21" s="159" t="n"/>
      <c r="O21" s="160" t="n"/>
      <c r="P21" s="156" t="n">
        <v>0.5</v>
      </c>
      <c r="Q21" s="160" t="n"/>
    </row>
    <row r="22">
      <c r="A22" s="148" t="inlineStr">
        <is>
          <t>Преображенский Евгений Владимирович</t>
        </is>
      </c>
      <c r="B22" s="160" t="n">
        <v>295</v>
      </c>
      <c r="C22" s="150" t="n">
        <v>0.3554216867469879</v>
      </c>
      <c r="D22" s="160" t="n">
        <v>59</v>
      </c>
      <c r="E22" s="150" t="n">
        <v>0.2843373493975904</v>
      </c>
      <c r="F22" s="160" t="n">
        <v>0.25</v>
      </c>
      <c r="G22" s="151">
        <f>B22</f>
        <v/>
      </c>
      <c r="H22" s="151">
        <f>D22</f>
        <v/>
      </c>
      <c r="I22" s="152">
        <f>E22</f>
        <v/>
      </c>
      <c r="J22" s="152">
        <f>F22</f>
        <v/>
      </c>
      <c r="K22" s="153">
        <f>H22+(I22-J22)*830</f>
        <v/>
      </c>
      <c r="L22" s="154">
        <f>K22/G22</f>
        <v/>
      </c>
      <c r="M22" s="155" t="inlineStr">
        <is>
          <t>Меньше 1</t>
        </is>
      </c>
      <c r="N22" s="155" t="inlineStr">
        <is>
          <t>Меньше 1</t>
        </is>
      </c>
      <c r="O22" s="160" t="n"/>
      <c r="P22" s="157" t="n">
        <v>0.3</v>
      </c>
      <c r="Q22" s="160" t="n"/>
    </row>
    <row r="23">
      <c r="A23" s="148" t="inlineStr">
        <is>
          <t>Рипецкий Андрей Владимирович</t>
        </is>
      </c>
      <c r="B23" s="160" t="n">
        <v>109</v>
      </c>
      <c r="C23" s="150" t="n">
        <v>0.1313253012048193</v>
      </c>
      <c r="D23" s="160" t="n">
        <v>21.8</v>
      </c>
      <c r="E23" s="150" t="n">
        <v>0.1050602409638554</v>
      </c>
      <c r="F23" s="160" t="n">
        <v>0</v>
      </c>
      <c r="G23" s="151">
        <f>B23</f>
        <v/>
      </c>
      <c r="H23" s="151">
        <f>D23</f>
        <v/>
      </c>
      <c r="I23" s="152">
        <f>E23</f>
        <v/>
      </c>
      <c r="J23" s="152">
        <f>F23</f>
        <v/>
      </c>
      <c r="K23" s="153">
        <f>H23+(I23-J23)*830</f>
        <v/>
      </c>
      <c r="L23" s="154">
        <f>K23/G23</f>
        <v/>
      </c>
      <c r="M23" s="159" t="n"/>
      <c r="N23" s="159" t="n"/>
      <c r="O23" s="160" t="n"/>
      <c r="P23" s="156" t="n">
        <v>0</v>
      </c>
      <c r="Q23" s="160" t="n"/>
    </row>
    <row r="24">
      <c r="A24" s="148" t="inlineStr">
        <is>
          <t>Ряховский Александр Павлович</t>
        </is>
      </c>
      <c r="B24" s="160" t="n">
        <v>543</v>
      </c>
      <c r="C24" s="150" t="n">
        <v>0.6542168674698795</v>
      </c>
      <c r="D24" s="160" t="n">
        <v>108.6</v>
      </c>
      <c r="E24" s="150" t="n">
        <v>0.5233734939759036</v>
      </c>
      <c r="F24" s="160" t="n">
        <v>0.5</v>
      </c>
      <c r="G24" s="151">
        <f>B24</f>
        <v/>
      </c>
      <c r="H24" s="151">
        <f>D24</f>
        <v/>
      </c>
      <c r="I24" s="152">
        <f>E24</f>
        <v/>
      </c>
      <c r="J24" s="152">
        <f>F24</f>
        <v/>
      </c>
      <c r="K24" s="153">
        <f>H24+(I24-J24)*830</f>
        <v/>
      </c>
      <c r="L24" s="154">
        <f>K24/G24</f>
        <v/>
      </c>
      <c r="M24" s="155" t="inlineStr">
        <is>
          <t>1 - 1.5</t>
        </is>
      </c>
      <c r="N24" s="155" t="inlineStr">
        <is>
          <t>Меньше 1</t>
        </is>
      </c>
      <c r="O24" s="160" t="n"/>
      <c r="P24" s="157" t="n">
        <v>0.7</v>
      </c>
      <c r="Q24" s="160" t="inlineStr">
        <is>
          <t>идпо</t>
        </is>
      </c>
    </row>
    <row r="25">
      <c r="A25" s="148" t="inlineStr">
        <is>
          <t>Серов Михаил Михайлович</t>
        </is>
      </c>
      <c r="B25" s="160" t="n">
        <v>607</v>
      </c>
      <c r="C25" s="150" t="n">
        <v>0.7313253012048193</v>
      </c>
      <c r="D25" s="160" t="n">
        <v>121.4</v>
      </c>
      <c r="E25" s="150" t="n">
        <v>0.5850602409638554</v>
      </c>
      <c r="F25" s="160" t="n">
        <v>0.6</v>
      </c>
      <c r="G25" s="151">
        <f>B25</f>
        <v/>
      </c>
      <c r="H25" s="151">
        <f>D25</f>
        <v/>
      </c>
      <c r="I25" s="152">
        <f>E25</f>
        <v/>
      </c>
      <c r="J25" s="152">
        <f>F25</f>
        <v/>
      </c>
      <c r="K25" s="153">
        <f>H25+(I25-J25)*830</f>
        <v/>
      </c>
      <c r="L25" s="154">
        <f>K25/G25</f>
        <v/>
      </c>
      <c r="M25" s="155" t="inlineStr">
        <is>
          <t>1 - 1.5</t>
        </is>
      </c>
      <c r="N25" s="155" t="inlineStr">
        <is>
          <t>1 - 1.5</t>
        </is>
      </c>
      <c r="O25" s="160" t="n"/>
      <c r="P25" s="157" t="n">
        <v>0.95</v>
      </c>
      <c r="Q25" s="160" t="n"/>
    </row>
    <row r="26">
      <c r="A26" s="148" t="inlineStr">
        <is>
          <t>Смыков Андрей Федорович</t>
        </is>
      </c>
      <c r="B26" s="160" t="n">
        <v>511</v>
      </c>
      <c r="C26" s="150" t="n">
        <v>0.6156626506024097</v>
      </c>
      <c r="D26" s="160" t="n">
        <v>102.2</v>
      </c>
      <c r="E26" s="316" t="n">
        <v>0.4925301204819277</v>
      </c>
      <c r="F26" s="160" t="n">
        <v>0.5</v>
      </c>
      <c r="G26" s="151">
        <f>B26</f>
        <v/>
      </c>
      <c r="H26" s="151">
        <f>D26</f>
        <v/>
      </c>
      <c r="I26" s="152">
        <f>E26</f>
        <v/>
      </c>
      <c r="J26" s="152">
        <f>F26</f>
        <v/>
      </c>
      <c r="K26" s="153">
        <f>H26+(I26-J26)*830</f>
        <v/>
      </c>
      <c r="L26" s="154">
        <f>K26/G26</f>
        <v/>
      </c>
      <c r="M26" s="155" t="inlineStr">
        <is>
          <t>1 - 1.5</t>
        </is>
      </c>
      <c r="N26" s="155" t="inlineStr">
        <is>
          <t>1 - 1.5</t>
        </is>
      </c>
      <c r="O26" s="160" t="n"/>
      <c r="P26" s="157" t="n">
        <v>0.8</v>
      </c>
      <c r="Q26" s="160" t="n"/>
    </row>
    <row r="27" ht="15.75" customHeight="1" s="2">
      <c r="A27" s="148" t="inlineStr">
        <is>
          <t>Соколов Алексей Викторович</t>
        </is>
      </c>
      <c r="B27" s="160" t="n">
        <v>599</v>
      </c>
      <c r="C27" s="150" t="n">
        <v>0.7216867469879518</v>
      </c>
      <c r="D27" s="160" t="n">
        <v>119.8</v>
      </c>
      <c r="E27" s="150" t="n">
        <v>0.5773493975903614</v>
      </c>
      <c r="F27" s="160" t="n">
        <v>0.55</v>
      </c>
      <c r="G27" s="151">
        <f>B27</f>
        <v/>
      </c>
      <c r="H27" s="151">
        <f>D27</f>
        <v/>
      </c>
      <c r="I27" s="152">
        <f>E27</f>
        <v/>
      </c>
      <c r="J27" s="152">
        <f>F27</f>
        <v/>
      </c>
      <c r="K27" s="158">
        <f>H27+(I27-J27)*830</f>
        <v/>
      </c>
      <c r="L27" s="154">
        <f>K27/G27</f>
        <v/>
      </c>
      <c r="M27" s="155" t="inlineStr">
        <is>
          <t>1.5 - 1.8</t>
        </is>
      </c>
      <c r="N27" s="155" t="inlineStr">
        <is>
          <t>Меньше 1</t>
        </is>
      </c>
      <c r="O27" s="160" t="n"/>
      <c r="P27" s="157" t="n">
        <v>0.55</v>
      </c>
      <c r="Q27" s="160" t="n"/>
    </row>
    <row r="28">
      <c r="A28" s="148" t="inlineStr">
        <is>
          <t>Степанов Владимир Валерьевич</t>
        </is>
      </c>
      <c r="B28" s="160" t="n">
        <v>509</v>
      </c>
      <c r="C28" s="150" t="n">
        <v>0.6132530120481928</v>
      </c>
      <c r="D28" s="160" t="n">
        <v>101.8</v>
      </c>
      <c r="E28" s="316" t="n">
        <v>0.4906024096385543</v>
      </c>
      <c r="F28" s="160" t="n">
        <v>0.4</v>
      </c>
      <c r="G28" s="151">
        <f>B28</f>
        <v/>
      </c>
      <c r="H28" s="151">
        <f>D28</f>
        <v/>
      </c>
      <c r="I28" s="152">
        <f>E28</f>
        <v/>
      </c>
      <c r="J28" s="152">
        <f>F28</f>
        <v/>
      </c>
      <c r="K28" s="158">
        <f>H28+(I28-J28)*830</f>
        <v/>
      </c>
      <c r="L28" s="154">
        <f>K28/G28</f>
        <v/>
      </c>
      <c r="M28" s="159" t="n"/>
      <c r="N28" s="159" t="n"/>
      <c r="O28" s="160" t="n"/>
      <c r="P28" s="156" t="n">
        <v>0.45</v>
      </c>
      <c r="Q28" s="160" t="inlineStr">
        <is>
          <t>асп 1к</t>
        </is>
      </c>
    </row>
    <row r="29">
      <c r="A29" s="148" t="inlineStr">
        <is>
          <t>Федоров Анатолий Александрович</t>
        </is>
      </c>
      <c r="B29" s="160" t="n">
        <v>228</v>
      </c>
      <c r="C29" s="150" t="n">
        <v>0.2746987951807229</v>
      </c>
      <c r="D29" s="160" t="n">
        <v>45.6</v>
      </c>
      <c r="E29" s="150" t="n">
        <v>0.2197590361445783</v>
      </c>
      <c r="F29" s="160" t="n">
        <v>0.2</v>
      </c>
      <c r="G29" s="151">
        <f>B29</f>
        <v/>
      </c>
      <c r="H29" s="151">
        <f>D29</f>
        <v/>
      </c>
      <c r="I29" s="152">
        <f>E29</f>
        <v/>
      </c>
      <c r="J29" s="152">
        <f>F29</f>
        <v/>
      </c>
      <c r="K29" s="153">
        <f>H29+(I29-J29)*830</f>
        <v/>
      </c>
      <c r="L29" s="154">
        <f>K29/G29</f>
        <v/>
      </c>
      <c r="M29" s="155" t="inlineStr">
        <is>
          <t>1.8 - 2</t>
        </is>
      </c>
      <c r="N29" s="155" t="inlineStr">
        <is>
          <t>Меньше 1</t>
        </is>
      </c>
      <c r="O29" s="160" t="n"/>
      <c r="P29" s="157" t="n">
        <v>0.3</v>
      </c>
      <c r="Q29" s="160" t="n"/>
    </row>
    <row r="30">
      <c r="A30" s="148" t="inlineStr">
        <is>
          <t>Шленский Алексей Геннадьевич</t>
        </is>
      </c>
      <c r="B30" s="160" t="n">
        <v>608</v>
      </c>
      <c r="C30" s="316" t="n">
        <v>0.7325301204819277</v>
      </c>
      <c r="D30" s="160" t="n">
        <v>121.6</v>
      </c>
      <c r="E30" s="150" t="n">
        <v>0.5860240963855422</v>
      </c>
      <c r="F30" s="160" t="n">
        <v>0.7</v>
      </c>
      <c r="G30" s="151">
        <f>B30</f>
        <v/>
      </c>
      <c r="H30" s="151">
        <f>D30</f>
        <v/>
      </c>
      <c r="I30" s="152">
        <f>E30</f>
        <v/>
      </c>
      <c r="J30" s="152">
        <f>F30</f>
        <v/>
      </c>
      <c r="K30" s="153">
        <f>H30+(I30-J30)*830</f>
        <v/>
      </c>
      <c r="L30" s="154">
        <f>K30/G30</f>
        <v/>
      </c>
      <c r="M30" s="155" t="inlineStr">
        <is>
          <t>2 - 3</t>
        </is>
      </c>
      <c r="N30" s="155" t="inlineStr">
        <is>
          <t>2 - 3</t>
        </is>
      </c>
      <c r="O30" s="160" t="n"/>
      <c r="P30" s="157" t="n">
        <v>1</v>
      </c>
      <c r="Q30" s="160" t="n"/>
    </row>
    <row r="31">
      <c r="A31" s="148" t="inlineStr">
        <is>
          <t>Шляпцева Анастасия Дмитриевна</t>
        </is>
      </c>
      <c r="B31" s="160" t="n">
        <v>376</v>
      </c>
      <c r="C31" s="150" t="n">
        <v>0.4530120481927711</v>
      </c>
      <c r="D31" s="160" t="n">
        <v>75.2</v>
      </c>
      <c r="E31" s="150" t="n">
        <v>0.3624096385542169</v>
      </c>
      <c r="F31" s="160" t="n">
        <v>0.45</v>
      </c>
      <c r="G31" s="151">
        <f>B31</f>
        <v/>
      </c>
      <c r="H31" s="151">
        <f>D31</f>
        <v/>
      </c>
      <c r="I31" s="152">
        <f>E31</f>
        <v/>
      </c>
      <c r="J31" s="152">
        <f>F31</f>
        <v/>
      </c>
      <c r="K31" s="153">
        <f>H31+(I31-J31)*830</f>
        <v/>
      </c>
      <c r="L31" s="154">
        <f>K31/G31</f>
        <v/>
      </c>
      <c r="M31" s="155" t="inlineStr">
        <is>
          <t>2 - 3</t>
        </is>
      </c>
      <c r="N31" s="155" t="inlineStr">
        <is>
          <t>1 - 1.5</t>
        </is>
      </c>
      <c r="O31" s="161" t="inlineStr">
        <is>
          <t>Да</t>
        </is>
      </c>
      <c r="P31" s="157" t="n">
        <v>0.5</v>
      </c>
      <c r="Q31" s="160" t="inlineStr">
        <is>
          <t>м.уч.</t>
        </is>
      </c>
    </row>
    <row r="32">
      <c r="A32" s="148" t="inlineStr">
        <is>
          <t>э-пустое</t>
        </is>
      </c>
      <c r="B32" s="160" t="n">
        <v>104</v>
      </c>
      <c r="C32" s="150" t="n">
        <v>0.1253012048192771</v>
      </c>
      <c r="D32" s="160" t="n">
        <v>20.8</v>
      </c>
      <c r="E32" s="150" t="n">
        <v>0.1002409638554217</v>
      </c>
      <c r="F32" s="160" t="n">
        <v>0</v>
      </c>
      <c r="G32" s="151">
        <f>B32</f>
        <v/>
      </c>
      <c r="H32" s="151">
        <f>D32</f>
        <v/>
      </c>
      <c r="I32" s="152">
        <f>E32</f>
        <v/>
      </c>
      <c r="J32" s="152">
        <f>F32</f>
        <v/>
      </c>
      <c r="K32" s="153">
        <f>H32+(I32-J32)*830</f>
        <v/>
      </c>
      <c r="L32" s="154">
        <f>K32/G32</f>
        <v/>
      </c>
      <c r="M32" s="159" t="n"/>
      <c r="N32" s="159" t="n"/>
      <c r="O32" s="156" t="n"/>
      <c r="P32" s="163" t="n"/>
      <c r="Q32" s="160" t="n"/>
    </row>
    <row r="33">
      <c r="A33" s="148" t="inlineStr">
        <is>
          <t>э-резерв</t>
        </is>
      </c>
      <c r="B33" s="160" t="n">
        <v>92.5</v>
      </c>
      <c r="C33" s="150" t="n">
        <v>0.1114457831325301</v>
      </c>
      <c r="D33" s="160" t="n">
        <v>18.5</v>
      </c>
      <c r="E33" s="150" t="n">
        <v>0.0891566265060241</v>
      </c>
      <c r="F33" s="160" t="n">
        <v>0</v>
      </c>
      <c r="G33" s="151">
        <f>B33</f>
        <v/>
      </c>
      <c r="H33" s="151">
        <f>D33</f>
        <v/>
      </c>
      <c r="I33" s="152">
        <f>E33</f>
        <v/>
      </c>
      <c r="J33" s="152">
        <f>F33</f>
        <v/>
      </c>
      <c r="K33" s="153">
        <f>H33+(I33-J33)*830</f>
        <v/>
      </c>
      <c r="L33" s="154">
        <f>K33/G33</f>
        <v/>
      </c>
      <c r="M33" s="159" t="n"/>
      <c r="N33" s="159" t="n"/>
      <c r="O33" s="156" t="n"/>
      <c r="P33" s="163" t="n"/>
      <c r="Q33" s="160" t="n"/>
    </row>
    <row r="34" hidden="1" s="2">
      <c r="A34" s="97" t="inlineStr">
        <is>
          <t>Общий итог</t>
        </is>
      </c>
      <c r="B34" t="n">
        <v>502.3413407821228</v>
      </c>
      <c r="C34" t="n">
        <v>0.6052305310627986</v>
      </c>
      <c r="D34" t="n">
        <v>100.4682681564246</v>
      </c>
      <c r="E34" t="n">
        <v>0.484184424850239</v>
      </c>
      <c r="F34" t="n">
        <v>0.4805027932960893</v>
      </c>
      <c r="G34" s="164" t="n"/>
      <c r="H34" s="164" t="n"/>
      <c r="I34" s="164" t="n"/>
      <c r="J34" s="164" t="n"/>
      <c r="K34" s="164" t="n"/>
      <c r="L34" s="164" t="n"/>
      <c r="Q34" s="163" t="n"/>
    </row>
    <row r="35">
      <c r="A35" s="165" t="inlineStr">
        <is>
          <t>Общий итог</t>
        </is>
      </c>
      <c r="B35" s="166">
        <f>SUM(B4:B33)</f>
        <v/>
      </c>
      <c r="C35" s="166">
        <f>SUM(C4:C33)</f>
        <v/>
      </c>
      <c r="D35" s="317">
        <f>SUM(D4:D33)</f>
        <v/>
      </c>
      <c r="E35" s="166">
        <f>SUM(E4:E33)</f>
        <v/>
      </c>
      <c r="F35" s="166">
        <f>SUM(F4:F33)</f>
        <v/>
      </c>
      <c r="G35" s="166">
        <f>SUM(G4:G33)</f>
        <v/>
      </c>
      <c r="H35" s="166">
        <f>SUM(H4:H33)</f>
        <v/>
      </c>
      <c r="I35" s="166">
        <f>SUM(I4:I33)</f>
        <v/>
      </c>
      <c r="J35" s="166">
        <f>SUM(J4:J33)</f>
        <v/>
      </c>
      <c r="K35" s="166">
        <f>SUM(K4:K33)</f>
        <v/>
      </c>
      <c r="L35" s="168">
        <f>K35/B35</f>
        <v/>
      </c>
      <c r="M35" s="169" t="n"/>
      <c r="N35" s="169" t="n"/>
      <c r="O35" s="169" t="n"/>
      <c r="P35" s="170" t="n"/>
      <c r="Q35" s="171" t="n"/>
    </row>
    <row r="38">
      <c r="B38" s="172" t="n">
        <v>5854</v>
      </c>
    </row>
    <row r="39">
      <c r="B39" s="172" t="n">
        <v>6363</v>
      </c>
    </row>
    <row r="40">
      <c r="B40" s="172">
        <f>SUM(B38:B39)</f>
        <v/>
      </c>
    </row>
  </sheetData>
  <conditionalFormatting sqref="L4:L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eadings="0" gridLines="0"/>
  <pageMargins left="0.7" right="0.7" top="0.75" bottom="0.75" header="0.3" footer="0.3"/>
  <pageSetup orientation="portrait" paperSize="9" scale="100" fitToHeight="1" fitToWidth="1" firstPageNumber="-1" useFirstPageNumber="0" pageOrder="downThenOver" usePrinterDefaults="1" blackAndWhite="0" draft="0" errors="displayed" horizontalDpi="600" verticalDpi="0" copies="1"/>
</worksheet>
</file>

<file path=xl/worksheets/sheet8.xml><?xml version="1.0" encoding="utf-8"?>
<worksheet xmlns="http://schemas.openxmlformats.org/spreadsheetml/2006/main">
  <sheetPr filterMode="1">
    <outlinePr applyStyles="0" summaryBelow="1" summaryRight="1" showOutlineSymbols="1"/>
    <pageSetUpPr autoPageBreaks="1" fitToPage="0"/>
  </sheetPr>
  <dimension ref="A1:AK934"/>
  <sheetViews>
    <sheetView zoomScale="110" workbookViewId="0">
      <selection activeCell="W801" activeCellId="0" sqref="W801"/>
    </sheetView>
  </sheetViews>
  <sheetFormatPr baseColWidth="8" defaultColWidth="14.42578125" defaultRowHeight="15" customHeight="1"/>
  <cols>
    <col width="6.85546875" customWidth="1" style="2" min="1" max="1"/>
    <col width="46.140625" customWidth="1" style="2" min="2" max="2"/>
    <col width="17.5703125" customWidth="1" style="2" min="3" max="3"/>
    <col width="22.140625" customWidth="1" style="2" min="4" max="4"/>
    <col width="11.5703125" customWidth="1" style="2" min="5" max="5"/>
    <col width="7.42578125" customWidth="1" style="2" min="6" max="6"/>
    <col width="7.8515625" customWidth="1" style="2" min="7" max="7"/>
    <col width="5.7109375" customWidth="1" style="2" min="8" max="8"/>
    <col width="30.140625" customWidth="1" style="2" min="9" max="9"/>
    <col width="10.42578125" customWidth="1" style="2" min="10" max="10"/>
    <col width="6.85546875" customWidth="1" style="2" min="11" max="11"/>
    <col width="9.85546875" customWidth="1" style="2" min="12" max="12"/>
    <col width="8.85546875" customWidth="1" style="2" min="13" max="13"/>
    <col width="6.28515625" customWidth="1" style="2" min="14" max="14"/>
    <col width="10.42578125" customWidth="1" style="2" min="15" max="15"/>
    <col width="8.5703125" customWidth="1" style="2" min="16" max="16"/>
    <col width="12.42578125" customWidth="1" style="2" min="17" max="17"/>
    <col width="11.42578125" customWidth="1" style="2" min="18" max="18"/>
    <col width="9.140625" customWidth="1" style="2" min="19" max="37"/>
  </cols>
  <sheetData>
    <row r="1">
      <c r="A1" s="173" t="inlineStr">
        <is>
          <t>семестр</t>
        </is>
      </c>
      <c r="B1" s="174" t="inlineStr">
        <is>
          <t>Дисциплина</t>
        </is>
      </c>
      <c r="C1" s="174" t="inlineStr">
        <is>
          <t>Вид нагрузки</t>
        </is>
      </c>
      <c r="D1" s="174" t="inlineStr">
        <is>
          <t>Группы</t>
        </is>
      </c>
      <c r="E1" s="174" t="inlineStr">
        <is>
          <t>Нагрузка</t>
        </is>
      </c>
      <c r="F1" s="174" t="inlineStr">
        <is>
          <t>Поток</t>
        </is>
      </c>
      <c r="G1" s="174" t="inlineStr">
        <is>
          <t>Количества часов по УП</t>
        </is>
      </c>
      <c r="H1" s="174" t="inlineStr">
        <is>
          <t>Табельный №</t>
        </is>
      </c>
      <c r="I1" s="174" t="inlineStr">
        <is>
          <t>ФИО</t>
        </is>
      </c>
      <c r="J1" s="174" t="inlineStr">
        <is>
          <t>Должность</t>
        </is>
      </c>
      <c r="K1" s="174" t="inlineStr">
        <is>
          <t>65+</t>
        </is>
      </c>
      <c r="L1" s="174" t="inlineStr">
        <is>
          <t>Желаемая аудитория</t>
        </is>
      </c>
      <c r="M1" s="174" t="inlineStr">
        <is>
          <t>Описание (пожелания по дням недели, времени, требования по техническому обеспечению аудитории)</t>
        </is>
      </c>
      <c r="N1" s="7" t="inlineStr">
        <is>
          <t>осень</t>
        </is>
      </c>
      <c r="O1" s="7" t="inlineStr">
        <is>
          <t>весна</t>
        </is>
      </c>
      <c r="P1" s="7" t="inlineStr">
        <is>
          <t>всего</t>
        </is>
      </c>
      <c r="Q1" s="7" t="n">
        <v>830</v>
      </c>
      <c r="R1" s="7" t="inlineStr">
        <is>
          <t>ПЧ20%</t>
        </is>
      </c>
      <c r="S1" s="7" t="inlineStr">
        <is>
          <t>Ставка-ПЧ</t>
        </is>
      </c>
      <c r="T1" s="7" t="inlineStr">
        <is>
          <t>Приказ</t>
        </is>
      </c>
    </row>
    <row r="2" hidden="1" s="2">
      <c r="A2" s="175" t="inlineStr">
        <is>
          <t>осень</t>
        </is>
      </c>
      <c r="B2" s="176" t="inlineStr">
        <is>
          <t>Руководство кафедрой</t>
        </is>
      </c>
      <c r="C2" s="176" t="inlineStr">
        <is>
          <t>Руководство кафедрой</t>
        </is>
      </c>
      <c r="D2" s="176" t="n"/>
      <c r="E2" s="177" t="n">
        <v>30</v>
      </c>
      <c r="F2" s="176" t="n"/>
      <c r="G2" s="178" t="n"/>
      <c r="H2" s="176" t="inlineStr">
        <is>
          <t>82061</t>
        </is>
      </c>
      <c r="I2" s="176" t="inlineStr">
        <is>
          <t>Моисеев Виктор Сергеевич</t>
        </is>
      </c>
      <c r="J2" s="176" t="n"/>
      <c r="K2" s="176" t="inlineStr">
        <is>
          <t>Да</t>
        </is>
      </c>
      <c r="L2" s="176" t="n"/>
      <c r="M2" s="176" t="n"/>
      <c r="N2" s="179">
        <f>SUMIFS($E$2:$E$896,$A$2:$A$896,"осень",$I$2:$I$896,I2)</f>
        <v/>
      </c>
      <c r="O2" s="179">
        <f>SUMIFS($E$2:$E$896,$A$2:$A$896,"весна",$I$2:$I$896,I2)</f>
        <v/>
      </c>
      <c r="P2" s="180">
        <f>N2+O2</f>
        <v/>
      </c>
      <c r="Q2" s="181">
        <f>P2/$Q$1</f>
        <v/>
      </c>
      <c r="R2" s="122">
        <f>P2*0.2</f>
        <v/>
      </c>
      <c r="S2" s="122">
        <f>Q2*0.8</f>
        <v/>
      </c>
      <c r="T2" s="133" t="n">
        <v>0.2</v>
      </c>
    </row>
    <row r="3" hidden="1" s="2">
      <c r="A3" s="175" t="inlineStr">
        <is>
          <t>осень</t>
        </is>
      </c>
      <c r="B3" s="176" t="inlineStr">
        <is>
          <t>Контроль качества отливок</t>
        </is>
      </c>
      <c r="C3" s="176" t="inlineStr">
        <is>
          <t>ЛК</t>
        </is>
      </c>
      <c r="D3" s="176" t="inlineStr">
        <is>
          <t>Т11О-101М-23</t>
        </is>
      </c>
      <c r="E3" s="177" t="n">
        <v>16</v>
      </c>
      <c r="F3" s="176" t="inlineStr">
        <is>
          <t>18008</t>
        </is>
      </c>
      <c r="G3" s="177" t="n">
        <v>16</v>
      </c>
      <c r="H3" s="176" t="inlineStr">
        <is>
          <t>82020</t>
        </is>
      </c>
      <c r="I3" s="176" t="inlineStr">
        <is>
          <t>Варфоломеев Максим Сергеевич</t>
        </is>
      </c>
      <c r="J3" s="176" t="n"/>
      <c r="K3" s="176" t="inlineStr">
        <is>
          <t>Нет</t>
        </is>
      </c>
      <c r="L3" s="176" t="n"/>
      <c r="M3" s="176" t="n"/>
      <c r="N3" s="179">
        <f>SUMIFS($E$2:$E$896,$A$2:$A$896,"осень",$I$2:$I$896,I3)</f>
        <v/>
      </c>
      <c r="O3" s="179">
        <f>SUMIFS($E$2:$E$896,$A$2:$A$896,"весна",$I$2:$I$896,I3)</f>
        <v/>
      </c>
      <c r="P3" s="180">
        <f>N3+O3</f>
        <v/>
      </c>
      <c r="Q3" s="181">
        <f>P3/$Q$1</f>
        <v/>
      </c>
      <c r="R3" s="122">
        <f>P3*0.2</f>
        <v/>
      </c>
      <c r="S3" s="122">
        <f>Q3*0.8</f>
        <v/>
      </c>
      <c r="T3" s="133" t="n">
        <v>0.7</v>
      </c>
    </row>
    <row r="4" hidden="1" s="2">
      <c r="A4" s="175" t="inlineStr">
        <is>
          <t>осень</t>
        </is>
      </c>
      <c r="B4" s="176" t="inlineStr">
        <is>
          <t>Контроль качества отливок</t>
        </is>
      </c>
      <c r="C4" s="176" t="inlineStr">
        <is>
          <t>ПЗ</t>
        </is>
      </c>
      <c r="D4" s="176" t="inlineStr">
        <is>
          <t>Т11О-101М-23</t>
        </is>
      </c>
      <c r="E4" s="177" t="n">
        <v>20</v>
      </c>
      <c r="F4" s="176" t="inlineStr">
        <is>
          <t>18008</t>
        </is>
      </c>
      <c r="G4" s="177" t="n">
        <v>20</v>
      </c>
      <c r="H4" s="176" t="inlineStr">
        <is>
          <t>82020</t>
        </is>
      </c>
      <c r="I4" s="176" t="inlineStr">
        <is>
          <t>Варфоломеев Максим Сергеевич</t>
        </is>
      </c>
      <c r="J4" s="176" t="n"/>
      <c r="K4" s="176" t="inlineStr">
        <is>
          <t>Нет</t>
        </is>
      </c>
      <c r="L4" s="176" t="n"/>
      <c r="M4" s="176" t="n"/>
      <c r="N4" s="179">
        <f>SUMIFS($E$2:$E$896,$A$2:$A$896,"осень",$I$2:$I$896,I4)</f>
        <v/>
      </c>
      <c r="O4" s="179">
        <f>SUMIFS($E$2:$E$896,$A$2:$A$896,"весна",$I$2:$I$896,I4)</f>
        <v/>
      </c>
      <c r="P4" s="180">
        <f>N4+O4</f>
        <v/>
      </c>
      <c r="Q4" s="181">
        <f>P4/$Q$1</f>
        <v/>
      </c>
      <c r="R4" s="122">
        <f>P4*0.2</f>
        <v/>
      </c>
      <c r="S4" s="122">
        <f>Q4*0.8</f>
        <v/>
      </c>
      <c r="T4" s="133" t="n">
        <v>0.7</v>
      </c>
    </row>
    <row r="5" hidden="1" s="2">
      <c r="A5" s="175" t="inlineStr">
        <is>
          <t>осень</t>
        </is>
      </c>
      <c r="B5" s="176" t="inlineStr">
        <is>
          <t>Контроль качества отливок</t>
        </is>
      </c>
      <c r="C5" s="176" t="inlineStr">
        <is>
          <t>ЛР</t>
        </is>
      </c>
      <c r="D5" s="176" t="inlineStr">
        <is>
          <t>Т11О-101М-23</t>
        </is>
      </c>
      <c r="E5" s="177" t="n">
        <v>16</v>
      </c>
      <c r="F5" s="176" t="inlineStr">
        <is>
          <t>18008</t>
        </is>
      </c>
      <c r="G5" s="177" t="n">
        <v>16</v>
      </c>
      <c r="H5" s="176" t="inlineStr">
        <is>
          <t>94221</t>
        </is>
      </c>
      <c r="I5" s="176" t="inlineStr">
        <is>
          <t>Варфоломеев Максим Сергеевич</t>
        </is>
      </c>
      <c r="J5" s="176" t="n"/>
      <c r="K5" s="176" t="inlineStr">
        <is>
          <t>Нет</t>
        </is>
      </c>
      <c r="L5" s="176" t="n"/>
      <c r="M5" s="176" t="n"/>
      <c r="N5" s="179">
        <f>SUMIFS($E$2:$E$896,$A$2:$A$896,"осень",$I$2:$I$896,I5)</f>
        <v/>
      </c>
      <c r="O5" s="179">
        <f>SUMIFS($E$2:$E$896,$A$2:$A$896,"весна",$I$2:$I$896,I5)</f>
        <v/>
      </c>
      <c r="P5" s="180">
        <f>N5+O5</f>
        <v/>
      </c>
      <c r="Q5" s="181">
        <f>P5/$Q$1</f>
        <v/>
      </c>
      <c r="R5" s="122">
        <f>P5*0.2</f>
        <v/>
      </c>
      <c r="S5" s="122">
        <f>Q5*0.8</f>
        <v/>
      </c>
      <c r="T5" s="133" t="n">
        <v>0.45</v>
      </c>
    </row>
    <row r="6" hidden="1" s="2">
      <c r="A6" s="175" t="inlineStr">
        <is>
          <t>осень</t>
        </is>
      </c>
      <c r="B6" s="176" t="inlineStr">
        <is>
          <t>Контроль качества отливок</t>
        </is>
      </c>
      <c r="C6" s="176" t="inlineStr">
        <is>
          <t>Зачет</t>
        </is>
      </c>
      <c r="D6" s="176" t="inlineStr">
        <is>
          <t>Т11О-101М-23</t>
        </is>
      </c>
      <c r="E6" s="177" t="n">
        <v>3</v>
      </c>
      <c r="F6" s="176" t="inlineStr">
        <is>
          <t>18008</t>
        </is>
      </c>
      <c r="G6" s="178" t="n"/>
      <c r="H6" s="176" t="inlineStr">
        <is>
          <t>82020</t>
        </is>
      </c>
      <c r="I6" s="176" t="inlineStr">
        <is>
          <t>Варфоломеев Максим Сергеевич</t>
        </is>
      </c>
      <c r="J6" s="176" t="n"/>
      <c r="K6" s="176" t="inlineStr">
        <is>
          <t>Нет</t>
        </is>
      </c>
      <c r="L6" s="176" t="n"/>
      <c r="M6" s="176" t="n"/>
      <c r="N6" s="179">
        <f>SUMIFS($E$2:$E$896,$A$2:$A$896,"осень",$I$2:$I$896,I6)</f>
        <v/>
      </c>
      <c r="O6" s="179">
        <f>SUMIFS($E$2:$E$896,$A$2:$A$896,"весна",$I$2:$I$896,I6)</f>
        <v/>
      </c>
      <c r="P6" s="180">
        <f>N6+O6</f>
        <v/>
      </c>
      <c r="Q6" s="181">
        <f>P6/$Q$1</f>
        <v/>
      </c>
      <c r="R6" s="122">
        <f>P6*0.2</f>
        <v/>
      </c>
      <c r="S6" s="122">
        <f>Q6*0.8</f>
        <v/>
      </c>
      <c r="T6" s="133" t="n">
        <v>0.7</v>
      </c>
    </row>
    <row r="7" hidden="1" s="2">
      <c r="A7" s="175" t="inlineStr">
        <is>
          <t>осень</t>
        </is>
      </c>
      <c r="B7" s="176" t="inlineStr">
        <is>
          <t>Контроль качества отливок</t>
        </is>
      </c>
      <c r="C7" s="176" t="inlineStr">
        <is>
          <t>Консультация</t>
        </is>
      </c>
      <c r="D7" s="176" t="inlineStr">
        <is>
          <t>Т11О-101М-23</t>
        </is>
      </c>
      <c r="E7" s="177" t="n">
        <v>1</v>
      </c>
      <c r="F7" s="176" t="inlineStr">
        <is>
          <t>18008</t>
        </is>
      </c>
      <c r="G7" s="178" t="n"/>
      <c r="H7" s="176" t="inlineStr">
        <is>
          <t>82020</t>
        </is>
      </c>
      <c r="I7" s="176" t="inlineStr">
        <is>
          <t>Варфоломеев Максим Сергеевич</t>
        </is>
      </c>
      <c r="J7" s="176" t="n"/>
      <c r="K7" s="176" t="inlineStr">
        <is>
          <t>Нет</t>
        </is>
      </c>
      <c r="L7" s="176" t="n"/>
      <c r="M7" s="176" t="n"/>
      <c r="N7" s="179">
        <f>SUMIFS($E$2:$E$896,$A$2:$A$896,"осень",$I$2:$I$896,I7)</f>
        <v/>
      </c>
      <c r="O7" s="179">
        <f>SUMIFS($E$2:$E$896,$A$2:$A$896,"весна",$I$2:$I$896,I7)</f>
        <v/>
      </c>
      <c r="P7" s="180">
        <f>N7+O7</f>
        <v/>
      </c>
      <c r="Q7" s="181">
        <f>P7/$Q$1</f>
        <v/>
      </c>
      <c r="R7" s="122">
        <f>P7*0.2</f>
        <v/>
      </c>
      <c r="S7" s="122">
        <f>Q7*0.8</f>
        <v/>
      </c>
      <c r="T7" s="133" t="n">
        <v>0.7</v>
      </c>
    </row>
    <row r="8" hidden="1" s="2">
      <c r="A8" s="175" t="inlineStr">
        <is>
          <t>осень</t>
        </is>
      </c>
      <c r="B8" s="176" t="inlineStr">
        <is>
          <t>Технология и оборудование сварки плавлением</t>
        </is>
      </c>
      <c r="C8" s="176" t="inlineStr">
        <is>
          <t>КП</t>
        </is>
      </c>
      <c r="D8" s="176" t="inlineStr">
        <is>
          <t>Т11О-401Б-20</t>
        </is>
      </c>
      <c r="E8" s="177" t="n">
        <v>18</v>
      </c>
      <c r="F8" s="176" t="inlineStr">
        <is>
          <t>11924</t>
        </is>
      </c>
      <c r="G8" s="178" t="n"/>
      <c r="H8" s="176" t="inlineStr">
        <is>
          <t>89090</t>
        </is>
      </c>
      <c r="I8" s="176" t="inlineStr">
        <is>
          <t>Степанов Владимир Валерьевич</t>
        </is>
      </c>
      <c r="J8" s="176" t="n"/>
      <c r="K8" s="176" t="inlineStr">
        <is>
          <t>Нет</t>
        </is>
      </c>
      <c r="L8" s="176" t="n"/>
      <c r="M8" s="176" t="n"/>
      <c r="N8" s="179">
        <f>SUMIFS($E$2:$E$896,$A$2:$A$896,"осень",$I$2:$I$896,I8)</f>
        <v/>
      </c>
      <c r="O8" s="179">
        <f>SUMIFS($E$2:$E$896,$A$2:$A$896,"весна",$I$2:$I$896,I8)</f>
        <v/>
      </c>
      <c r="P8" s="180">
        <f>N8+O8</f>
        <v/>
      </c>
      <c r="Q8" s="181">
        <f>P8/$Q$1</f>
        <v/>
      </c>
      <c r="R8" s="122">
        <f>P8*0.2</f>
        <v/>
      </c>
      <c r="S8" s="122">
        <f>Q8*0.8</f>
        <v/>
      </c>
      <c r="T8" s="133" t="n">
        <v>0.4</v>
      </c>
    </row>
    <row r="9" hidden="1" s="2">
      <c r="A9" s="175" t="inlineStr">
        <is>
          <t>осень</t>
        </is>
      </c>
      <c r="B9" s="176" t="inlineStr">
        <is>
          <t>Технология и оборудование сварки плавлением</t>
        </is>
      </c>
      <c r="C9" s="176" t="inlineStr">
        <is>
          <t>КП</t>
        </is>
      </c>
      <c r="D9" s="176" t="inlineStr">
        <is>
          <t>Т11О-401Б-20</t>
        </is>
      </c>
      <c r="E9" s="177" t="n">
        <v>18</v>
      </c>
      <c r="F9" s="176" t="inlineStr">
        <is>
          <t>11924</t>
        </is>
      </c>
      <c r="G9" s="178" t="n"/>
      <c r="H9" s="176" t="inlineStr">
        <is>
          <t>82056</t>
        </is>
      </c>
      <c r="I9" s="176" t="inlineStr">
        <is>
          <t>Никитина Елена Владимировна</t>
        </is>
      </c>
      <c r="J9" s="176" t="n"/>
      <c r="K9" s="176" t="inlineStr">
        <is>
          <t>Да</t>
        </is>
      </c>
      <c r="L9" s="176" t="n"/>
      <c r="M9" s="176" t="n"/>
      <c r="N9" s="179">
        <f>SUMIFS($E$2:$E$896,$A$2:$A$896,"осень",$I$2:$I$896,I9)</f>
        <v/>
      </c>
      <c r="O9" s="179">
        <f>SUMIFS($E$2:$E$896,$A$2:$A$896,"весна",$I$2:$I$896,I9)</f>
        <v/>
      </c>
      <c r="P9" s="180">
        <f>N9+O9</f>
        <v/>
      </c>
      <c r="Q9" s="181">
        <f>P9/$Q$1</f>
        <v/>
      </c>
      <c r="R9" s="122">
        <f>P9*0.2</f>
        <v/>
      </c>
      <c r="S9" s="122">
        <f>Q9*0.8</f>
        <v/>
      </c>
      <c r="T9" s="133" t="n">
        <v>0.5</v>
      </c>
    </row>
    <row r="10" hidden="1" s="2">
      <c r="A10" s="175" t="inlineStr">
        <is>
          <t>осень</t>
        </is>
      </c>
      <c r="B10" s="176" t="inlineStr">
        <is>
          <t>Технология и оборудование сварки плавлением</t>
        </is>
      </c>
      <c r="C10" s="176" t="inlineStr">
        <is>
          <t>ЛК</t>
        </is>
      </c>
      <c r="D10" s="176" t="inlineStr">
        <is>
          <t>Т11О-401Б-20</t>
        </is>
      </c>
      <c r="E10" s="177" t="n">
        <v>44</v>
      </c>
      <c r="F10" s="176" t="inlineStr">
        <is>
          <t>11924</t>
        </is>
      </c>
      <c r="G10" s="177" t="n">
        <v>44</v>
      </c>
      <c r="H10" s="176" t="inlineStr">
        <is>
          <t>89090</t>
        </is>
      </c>
      <c r="I10" s="176" t="inlineStr">
        <is>
          <t>Степанов Владимир Валерьевич</t>
        </is>
      </c>
      <c r="J10" s="176" t="n"/>
      <c r="K10" s="176" t="inlineStr">
        <is>
          <t>Нет</t>
        </is>
      </c>
      <c r="L10" s="176" t="n"/>
      <c r="M10" s="176" t="n"/>
      <c r="N10" s="179">
        <f>SUMIFS($E$2:$E$896,$A$2:$A$896,"осень",$I$2:$I$896,I10)</f>
        <v/>
      </c>
      <c r="O10" s="179">
        <f>SUMIFS($E$2:$E$896,$A$2:$A$896,"весна",$I$2:$I$896,I10)</f>
        <v/>
      </c>
      <c r="P10" s="180">
        <f>N10+O10</f>
        <v/>
      </c>
      <c r="Q10" s="181">
        <f>P10/$Q$1</f>
        <v/>
      </c>
      <c r="R10" s="122">
        <f>P10*0.2</f>
        <v/>
      </c>
      <c r="S10" s="122">
        <f>Q10*0.8</f>
        <v/>
      </c>
      <c r="T10" s="133" t="n">
        <v>0.4</v>
      </c>
    </row>
    <row r="11" hidden="1" s="2">
      <c r="A11" s="175" t="inlineStr">
        <is>
          <t>осень</t>
        </is>
      </c>
      <c r="B11" s="182" t="inlineStr">
        <is>
          <t>Технология и оборудование сварки плавлением</t>
        </is>
      </c>
      <c r="C11" s="182" t="inlineStr">
        <is>
          <t>ПЗ</t>
        </is>
      </c>
      <c r="D11" s="182" t="inlineStr">
        <is>
          <t>Т11О-401Б-20</t>
        </is>
      </c>
      <c r="E11" s="183" t="n">
        <v>32</v>
      </c>
      <c r="F11" s="182" t="inlineStr">
        <is>
          <t>11924</t>
        </is>
      </c>
      <c r="G11" s="183" t="n">
        <v>64</v>
      </c>
      <c r="H11" s="182" t="inlineStr">
        <is>
          <t>89090</t>
        </is>
      </c>
      <c r="I11" s="182" t="inlineStr">
        <is>
          <t>Степанов Владимир Валерьевич</t>
        </is>
      </c>
      <c r="J11" s="176" t="n"/>
      <c r="K11" s="176" t="inlineStr">
        <is>
          <t>Нет</t>
        </is>
      </c>
      <c r="L11" s="176" t="n"/>
      <c r="M11" s="176" t="n"/>
      <c r="N11" s="179">
        <f>SUMIFS($E$2:$E$896,$A$2:$A$896,"осень",$I$2:$I$896,I11)</f>
        <v/>
      </c>
      <c r="O11" s="179">
        <f>SUMIFS($E$2:$E$896,$A$2:$A$896,"весна",$I$2:$I$896,I11)</f>
        <v/>
      </c>
      <c r="P11" s="180">
        <f>N11+O11</f>
        <v/>
      </c>
      <c r="Q11" s="181">
        <f>P11/$Q$1</f>
        <v/>
      </c>
      <c r="R11" s="122">
        <f>P11*0.2</f>
        <v/>
      </c>
      <c r="S11" s="122">
        <f>Q11*0.8</f>
        <v/>
      </c>
      <c r="T11" s="133" t="n">
        <v>0.4</v>
      </c>
    </row>
    <row r="12" hidden="1" s="2">
      <c r="A12" s="175" t="inlineStr">
        <is>
          <t>осень</t>
        </is>
      </c>
      <c r="B12" s="182" t="inlineStr">
        <is>
          <t>Технология и оборудование сварки плавлением</t>
        </is>
      </c>
      <c r="C12" s="182" t="inlineStr">
        <is>
          <t>ПЗ</t>
        </is>
      </c>
      <c r="D12" s="182" t="inlineStr">
        <is>
          <t>Т11О-401Б-20</t>
        </is>
      </c>
      <c r="E12" s="183" t="n">
        <v>32</v>
      </c>
      <c r="F12" s="182" t="inlineStr">
        <is>
          <t>11924</t>
        </is>
      </c>
      <c r="G12" s="183" t="n">
        <v>64</v>
      </c>
      <c r="H12" s="182" t="inlineStr">
        <is>
          <t>89090</t>
        </is>
      </c>
      <c r="I12" s="182" t="inlineStr">
        <is>
          <t>Степанов Владимир Валерьевич</t>
        </is>
      </c>
      <c r="J12" s="176" t="n"/>
      <c r="K12" s="176" t="inlineStr">
        <is>
          <t>Нет</t>
        </is>
      </c>
      <c r="L12" s="176" t="n"/>
      <c r="M12" s="176" t="n"/>
      <c r="N12" s="179">
        <f>SUMIFS($E$2:$E$896,$A$2:$A$896,"осень",$I$2:$I$896,I12)</f>
        <v/>
      </c>
      <c r="O12" s="179">
        <f>SUMIFS($E$2:$E$896,$A$2:$A$896,"весна",$I$2:$I$896,I12)</f>
        <v/>
      </c>
      <c r="P12" s="180">
        <f>N12+O12</f>
        <v/>
      </c>
      <c r="Q12" s="181">
        <f>P12/$Q$1</f>
        <v/>
      </c>
      <c r="R12" s="122">
        <f>P12*0.2</f>
        <v/>
      </c>
      <c r="S12" s="122">
        <f>Q12*0.8</f>
        <v/>
      </c>
      <c r="T12" s="133" t="n">
        <v>0.5</v>
      </c>
    </row>
    <row r="13" hidden="1" s="2">
      <c r="A13" s="175" t="inlineStr">
        <is>
          <t>осень</t>
        </is>
      </c>
      <c r="B13" s="176" t="inlineStr">
        <is>
          <t>Технология и оборудование сварки плавлением</t>
        </is>
      </c>
      <c r="C13" s="176" t="inlineStr">
        <is>
          <t>ЛР</t>
        </is>
      </c>
      <c r="D13" s="176" t="inlineStr">
        <is>
          <t>Т11О-401Б-20</t>
        </is>
      </c>
      <c r="E13" s="177" t="n">
        <v>36</v>
      </c>
      <c r="F13" s="176" t="inlineStr">
        <is>
          <t>11924</t>
        </is>
      </c>
      <c r="G13" s="177" t="n">
        <v>36</v>
      </c>
      <c r="H13" s="176" t="inlineStr">
        <is>
          <t>89090</t>
        </is>
      </c>
      <c r="I13" s="176" t="inlineStr">
        <is>
          <t>Степанов Владимир Валерьевич</t>
        </is>
      </c>
      <c r="J13" s="176" t="n"/>
      <c r="K13" s="176" t="inlineStr">
        <is>
          <t>Нет</t>
        </is>
      </c>
      <c r="L13" s="176" t="n"/>
      <c r="M13" s="176" t="n"/>
      <c r="N13" s="179">
        <f>SUMIFS($E$2:$E$896,$A$2:$A$896,"осень",$I$2:$I$896,I13)</f>
        <v/>
      </c>
      <c r="O13" s="179">
        <f>SUMIFS($E$2:$E$896,$A$2:$A$896,"весна",$I$2:$I$896,I13)</f>
        <v/>
      </c>
      <c r="P13" s="180">
        <f>N13+O13</f>
        <v/>
      </c>
      <c r="Q13" s="181">
        <f>P13/$Q$1</f>
        <v/>
      </c>
      <c r="R13" s="122">
        <f>P13*0.2</f>
        <v/>
      </c>
      <c r="S13" s="122">
        <f>Q13*0.8</f>
        <v/>
      </c>
      <c r="T13" s="133" t="n">
        <v>0.4</v>
      </c>
    </row>
    <row r="14" hidden="1" s="2">
      <c r="A14" s="175" t="inlineStr">
        <is>
          <t>осень</t>
        </is>
      </c>
      <c r="B14" s="176" t="inlineStr">
        <is>
          <t>Технология и оборудование сварки плавлением</t>
        </is>
      </c>
      <c r="C14" s="176" t="inlineStr">
        <is>
          <t>Экзамен</t>
        </is>
      </c>
      <c r="D14" s="176" t="inlineStr">
        <is>
          <t>Т11О-401Б-20</t>
        </is>
      </c>
      <c r="E14" s="177" t="n">
        <v>4</v>
      </c>
      <c r="F14" s="176" t="inlineStr">
        <is>
          <t>11924</t>
        </is>
      </c>
      <c r="G14" s="178" t="n"/>
      <c r="H14" s="176" t="inlineStr">
        <is>
          <t>89090</t>
        </is>
      </c>
      <c r="I14" s="176" t="inlineStr">
        <is>
          <t>Степанов Владимир Валерьевич</t>
        </is>
      </c>
      <c r="J14" s="176" t="n"/>
      <c r="K14" s="176" t="inlineStr">
        <is>
          <t>Нет</t>
        </is>
      </c>
      <c r="L14" s="176" t="n"/>
      <c r="M14" s="176" t="n"/>
      <c r="N14" s="179">
        <f>SUMIFS($E$2:$E$896,$A$2:$A$896,"осень",$I$2:$I$896,I14)</f>
        <v/>
      </c>
      <c r="O14" s="179">
        <f>SUMIFS($E$2:$E$896,$A$2:$A$896,"весна",$I$2:$I$896,I14)</f>
        <v/>
      </c>
      <c r="P14" s="180">
        <f>N14+O14</f>
        <v/>
      </c>
      <c r="Q14" s="181">
        <f>P14/$Q$1</f>
        <v/>
      </c>
      <c r="R14" s="122">
        <f>P14*0.2</f>
        <v/>
      </c>
      <c r="S14" s="122">
        <f>Q14*0.8</f>
        <v/>
      </c>
      <c r="T14" s="133" t="n">
        <v>0.4</v>
      </c>
    </row>
    <row r="15">
      <c r="A15" s="175" t="inlineStr">
        <is>
          <t>осень</t>
        </is>
      </c>
      <c r="B15" s="176" t="inlineStr">
        <is>
          <t>Технология и оборудование сварки плавлением</t>
        </is>
      </c>
      <c r="C15" s="176" t="inlineStr">
        <is>
          <t>Экзамен</t>
        </is>
      </c>
      <c r="D15" s="176" t="inlineStr">
        <is>
          <t>Т11О-401Б-20</t>
        </is>
      </c>
      <c r="E15" s="184">
        <f>2-3.5</f>
        <v/>
      </c>
      <c r="F15" s="176" t="inlineStr">
        <is>
          <t>11924</t>
        </is>
      </c>
      <c r="G15" s="178" t="n"/>
      <c r="H15" s="176" t="n"/>
      <c r="I15" s="176" t="inlineStr">
        <is>
          <t>Степанов Владимир Валерьевич</t>
        </is>
      </c>
      <c r="J15" s="176" t="n"/>
      <c r="K15" s="176" t="inlineStr">
        <is>
          <t>Нет</t>
        </is>
      </c>
      <c r="L15" s="176" t="n"/>
      <c r="M15" s="176" t="n"/>
      <c r="N15" s="179">
        <f>SUMIFS($E$2:$E$896,$A$2:$A$896,"осень",$I$2:$I$896,I15)</f>
        <v/>
      </c>
      <c r="O15" s="179">
        <f>SUMIFS($E$2:$E$896,$A$2:$A$896,"весна",$I$2:$I$896,I15)</f>
        <v/>
      </c>
      <c r="P15" s="180">
        <f>N15+O15</f>
        <v/>
      </c>
      <c r="Q15" s="181">
        <f>P15/$Q$1</f>
        <v/>
      </c>
      <c r="R15" s="122">
        <f>P15*0.2</f>
        <v/>
      </c>
      <c r="S15" s="122">
        <f>Q15*0.8</f>
        <v/>
      </c>
      <c r="T15" s="133" t="n">
        <v>0</v>
      </c>
    </row>
    <row r="16" hidden="1" s="2">
      <c r="A16" s="175" t="inlineStr">
        <is>
          <t>осень</t>
        </is>
      </c>
      <c r="B16" s="176" t="inlineStr">
        <is>
          <t>Технология и оборудование сварки плавлением</t>
        </is>
      </c>
      <c r="C16" s="176" t="inlineStr">
        <is>
          <t>Консультация</t>
        </is>
      </c>
      <c r="D16" s="176" t="inlineStr">
        <is>
          <t>Т11О-401Б-20</t>
        </is>
      </c>
      <c r="E16" s="177" t="n">
        <v>4</v>
      </c>
      <c r="F16" s="176" t="inlineStr">
        <is>
          <t>11924</t>
        </is>
      </c>
      <c r="G16" s="178" t="n"/>
      <c r="H16" s="176" t="inlineStr">
        <is>
          <t>89090</t>
        </is>
      </c>
      <c r="I16" s="176" t="inlineStr">
        <is>
          <t>Степанов Владимир Валерьевич</t>
        </is>
      </c>
      <c r="J16" s="176" t="n"/>
      <c r="K16" s="176" t="inlineStr">
        <is>
          <t>Нет</t>
        </is>
      </c>
      <c r="L16" s="176" t="n"/>
      <c r="M16" s="176" t="n"/>
      <c r="N16" s="179">
        <f>SUMIFS($E$2:$E$896,$A$2:$A$896,"осень",$I$2:$I$896,I16)</f>
        <v/>
      </c>
      <c r="O16" s="179">
        <f>SUMIFS($E$2:$E$896,$A$2:$A$896,"весна",$I$2:$I$896,I16)</f>
        <v/>
      </c>
      <c r="P16" s="180">
        <f>N16+O16</f>
        <v/>
      </c>
      <c r="Q16" s="181">
        <f>P16/$Q$1</f>
        <v/>
      </c>
      <c r="R16" s="122">
        <f>P16*0.2</f>
        <v/>
      </c>
      <c r="S16" s="122">
        <f>Q16*0.8</f>
        <v/>
      </c>
      <c r="T16" s="133" t="n">
        <v>0.4</v>
      </c>
    </row>
    <row r="17" hidden="1" s="2">
      <c r="A17" s="175" t="inlineStr">
        <is>
          <t>осень</t>
        </is>
      </c>
      <c r="B17" s="176" t="inlineStr">
        <is>
          <t>Прикладная гидравлика</t>
        </is>
      </c>
      <c r="C17" s="176" t="inlineStr">
        <is>
          <t>ЛК</t>
        </is>
      </c>
      <c r="D17" s="176" t="inlineStr">
        <is>
          <t>Т11О-402Б-20</t>
        </is>
      </c>
      <c r="E17" s="177" t="n">
        <v>24</v>
      </c>
      <c r="F17" s="176" t="inlineStr">
        <is>
          <t>11923</t>
        </is>
      </c>
      <c r="G17" s="177" t="n">
        <v>24</v>
      </c>
      <c r="H17" s="176" t="inlineStr">
        <is>
          <t>82018</t>
        </is>
      </c>
      <c r="I17" s="176" t="inlineStr">
        <is>
          <t>Бережной Дмитрий Васильевич</t>
        </is>
      </c>
      <c r="J17" s="176" t="n"/>
      <c r="K17" s="176" t="inlineStr">
        <is>
          <t>Нет</t>
        </is>
      </c>
      <c r="L17" s="176" t="n"/>
      <c r="M17" s="176" t="n"/>
      <c r="N17" s="179">
        <f>SUMIFS($E$2:$E$896,$A$2:$A$896,"осень",$I$2:$I$896,I17)</f>
        <v/>
      </c>
      <c r="O17" s="179">
        <f>SUMIFS($E$2:$E$896,$A$2:$A$896,"весна",$I$2:$I$896,I17)</f>
        <v/>
      </c>
      <c r="P17" s="180">
        <f>N17+O17</f>
        <v/>
      </c>
      <c r="Q17" s="181">
        <f>P17/$Q$1</f>
        <v/>
      </c>
      <c r="R17" s="122">
        <f>P17*0.2</f>
        <v/>
      </c>
      <c r="S17" s="122">
        <f>Q17*0.8</f>
        <v/>
      </c>
      <c r="T17" s="185" t="n">
        <v>0.5</v>
      </c>
    </row>
    <row r="18" hidden="1" s="2">
      <c r="A18" s="175" t="inlineStr">
        <is>
          <t>осень</t>
        </is>
      </c>
      <c r="B18" s="176" t="inlineStr">
        <is>
          <t>Прикладная гидравлика</t>
        </is>
      </c>
      <c r="C18" s="176" t="inlineStr">
        <is>
          <t>ЛК</t>
        </is>
      </c>
      <c r="D18" s="176" t="inlineStr">
        <is>
          <t>Т11О-301Б-21</t>
        </is>
      </c>
      <c r="E18" s="177" t="n">
        <v>24</v>
      </c>
      <c r="F18" s="176" t="inlineStr">
        <is>
          <t>14668</t>
        </is>
      </c>
      <c r="G18" s="177" t="n">
        <v>24</v>
      </c>
      <c r="H18" s="176" t="inlineStr">
        <is>
          <t>82018</t>
        </is>
      </c>
      <c r="I18" s="176" t="inlineStr">
        <is>
          <t>Бережной Дмитрий Васильевич</t>
        </is>
      </c>
      <c r="J18" s="176" t="n"/>
      <c r="K18" s="176" t="inlineStr">
        <is>
          <t>Нет</t>
        </is>
      </c>
      <c r="L18" s="176" t="n"/>
      <c r="M18" s="176" t="n"/>
      <c r="N18" s="179">
        <f>SUMIFS($E$2:$E$896,$A$2:$A$896,"осень",$I$2:$I$896,I18)</f>
        <v/>
      </c>
      <c r="O18" s="179">
        <f>SUMIFS($E$2:$E$896,$A$2:$A$896,"весна",$I$2:$I$896,I18)</f>
        <v/>
      </c>
      <c r="P18" s="180">
        <f>N18+O18</f>
        <v/>
      </c>
      <c r="Q18" s="181">
        <f>P18/$Q$1</f>
        <v/>
      </c>
      <c r="R18" s="122">
        <f>P18*0.2</f>
        <v/>
      </c>
      <c r="S18" s="122">
        <f>Q18*0.8</f>
        <v/>
      </c>
      <c r="T18" s="185" t="n">
        <v>0.5</v>
      </c>
    </row>
    <row r="19" hidden="1" s="2">
      <c r="A19" s="175" t="inlineStr">
        <is>
          <t>осень</t>
        </is>
      </c>
      <c r="B19" s="176" t="inlineStr">
        <is>
          <t>Прикладная гидравлика</t>
        </is>
      </c>
      <c r="C19" s="176" t="inlineStr">
        <is>
          <t>Зачет с оценкой</t>
        </is>
      </c>
      <c r="D19" s="176" t="inlineStr">
        <is>
          <t>Т11О-402Б-20</t>
        </is>
      </c>
      <c r="E19" s="177" t="n">
        <v>3</v>
      </c>
      <c r="F19" s="176" t="inlineStr">
        <is>
          <t>11923</t>
        </is>
      </c>
      <c r="G19" s="178" t="n"/>
      <c r="H19" s="176" t="inlineStr">
        <is>
          <t>82018</t>
        </is>
      </c>
      <c r="I19" s="176" t="inlineStr">
        <is>
          <t>Бережной Дмитрий Васильевич</t>
        </is>
      </c>
      <c r="J19" s="176" t="n"/>
      <c r="K19" s="176" t="inlineStr">
        <is>
          <t>Нет</t>
        </is>
      </c>
      <c r="L19" s="176" t="n"/>
      <c r="M19" s="176" t="n"/>
      <c r="N19" s="179">
        <f>SUMIFS($E$2:$E$896,$A$2:$A$896,"осень",$I$2:$I$896,I19)</f>
        <v/>
      </c>
      <c r="O19" s="179">
        <f>SUMIFS($E$2:$E$896,$A$2:$A$896,"весна",$I$2:$I$896,I19)</f>
        <v/>
      </c>
      <c r="P19" s="180">
        <f>N19+O19</f>
        <v/>
      </c>
      <c r="Q19" s="181">
        <f>P19/$Q$1</f>
        <v/>
      </c>
      <c r="R19" s="122">
        <f>P19*0.2</f>
        <v/>
      </c>
      <c r="S19" s="122">
        <f>Q19*0.8</f>
        <v/>
      </c>
      <c r="T19" s="185" t="n">
        <v>0.5</v>
      </c>
    </row>
    <row r="20" hidden="1" s="2">
      <c r="A20" s="175" t="inlineStr">
        <is>
          <t>осень</t>
        </is>
      </c>
      <c r="B20" s="176" t="inlineStr">
        <is>
          <t>Прикладная гидравлика</t>
        </is>
      </c>
      <c r="C20" s="176" t="inlineStr">
        <is>
          <t>Зачет с оценкой</t>
        </is>
      </c>
      <c r="D20" s="176" t="inlineStr">
        <is>
          <t>Т11О-301Б-21</t>
        </is>
      </c>
      <c r="E20" s="177" t="n">
        <v>3</v>
      </c>
      <c r="F20" s="176" t="inlineStr">
        <is>
          <t>14668</t>
        </is>
      </c>
      <c r="G20" s="178" t="n"/>
      <c r="H20" s="176" t="inlineStr">
        <is>
          <t>82018</t>
        </is>
      </c>
      <c r="I20" s="176" t="inlineStr">
        <is>
          <t>Бережной Дмитрий Васильевич</t>
        </is>
      </c>
      <c r="J20" s="176" t="n"/>
      <c r="K20" s="176" t="inlineStr">
        <is>
          <t>Нет</t>
        </is>
      </c>
      <c r="L20" s="176" t="n"/>
      <c r="M20" s="176" t="n"/>
      <c r="N20" s="179">
        <f>SUMIFS($E$2:$E$896,$A$2:$A$896,"осень",$I$2:$I$896,I20)</f>
        <v/>
      </c>
      <c r="O20" s="179">
        <f>SUMIFS($E$2:$E$896,$A$2:$A$896,"весна",$I$2:$I$896,I20)</f>
        <v/>
      </c>
      <c r="P20" s="180">
        <f>N20+O20</f>
        <v/>
      </c>
      <c r="Q20" s="181">
        <f>P20/$Q$1</f>
        <v/>
      </c>
      <c r="R20" s="122">
        <f>P20*0.2</f>
        <v/>
      </c>
      <c r="S20" s="122">
        <f>Q20*0.8</f>
        <v/>
      </c>
      <c r="T20" s="185" t="n">
        <v>0.5</v>
      </c>
    </row>
    <row r="21" hidden="1" s="2">
      <c r="A21" s="175" t="inlineStr">
        <is>
          <t>осень</t>
        </is>
      </c>
      <c r="B21" s="176" t="inlineStr">
        <is>
          <t>Прикладная гидравлика</t>
        </is>
      </c>
      <c r="C21" s="176" t="inlineStr">
        <is>
          <t>ПЗ</t>
        </is>
      </c>
      <c r="D21" s="176" t="inlineStr">
        <is>
          <t>Т11О-402Б-20</t>
        </is>
      </c>
      <c r="E21" s="177" t="n">
        <v>28</v>
      </c>
      <c r="F21" s="176" t="inlineStr">
        <is>
          <t>11923</t>
        </is>
      </c>
      <c r="G21" s="177" t="n">
        <v>28</v>
      </c>
      <c r="H21" s="176" t="inlineStr">
        <is>
          <t>82018</t>
        </is>
      </c>
      <c r="I21" s="176" t="inlineStr">
        <is>
          <t>Бережной Дмитрий Васильевич</t>
        </is>
      </c>
      <c r="J21" s="176" t="n"/>
      <c r="K21" s="176" t="inlineStr">
        <is>
          <t>Нет</t>
        </is>
      </c>
      <c r="L21" s="176" t="n"/>
      <c r="M21" s="176" t="n"/>
      <c r="N21" s="179">
        <f>SUMIFS($E$2:$E$896,$A$2:$A$896,"осень",$I$2:$I$896,I21)</f>
        <v/>
      </c>
      <c r="O21" s="179">
        <f>SUMIFS($E$2:$E$896,$A$2:$A$896,"весна",$I$2:$I$896,I21)</f>
        <v/>
      </c>
      <c r="P21" s="180">
        <f>N21+O21</f>
        <v/>
      </c>
      <c r="Q21" s="181">
        <f>P21/$Q$1</f>
        <v/>
      </c>
      <c r="R21" s="122">
        <f>P21*0.2</f>
        <v/>
      </c>
      <c r="S21" s="122">
        <f>Q21*0.8</f>
        <v/>
      </c>
      <c r="T21" s="185" t="n">
        <v>0.5</v>
      </c>
    </row>
    <row r="22" hidden="1" s="2">
      <c r="A22" s="175" t="inlineStr">
        <is>
          <t>осень</t>
        </is>
      </c>
      <c r="B22" s="176" t="inlineStr">
        <is>
          <t>Прикладная гидравлика</t>
        </is>
      </c>
      <c r="C22" s="176" t="inlineStr">
        <is>
          <t>ПЗ</t>
        </is>
      </c>
      <c r="D22" s="176" t="inlineStr">
        <is>
          <t>Т11О-301Б-21</t>
        </is>
      </c>
      <c r="E22" s="177" t="n">
        <v>28</v>
      </c>
      <c r="F22" s="176" t="inlineStr">
        <is>
          <t>14668</t>
        </is>
      </c>
      <c r="G22" s="177" t="n">
        <v>28</v>
      </c>
      <c r="H22" s="176" t="inlineStr">
        <is>
          <t>82018</t>
        </is>
      </c>
      <c r="I22" s="176" t="inlineStr">
        <is>
          <t>Бережной Дмитрий Васильевич</t>
        </is>
      </c>
      <c r="J22" s="176" t="n"/>
      <c r="K22" s="176" t="inlineStr">
        <is>
          <t>Нет</t>
        </is>
      </c>
      <c r="L22" s="176" t="n"/>
      <c r="M22" s="176" t="n"/>
      <c r="N22" s="179">
        <f>SUMIFS($E$2:$E$896,$A$2:$A$896,"осень",$I$2:$I$896,I22)</f>
        <v/>
      </c>
      <c r="O22" s="179">
        <f>SUMIFS($E$2:$E$896,$A$2:$A$896,"весна",$I$2:$I$896,I22)</f>
        <v/>
      </c>
      <c r="P22" s="180">
        <f>N22+O22</f>
        <v/>
      </c>
      <c r="Q22" s="181">
        <f>P22/$Q$1</f>
        <v/>
      </c>
      <c r="R22" s="122">
        <f>P22*0.2</f>
        <v/>
      </c>
      <c r="S22" s="122">
        <f>Q22*0.8</f>
        <v/>
      </c>
      <c r="T22" s="185" t="n">
        <v>0.5</v>
      </c>
    </row>
    <row r="23" hidden="1" s="2">
      <c r="A23" s="175" t="inlineStr">
        <is>
          <t>осень</t>
        </is>
      </c>
      <c r="B23" s="176" t="inlineStr">
        <is>
          <t>Прикладная гидравлика</t>
        </is>
      </c>
      <c r="C23" s="176" t="inlineStr">
        <is>
          <t>ЛР</t>
        </is>
      </c>
      <c r="D23" s="176" t="inlineStr">
        <is>
          <t>Т11О-402Б-20</t>
        </is>
      </c>
      <c r="E23" s="177" t="n">
        <v>8</v>
      </c>
      <c r="F23" s="176" t="inlineStr">
        <is>
          <t>11923</t>
        </is>
      </c>
      <c r="G23" s="177" t="n">
        <v>8</v>
      </c>
      <c r="H23" s="176" t="inlineStr">
        <is>
          <t>82018</t>
        </is>
      </c>
      <c r="I23" s="176" t="inlineStr">
        <is>
          <t>Бережной Дмитрий Васильевич</t>
        </is>
      </c>
      <c r="J23" s="176" t="n"/>
      <c r="K23" s="176" t="inlineStr">
        <is>
          <t>Нет</t>
        </is>
      </c>
      <c r="L23" s="176" t="n"/>
      <c r="M23" s="176" t="n"/>
      <c r="N23" s="179">
        <f>SUMIFS($E$2:$E$896,$A$2:$A$896,"осень",$I$2:$I$896,I23)</f>
        <v/>
      </c>
      <c r="O23" s="179">
        <f>SUMIFS($E$2:$E$896,$A$2:$A$896,"весна",$I$2:$I$896,I23)</f>
        <v/>
      </c>
      <c r="P23" s="180">
        <f>N23+O23</f>
        <v/>
      </c>
      <c r="Q23" s="181">
        <f>P23/$Q$1</f>
        <v/>
      </c>
      <c r="R23" s="122">
        <f>P23*0.2</f>
        <v/>
      </c>
      <c r="S23" s="122">
        <f>Q23*0.8</f>
        <v/>
      </c>
      <c r="T23" s="185" t="n">
        <v>0.5</v>
      </c>
    </row>
    <row r="24" hidden="1" s="2">
      <c r="A24" s="175" t="inlineStr">
        <is>
          <t>осень</t>
        </is>
      </c>
      <c r="B24" s="176" t="inlineStr">
        <is>
          <t>Прикладная гидравлика</t>
        </is>
      </c>
      <c r="C24" s="176" t="inlineStr">
        <is>
          <t>ЛР</t>
        </is>
      </c>
      <c r="D24" s="176" t="inlineStr">
        <is>
          <t>Т11О-301Б-21</t>
        </is>
      </c>
      <c r="E24" s="177" t="n">
        <v>8</v>
      </c>
      <c r="F24" s="176" t="inlineStr">
        <is>
          <t>14668</t>
        </is>
      </c>
      <c r="G24" s="177" t="n">
        <v>8</v>
      </c>
      <c r="H24" s="176" t="inlineStr">
        <is>
          <t>82018</t>
        </is>
      </c>
      <c r="I24" s="176" t="inlineStr">
        <is>
          <t>Бережной Дмитрий Васильевич</t>
        </is>
      </c>
      <c r="J24" s="176" t="n"/>
      <c r="K24" s="176" t="inlineStr">
        <is>
          <t>Нет</t>
        </is>
      </c>
      <c r="L24" s="176" t="n"/>
      <c r="M24" s="176" t="n"/>
      <c r="N24" s="179">
        <f>SUMIFS($E$2:$E$896,$A$2:$A$896,"осень",$I$2:$I$896,I24)</f>
        <v/>
      </c>
      <c r="O24" s="179">
        <f>SUMIFS($E$2:$E$896,$A$2:$A$896,"весна",$I$2:$I$896,I24)</f>
        <v/>
      </c>
      <c r="P24" s="180">
        <f>N24+O24</f>
        <v/>
      </c>
      <c r="Q24" s="181">
        <f>P24/$Q$1</f>
        <v/>
      </c>
      <c r="R24" s="122">
        <f>P24*0.2</f>
        <v/>
      </c>
      <c r="S24" s="122">
        <f>Q24*0.8</f>
        <v/>
      </c>
      <c r="T24" s="185" t="n">
        <v>0.5</v>
      </c>
    </row>
    <row r="25" hidden="1" s="2">
      <c r="A25" s="175" t="inlineStr">
        <is>
          <t>осень</t>
        </is>
      </c>
      <c r="B25" s="176" t="inlineStr">
        <is>
          <t>Прикладная гидравлика</t>
        </is>
      </c>
      <c r="C25" s="176" t="inlineStr">
        <is>
          <t>Консультация</t>
        </is>
      </c>
      <c r="D25" s="176" t="inlineStr">
        <is>
          <t>Т11О-402Б-20</t>
        </is>
      </c>
      <c r="E25" s="177" t="n">
        <v>1</v>
      </c>
      <c r="F25" s="176" t="inlineStr">
        <is>
          <t>11923</t>
        </is>
      </c>
      <c r="G25" s="178" t="n"/>
      <c r="H25" s="176" t="inlineStr">
        <is>
          <t>82018</t>
        </is>
      </c>
      <c r="I25" s="176" t="inlineStr">
        <is>
          <t>Бережной Дмитрий Васильевич</t>
        </is>
      </c>
      <c r="J25" s="176" t="n"/>
      <c r="K25" s="176" t="inlineStr">
        <is>
          <t>Нет</t>
        </is>
      </c>
      <c r="L25" s="176" t="n"/>
      <c r="M25" s="176" t="n"/>
      <c r="N25" s="179">
        <f>SUMIFS($E$2:$E$896,$A$2:$A$896,"осень",$I$2:$I$896,I25)</f>
        <v/>
      </c>
      <c r="O25" s="179">
        <f>SUMIFS($E$2:$E$896,$A$2:$A$896,"весна",$I$2:$I$896,I25)</f>
        <v/>
      </c>
      <c r="P25" s="180">
        <f>N25+O25</f>
        <v/>
      </c>
      <c r="Q25" s="181">
        <f>P25/$Q$1</f>
        <v/>
      </c>
      <c r="R25" s="122">
        <f>P25*0.2</f>
        <v/>
      </c>
      <c r="S25" s="122">
        <f>Q25*0.8</f>
        <v/>
      </c>
      <c r="T25" s="185" t="n">
        <v>0.5</v>
      </c>
    </row>
    <row r="26" hidden="1" s="2">
      <c r="A26" s="175" t="inlineStr">
        <is>
          <t>осень</t>
        </is>
      </c>
      <c r="B26" s="176" t="inlineStr">
        <is>
          <t>Прикладная гидравлика</t>
        </is>
      </c>
      <c r="C26" s="176" t="inlineStr">
        <is>
          <t>Консультация</t>
        </is>
      </c>
      <c r="D26" s="176" t="inlineStr">
        <is>
          <t>Т11О-301Б-21</t>
        </is>
      </c>
      <c r="E26" s="177" t="n">
        <v>1</v>
      </c>
      <c r="F26" s="176" t="inlineStr">
        <is>
          <t>14668</t>
        </is>
      </c>
      <c r="G26" s="178" t="n"/>
      <c r="H26" s="176" t="inlineStr">
        <is>
          <t>82018</t>
        </is>
      </c>
      <c r="I26" s="176" t="inlineStr">
        <is>
          <t>Бережной Дмитрий Васильевич</t>
        </is>
      </c>
      <c r="J26" s="176" t="n"/>
      <c r="K26" s="176" t="inlineStr">
        <is>
          <t>Нет</t>
        </is>
      </c>
      <c r="L26" s="176" t="n"/>
      <c r="M26" s="176" t="n"/>
      <c r="N26" s="179">
        <f>SUMIFS($E$2:$E$896,$A$2:$A$896,"осень",$I$2:$I$896,I26)</f>
        <v/>
      </c>
      <c r="O26" s="179">
        <f>SUMIFS($E$2:$E$896,$A$2:$A$896,"весна",$I$2:$I$896,I26)</f>
        <v/>
      </c>
      <c r="P26" s="180">
        <f>N26+O26</f>
        <v/>
      </c>
      <c r="Q26" s="181">
        <f>P26/$Q$1</f>
        <v/>
      </c>
      <c r="R26" s="122">
        <f>P26*0.2</f>
        <v/>
      </c>
      <c r="S26" s="122">
        <f>Q26*0.8</f>
        <v/>
      </c>
      <c r="T26" s="185" t="n">
        <v>0.5</v>
      </c>
    </row>
    <row r="27" hidden="1" s="2">
      <c r="A27" s="175" t="inlineStr">
        <is>
          <t>осень</t>
        </is>
      </c>
      <c r="B27" s="176" t="inlineStr">
        <is>
          <t>Теория литейных процессов</t>
        </is>
      </c>
      <c r="C27" s="176" t="inlineStr">
        <is>
          <t>ЛК</t>
        </is>
      </c>
      <c r="D27" s="176" t="inlineStr">
        <is>
          <t>Т11О-402Б-20</t>
        </is>
      </c>
      <c r="E27" s="177" t="n">
        <v>56</v>
      </c>
      <c r="F27" s="176" t="inlineStr">
        <is>
          <t>11923</t>
        </is>
      </c>
      <c r="G27" s="177" t="n">
        <v>56</v>
      </c>
      <c r="H27" s="176" t="inlineStr">
        <is>
          <t>81891</t>
        </is>
      </c>
      <c r="I27" s="176" t="inlineStr">
        <is>
          <t>Ряховский Александр Павлович</t>
        </is>
      </c>
      <c r="J27" s="176" t="n"/>
      <c r="K27" s="176" t="inlineStr">
        <is>
          <t>Да</t>
        </is>
      </c>
      <c r="L27" s="176" t="n"/>
      <c r="M27" s="176" t="n"/>
      <c r="N27" s="179">
        <f>SUMIFS($E$2:$E$896,$A$2:$A$896,"осень",$I$2:$I$896,I27)</f>
        <v/>
      </c>
      <c r="O27" s="179">
        <f>SUMIFS($E$2:$E$896,$A$2:$A$896,"весна",$I$2:$I$896,I27)</f>
        <v/>
      </c>
      <c r="P27" s="180">
        <f>N27+O27</f>
        <v/>
      </c>
      <c r="Q27" s="181">
        <f>P27/$Q$1</f>
        <v/>
      </c>
      <c r="R27" s="122">
        <f>P27*0.2</f>
        <v/>
      </c>
      <c r="S27" s="122">
        <f>Q27*0.8</f>
        <v/>
      </c>
      <c r="T27" s="133" t="n">
        <v>0.5</v>
      </c>
    </row>
    <row r="28" hidden="1" s="2">
      <c r="A28" s="175" t="inlineStr">
        <is>
          <t>осень</t>
        </is>
      </c>
      <c r="B28" s="176" t="inlineStr">
        <is>
          <t>Теория литейных процессов</t>
        </is>
      </c>
      <c r="C28" s="176" t="inlineStr">
        <is>
          <t>КР</t>
        </is>
      </c>
      <c r="D28" s="176" t="inlineStr">
        <is>
          <t>Т11О-402Б-20</t>
        </is>
      </c>
      <c r="E28" s="177" t="n">
        <v>18</v>
      </c>
      <c r="F28" s="176" t="inlineStr">
        <is>
          <t>11923</t>
        </is>
      </c>
      <c r="G28" s="178" t="n"/>
      <c r="H28" s="176" t="inlineStr">
        <is>
          <t>81891</t>
        </is>
      </c>
      <c r="I28" s="176" t="inlineStr">
        <is>
          <t>Ряховский Александр Павлович</t>
        </is>
      </c>
      <c r="J28" s="176" t="n"/>
      <c r="K28" s="176" t="inlineStr">
        <is>
          <t>Да</t>
        </is>
      </c>
      <c r="L28" s="176" t="n"/>
      <c r="M28" s="176" t="n"/>
      <c r="N28" s="179">
        <f>SUMIFS($E$2:$E$896,$A$2:$A$896,"осень",$I$2:$I$896,I28)</f>
        <v/>
      </c>
      <c r="O28" s="179">
        <f>SUMIFS($E$2:$E$896,$A$2:$A$896,"весна",$I$2:$I$896,I28)</f>
        <v/>
      </c>
      <c r="P28" s="180">
        <f>N28+O28</f>
        <v/>
      </c>
      <c r="Q28" s="181">
        <f>P28/$Q$1</f>
        <v/>
      </c>
      <c r="R28" s="122">
        <f>P28*0.2</f>
        <v/>
      </c>
      <c r="S28" s="122">
        <f>Q28*0.8</f>
        <v/>
      </c>
      <c r="T28" s="133" t="n">
        <v>0.5</v>
      </c>
    </row>
    <row r="29" hidden="1" s="2">
      <c r="A29" s="175" t="inlineStr">
        <is>
          <t>осень</t>
        </is>
      </c>
      <c r="B29" s="176" t="inlineStr">
        <is>
          <t>Теория литейных процессов</t>
        </is>
      </c>
      <c r="C29" s="176" t="inlineStr">
        <is>
          <t>ПЗ</t>
        </is>
      </c>
      <c r="D29" s="176" t="inlineStr">
        <is>
          <t>Т11О-402Б-20</t>
        </is>
      </c>
      <c r="E29" s="177" t="n">
        <v>20</v>
      </c>
      <c r="F29" s="176" t="inlineStr">
        <is>
          <t>11923</t>
        </is>
      </c>
      <c r="G29" s="177" t="n">
        <v>20</v>
      </c>
      <c r="H29" s="176" t="inlineStr">
        <is>
          <t>81891</t>
        </is>
      </c>
      <c r="I29" s="176" t="inlineStr">
        <is>
          <t>Ряховский Александр Павлович</t>
        </is>
      </c>
      <c r="J29" s="176" t="n"/>
      <c r="K29" s="176" t="inlineStr">
        <is>
          <t>Да</t>
        </is>
      </c>
      <c r="L29" s="176" t="n"/>
      <c r="M29" s="176" t="n"/>
      <c r="N29" s="179">
        <f>SUMIFS($E$2:$E$896,$A$2:$A$896,"осень",$I$2:$I$896,I29)</f>
        <v/>
      </c>
      <c r="O29" s="179">
        <f>SUMIFS($E$2:$E$896,$A$2:$A$896,"весна",$I$2:$I$896,I29)</f>
        <v/>
      </c>
      <c r="P29" s="180">
        <f>N29+O29</f>
        <v/>
      </c>
      <c r="Q29" s="181">
        <f>P29/$Q$1</f>
        <v/>
      </c>
      <c r="R29" s="122">
        <f>P29*0.2</f>
        <v/>
      </c>
      <c r="S29" s="122">
        <f>Q29*0.8</f>
        <v/>
      </c>
      <c r="T29" s="133" t="n">
        <v>0.5</v>
      </c>
    </row>
    <row r="30" hidden="1" s="2">
      <c r="A30" s="175" t="inlineStr">
        <is>
          <t>осень</t>
        </is>
      </c>
      <c r="B30" s="176" t="inlineStr">
        <is>
          <t>Теория литейных процессов</t>
        </is>
      </c>
      <c r="C30" s="176" t="inlineStr">
        <is>
          <t>ЛР</t>
        </is>
      </c>
      <c r="D30" s="176" t="inlineStr">
        <is>
          <t>Т11О-402Б-20</t>
        </is>
      </c>
      <c r="E30" s="177" t="n">
        <v>16</v>
      </c>
      <c r="F30" s="176" t="inlineStr">
        <is>
          <t>11923</t>
        </is>
      </c>
      <c r="G30" s="177" t="n">
        <v>32</v>
      </c>
      <c r="H30" s="176" t="inlineStr">
        <is>
          <t>94221</t>
        </is>
      </c>
      <c r="I30" s="176" t="inlineStr">
        <is>
          <t>Петров Игорь Алексеевич</t>
        </is>
      </c>
      <c r="J30" s="176" t="n"/>
      <c r="K30" s="176" t="inlineStr">
        <is>
          <t>Нет</t>
        </is>
      </c>
      <c r="L30" s="176" t="n"/>
      <c r="M30" s="176" t="n"/>
      <c r="N30" s="179">
        <f>SUMIFS($E$2:$E$896,$A$2:$A$896,"осень",$I$2:$I$896,I30)</f>
        <v/>
      </c>
      <c r="O30" s="179">
        <f>SUMIFS($E$2:$E$896,$A$2:$A$896,"весна",$I$2:$I$896,I30)</f>
        <v/>
      </c>
      <c r="P30" s="180">
        <f>N30+O30</f>
        <v/>
      </c>
      <c r="Q30" s="181">
        <f>P30/$Q$1</f>
        <v/>
      </c>
      <c r="R30" s="122">
        <f>P30*0.2</f>
        <v/>
      </c>
      <c r="S30" s="122">
        <f>Q30*0.8</f>
        <v/>
      </c>
      <c r="T30" s="133" t="n">
        <v>0.45</v>
      </c>
    </row>
    <row r="31" hidden="1" s="2">
      <c r="A31" s="175" t="inlineStr">
        <is>
          <t>осень</t>
        </is>
      </c>
      <c r="B31" s="176" t="inlineStr">
        <is>
          <t>Теория литейных процессов</t>
        </is>
      </c>
      <c r="C31" s="176" t="inlineStr">
        <is>
          <t>ЛР</t>
        </is>
      </c>
      <c r="D31" s="176" t="inlineStr">
        <is>
          <t>Т11О-402Б-20</t>
        </is>
      </c>
      <c r="E31" s="177" t="n">
        <v>16</v>
      </c>
      <c r="F31" s="176" t="inlineStr">
        <is>
          <t>11923</t>
        </is>
      </c>
      <c r="G31" s="177" t="n">
        <v>32</v>
      </c>
      <c r="H31" s="176" t="inlineStr">
        <is>
          <t>82027</t>
        </is>
      </c>
      <c r="I31" s="176" t="inlineStr">
        <is>
          <t>Петров Игорь Алексеевич</t>
        </is>
      </c>
      <c r="J31" s="176" t="n"/>
      <c r="K31" s="176" t="inlineStr">
        <is>
          <t>Нет</t>
        </is>
      </c>
      <c r="L31" s="176" t="n"/>
      <c r="M31" s="176" t="n"/>
      <c r="N31" s="179">
        <f>SUMIFS($E$2:$E$896,$A$2:$A$896,"осень",$I$2:$I$896,I31)</f>
        <v/>
      </c>
      <c r="O31" s="179">
        <f>SUMIFS($E$2:$E$896,$A$2:$A$896,"весна",$I$2:$I$896,I31)</f>
        <v/>
      </c>
      <c r="P31" s="180">
        <f>N31+O31</f>
        <v/>
      </c>
      <c r="Q31" s="181">
        <f>P31/$Q$1</f>
        <v/>
      </c>
      <c r="R31" s="122">
        <f>P31*0.2</f>
        <v/>
      </c>
      <c r="S31" s="122">
        <f>Q31*0.8</f>
        <v/>
      </c>
      <c r="T31" s="133" t="n">
        <v>0.35</v>
      </c>
    </row>
    <row r="32" hidden="1" s="2">
      <c r="A32" s="175" t="inlineStr">
        <is>
          <t>осень</t>
        </is>
      </c>
      <c r="B32" s="176" t="inlineStr">
        <is>
          <t>Теория литейных процессов</t>
        </is>
      </c>
      <c r="C32" s="176" t="inlineStr">
        <is>
          <t>Экзамен</t>
        </is>
      </c>
      <c r="D32" s="176" t="inlineStr">
        <is>
          <t>Т11О-402Б-20</t>
        </is>
      </c>
      <c r="E32" s="177" t="n">
        <v>4</v>
      </c>
      <c r="F32" s="176" t="inlineStr">
        <is>
          <t>11923</t>
        </is>
      </c>
      <c r="G32" s="178" t="n"/>
      <c r="H32" s="176" t="inlineStr">
        <is>
          <t>81891</t>
        </is>
      </c>
      <c r="I32" s="176" t="inlineStr">
        <is>
          <t>Ряховский Александр Павлович</t>
        </is>
      </c>
      <c r="J32" s="176" t="n"/>
      <c r="K32" s="176" t="inlineStr">
        <is>
          <t>Да</t>
        </is>
      </c>
      <c r="L32" s="176" t="n"/>
      <c r="M32" s="176" t="n"/>
      <c r="N32" s="179">
        <f>SUMIFS($E$2:$E$896,$A$2:$A$896,"осень",$I$2:$I$896,I32)</f>
        <v/>
      </c>
      <c r="O32" s="179">
        <f>SUMIFS($E$2:$E$896,$A$2:$A$896,"весна",$I$2:$I$896,I32)</f>
        <v/>
      </c>
      <c r="P32" s="180">
        <f>N32+O32</f>
        <v/>
      </c>
      <c r="Q32" s="181">
        <f>P32/$Q$1</f>
        <v/>
      </c>
      <c r="R32" s="122">
        <f>P32*0.2</f>
        <v/>
      </c>
      <c r="S32" s="122">
        <f>Q32*0.8</f>
        <v/>
      </c>
      <c r="T32" s="133" t="n">
        <v>0.5</v>
      </c>
    </row>
    <row r="33">
      <c r="A33" s="175" t="inlineStr">
        <is>
          <t>осень</t>
        </is>
      </c>
      <c r="B33" s="176" t="inlineStr">
        <is>
          <t>Теория литейных процессов</t>
        </is>
      </c>
      <c r="C33" s="176" t="inlineStr">
        <is>
          <t>Экзамен</t>
        </is>
      </c>
      <c r="D33" s="176" t="inlineStr">
        <is>
          <t>Т11О-402Б-20</t>
        </is>
      </c>
      <c r="E33" s="177" t="n">
        <v>1</v>
      </c>
      <c r="F33" s="176" t="inlineStr">
        <is>
          <t>11923</t>
        </is>
      </c>
      <c r="G33" s="178" t="n"/>
      <c r="H33" s="176" t="n"/>
      <c r="I33" s="176" t="inlineStr">
        <is>
          <t>Ряховский Александр Павлович</t>
        </is>
      </c>
      <c r="J33" s="176" t="n"/>
      <c r="K33" s="176" t="inlineStr">
        <is>
          <t>Нет</t>
        </is>
      </c>
      <c r="L33" s="176" t="n"/>
      <c r="M33" s="176" t="n"/>
      <c r="N33" s="179">
        <f>SUMIFS($E$2:$E$896,$A$2:$A$896,"осень",$I$2:$I$896,I33)</f>
        <v/>
      </c>
      <c r="O33" s="179">
        <f>SUMIFS($E$2:$E$896,$A$2:$A$896,"весна",$I$2:$I$896,I33)</f>
        <v/>
      </c>
      <c r="P33" s="180">
        <f>N33+O33</f>
        <v/>
      </c>
      <c r="Q33" s="181">
        <f>P33/$Q$1</f>
        <v/>
      </c>
      <c r="R33" s="122">
        <f>P33*0.2</f>
        <v/>
      </c>
      <c r="S33" s="122">
        <f>Q33*0.8</f>
        <v/>
      </c>
      <c r="T33" s="133" t="n">
        <v>0</v>
      </c>
    </row>
    <row r="34" hidden="1" s="2">
      <c r="A34" s="175" t="inlineStr">
        <is>
          <t>осень</t>
        </is>
      </c>
      <c r="B34" s="176" t="inlineStr">
        <is>
          <t>Теория литейных процессов</t>
        </is>
      </c>
      <c r="C34" s="176" t="inlineStr">
        <is>
          <t>Консультация</t>
        </is>
      </c>
      <c r="D34" s="176" t="inlineStr">
        <is>
          <t>Т11О-402Б-20</t>
        </is>
      </c>
      <c r="E34" s="177" t="n">
        <v>4</v>
      </c>
      <c r="F34" s="176" t="inlineStr">
        <is>
          <t>11923</t>
        </is>
      </c>
      <c r="G34" s="178" t="n"/>
      <c r="H34" s="176" t="inlineStr">
        <is>
          <t>81891</t>
        </is>
      </c>
      <c r="I34" s="176" t="inlineStr">
        <is>
          <t>Ряховский Александр Павлович</t>
        </is>
      </c>
      <c r="J34" s="176" t="n"/>
      <c r="K34" s="176" t="inlineStr">
        <is>
          <t>Да</t>
        </is>
      </c>
      <c r="L34" s="176" t="n"/>
      <c r="M34" s="176" t="n"/>
      <c r="N34" s="179">
        <f>SUMIFS($E$2:$E$896,$A$2:$A$896,"осень",$I$2:$I$896,I34)</f>
        <v/>
      </c>
      <c r="O34" s="179">
        <f>SUMIFS($E$2:$E$896,$A$2:$A$896,"весна",$I$2:$I$896,I34)</f>
        <v/>
      </c>
      <c r="P34" s="180">
        <f>N34+O34</f>
        <v/>
      </c>
      <c r="Q34" s="181">
        <f>P34/$Q$1</f>
        <v/>
      </c>
      <c r="R34" s="122">
        <f>P34*0.2</f>
        <v/>
      </c>
      <c r="S34" s="122">
        <f>Q34*0.8</f>
        <v/>
      </c>
      <c r="T34" s="133" t="n">
        <v>0.5</v>
      </c>
    </row>
    <row r="35" hidden="1" s="2">
      <c r="A35" s="175" t="inlineStr">
        <is>
          <t>осень</t>
        </is>
      </c>
      <c r="B35" s="176" t="inlineStr">
        <is>
          <t>Защита интеллектуальной собственности и патентоведение</t>
        </is>
      </c>
      <c r="C35" s="176" t="inlineStr">
        <is>
          <t>ЛК</t>
        </is>
      </c>
      <c r="D35" s="176" t="inlineStr">
        <is>
          <t>Т11О-101М-23</t>
        </is>
      </c>
      <c r="E35" s="177" t="n">
        <v>18</v>
      </c>
      <c r="F35" s="176" t="inlineStr">
        <is>
          <t>18008</t>
        </is>
      </c>
      <c r="G35" s="177" t="n">
        <v>18</v>
      </c>
      <c r="H35" s="176" t="inlineStr">
        <is>
          <t>82026</t>
        </is>
      </c>
      <c r="I35" s="176" t="inlineStr">
        <is>
          <t>Степанов Владимир Валерьевич</t>
        </is>
      </c>
      <c r="J35" s="176" t="n"/>
      <c r="K35" s="176" t="inlineStr">
        <is>
          <t>Нет</t>
        </is>
      </c>
      <c r="L35" s="176" t="n"/>
      <c r="M35" s="176" t="n"/>
      <c r="N35" s="179">
        <f>SUMIFS($E$2:$E$896,$A$2:$A$896,"осень",$I$2:$I$896,I35)</f>
        <v/>
      </c>
      <c r="O35" s="179">
        <f>SUMIFS($E$2:$E$896,$A$2:$A$896,"весна",$I$2:$I$896,I35)</f>
        <v/>
      </c>
      <c r="P35" s="180">
        <f>N35+O35</f>
        <v/>
      </c>
      <c r="Q35" s="181">
        <f>P35/$Q$1</f>
        <v/>
      </c>
      <c r="R35" s="122">
        <f>P35*0.2</f>
        <v/>
      </c>
      <c r="S35" s="122">
        <f>Q35*0.8</f>
        <v/>
      </c>
      <c r="T35" s="133" t="n">
        <v>0.65</v>
      </c>
    </row>
    <row r="36" hidden="1" s="2">
      <c r="A36" s="175" t="inlineStr">
        <is>
          <t>осень</t>
        </is>
      </c>
      <c r="B36" s="176" t="inlineStr">
        <is>
          <t>Защита интеллектуальной собственности и патентоведение</t>
        </is>
      </c>
      <c r="C36" s="176" t="inlineStr">
        <is>
          <t>ПЗ</t>
        </is>
      </c>
      <c r="D36" s="176" t="inlineStr">
        <is>
          <t>Т11О-101М-23</t>
        </is>
      </c>
      <c r="E36" s="177" t="n">
        <v>28</v>
      </c>
      <c r="F36" s="176" t="inlineStr">
        <is>
          <t>18008</t>
        </is>
      </c>
      <c r="G36" s="177" t="n">
        <v>28</v>
      </c>
      <c r="H36" s="176" t="inlineStr">
        <is>
          <t>82026</t>
        </is>
      </c>
      <c r="I36" s="176" t="inlineStr">
        <is>
          <t>Власенко Артем Николаевич</t>
        </is>
      </c>
      <c r="J36" s="176" t="n"/>
      <c r="K36" s="176" t="inlineStr">
        <is>
          <t>Нет</t>
        </is>
      </c>
      <c r="L36" s="176" t="n"/>
      <c r="M36" s="176" t="n"/>
      <c r="N36" s="179">
        <f>SUMIFS($E$2:$E$896,$A$2:$A$896,"осень",$I$2:$I$896,I36)</f>
        <v/>
      </c>
      <c r="O36" s="179">
        <f>SUMIFS($E$2:$E$896,$A$2:$A$896,"весна",$I$2:$I$896,I36)</f>
        <v/>
      </c>
      <c r="P36" s="180">
        <f>N36+O36</f>
        <v/>
      </c>
      <c r="Q36" s="181">
        <f>P36/$Q$1</f>
        <v/>
      </c>
      <c r="R36" s="122">
        <f>P36*0.2</f>
        <v/>
      </c>
      <c r="S36" s="122">
        <f>Q36*0.8</f>
        <v/>
      </c>
      <c r="T36" s="133" t="n">
        <v>0.65</v>
      </c>
    </row>
    <row r="37" hidden="1" s="2">
      <c r="A37" s="175" t="inlineStr">
        <is>
          <t>осень</t>
        </is>
      </c>
      <c r="B37" s="176" t="inlineStr">
        <is>
          <t>Защита интеллектуальной собственности и патентоведение</t>
        </is>
      </c>
      <c r="C37" s="176" t="inlineStr">
        <is>
          <t>Зачет</t>
        </is>
      </c>
      <c r="D37" s="176" t="inlineStr">
        <is>
          <t>Т11О-101М-23</t>
        </is>
      </c>
      <c r="E37" s="177" t="n">
        <v>3</v>
      </c>
      <c r="F37" s="176" t="inlineStr">
        <is>
          <t>18008</t>
        </is>
      </c>
      <c r="G37" s="178" t="n"/>
      <c r="H37" s="176" t="inlineStr">
        <is>
          <t>82026</t>
        </is>
      </c>
      <c r="I37" s="176" t="inlineStr">
        <is>
          <t>Александрова Светлана Сергеевна</t>
        </is>
      </c>
      <c r="J37" s="176" t="n"/>
      <c r="K37" s="176" t="inlineStr">
        <is>
          <t>Нет</t>
        </is>
      </c>
      <c r="L37" s="176" t="n"/>
      <c r="M37" s="176" t="n"/>
      <c r="N37" s="179">
        <f>SUMIFS($E$2:$E$896,$A$2:$A$896,"осень",$I$2:$I$896,I37)</f>
        <v/>
      </c>
      <c r="O37" s="179">
        <f>SUMIFS($E$2:$E$896,$A$2:$A$896,"весна",$I$2:$I$896,I37)</f>
        <v/>
      </c>
      <c r="P37" s="180">
        <f>N37+O37</f>
        <v/>
      </c>
      <c r="Q37" s="181">
        <f>P37/$Q$1</f>
        <v/>
      </c>
      <c r="R37" s="122">
        <f>P37*0.2</f>
        <v/>
      </c>
      <c r="S37" s="122">
        <f>Q37*0.8</f>
        <v/>
      </c>
      <c r="T37" s="133" t="n">
        <v>0.65</v>
      </c>
    </row>
    <row r="38" hidden="1" s="2">
      <c r="A38" s="175" t="inlineStr">
        <is>
          <t>осень</t>
        </is>
      </c>
      <c r="B38" s="176" t="inlineStr">
        <is>
          <t>Защита интеллектуальной собственности и патентоведение</t>
        </is>
      </c>
      <c r="C38" s="176" t="inlineStr">
        <is>
          <t>Консультация</t>
        </is>
      </c>
      <c r="D38" s="176" t="inlineStr">
        <is>
          <t>Т11О-101М-23</t>
        </is>
      </c>
      <c r="E38" s="177" t="n">
        <v>1</v>
      </c>
      <c r="F38" s="176" t="inlineStr">
        <is>
          <t>18008</t>
        </is>
      </c>
      <c r="G38" s="178" t="n"/>
      <c r="H38" s="176" t="inlineStr">
        <is>
          <t>82026</t>
        </is>
      </c>
      <c r="I38" s="176" t="inlineStr">
        <is>
          <t>Степанов Владимир Валерьевич</t>
        </is>
      </c>
      <c r="J38" s="176" t="n"/>
      <c r="K38" s="176" t="inlineStr">
        <is>
          <t>Нет</t>
        </is>
      </c>
      <c r="L38" s="176" t="n"/>
      <c r="M38" s="176" t="n"/>
      <c r="N38" s="179">
        <f>SUMIFS($E$2:$E$896,$A$2:$A$896,"осень",$I$2:$I$896,I38)</f>
        <v/>
      </c>
      <c r="O38" s="179">
        <f>SUMIFS($E$2:$E$896,$A$2:$A$896,"весна",$I$2:$I$896,I38)</f>
        <v/>
      </c>
      <c r="P38" s="180">
        <f>N38+O38</f>
        <v/>
      </c>
      <c r="Q38" s="181">
        <f>P38/$Q$1</f>
        <v/>
      </c>
      <c r="R38" s="122">
        <f>P38*0.2</f>
        <v/>
      </c>
      <c r="S38" s="122">
        <f>Q38*0.8</f>
        <v/>
      </c>
      <c r="T38" s="133" t="n">
        <v>0.65</v>
      </c>
    </row>
    <row r="39" hidden="1" s="2">
      <c r="A39" s="175" t="inlineStr">
        <is>
          <t>осень</t>
        </is>
      </c>
      <c r="B39" s="176" t="inlineStr">
        <is>
          <t>Разработка ресурсосберегающих технологий диффузионной сварки</t>
        </is>
      </c>
      <c r="C39" s="176" t="inlineStr">
        <is>
          <t>ЛК</t>
        </is>
      </c>
      <c r="D39" s="176" t="inlineStr">
        <is>
          <t>Т11О-101М-23</t>
        </is>
      </c>
      <c r="E39" s="177" t="n">
        <v>24</v>
      </c>
      <c r="F39" s="176" t="inlineStr">
        <is>
          <t>18008</t>
        </is>
      </c>
      <c r="G39" s="177" t="n">
        <v>24</v>
      </c>
      <c r="H39" s="176" t="inlineStr">
        <is>
          <t>82090</t>
        </is>
      </c>
      <c r="I39" s="176" t="inlineStr">
        <is>
          <t>Барабанова Ольга Алексеевна</t>
        </is>
      </c>
      <c r="J39" s="176" t="n"/>
      <c r="K39" s="176" t="inlineStr">
        <is>
          <t>Да</t>
        </is>
      </c>
      <c r="L39" s="176" t="n"/>
      <c r="M39" s="176" t="n"/>
      <c r="N39" s="179">
        <f>SUMIFS($E$2:$E$896,$A$2:$A$896,"осень",$I$2:$I$896,I39)</f>
        <v/>
      </c>
      <c r="O39" s="179">
        <f>SUMIFS($E$2:$E$896,$A$2:$A$896,"весна",$I$2:$I$896,I39)</f>
        <v/>
      </c>
      <c r="P39" s="180">
        <f>N39+O39</f>
        <v/>
      </c>
      <c r="Q39" s="181">
        <f>P39/$Q$1</f>
        <v/>
      </c>
      <c r="R39" s="122">
        <f>P39*0.2</f>
        <v/>
      </c>
      <c r="S39" s="122">
        <f>Q39*0.8</f>
        <v/>
      </c>
      <c r="T39" s="133" t="n">
        <v>0.25</v>
      </c>
    </row>
    <row r="40" hidden="1" s="2">
      <c r="A40" s="175" t="inlineStr">
        <is>
          <t>осень</t>
        </is>
      </c>
      <c r="B40" s="176" t="inlineStr">
        <is>
          <t>Разработка ресурсосберегающих технологий диффузионной сварки</t>
        </is>
      </c>
      <c r="C40" s="176" t="inlineStr">
        <is>
          <t>КР</t>
        </is>
      </c>
      <c r="D40" s="176" t="inlineStr">
        <is>
          <t>Т11О-101М-23</t>
        </is>
      </c>
      <c r="E40" s="177" t="n">
        <v>26</v>
      </c>
      <c r="F40" s="176" t="inlineStr">
        <is>
          <t>18008</t>
        </is>
      </c>
      <c r="G40" s="178" t="n"/>
      <c r="H40" s="176" t="inlineStr">
        <is>
          <t>82090</t>
        </is>
      </c>
      <c r="I40" s="176" t="inlineStr">
        <is>
          <t>Барабанова Ольга Алексеевна</t>
        </is>
      </c>
      <c r="J40" s="176" t="n"/>
      <c r="K40" s="176" t="inlineStr">
        <is>
          <t>Да</t>
        </is>
      </c>
      <c r="L40" s="176" t="n"/>
      <c r="M40" s="176" t="n"/>
      <c r="N40" s="179">
        <f>SUMIFS($E$2:$E$896,$A$2:$A$896,"осень",$I$2:$I$896,I40)</f>
        <v/>
      </c>
      <c r="O40" s="179">
        <f>SUMIFS($E$2:$E$896,$A$2:$A$896,"весна",$I$2:$I$896,I40)</f>
        <v/>
      </c>
      <c r="P40" s="180">
        <f>N40+O40</f>
        <v/>
      </c>
      <c r="Q40" s="181">
        <f>P40/$Q$1</f>
        <v/>
      </c>
      <c r="R40" s="122">
        <f>P40*0.2</f>
        <v/>
      </c>
      <c r="S40" s="122">
        <f>Q40*0.8</f>
        <v/>
      </c>
      <c r="T40" s="133" t="n">
        <v>0.25</v>
      </c>
    </row>
    <row r="41" hidden="1" s="2">
      <c r="A41" s="175" t="inlineStr">
        <is>
          <t>осень</t>
        </is>
      </c>
      <c r="B41" s="176" t="inlineStr">
        <is>
          <t>Разработка ресурсосберегающих технологий диффузионной сварки</t>
        </is>
      </c>
      <c r="C41" s="176" t="inlineStr">
        <is>
          <t>Зачет с оценкой</t>
        </is>
      </c>
      <c r="D41" s="176" t="inlineStr">
        <is>
          <t>Т11О-101М-23</t>
        </is>
      </c>
      <c r="E41" s="177" t="n">
        <v>4</v>
      </c>
      <c r="F41" s="176" t="inlineStr">
        <is>
          <t>18008</t>
        </is>
      </c>
      <c r="G41" s="178" t="n"/>
      <c r="H41" s="176" t="inlineStr">
        <is>
          <t>82090</t>
        </is>
      </c>
      <c r="I41" s="176" t="inlineStr">
        <is>
          <t>Барабанова Ольга Алексеевна</t>
        </is>
      </c>
      <c r="J41" s="176" t="n"/>
      <c r="K41" s="176" t="inlineStr">
        <is>
          <t>Да</t>
        </is>
      </c>
      <c r="L41" s="176" t="n"/>
      <c r="M41" s="176" t="n"/>
      <c r="N41" s="179">
        <f>SUMIFS($E$2:$E$896,$A$2:$A$896,"осень",$I$2:$I$896,I41)</f>
        <v/>
      </c>
      <c r="O41" s="179">
        <f>SUMIFS($E$2:$E$896,$A$2:$A$896,"весна",$I$2:$I$896,I41)</f>
        <v/>
      </c>
      <c r="P41" s="180">
        <f>N41+O41</f>
        <v/>
      </c>
      <c r="Q41" s="181">
        <f>P41/$Q$1</f>
        <v/>
      </c>
      <c r="R41" s="122">
        <f>P41*0.2</f>
        <v/>
      </c>
      <c r="S41" s="122">
        <f>Q41*0.8</f>
        <v/>
      </c>
      <c r="T41" s="133" t="n">
        <v>0.25</v>
      </c>
    </row>
    <row r="42" hidden="1" s="2">
      <c r="A42" s="175" t="inlineStr">
        <is>
          <t>осень</t>
        </is>
      </c>
      <c r="B42" s="176" t="inlineStr">
        <is>
          <t>Разработка ресурсосберегающих технологий диффузионной сварки</t>
        </is>
      </c>
      <c r="C42" s="176" t="inlineStr">
        <is>
          <t>ПЗ</t>
        </is>
      </c>
      <c r="D42" s="176" t="inlineStr">
        <is>
          <t>Т11О-101М-23</t>
        </is>
      </c>
      <c r="E42" s="177" t="n">
        <v>42</v>
      </c>
      <c r="F42" s="176" t="inlineStr">
        <is>
          <t>18008</t>
        </is>
      </c>
      <c r="G42" s="177" t="n">
        <v>42</v>
      </c>
      <c r="H42" s="176" t="inlineStr">
        <is>
          <t>82090</t>
        </is>
      </c>
      <c r="I42" s="176" t="inlineStr">
        <is>
          <t>Барабанова Ольга Алексеевна</t>
        </is>
      </c>
      <c r="J42" s="176" t="n"/>
      <c r="K42" s="176" t="inlineStr">
        <is>
          <t>Да</t>
        </is>
      </c>
      <c r="L42" s="176" t="n"/>
      <c r="M42" s="176" t="n"/>
      <c r="N42" s="179">
        <f>SUMIFS($E$2:$E$896,$A$2:$A$896,"осень",$I$2:$I$896,I42)</f>
        <v/>
      </c>
      <c r="O42" s="179">
        <f>SUMIFS($E$2:$E$896,$A$2:$A$896,"весна",$I$2:$I$896,I42)</f>
        <v/>
      </c>
      <c r="P42" s="180">
        <f>N42+O42</f>
        <v/>
      </c>
      <c r="Q42" s="181">
        <f>P42/$Q$1</f>
        <v/>
      </c>
      <c r="R42" s="122">
        <f>P42*0.2</f>
        <v/>
      </c>
      <c r="S42" s="122">
        <f>Q42*0.8</f>
        <v/>
      </c>
      <c r="T42" s="133" t="n">
        <v>0.25</v>
      </c>
    </row>
    <row r="43" hidden="1" s="2">
      <c r="A43" s="175" t="inlineStr">
        <is>
          <t>осень</t>
        </is>
      </c>
      <c r="B43" s="176" t="inlineStr">
        <is>
          <t>Разработка ресурсосберегающих технологий диффузионной сварки</t>
        </is>
      </c>
      <c r="C43" s="176" t="inlineStr">
        <is>
          <t>Консультация</t>
        </is>
      </c>
      <c r="D43" s="176" t="inlineStr">
        <is>
          <t>Т11О-101М-23</t>
        </is>
      </c>
      <c r="E43" s="177" t="n">
        <v>1</v>
      </c>
      <c r="F43" s="176" t="inlineStr">
        <is>
          <t>18008</t>
        </is>
      </c>
      <c r="G43" s="178" t="n"/>
      <c r="H43" s="176" t="inlineStr">
        <is>
          <t>82090</t>
        </is>
      </c>
      <c r="I43" s="176" t="inlineStr">
        <is>
          <t>Барабанова Ольга Алексеевна</t>
        </is>
      </c>
      <c r="J43" s="176" t="n"/>
      <c r="K43" s="176" t="inlineStr">
        <is>
          <t>Да</t>
        </is>
      </c>
      <c r="L43" s="176" t="n"/>
      <c r="M43" s="176" t="n"/>
      <c r="N43" s="179">
        <f>SUMIFS($E$2:$E$896,$A$2:$A$896,"осень",$I$2:$I$896,I43)</f>
        <v/>
      </c>
      <c r="O43" s="179">
        <f>SUMIFS($E$2:$E$896,$A$2:$A$896,"весна",$I$2:$I$896,I43)</f>
        <v/>
      </c>
      <c r="P43" s="180">
        <f>N43+O43</f>
        <v/>
      </c>
      <c r="Q43" s="181">
        <f>P43/$Q$1</f>
        <v/>
      </c>
      <c r="R43" s="122">
        <f>P43*0.2</f>
        <v/>
      </c>
      <c r="S43" s="122">
        <f>Q43*0.8</f>
        <v/>
      </c>
      <c r="T43" s="133" t="n">
        <v>0.25</v>
      </c>
    </row>
    <row r="44" hidden="1" s="2">
      <c r="A44" s="175" t="inlineStr">
        <is>
          <t>осень</t>
        </is>
      </c>
      <c r="B44" s="176" t="inlineStr">
        <is>
          <t>Моделирование и оптимизация технологических процессов</t>
        </is>
      </c>
      <c r="C44" s="176" t="inlineStr">
        <is>
          <t>ЛК</t>
        </is>
      </c>
      <c r="D44" s="176" t="inlineStr">
        <is>
          <t>Т11О-201М-22</t>
        </is>
      </c>
      <c r="E44" s="177" t="n">
        <v>18</v>
      </c>
      <c r="F44" s="176" t="inlineStr">
        <is>
          <t>04489</t>
        </is>
      </c>
      <c r="G44" s="177" t="n">
        <v>18</v>
      </c>
      <c r="H44" s="176" t="inlineStr">
        <is>
          <t>81722</t>
        </is>
      </c>
      <c r="I44" s="176" t="inlineStr">
        <is>
          <t>Шленский Алексей Геннадьевич</t>
        </is>
      </c>
      <c r="J44" s="176" t="n"/>
      <c r="K44" s="176" t="inlineStr">
        <is>
          <t>Нет</t>
        </is>
      </c>
      <c r="L44" s="176" t="n"/>
      <c r="M44" s="176" t="n"/>
      <c r="N44" s="179">
        <f>SUMIFS($E$2:$E$896,$A$2:$A$896,"осень",$I$2:$I$896,I44)</f>
        <v/>
      </c>
      <c r="O44" s="179">
        <f>SUMIFS($E$2:$E$896,$A$2:$A$896,"весна",$I$2:$I$896,I44)</f>
        <v/>
      </c>
      <c r="P44" s="180">
        <f>N44+O44</f>
        <v/>
      </c>
      <c r="Q44" s="181">
        <f>P44/$Q$1</f>
        <v/>
      </c>
      <c r="R44" s="122">
        <f>P44*0.2</f>
        <v/>
      </c>
      <c r="S44" s="122">
        <f>Q44*0.8</f>
        <v/>
      </c>
      <c r="T44" s="133" t="n">
        <v>0.7</v>
      </c>
    </row>
    <row r="45" hidden="1" s="2">
      <c r="A45" s="175" t="inlineStr">
        <is>
          <t>осень</t>
        </is>
      </c>
      <c r="B45" s="176" t="inlineStr">
        <is>
          <t>Моделирование и оптимизация технологических процессов</t>
        </is>
      </c>
      <c r="C45" s="176" t="inlineStr">
        <is>
          <t>КР</t>
        </is>
      </c>
      <c r="D45" s="176" t="inlineStr">
        <is>
          <t>Т11О-201М-22</t>
        </is>
      </c>
      <c r="E45" s="177" t="n">
        <v>24</v>
      </c>
      <c r="F45" s="176" t="inlineStr">
        <is>
          <t>04489</t>
        </is>
      </c>
      <c r="G45" s="178" t="n"/>
      <c r="H45" s="176" t="inlineStr">
        <is>
          <t>81722</t>
        </is>
      </c>
      <c r="I45" s="176" t="inlineStr">
        <is>
          <t>Шленский Алексей Геннадьевич</t>
        </is>
      </c>
      <c r="J45" s="176" t="n"/>
      <c r="K45" s="176" t="inlineStr">
        <is>
          <t>Нет</t>
        </is>
      </c>
      <c r="L45" s="176" t="n"/>
      <c r="M45" s="176" t="n"/>
      <c r="N45" s="179">
        <f>SUMIFS($E$2:$E$896,$A$2:$A$896,"осень",$I$2:$I$896,I45)</f>
        <v/>
      </c>
      <c r="O45" s="179">
        <f>SUMIFS($E$2:$E$896,$A$2:$A$896,"весна",$I$2:$I$896,I45)</f>
        <v/>
      </c>
      <c r="P45" s="180">
        <f>N45+O45</f>
        <v/>
      </c>
      <c r="Q45" s="181">
        <f>P45/$Q$1</f>
        <v/>
      </c>
      <c r="R45" s="122">
        <f>P45*0.2</f>
        <v/>
      </c>
      <c r="S45" s="122">
        <f>Q45*0.8</f>
        <v/>
      </c>
      <c r="T45" s="133" t="n">
        <v>0.7</v>
      </c>
    </row>
    <row r="46" hidden="1" s="2">
      <c r="A46" s="175" t="inlineStr">
        <is>
          <t>осень</t>
        </is>
      </c>
      <c r="B46" s="176" t="inlineStr">
        <is>
          <t>Моделирование и оптимизация технологических процессов</t>
        </is>
      </c>
      <c r="C46" s="176" t="inlineStr">
        <is>
          <t>Зачет с оценкой</t>
        </is>
      </c>
      <c r="D46" s="176" t="inlineStr">
        <is>
          <t>Т11О-201М-22</t>
        </is>
      </c>
      <c r="E46" s="177" t="n">
        <v>4</v>
      </c>
      <c r="F46" s="176" t="inlineStr">
        <is>
          <t>04489</t>
        </is>
      </c>
      <c r="G46" s="178" t="n"/>
      <c r="H46" s="176" t="inlineStr">
        <is>
          <t>81722</t>
        </is>
      </c>
      <c r="I46" s="176" t="inlineStr">
        <is>
          <t>Шленский Алексей Геннадьевич</t>
        </is>
      </c>
      <c r="J46" s="176" t="n"/>
      <c r="K46" s="176" t="inlineStr">
        <is>
          <t>Нет</t>
        </is>
      </c>
      <c r="L46" s="176" t="n"/>
      <c r="M46" s="176" t="n"/>
      <c r="N46" s="179">
        <f>SUMIFS($E$2:$E$896,$A$2:$A$896,"осень",$I$2:$I$896,I46)</f>
        <v/>
      </c>
      <c r="O46" s="179">
        <f>SUMIFS($E$2:$E$896,$A$2:$A$896,"весна",$I$2:$I$896,I46)</f>
        <v/>
      </c>
      <c r="P46" s="180">
        <f>N46+O46</f>
        <v/>
      </c>
      <c r="Q46" s="181">
        <f>P46/$Q$1</f>
        <v/>
      </c>
      <c r="R46" s="122">
        <f>P46*0.2</f>
        <v/>
      </c>
      <c r="S46" s="122">
        <f>Q46*0.8</f>
        <v/>
      </c>
      <c r="T46" s="133" t="n">
        <v>0.7</v>
      </c>
    </row>
    <row r="47" hidden="1" s="2">
      <c r="A47" s="175" t="inlineStr">
        <is>
          <t>осень</t>
        </is>
      </c>
      <c r="B47" s="176" t="inlineStr">
        <is>
          <t>Моделирование и оптимизация технологических процессов</t>
        </is>
      </c>
      <c r="C47" s="176" t="inlineStr">
        <is>
          <t>ПЗ</t>
        </is>
      </c>
      <c r="D47" s="176" t="inlineStr">
        <is>
          <t>Т11О-201М-22</t>
        </is>
      </c>
      <c r="E47" s="177" t="n">
        <v>62</v>
      </c>
      <c r="F47" s="176" t="inlineStr">
        <is>
          <t>04489</t>
        </is>
      </c>
      <c r="G47" s="177" t="n">
        <v>62</v>
      </c>
      <c r="H47" s="176" t="inlineStr">
        <is>
          <t>81722</t>
        </is>
      </c>
      <c r="I47" s="176" t="inlineStr">
        <is>
          <t>Шленский Алексей Геннадьевич</t>
        </is>
      </c>
      <c r="J47" s="176" t="n"/>
      <c r="K47" s="176" t="inlineStr">
        <is>
          <t>Нет</t>
        </is>
      </c>
      <c r="L47" s="176" t="n"/>
      <c r="M47" s="176" t="n"/>
      <c r="N47" s="179">
        <f>SUMIFS($E$2:$E$896,$A$2:$A$896,"осень",$I$2:$I$896,I47)</f>
        <v/>
      </c>
      <c r="O47" s="179">
        <f>SUMIFS($E$2:$E$896,$A$2:$A$896,"весна",$I$2:$I$896,I47)</f>
        <v/>
      </c>
      <c r="P47" s="180">
        <f>N47+O47</f>
        <v/>
      </c>
      <c r="Q47" s="181">
        <f>P47/$Q$1</f>
        <v/>
      </c>
      <c r="R47" s="122">
        <f>P47*0.2</f>
        <v/>
      </c>
      <c r="S47" s="122">
        <f>Q47*0.8</f>
        <v/>
      </c>
      <c r="T47" s="133" t="n">
        <v>0.7</v>
      </c>
    </row>
    <row r="48" hidden="1" s="2">
      <c r="A48" s="175" t="inlineStr">
        <is>
          <t>осень</t>
        </is>
      </c>
      <c r="B48" s="176" t="inlineStr">
        <is>
          <t>Моделирование и оптимизация технологических процессов</t>
        </is>
      </c>
      <c r="C48" s="176" t="inlineStr">
        <is>
          <t>Консультация</t>
        </is>
      </c>
      <c r="D48" s="176" t="inlineStr">
        <is>
          <t>Т11О-201М-22</t>
        </is>
      </c>
      <c r="E48" s="177" t="n">
        <v>1</v>
      </c>
      <c r="F48" s="176" t="inlineStr">
        <is>
          <t>04489</t>
        </is>
      </c>
      <c r="G48" s="178" t="n"/>
      <c r="H48" s="176" t="inlineStr">
        <is>
          <t>81722</t>
        </is>
      </c>
      <c r="I48" s="176" t="inlineStr">
        <is>
          <t>Шленский Алексей Геннадьевич</t>
        </is>
      </c>
      <c r="J48" s="176" t="n"/>
      <c r="K48" s="176" t="inlineStr">
        <is>
          <t>Нет</t>
        </is>
      </c>
      <c r="L48" s="176" t="n"/>
      <c r="M48" s="176" t="n"/>
      <c r="N48" s="179">
        <f>SUMIFS($E$2:$E$896,$A$2:$A$896,"осень",$I$2:$I$896,I48)</f>
        <v/>
      </c>
      <c r="O48" s="179">
        <f>SUMIFS($E$2:$E$896,$A$2:$A$896,"весна",$I$2:$I$896,I48)</f>
        <v/>
      </c>
      <c r="P48" s="180">
        <f>N48+O48</f>
        <v/>
      </c>
      <c r="Q48" s="181">
        <f>P48/$Q$1</f>
        <v/>
      </c>
      <c r="R48" s="122">
        <f>P48*0.2</f>
        <v/>
      </c>
      <c r="S48" s="122">
        <f>Q48*0.8</f>
        <v/>
      </c>
      <c r="T48" s="133" t="n">
        <v>0.7</v>
      </c>
    </row>
    <row r="49" hidden="1" s="2">
      <c r="A49" s="175" t="inlineStr">
        <is>
          <t>осень</t>
        </is>
      </c>
      <c r="B49" s="186" t="inlineStr">
        <is>
          <t>Физико-математическое моделирование процессов обработки металлов давлением</t>
        </is>
      </c>
      <c r="C49" s="176" t="inlineStr">
        <is>
          <t>ЛК</t>
        </is>
      </c>
      <c r="D49" s="176" t="inlineStr">
        <is>
          <t>Т11О-201М-22</t>
        </is>
      </c>
      <c r="E49" s="177" t="n">
        <v>12</v>
      </c>
      <c r="F49" s="176" t="inlineStr">
        <is>
          <t>04489</t>
        </is>
      </c>
      <c r="G49" s="177" t="n">
        <v>12</v>
      </c>
      <c r="H49" s="176" t="inlineStr">
        <is>
          <t>81732</t>
        </is>
      </c>
      <c r="I49" s="176" t="inlineStr">
        <is>
          <t>Петров Анатолий Павлович</t>
        </is>
      </c>
      <c r="J49" s="176" t="n"/>
      <c r="K49" s="176" t="inlineStr">
        <is>
          <t>Да</t>
        </is>
      </c>
      <c r="L49" s="176" t="n"/>
      <c r="M49" s="176" t="n"/>
      <c r="N49" s="179">
        <f>SUMIFS($E$2:$E$896,$A$2:$A$896,"осень",$I$2:$I$896,I49)</f>
        <v/>
      </c>
      <c r="O49" s="179">
        <f>SUMIFS($E$2:$E$896,$A$2:$A$896,"весна",$I$2:$I$896,I49)</f>
        <v/>
      </c>
      <c r="P49" s="180">
        <f>N49+O49</f>
        <v/>
      </c>
      <c r="Q49" s="181">
        <f>P49/$Q$1</f>
        <v/>
      </c>
      <c r="R49" s="122">
        <f>P49*0.2</f>
        <v/>
      </c>
      <c r="S49" s="122">
        <f>Q49*0.8</f>
        <v/>
      </c>
      <c r="T49" s="133" t="n">
        <v>0.25</v>
      </c>
    </row>
    <row r="50" hidden="1" s="2">
      <c r="A50" s="175" t="inlineStr">
        <is>
          <t>осень</t>
        </is>
      </c>
      <c r="B50" s="186" t="inlineStr">
        <is>
          <t>Физико-математическое моделирование процессов обработки металлов давлением</t>
        </is>
      </c>
      <c r="C50" s="176" t="inlineStr">
        <is>
          <t>ПЗ</t>
        </is>
      </c>
      <c r="D50" s="176" t="inlineStr">
        <is>
          <t>Т11О-201М-22</t>
        </is>
      </c>
      <c r="E50" s="177" t="n">
        <v>42</v>
      </c>
      <c r="F50" s="176" t="inlineStr">
        <is>
          <t>04489</t>
        </is>
      </c>
      <c r="G50" s="177" t="n">
        <v>42</v>
      </c>
      <c r="H50" s="176" t="inlineStr">
        <is>
          <t>81732</t>
        </is>
      </c>
      <c r="I50" s="176" t="inlineStr">
        <is>
          <t>Петров Анатолий Павлович</t>
        </is>
      </c>
      <c r="J50" s="176" t="n"/>
      <c r="K50" s="176" t="inlineStr">
        <is>
          <t>Да</t>
        </is>
      </c>
      <c r="L50" s="176" t="n"/>
      <c r="M50" s="176" t="n"/>
      <c r="N50" s="179">
        <f>SUMIFS($E$2:$E$896,$A$2:$A$896,"осень",$I$2:$I$896,I50)</f>
        <v/>
      </c>
      <c r="O50" s="179">
        <f>SUMIFS($E$2:$E$896,$A$2:$A$896,"весна",$I$2:$I$896,I50)</f>
        <v/>
      </c>
      <c r="P50" s="180">
        <f>N50+O50</f>
        <v/>
      </c>
      <c r="Q50" s="181">
        <f>P50/$Q$1</f>
        <v/>
      </c>
      <c r="R50" s="122">
        <f>P50*0.2</f>
        <v/>
      </c>
      <c r="S50" s="122">
        <f>Q50*0.8</f>
        <v/>
      </c>
      <c r="T50" s="133" t="n">
        <v>0.25</v>
      </c>
    </row>
    <row r="51" hidden="1" s="2">
      <c r="A51" s="175" t="inlineStr">
        <is>
          <t>осень</t>
        </is>
      </c>
      <c r="B51" s="186" t="inlineStr">
        <is>
          <t>Физико-математическое моделирование процессов обработки металлов давлением</t>
        </is>
      </c>
      <c r="C51" s="176" t="inlineStr">
        <is>
          <t>Экзамен</t>
        </is>
      </c>
      <c r="D51" s="176" t="inlineStr">
        <is>
          <t>Т11О-201М-22</t>
        </is>
      </c>
      <c r="E51" s="177" t="n">
        <v>4</v>
      </c>
      <c r="F51" s="176" t="inlineStr">
        <is>
          <t>04489</t>
        </is>
      </c>
      <c r="G51" s="178" t="n"/>
      <c r="H51" s="176" t="inlineStr">
        <is>
          <t>81732</t>
        </is>
      </c>
      <c r="I51" s="176" t="inlineStr">
        <is>
          <t>Петров Анатолий Павлович</t>
        </is>
      </c>
      <c r="J51" s="176" t="n"/>
      <c r="K51" s="176" t="inlineStr">
        <is>
          <t>Да</t>
        </is>
      </c>
      <c r="L51" s="176" t="n"/>
      <c r="M51" s="176" t="n"/>
      <c r="N51" s="179">
        <f>SUMIFS($E$2:$E$896,$A$2:$A$896,"осень",$I$2:$I$896,I51)</f>
        <v/>
      </c>
      <c r="O51" s="179">
        <f>SUMIFS($E$2:$E$896,$A$2:$A$896,"весна",$I$2:$I$896,I51)</f>
        <v/>
      </c>
      <c r="P51" s="180">
        <f>N51+O51</f>
        <v/>
      </c>
      <c r="Q51" s="181">
        <f>P51/$Q$1</f>
        <v/>
      </c>
      <c r="R51" s="122">
        <f>P51*0.2</f>
        <v/>
      </c>
      <c r="S51" s="122">
        <f>Q51*0.8</f>
        <v/>
      </c>
      <c r="T51" s="133" t="n">
        <v>0.25</v>
      </c>
    </row>
    <row r="52">
      <c r="A52" s="175" t="inlineStr">
        <is>
          <t>осень</t>
        </is>
      </c>
      <c r="B52" s="186" t="inlineStr">
        <is>
          <t>Физико-математическое моделирование процессов обработки металлов давлением</t>
        </is>
      </c>
      <c r="C52" s="176" t="inlineStr">
        <is>
          <t>Экзамен</t>
        </is>
      </c>
      <c r="D52" s="176" t="inlineStr">
        <is>
          <t>Т11О-201М-22</t>
        </is>
      </c>
      <c r="E52" s="177" t="n">
        <v>2</v>
      </c>
      <c r="F52" s="176" t="inlineStr">
        <is>
          <t>04489</t>
        </is>
      </c>
      <c r="G52" s="178" t="n"/>
      <c r="H52" s="176" t="inlineStr">
        <is>
          <t>82075</t>
        </is>
      </c>
      <c r="I52" s="176" t="inlineStr">
        <is>
          <t>Петров Анатолий Павлович</t>
        </is>
      </c>
      <c r="J52" s="176" t="n"/>
      <c r="K52" s="176" t="inlineStr">
        <is>
          <t>Да</t>
        </is>
      </c>
      <c r="L52" s="176" t="n"/>
      <c r="M52" s="176" t="n"/>
      <c r="N52" s="179">
        <f>SUMIFS($E$2:$E$896,$A$2:$A$896,"осень",$I$2:$I$896,I52)</f>
        <v/>
      </c>
      <c r="O52" s="179">
        <f>SUMIFS($E$2:$E$896,$A$2:$A$896,"весна",$I$2:$I$896,I52)</f>
        <v/>
      </c>
      <c r="P52" s="180">
        <f>N52+O52</f>
        <v/>
      </c>
      <c r="Q52" s="181">
        <f>P52/$Q$1</f>
        <v/>
      </c>
      <c r="R52" s="122">
        <f>P52*0.2</f>
        <v/>
      </c>
      <c r="S52" s="122">
        <f>Q52*0.8</f>
        <v/>
      </c>
      <c r="T52" s="133" t="n">
        <v>0</v>
      </c>
    </row>
    <row r="53" hidden="1" s="2">
      <c r="A53" s="175" t="inlineStr">
        <is>
          <t>осень</t>
        </is>
      </c>
      <c r="B53" s="186" t="inlineStr">
        <is>
          <t>Физико-математическое моделирование процессов обработки металлов давлением</t>
        </is>
      </c>
      <c r="C53" s="176" t="inlineStr">
        <is>
          <t>Консультация</t>
        </is>
      </c>
      <c r="D53" s="176" t="inlineStr">
        <is>
          <t>Т11О-201М-22</t>
        </is>
      </c>
      <c r="E53" s="177" t="n">
        <v>1</v>
      </c>
      <c r="F53" s="176" t="inlineStr">
        <is>
          <t>04489</t>
        </is>
      </c>
      <c r="G53" s="178" t="n"/>
      <c r="H53" s="176" t="inlineStr">
        <is>
          <t>81732</t>
        </is>
      </c>
      <c r="I53" s="176" t="inlineStr">
        <is>
          <t>Петров Анатолий Павлович</t>
        </is>
      </c>
      <c r="J53" s="176" t="n"/>
      <c r="K53" s="176" t="inlineStr">
        <is>
          <t>Да</t>
        </is>
      </c>
      <c r="L53" s="176" t="n"/>
      <c r="M53" s="176" t="n"/>
      <c r="N53" s="179">
        <f>SUMIFS($E$2:$E$896,$A$2:$A$896,"осень",$I$2:$I$896,I53)</f>
        <v/>
      </c>
      <c r="O53" s="179">
        <f>SUMIFS($E$2:$E$896,$A$2:$A$896,"весна",$I$2:$I$896,I53)</f>
        <v/>
      </c>
      <c r="P53" s="180">
        <f>N53+O53</f>
        <v/>
      </c>
      <c r="Q53" s="181">
        <f>P53/$Q$1</f>
        <v/>
      </c>
      <c r="R53" s="122">
        <f>P53*0.2</f>
        <v/>
      </c>
      <c r="S53" s="122">
        <f>Q53*0.8</f>
        <v/>
      </c>
      <c r="T53" s="133" t="n">
        <v>0.25</v>
      </c>
    </row>
    <row r="54">
      <c r="A54" s="175" t="inlineStr">
        <is>
          <t>осень</t>
        </is>
      </c>
      <c r="B54" s="186" t="inlineStr">
        <is>
          <t>Физико-математическое моделирование процессов обработки металлов давлением</t>
        </is>
      </c>
      <c r="C54" s="176" t="inlineStr">
        <is>
          <t>Консультация</t>
        </is>
      </c>
      <c r="D54" s="176" t="inlineStr">
        <is>
          <t>Т11О-201М-22</t>
        </is>
      </c>
      <c r="E54" s="177" t="n">
        <v>1</v>
      </c>
      <c r="F54" s="176" t="inlineStr">
        <is>
          <t>04489</t>
        </is>
      </c>
      <c r="G54" s="178" t="n"/>
      <c r="H54" s="176" t="inlineStr">
        <is>
          <t>82075</t>
        </is>
      </c>
      <c r="I54" s="176" t="inlineStr">
        <is>
          <t>Петров Анатолий Павлович</t>
        </is>
      </c>
      <c r="J54" s="176" t="n"/>
      <c r="K54" s="176" t="inlineStr">
        <is>
          <t>Да</t>
        </is>
      </c>
      <c r="L54" s="176" t="n"/>
      <c r="M54" s="176" t="n"/>
      <c r="N54" s="179">
        <f>SUMIFS($E$2:$E$896,$A$2:$A$896,"осень",$I$2:$I$896,I54)</f>
        <v/>
      </c>
      <c r="O54" s="179">
        <f>SUMIFS($E$2:$E$896,$A$2:$A$896,"весна",$I$2:$I$896,I54)</f>
        <v/>
      </c>
      <c r="P54" s="180">
        <f>N54+O54</f>
        <v/>
      </c>
      <c r="Q54" s="181">
        <f>P54/$Q$1</f>
        <v/>
      </c>
      <c r="R54" s="122">
        <f>P54*0.2</f>
        <v/>
      </c>
      <c r="S54" s="122">
        <f>Q54*0.8</f>
        <v/>
      </c>
      <c r="T54" s="133" t="n">
        <v>0</v>
      </c>
    </row>
    <row r="55" hidden="1" s="2">
      <c r="A55" s="175" t="inlineStr">
        <is>
          <t>осень</t>
        </is>
      </c>
      <c r="B55" s="186" t="inlineStr">
        <is>
          <t>Физика и техника высоких давлений</t>
        </is>
      </c>
      <c r="C55" s="176" t="inlineStr">
        <is>
          <t>ЛК</t>
        </is>
      </c>
      <c r="D55" s="176" t="inlineStr">
        <is>
          <t>Т11О-201М-22</t>
        </is>
      </c>
      <c r="E55" s="177" t="n">
        <v>18</v>
      </c>
      <c r="F55" s="176" t="inlineStr">
        <is>
          <t>04489</t>
        </is>
      </c>
      <c r="G55" s="177" t="n">
        <v>18</v>
      </c>
      <c r="H55" s="176" t="inlineStr">
        <is>
          <t>81730</t>
        </is>
      </c>
      <c r="I55" s="176" t="inlineStr">
        <is>
          <t>Федоров Анатолий Александрович</t>
        </is>
      </c>
      <c r="J55" s="176" t="n"/>
      <c r="K55" s="176" t="inlineStr">
        <is>
          <t>Да</t>
        </is>
      </c>
      <c r="L55" s="176" t="n"/>
      <c r="M55" s="176" t="n"/>
      <c r="N55" s="179">
        <f>SUMIFS($E$2:$E$896,$A$2:$A$896,"осень",$I$2:$I$896,I55)</f>
        <v/>
      </c>
      <c r="O55" s="179">
        <f>SUMIFS($E$2:$E$896,$A$2:$A$896,"весна",$I$2:$I$896,I55)</f>
        <v/>
      </c>
      <c r="P55" s="180">
        <f>N55+O55</f>
        <v/>
      </c>
      <c r="Q55" s="181">
        <f>P55/$Q$1</f>
        <v/>
      </c>
      <c r="R55" s="122">
        <f>P55*0.2</f>
        <v/>
      </c>
      <c r="S55" s="122">
        <f>Q55*0.8</f>
        <v/>
      </c>
      <c r="T55" s="133" t="n">
        <v>0.2</v>
      </c>
    </row>
    <row r="56" hidden="1" s="2">
      <c r="A56" s="175" t="inlineStr">
        <is>
          <t>осень</t>
        </is>
      </c>
      <c r="B56" s="186" t="inlineStr">
        <is>
          <t>Физика и техника высоких давлений</t>
        </is>
      </c>
      <c r="C56" s="176" t="inlineStr">
        <is>
          <t>ПЗ</t>
        </is>
      </c>
      <c r="D56" s="176" t="inlineStr">
        <is>
          <t>Т11О-201М-22</t>
        </is>
      </c>
      <c r="E56" s="177" t="n">
        <v>36</v>
      </c>
      <c r="F56" s="176" t="inlineStr">
        <is>
          <t>04489</t>
        </is>
      </c>
      <c r="G56" s="177" t="n">
        <v>36</v>
      </c>
      <c r="H56" s="176" t="inlineStr">
        <is>
          <t>81730</t>
        </is>
      </c>
      <c r="I56" s="176" t="inlineStr">
        <is>
          <t>Федоров Анатолий Александрович</t>
        </is>
      </c>
      <c r="J56" s="176" t="n"/>
      <c r="K56" s="176" t="inlineStr">
        <is>
          <t>Да</t>
        </is>
      </c>
      <c r="L56" s="176" t="n"/>
      <c r="M56" s="176" t="n"/>
      <c r="N56" s="179">
        <f>SUMIFS($E$2:$E$896,$A$2:$A$896,"осень",$I$2:$I$896,I56)</f>
        <v/>
      </c>
      <c r="O56" s="179">
        <f>SUMIFS($E$2:$E$896,$A$2:$A$896,"весна",$I$2:$I$896,I56)</f>
        <v/>
      </c>
      <c r="P56" s="180">
        <f>N56+O56</f>
        <v/>
      </c>
      <c r="Q56" s="181">
        <f>P56/$Q$1</f>
        <v/>
      </c>
      <c r="R56" s="122">
        <f>P56*0.2</f>
        <v/>
      </c>
      <c r="S56" s="122">
        <f>Q56*0.8</f>
        <v/>
      </c>
      <c r="T56" s="133" t="n">
        <v>0.2</v>
      </c>
    </row>
    <row r="57" hidden="1" s="2">
      <c r="A57" s="175" t="inlineStr">
        <is>
          <t>осень</t>
        </is>
      </c>
      <c r="B57" s="186" t="inlineStr">
        <is>
          <t>Физика и техника высоких давлений</t>
        </is>
      </c>
      <c r="C57" s="176" t="inlineStr">
        <is>
          <t>Экзамен</t>
        </is>
      </c>
      <c r="D57" s="176" t="inlineStr">
        <is>
          <t>Т11О-201М-22</t>
        </is>
      </c>
      <c r="E57" s="177" t="n">
        <v>4</v>
      </c>
      <c r="F57" s="176" t="inlineStr">
        <is>
          <t>04489</t>
        </is>
      </c>
      <c r="G57" s="178" t="n"/>
      <c r="H57" s="176" t="inlineStr">
        <is>
          <t>81730</t>
        </is>
      </c>
      <c r="I57" s="176" t="inlineStr">
        <is>
          <t>Федоров Анатолий Александрович</t>
        </is>
      </c>
      <c r="J57" s="176" t="n"/>
      <c r="K57" s="176" t="inlineStr">
        <is>
          <t>Да</t>
        </is>
      </c>
      <c r="L57" s="176" t="n"/>
      <c r="M57" s="176" t="n"/>
      <c r="N57" s="179">
        <f>SUMIFS($E$2:$E$896,$A$2:$A$896,"осень",$I$2:$I$896,I57)</f>
        <v/>
      </c>
      <c r="O57" s="179">
        <f>SUMIFS($E$2:$E$896,$A$2:$A$896,"весна",$I$2:$I$896,I57)</f>
        <v/>
      </c>
      <c r="P57" s="180">
        <f>N57+O57</f>
        <v/>
      </c>
      <c r="Q57" s="181">
        <f>P57/$Q$1</f>
        <v/>
      </c>
      <c r="R57" s="122">
        <f>P57*0.2</f>
        <v/>
      </c>
      <c r="S57" s="122">
        <f>Q57*0.8</f>
        <v/>
      </c>
      <c r="T57" s="133" t="n">
        <v>0.2</v>
      </c>
    </row>
    <row r="58">
      <c r="A58" s="175" t="inlineStr">
        <is>
          <t>осень</t>
        </is>
      </c>
      <c r="B58" s="186" t="inlineStr">
        <is>
          <t>Физика и техника высоких давлений</t>
        </is>
      </c>
      <c r="C58" s="176" t="inlineStr">
        <is>
          <t>Экзамен</t>
        </is>
      </c>
      <c r="D58" s="176" t="inlineStr">
        <is>
          <t>Т11О-201М-22</t>
        </is>
      </c>
      <c r="E58" s="177" t="n">
        <v>2</v>
      </c>
      <c r="F58" s="176" t="inlineStr">
        <is>
          <t>04489</t>
        </is>
      </c>
      <c r="G58" s="178" t="n"/>
      <c r="H58" s="176" t="inlineStr">
        <is>
          <t>82075</t>
        </is>
      </c>
      <c r="I58" s="176" t="inlineStr">
        <is>
          <t>Федоров Анатолий Александрович</t>
        </is>
      </c>
      <c r="J58" s="176" t="n"/>
      <c r="K58" s="176" t="inlineStr">
        <is>
          <t>Да</t>
        </is>
      </c>
      <c r="L58" s="176" t="n"/>
      <c r="M58" s="176" t="n"/>
      <c r="N58" s="179">
        <f>SUMIFS($E$2:$E$896,$A$2:$A$896,"осень",$I$2:$I$896,I58)</f>
        <v/>
      </c>
      <c r="O58" s="179">
        <f>SUMIFS($E$2:$E$896,$A$2:$A$896,"весна",$I$2:$I$896,I58)</f>
        <v/>
      </c>
      <c r="P58" s="180">
        <f>N58+O58</f>
        <v/>
      </c>
      <c r="Q58" s="181">
        <f>P58/$Q$1</f>
        <v/>
      </c>
      <c r="R58" s="122">
        <f>P58*0.2</f>
        <v/>
      </c>
      <c r="S58" s="122">
        <f>Q58*0.8</f>
        <v/>
      </c>
      <c r="T58" s="133" t="n">
        <v>0</v>
      </c>
    </row>
    <row r="59" hidden="1" s="2">
      <c r="A59" s="175" t="inlineStr">
        <is>
          <t>осень</t>
        </is>
      </c>
      <c r="B59" s="186" t="inlineStr">
        <is>
          <t>Физика и техника высоких давлений</t>
        </is>
      </c>
      <c r="C59" s="176" t="inlineStr">
        <is>
          <t>Консультация</t>
        </is>
      </c>
      <c r="D59" s="176" t="inlineStr">
        <is>
          <t>Т11О-201М-22</t>
        </is>
      </c>
      <c r="E59" s="177" t="n">
        <v>1</v>
      </c>
      <c r="F59" s="176" t="inlineStr">
        <is>
          <t>04489</t>
        </is>
      </c>
      <c r="G59" s="178" t="n"/>
      <c r="H59" s="176" t="inlineStr">
        <is>
          <t>81730</t>
        </is>
      </c>
      <c r="I59" s="176" t="inlineStr">
        <is>
          <t>Федоров Анатолий Александрович</t>
        </is>
      </c>
      <c r="J59" s="176" t="n"/>
      <c r="K59" s="176" t="inlineStr">
        <is>
          <t>Да</t>
        </is>
      </c>
      <c r="L59" s="176" t="n"/>
      <c r="M59" s="176" t="n"/>
      <c r="N59" s="179">
        <f>SUMIFS($E$2:$E$896,$A$2:$A$896,"осень",$I$2:$I$896,I59)</f>
        <v/>
      </c>
      <c r="O59" s="179">
        <f>SUMIFS($E$2:$E$896,$A$2:$A$896,"весна",$I$2:$I$896,I59)</f>
        <v/>
      </c>
      <c r="P59" s="180">
        <f>N59+O59</f>
        <v/>
      </c>
      <c r="Q59" s="181">
        <f>P59/$Q$1</f>
        <v/>
      </c>
      <c r="R59" s="122">
        <f>P59*0.2</f>
        <v/>
      </c>
      <c r="S59" s="122">
        <f>Q59*0.8</f>
        <v/>
      </c>
      <c r="T59" s="133" t="n">
        <v>0.2</v>
      </c>
    </row>
    <row r="60">
      <c r="A60" s="175" t="inlineStr">
        <is>
          <t>осень</t>
        </is>
      </c>
      <c r="B60" s="186" t="inlineStr">
        <is>
          <t>Физика и техника высоких давлений</t>
        </is>
      </c>
      <c r="C60" s="176" t="inlineStr">
        <is>
          <t>Консультация</t>
        </is>
      </c>
      <c r="D60" s="176" t="inlineStr">
        <is>
          <t>Т11О-201М-22</t>
        </is>
      </c>
      <c r="E60" s="177" t="n">
        <v>1</v>
      </c>
      <c r="F60" s="176" t="inlineStr">
        <is>
          <t>04489</t>
        </is>
      </c>
      <c r="G60" s="178" t="n"/>
      <c r="H60" s="176" t="inlineStr">
        <is>
          <t>82075</t>
        </is>
      </c>
      <c r="I60" s="176" t="inlineStr">
        <is>
          <t>Федоров Анатолий Александрович</t>
        </is>
      </c>
      <c r="J60" s="176" t="n"/>
      <c r="K60" s="176" t="inlineStr">
        <is>
          <t>Да</t>
        </is>
      </c>
      <c r="L60" s="176" t="n"/>
      <c r="M60" s="176" t="n"/>
      <c r="N60" s="179">
        <f>SUMIFS($E$2:$E$896,$A$2:$A$896,"осень",$I$2:$I$896,I60)</f>
        <v/>
      </c>
      <c r="O60" s="179">
        <f>SUMIFS($E$2:$E$896,$A$2:$A$896,"весна",$I$2:$I$896,I60)</f>
        <v/>
      </c>
      <c r="P60" s="180">
        <f>N60+O60</f>
        <v/>
      </c>
      <c r="Q60" s="181">
        <f>P60/$Q$1</f>
        <v/>
      </c>
      <c r="R60" s="122">
        <f>P60*0.2</f>
        <v/>
      </c>
      <c r="S60" s="122">
        <f>Q60*0.8</f>
        <v/>
      </c>
      <c r="T60" s="133" t="n">
        <v>0</v>
      </c>
    </row>
    <row r="61" hidden="1" s="2">
      <c r="A61" s="175" t="inlineStr">
        <is>
          <t>осень</t>
        </is>
      </c>
      <c r="B61" s="186" t="inlineStr">
        <is>
          <t>Основы автоматизации технологических процессов</t>
        </is>
      </c>
      <c r="C61" s="176" t="inlineStr">
        <is>
          <t>ЛК</t>
        </is>
      </c>
      <c r="D61" s="176" t="inlineStr">
        <is>
          <t>Т11О-301Б-21, Т11О-303Б-21, Т11О-304Б-21, Т11О-305Б-21</t>
        </is>
      </c>
      <c r="E61" s="177" t="n">
        <v>24</v>
      </c>
      <c r="F61" s="176" t="inlineStr">
        <is>
          <t>17358</t>
        </is>
      </c>
      <c r="G61" s="177" t="n">
        <v>24</v>
      </c>
      <c r="H61" s="176" t="inlineStr">
        <is>
          <t>81720</t>
        </is>
      </c>
      <c r="I61" s="176" t="inlineStr">
        <is>
          <t>Палтиевич Андрей Романович</t>
        </is>
      </c>
      <c r="J61" s="176" t="n"/>
      <c r="K61" s="176" t="inlineStr">
        <is>
          <t>Нет</t>
        </is>
      </c>
      <c r="L61" s="176" t="n"/>
      <c r="M61" s="176" t="n"/>
      <c r="N61" s="179">
        <f>SUMIFS($E$2:$E$896,$A$2:$A$896,"осень",$I$2:$I$896,I61)</f>
        <v/>
      </c>
      <c r="O61" s="179">
        <f>SUMIFS($E$2:$E$896,$A$2:$A$896,"весна",$I$2:$I$896,I61)</f>
        <v/>
      </c>
      <c r="P61" s="180">
        <f>N61+O61</f>
        <v/>
      </c>
      <c r="Q61" s="181">
        <f>P61/$Q$1</f>
        <v/>
      </c>
      <c r="R61" s="122">
        <f>P61*0.2</f>
        <v/>
      </c>
      <c r="S61" s="122">
        <f>Q61*0.8</f>
        <v/>
      </c>
      <c r="T61" s="133" t="n">
        <v>0.65</v>
      </c>
    </row>
    <row r="62" hidden="1" s="2">
      <c r="A62" s="175" t="inlineStr">
        <is>
          <t>осень</t>
        </is>
      </c>
      <c r="B62" s="176" t="inlineStr">
        <is>
          <t>Основы автоматизации технологических процессов</t>
        </is>
      </c>
      <c r="C62" s="176" t="inlineStr">
        <is>
          <t>Зачет с оценкой</t>
        </is>
      </c>
      <c r="D62" s="176" t="inlineStr">
        <is>
          <t>Т11О-301Б-21</t>
        </is>
      </c>
      <c r="E62" s="177" t="n">
        <v>3</v>
      </c>
      <c r="F62" s="176" t="inlineStr">
        <is>
          <t>17358</t>
        </is>
      </c>
      <c r="G62" s="178" t="n"/>
      <c r="H62" s="176" t="inlineStr">
        <is>
          <t>81720</t>
        </is>
      </c>
      <c r="I62" s="176" t="inlineStr">
        <is>
          <t>Жаров Максим Владимирович</t>
        </is>
      </c>
      <c r="J62" s="176" t="n"/>
      <c r="K62" s="176" t="inlineStr">
        <is>
          <t>Нет</t>
        </is>
      </c>
      <c r="L62" s="176" t="n"/>
      <c r="M62" s="176" t="n"/>
      <c r="N62" s="179">
        <f>SUMIFS($E$2:$E$896,$A$2:$A$896,"осень",$I$2:$I$896,I62)</f>
        <v/>
      </c>
      <c r="O62" s="179">
        <f>SUMIFS($E$2:$E$896,$A$2:$A$896,"весна",$I$2:$I$896,I62)</f>
        <v/>
      </c>
      <c r="P62" s="180">
        <f>N62+O62</f>
        <v/>
      </c>
      <c r="Q62" s="181">
        <f>P62/$Q$1</f>
        <v/>
      </c>
      <c r="R62" s="122">
        <f>P62*0.2</f>
        <v/>
      </c>
      <c r="S62" s="122">
        <f>Q62*0.8</f>
        <v/>
      </c>
      <c r="T62" s="133" t="n">
        <v>0.65</v>
      </c>
    </row>
    <row r="63" hidden="1" s="2">
      <c r="A63" s="175" t="inlineStr">
        <is>
          <t>осень</t>
        </is>
      </c>
      <c r="B63" s="176" t="inlineStr">
        <is>
          <t>Основы автоматизации технологических процессов</t>
        </is>
      </c>
      <c r="C63" s="176" t="inlineStr">
        <is>
          <t>Зачет с оценкой</t>
        </is>
      </c>
      <c r="D63" s="176" t="inlineStr">
        <is>
          <t>Т11О-303Б-21</t>
        </is>
      </c>
      <c r="E63" s="177" t="n">
        <v>5</v>
      </c>
      <c r="F63" s="176" t="inlineStr">
        <is>
          <t>17358</t>
        </is>
      </c>
      <c r="G63" s="178" t="n"/>
      <c r="H63" s="176" t="inlineStr">
        <is>
          <t>81720</t>
        </is>
      </c>
      <c r="I63" s="176" t="inlineStr">
        <is>
          <t>Жаров Максим Владимирович</t>
        </is>
      </c>
      <c r="J63" s="176" t="n"/>
      <c r="K63" s="176" t="inlineStr">
        <is>
          <t>Нет</t>
        </is>
      </c>
      <c r="L63" s="176" t="n"/>
      <c r="M63" s="176" t="n"/>
      <c r="N63" s="179">
        <f>SUMIFS($E$2:$E$896,$A$2:$A$896,"осень",$I$2:$I$896,I63)</f>
        <v/>
      </c>
      <c r="O63" s="179">
        <f>SUMIFS($E$2:$E$896,$A$2:$A$896,"весна",$I$2:$I$896,I63)</f>
        <v/>
      </c>
      <c r="P63" s="180">
        <f>N63+O63</f>
        <v/>
      </c>
      <c r="Q63" s="181">
        <f>P63/$Q$1</f>
        <v/>
      </c>
      <c r="R63" s="122">
        <f>P63*0.2</f>
        <v/>
      </c>
      <c r="S63" s="122">
        <f>Q63*0.8</f>
        <v/>
      </c>
      <c r="T63" s="133" t="n">
        <v>0.65</v>
      </c>
    </row>
    <row r="64" hidden="1" s="2">
      <c r="A64" s="175" t="inlineStr">
        <is>
          <t>осень</t>
        </is>
      </c>
      <c r="B64" s="176" t="inlineStr">
        <is>
          <t>Основы автоматизации технологических процессов</t>
        </is>
      </c>
      <c r="C64" s="176" t="inlineStr">
        <is>
          <t>Зачет с оценкой</t>
        </is>
      </c>
      <c r="D64" s="176" t="inlineStr">
        <is>
          <t>Т11О-305Б-21</t>
        </is>
      </c>
      <c r="E64" s="177" t="n">
        <v>5</v>
      </c>
      <c r="F64" s="176" t="inlineStr">
        <is>
          <t>17358</t>
        </is>
      </c>
      <c r="G64" s="178" t="n"/>
      <c r="H64" s="176" t="inlineStr">
        <is>
          <t>81720</t>
        </is>
      </c>
      <c r="I64" s="176" t="inlineStr">
        <is>
          <t>Жаров Максим Владимирович</t>
        </is>
      </c>
      <c r="J64" s="176" t="n"/>
      <c r="K64" s="176" t="inlineStr">
        <is>
          <t>Нет</t>
        </is>
      </c>
      <c r="L64" s="176" t="n"/>
      <c r="M64" s="176" t="n"/>
      <c r="N64" s="179">
        <f>SUMIFS($E$2:$E$896,$A$2:$A$896,"осень",$I$2:$I$896,I64)</f>
        <v/>
      </c>
      <c r="O64" s="179">
        <f>SUMIFS($E$2:$E$896,$A$2:$A$896,"весна",$I$2:$I$896,I64)</f>
        <v/>
      </c>
      <c r="P64" s="180">
        <f>N64+O64</f>
        <v/>
      </c>
      <c r="Q64" s="181">
        <f>P64/$Q$1</f>
        <v/>
      </c>
      <c r="R64" s="122">
        <f>P64*0.2</f>
        <v/>
      </c>
      <c r="S64" s="122">
        <f>Q64*0.8</f>
        <v/>
      </c>
      <c r="T64" s="133" t="n">
        <v>0.65</v>
      </c>
    </row>
    <row r="65" hidden="1" s="2">
      <c r="A65" s="175" t="inlineStr">
        <is>
          <t>осень</t>
        </is>
      </c>
      <c r="B65" s="176" t="inlineStr">
        <is>
          <t>Основы автоматизации технологических процессов</t>
        </is>
      </c>
      <c r="C65" s="176" t="inlineStr">
        <is>
          <t>ПЗ</t>
        </is>
      </c>
      <c r="D65" s="176" t="inlineStr">
        <is>
          <t>Т11О-301Б-21</t>
        </is>
      </c>
      <c r="E65" s="177" t="n">
        <v>8</v>
      </c>
      <c r="F65" s="176" t="inlineStr">
        <is>
          <t>17358</t>
        </is>
      </c>
      <c r="G65" s="177" t="n">
        <v>8</v>
      </c>
      <c r="H65" s="176" t="inlineStr">
        <is>
          <t>81720</t>
        </is>
      </c>
      <c r="I65" s="176" t="inlineStr">
        <is>
          <t>Палтиевич Андрей Романович</t>
        </is>
      </c>
      <c r="J65" s="176" t="n"/>
      <c r="K65" s="176" t="inlineStr">
        <is>
          <t>Нет</t>
        </is>
      </c>
      <c r="L65" s="176" t="n"/>
      <c r="M65" s="176" t="n"/>
      <c r="N65" s="179">
        <f>SUMIFS($E$2:$E$896,$A$2:$A$896,"осень",$I$2:$I$896,I65)</f>
        <v/>
      </c>
      <c r="O65" s="179">
        <f>SUMIFS($E$2:$E$896,$A$2:$A$896,"весна",$I$2:$I$896,I65)</f>
        <v/>
      </c>
      <c r="P65" s="180">
        <f>N65+O65</f>
        <v/>
      </c>
      <c r="Q65" s="181">
        <f>P65/$Q$1</f>
        <v/>
      </c>
      <c r="R65" s="122">
        <f>P65*0.2</f>
        <v/>
      </c>
      <c r="S65" s="122">
        <f>Q65*0.8</f>
        <v/>
      </c>
      <c r="T65" s="133" t="n">
        <v>0.65</v>
      </c>
    </row>
    <row r="66" hidden="1" s="2">
      <c r="A66" s="175" t="inlineStr">
        <is>
          <t>осень</t>
        </is>
      </c>
      <c r="B66" s="176" t="inlineStr">
        <is>
          <t>Основы автоматизации технологических процессов</t>
        </is>
      </c>
      <c r="C66" s="176" t="inlineStr">
        <is>
          <t>ПЗ</t>
        </is>
      </c>
      <c r="D66" s="176" t="inlineStr">
        <is>
          <t>Т11О-303Б-21</t>
        </is>
      </c>
      <c r="E66" s="177" t="n">
        <v>8</v>
      </c>
      <c r="F66" s="176" t="inlineStr">
        <is>
          <t>17358</t>
        </is>
      </c>
      <c r="G66" s="177" t="n">
        <v>8</v>
      </c>
      <c r="H66" s="176" t="inlineStr">
        <is>
          <t>81722</t>
        </is>
      </c>
      <c r="I66" s="176" t="inlineStr">
        <is>
          <t>Шленский Алексей Геннадьевич</t>
        </is>
      </c>
      <c r="J66" s="176" t="n"/>
      <c r="K66" s="176" t="inlineStr">
        <is>
          <t>Нет</t>
        </is>
      </c>
      <c r="L66" s="176" t="n"/>
      <c r="M66" s="176" t="n"/>
      <c r="N66" s="179">
        <f>SUMIFS($E$2:$E$896,$A$2:$A$896,"осень",$I$2:$I$896,I66)</f>
        <v/>
      </c>
      <c r="O66" s="179">
        <f>SUMIFS($E$2:$E$896,$A$2:$A$896,"весна",$I$2:$I$896,I66)</f>
        <v/>
      </c>
      <c r="P66" s="180">
        <f>N66+O66</f>
        <v/>
      </c>
      <c r="Q66" s="181">
        <f>P66/$Q$1</f>
        <v/>
      </c>
      <c r="R66" s="122">
        <f>P66*0.2</f>
        <v/>
      </c>
      <c r="S66" s="122">
        <f>Q66*0.8</f>
        <v/>
      </c>
      <c r="T66" s="133" t="n">
        <v>0.7</v>
      </c>
    </row>
    <row r="67" hidden="1" s="2">
      <c r="A67" s="175" t="inlineStr">
        <is>
          <t>осень</t>
        </is>
      </c>
      <c r="B67" s="176" t="inlineStr">
        <is>
          <t>Основы автоматизации технологических процессов</t>
        </is>
      </c>
      <c r="C67" s="176" t="inlineStr">
        <is>
          <t>ПЗ</t>
        </is>
      </c>
      <c r="D67" s="176" t="inlineStr">
        <is>
          <t>Т11О-304Б-21</t>
        </is>
      </c>
      <c r="E67" s="177" t="n">
        <v>8</v>
      </c>
      <c r="F67" s="176" t="inlineStr">
        <is>
          <t>17358</t>
        </is>
      </c>
      <c r="G67" s="177" t="n">
        <v>8</v>
      </c>
      <c r="H67" s="176" t="inlineStr">
        <is>
          <t>81729</t>
        </is>
      </c>
      <c r="I67" s="176" t="inlineStr">
        <is>
          <t>Соколов Алексей Викторович</t>
        </is>
      </c>
      <c r="J67" s="176" t="n"/>
      <c r="K67" s="176" t="inlineStr">
        <is>
          <t>Нет</t>
        </is>
      </c>
      <c r="L67" s="176" t="n"/>
      <c r="M67" s="176" t="n"/>
      <c r="N67" s="179">
        <f>SUMIFS($E$2:$E$896,$A$2:$A$896,"осень",$I$2:$I$896,I67)</f>
        <v/>
      </c>
      <c r="O67" s="179">
        <f>SUMIFS($E$2:$E$896,$A$2:$A$896,"весна",$I$2:$I$896,I67)</f>
        <v/>
      </c>
      <c r="P67" s="180">
        <f>N67+O67</f>
        <v/>
      </c>
      <c r="Q67" s="181">
        <f>P67/$Q$1</f>
        <v/>
      </c>
      <c r="R67" s="122">
        <f>P67*0.2</f>
        <v/>
      </c>
      <c r="S67" s="122">
        <f>Q67*0.8</f>
        <v/>
      </c>
      <c r="T67" s="133" t="n">
        <v>0.55</v>
      </c>
    </row>
    <row r="68" hidden="1" s="2">
      <c r="A68" s="175" t="inlineStr">
        <is>
          <t>осень</t>
        </is>
      </c>
      <c r="B68" s="176" t="inlineStr">
        <is>
          <t>Основы автоматизации технологических процессов</t>
        </is>
      </c>
      <c r="C68" s="176" t="inlineStr">
        <is>
          <t>ПЗ</t>
        </is>
      </c>
      <c r="D68" s="176" t="inlineStr">
        <is>
          <t>Т11О-305Б-21</t>
        </is>
      </c>
      <c r="E68" s="177" t="n">
        <v>8</v>
      </c>
      <c r="F68" s="176" t="inlineStr">
        <is>
          <t>17358</t>
        </is>
      </c>
      <c r="G68" s="177" t="n">
        <v>8</v>
      </c>
      <c r="H68" s="176" t="inlineStr">
        <is>
          <t>81720</t>
        </is>
      </c>
      <c r="I68" s="176" t="inlineStr">
        <is>
          <t>Палтиевич Андрей Романович</t>
        </is>
      </c>
      <c r="J68" s="176" t="n"/>
      <c r="K68" s="176" t="inlineStr">
        <is>
          <t>Нет</t>
        </is>
      </c>
      <c r="L68" s="176" t="n"/>
      <c r="M68" s="176" t="n"/>
      <c r="N68" s="179">
        <f>SUMIFS($E$2:$E$896,$A$2:$A$896,"осень",$I$2:$I$896,I68)</f>
        <v/>
      </c>
      <c r="O68" s="179">
        <f>SUMIFS($E$2:$E$896,$A$2:$A$896,"весна",$I$2:$I$896,I68)</f>
        <v/>
      </c>
      <c r="P68" s="180">
        <f>N68+O68</f>
        <v/>
      </c>
      <c r="Q68" s="181">
        <f>P68/$Q$1</f>
        <v/>
      </c>
      <c r="R68" s="122">
        <f>P68*0.2</f>
        <v/>
      </c>
      <c r="S68" s="122">
        <f>Q68*0.8</f>
        <v/>
      </c>
      <c r="T68" s="133" t="n">
        <v>0.65</v>
      </c>
    </row>
    <row r="69" hidden="1" s="2">
      <c r="A69" s="175" t="inlineStr">
        <is>
          <t>осень</t>
        </is>
      </c>
      <c r="B69" s="176" t="inlineStr">
        <is>
          <t>Основы автоматизации технологических процессов</t>
        </is>
      </c>
      <c r="C69" s="176" t="inlineStr">
        <is>
          <t>ЛР</t>
        </is>
      </c>
      <c r="D69" s="176" t="inlineStr">
        <is>
          <t>Т11О-301Б-21</t>
        </is>
      </c>
      <c r="E69" s="177" t="n">
        <v>24</v>
      </c>
      <c r="F69" s="176" t="inlineStr">
        <is>
          <t>17358</t>
        </is>
      </c>
      <c r="G69" s="177" t="n">
        <v>24</v>
      </c>
      <c r="H69" s="176" t="inlineStr">
        <is>
          <t>81720</t>
        </is>
      </c>
      <c r="I69" s="176" t="inlineStr">
        <is>
          <t>Палтиевич Андрей Романович</t>
        </is>
      </c>
      <c r="J69" s="176" t="n"/>
      <c r="K69" s="176" t="inlineStr">
        <is>
          <t>Нет</t>
        </is>
      </c>
      <c r="L69" s="176" t="n"/>
      <c r="M69" s="176" t="n"/>
      <c r="N69" s="179">
        <f>SUMIFS($E$2:$E$896,$A$2:$A$896,"осень",$I$2:$I$896,I69)</f>
        <v/>
      </c>
      <c r="O69" s="179">
        <f>SUMIFS($E$2:$E$896,$A$2:$A$896,"весна",$I$2:$I$896,I69)</f>
        <v/>
      </c>
      <c r="P69" s="180">
        <f>N69+O69</f>
        <v/>
      </c>
      <c r="Q69" s="181">
        <f>P69/$Q$1</f>
        <v/>
      </c>
      <c r="R69" s="122">
        <f>P69*0.2</f>
        <v/>
      </c>
      <c r="S69" s="122">
        <f>Q69*0.8</f>
        <v/>
      </c>
      <c r="T69" s="133" t="n">
        <v>0.65</v>
      </c>
    </row>
    <row r="70" hidden="1" s="2">
      <c r="A70" s="175" t="inlineStr">
        <is>
          <t>осень</t>
        </is>
      </c>
      <c r="B70" s="176" t="inlineStr">
        <is>
          <t>Основы автоматизации технологических процессов</t>
        </is>
      </c>
      <c r="C70" s="176" t="inlineStr">
        <is>
          <t>ЛР</t>
        </is>
      </c>
      <c r="D70" s="176" t="inlineStr">
        <is>
          <t>Т11О-303Б-21</t>
        </is>
      </c>
      <c r="E70" s="177" t="n">
        <v>48</v>
      </c>
      <c r="F70" s="176" t="inlineStr">
        <is>
          <t>17358</t>
        </is>
      </c>
      <c r="G70" s="177" t="n">
        <v>24</v>
      </c>
      <c r="H70" s="176" t="inlineStr">
        <is>
          <t>81722</t>
        </is>
      </c>
      <c r="I70" s="176" t="inlineStr">
        <is>
          <t>Шленский Алексей Геннадьевич</t>
        </is>
      </c>
      <c r="J70" s="176" t="n"/>
      <c r="K70" s="176" t="inlineStr">
        <is>
          <t>Нет</t>
        </is>
      </c>
      <c r="L70" s="176" t="n"/>
      <c r="M70" s="176" t="n"/>
      <c r="N70" s="179">
        <f>SUMIFS($E$2:$E$896,$A$2:$A$896,"осень",$I$2:$I$896,I70)</f>
        <v/>
      </c>
      <c r="O70" s="179">
        <f>SUMIFS($E$2:$E$896,$A$2:$A$896,"весна",$I$2:$I$896,I70)</f>
        <v/>
      </c>
      <c r="P70" s="180">
        <f>N70+O70</f>
        <v/>
      </c>
      <c r="Q70" s="181">
        <f>P70/$Q$1</f>
        <v/>
      </c>
      <c r="R70" s="122">
        <f>P70*0.2</f>
        <v/>
      </c>
      <c r="S70" s="122">
        <f>Q70*0.8</f>
        <v/>
      </c>
      <c r="T70" s="133" t="n">
        <v>0.7</v>
      </c>
    </row>
    <row r="71" hidden="1" s="2">
      <c r="A71" s="175" t="inlineStr">
        <is>
          <t>осень</t>
        </is>
      </c>
      <c r="B71" s="176" t="inlineStr">
        <is>
          <t>Основы автоматизации технологических процессов</t>
        </is>
      </c>
      <c r="C71" s="176" t="inlineStr">
        <is>
          <t>ЛР</t>
        </is>
      </c>
      <c r="D71" s="176" t="inlineStr">
        <is>
          <t>Т11О-304Б-21</t>
        </is>
      </c>
      <c r="E71" s="177" t="n">
        <v>24</v>
      </c>
      <c r="F71" s="176" t="inlineStr">
        <is>
          <t>17358</t>
        </is>
      </c>
      <c r="G71" s="177" t="n">
        <v>24</v>
      </c>
      <c r="H71" s="176" t="inlineStr">
        <is>
          <t>81729</t>
        </is>
      </c>
      <c r="I71" s="176" t="inlineStr">
        <is>
          <t>Соколов Алексей Викторович</t>
        </is>
      </c>
      <c r="J71" s="176" t="n"/>
      <c r="K71" s="176" t="inlineStr">
        <is>
          <t>Нет</t>
        </is>
      </c>
      <c r="L71" s="176" t="n"/>
      <c r="M71" s="176" t="n"/>
      <c r="N71" s="179">
        <f>SUMIFS($E$2:$E$896,$A$2:$A$896,"осень",$I$2:$I$896,I71)</f>
        <v/>
      </c>
      <c r="O71" s="179">
        <f>SUMIFS($E$2:$E$896,$A$2:$A$896,"весна",$I$2:$I$896,I71)</f>
        <v/>
      </c>
      <c r="P71" s="180">
        <f>N71+O71</f>
        <v/>
      </c>
      <c r="Q71" s="181">
        <f>P71/$Q$1</f>
        <v/>
      </c>
      <c r="R71" s="122">
        <f>P71*0.2</f>
        <v/>
      </c>
      <c r="S71" s="122">
        <f>Q71*0.8</f>
        <v/>
      </c>
      <c r="T71" s="133" t="n">
        <v>0.55</v>
      </c>
    </row>
    <row r="72" hidden="1" s="2">
      <c r="A72" s="175" t="inlineStr">
        <is>
          <t>осень</t>
        </is>
      </c>
      <c r="B72" s="176" t="inlineStr">
        <is>
          <t>Основы автоматизации технологических процессов</t>
        </is>
      </c>
      <c r="C72" s="176" t="inlineStr">
        <is>
          <t>ЛР</t>
        </is>
      </c>
      <c r="D72" s="176" t="inlineStr">
        <is>
          <t>Т11О-305Б-21</t>
        </is>
      </c>
      <c r="E72" s="177" t="n">
        <v>48</v>
      </c>
      <c r="F72" s="176" t="inlineStr">
        <is>
          <t>17358</t>
        </is>
      </c>
      <c r="G72" s="177" t="n">
        <v>24</v>
      </c>
      <c r="H72" s="176" t="inlineStr">
        <is>
          <t>81720</t>
        </is>
      </c>
      <c r="I72" s="176" t="inlineStr">
        <is>
          <t>Палтиевич Андрей Романович</t>
        </is>
      </c>
      <c r="J72" s="176" t="n"/>
      <c r="K72" s="176" t="inlineStr">
        <is>
          <t>Нет</t>
        </is>
      </c>
      <c r="L72" s="176" t="n"/>
      <c r="M72" s="176" t="n"/>
      <c r="N72" s="179">
        <f>SUMIFS($E$2:$E$896,$A$2:$A$896,"осень",$I$2:$I$896,I72)</f>
        <v/>
      </c>
      <c r="O72" s="179">
        <f>SUMIFS($E$2:$E$896,$A$2:$A$896,"весна",$I$2:$I$896,I72)</f>
        <v/>
      </c>
      <c r="P72" s="180">
        <f>N72+O72</f>
        <v/>
      </c>
      <c r="Q72" s="181">
        <f>P72/$Q$1</f>
        <v/>
      </c>
      <c r="R72" s="122">
        <f>P72*0.2</f>
        <v/>
      </c>
      <c r="S72" s="122">
        <f>Q72*0.8</f>
        <v/>
      </c>
      <c r="T72" s="133" t="n">
        <v>0.65</v>
      </c>
    </row>
    <row r="73" hidden="1" s="2">
      <c r="A73" s="175" t="inlineStr">
        <is>
          <t>осень</t>
        </is>
      </c>
      <c r="B73" s="176" t="inlineStr">
        <is>
          <t>Основы автоматизации технологических процессов</t>
        </is>
      </c>
      <c r="C73" s="176" t="inlineStr">
        <is>
          <t>Экзамен</t>
        </is>
      </c>
      <c r="D73" s="176" t="inlineStr">
        <is>
          <t>Т11О-304Б-21</t>
        </is>
      </c>
      <c r="E73" s="177" t="n">
        <v>7</v>
      </c>
      <c r="F73" s="176" t="inlineStr">
        <is>
          <t>17358</t>
        </is>
      </c>
      <c r="G73" s="178" t="n"/>
      <c r="H73" s="176" t="inlineStr">
        <is>
          <t>81720</t>
        </is>
      </c>
      <c r="I73" s="176" t="inlineStr">
        <is>
          <t>Палтиевич Андрей Романович</t>
        </is>
      </c>
      <c r="J73" s="176" t="n"/>
      <c r="K73" s="176" t="inlineStr">
        <is>
          <t>Нет</t>
        </is>
      </c>
      <c r="L73" s="176" t="n"/>
      <c r="M73" s="176" t="n"/>
      <c r="N73" s="179">
        <f>SUMIFS($E$2:$E$896,$A$2:$A$896,"осень",$I$2:$I$896,I73)</f>
        <v/>
      </c>
      <c r="O73" s="179">
        <f>SUMIFS($E$2:$E$896,$A$2:$A$896,"весна",$I$2:$I$896,I73)</f>
        <v/>
      </c>
      <c r="P73" s="180">
        <f>N73+O73</f>
        <v/>
      </c>
      <c r="Q73" s="181">
        <f>P73/$Q$1</f>
        <v/>
      </c>
      <c r="R73" s="122">
        <f>P73*0.2</f>
        <v/>
      </c>
      <c r="S73" s="122">
        <f>Q73*0.8</f>
        <v/>
      </c>
      <c r="T73" s="133" t="n">
        <v>0.65</v>
      </c>
    </row>
    <row r="74" hidden="1" s="2">
      <c r="A74" s="175" t="inlineStr">
        <is>
          <t>осень</t>
        </is>
      </c>
      <c r="B74" s="176" t="inlineStr">
        <is>
          <t>Основы автоматизации технологических процессов</t>
        </is>
      </c>
      <c r="C74" s="176" t="inlineStr">
        <is>
          <t>Консультация</t>
        </is>
      </c>
      <c r="D74" s="176" t="inlineStr">
        <is>
          <t>Т11О-301Б-21</t>
        </is>
      </c>
      <c r="E74" s="177" t="n">
        <v>1</v>
      </c>
      <c r="F74" s="176" t="inlineStr">
        <is>
          <t>17358</t>
        </is>
      </c>
      <c r="G74" s="178" t="n"/>
      <c r="H74" s="176" t="inlineStr">
        <is>
          <t>81720</t>
        </is>
      </c>
      <c r="I74" s="176" t="inlineStr">
        <is>
          <t>Палтиевич Андрей Романович</t>
        </is>
      </c>
      <c r="J74" s="176" t="n"/>
      <c r="K74" s="176" t="inlineStr">
        <is>
          <t>Нет</t>
        </is>
      </c>
      <c r="L74" s="176" t="n"/>
      <c r="M74" s="176" t="n"/>
      <c r="N74" s="179">
        <f>SUMIFS($E$2:$E$896,$A$2:$A$896,"осень",$I$2:$I$896,I74)</f>
        <v/>
      </c>
      <c r="O74" s="179">
        <f>SUMIFS($E$2:$E$896,$A$2:$A$896,"весна",$I$2:$I$896,I74)</f>
        <v/>
      </c>
      <c r="P74" s="180">
        <f>N74+O74</f>
        <v/>
      </c>
      <c r="Q74" s="181">
        <f>P74/$Q$1</f>
        <v/>
      </c>
      <c r="R74" s="122">
        <f>P74*0.2</f>
        <v/>
      </c>
      <c r="S74" s="122">
        <f>Q74*0.8</f>
        <v/>
      </c>
      <c r="T74" s="133" t="n">
        <v>0.65</v>
      </c>
    </row>
    <row r="75" hidden="1" s="2">
      <c r="A75" s="175" t="inlineStr">
        <is>
          <t>осень</t>
        </is>
      </c>
      <c r="B75" s="176" t="inlineStr">
        <is>
          <t>Основы автоматизации технологических процессов</t>
        </is>
      </c>
      <c r="C75" s="176" t="inlineStr">
        <is>
          <t>Консультация</t>
        </is>
      </c>
      <c r="D75" s="176" t="inlineStr">
        <is>
          <t>Т11О-303Б-21</t>
        </is>
      </c>
      <c r="E75" s="177" t="n">
        <v>1</v>
      </c>
      <c r="F75" s="176" t="inlineStr">
        <is>
          <t>17358</t>
        </is>
      </c>
      <c r="G75" s="178" t="n"/>
      <c r="H75" s="176" t="inlineStr">
        <is>
          <t>81720</t>
        </is>
      </c>
      <c r="I75" s="176" t="inlineStr">
        <is>
          <t>Палтиевич Андрей Романович</t>
        </is>
      </c>
      <c r="J75" s="176" t="n"/>
      <c r="K75" s="176" t="inlineStr">
        <is>
          <t>Нет</t>
        </is>
      </c>
      <c r="L75" s="176" t="n"/>
      <c r="M75" s="176" t="n"/>
      <c r="N75" s="179">
        <f>SUMIFS($E$2:$E$896,$A$2:$A$896,"осень",$I$2:$I$896,I75)</f>
        <v/>
      </c>
      <c r="O75" s="179">
        <f>SUMIFS($E$2:$E$896,$A$2:$A$896,"весна",$I$2:$I$896,I75)</f>
        <v/>
      </c>
      <c r="P75" s="180">
        <f>N75+O75</f>
        <v/>
      </c>
      <c r="Q75" s="181">
        <f>P75/$Q$1</f>
        <v/>
      </c>
      <c r="R75" s="122">
        <f>P75*0.2</f>
        <v/>
      </c>
      <c r="S75" s="122">
        <f>Q75*0.8</f>
        <v/>
      </c>
      <c r="T75" s="133" t="n">
        <v>0.65</v>
      </c>
    </row>
    <row r="76" hidden="1" s="2">
      <c r="A76" s="175" t="inlineStr">
        <is>
          <t>осень</t>
        </is>
      </c>
      <c r="B76" s="176" t="inlineStr">
        <is>
          <t>Основы автоматизации технологических процессов</t>
        </is>
      </c>
      <c r="C76" s="176" t="inlineStr">
        <is>
          <t>Консультация</t>
        </is>
      </c>
      <c r="D76" s="176" t="inlineStr">
        <is>
          <t>Т11О-304Б-21</t>
        </is>
      </c>
      <c r="E76" s="177" t="n">
        <v>3</v>
      </c>
      <c r="F76" s="176" t="inlineStr">
        <is>
          <t>17358</t>
        </is>
      </c>
      <c r="G76" s="178" t="n"/>
      <c r="H76" s="176" t="inlineStr">
        <is>
          <t>81720</t>
        </is>
      </c>
      <c r="I76" s="176" t="inlineStr">
        <is>
          <t>Палтиевич Андрей Романович</t>
        </is>
      </c>
      <c r="J76" s="176" t="n"/>
      <c r="K76" s="176" t="inlineStr">
        <is>
          <t>Нет</t>
        </is>
      </c>
      <c r="L76" s="176" t="n"/>
      <c r="M76" s="176" t="n"/>
      <c r="N76" s="179">
        <f>SUMIFS($E$2:$E$896,$A$2:$A$896,"осень",$I$2:$I$896,I76)</f>
        <v/>
      </c>
      <c r="O76" s="179">
        <f>SUMIFS($E$2:$E$896,$A$2:$A$896,"весна",$I$2:$I$896,I76)</f>
        <v/>
      </c>
      <c r="P76" s="180">
        <f>N76+O76</f>
        <v/>
      </c>
      <c r="Q76" s="181">
        <f>P76/$Q$1</f>
        <v/>
      </c>
      <c r="R76" s="122">
        <f>P76*0.2</f>
        <v/>
      </c>
      <c r="S76" s="122">
        <f>Q76*0.8</f>
        <v/>
      </c>
      <c r="T76" s="133" t="n">
        <v>0.65</v>
      </c>
    </row>
    <row r="77" hidden="1" s="2">
      <c r="A77" s="175" t="inlineStr">
        <is>
          <t>осень</t>
        </is>
      </c>
      <c r="B77" s="176" t="inlineStr">
        <is>
          <t>Основы автоматизации технологических процессов</t>
        </is>
      </c>
      <c r="C77" s="176" t="inlineStr">
        <is>
          <t>Консультация</t>
        </is>
      </c>
      <c r="D77" s="176" t="inlineStr">
        <is>
          <t>Т11О-305Б-21</t>
        </is>
      </c>
      <c r="E77" s="177" t="n">
        <v>1</v>
      </c>
      <c r="F77" s="176" t="inlineStr">
        <is>
          <t>17358</t>
        </is>
      </c>
      <c r="G77" s="178" t="n"/>
      <c r="H77" s="176" t="inlineStr">
        <is>
          <t>81720</t>
        </is>
      </c>
      <c r="I77" s="176" t="inlineStr">
        <is>
          <t>Палтиевич Андрей Романович</t>
        </is>
      </c>
      <c r="J77" s="176" t="n"/>
      <c r="K77" s="176" t="inlineStr">
        <is>
          <t>Нет</t>
        </is>
      </c>
      <c r="L77" s="176" t="n"/>
      <c r="M77" s="176" t="n"/>
      <c r="N77" s="179">
        <f>SUMIFS($E$2:$E$896,$A$2:$A$896,"осень",$I$2:$I$896,I77)</f>
        <v/>
      </c>
      <c r="O77" s="179">
        <f>SUMIFS($E$2:$E$896,$A$2:$A$896,"весна",$I$2:$I$896,I77)</f>
        <v/>
      </c>
      <c r="P77" s="180">
        <f>N77+O77</f>
        <v/>
      </c>
      <c r="Q77" s="181">
        <f>P77/$Q$1</f>
        <v/>
      </c>
      <c r="R77" s="122">
        <f>P77*0.2</f>
        <v/>
      </c>
      <c r="S77" s="122">
        <f>Q77*0.8</f>
        <v/>
      </c>
      <c r="T77" s="133" t="n">
        <v>0.65</v>
      </c>
    </row>
    <row r="78" hidden="1" s="2">
      <c r="A78" s="175" t="inlineStr">
        <is>
          <t>осень</t>
        </is>
      </c>
      <c r="B78" s="176" t="inlineStr">
        <is>
          <t>Основы математического и имитационного моделирования</t>
        </is>
      </c>
      <c r="C78" s="176" t="inlineStr">
        <is>
          <t>ЛК</t>
        </is>
      </c>
      <c r="D78" s="176" t="inlineStr">
        <is>
          <t>Т11О-302Б-21</t>
        </is>
      </c>
      <c r="E78" s="177" t="n">
        <v>16</v>
      </c>
      <c r="F78" s="176" t="inlineStr">
        <is>
          <t>14861</t>
        </is>
      </c>
      <c r="G78" s="177" t="n">
        <v>16</v>
      </c>
      <c r="H78" s="176" t="inlineStr">
        <is>
          <t>81728</t>
        </is>
      </c>
      <c r="I78" s="176" t="inlineStr">
        <is>
          <t>Галкин Виктор Иванович</t>
        </is>
      </c>
      <c r="J78" s="176" t="n"/>
      <c r="K78" s="176" t="inlineStr">
        <is>
          <t>Да</t>
        </is>
      </c>
      <c r="L78" s="176" t="n"/>
      <c r="M78" s="176" t="n"/>
      <c r="N78" s="179">
        <f>SUMIFS($E$2:$E$896,$A$2:$A$896,"осень",$I$2:$I$896,I78)</f>
        <v/>
      </c>
      <c r="O78" s="179">
        <f>SUMIFS($E$2:$E$896,$A$2:$A$896,"весна",$I$2:$I$896,I78)</f>
        <v/>
      </c>
      <c r="P78" s="180">
        <f>N78+O78</f>
        <v/>
      </c>
      <c r="Q78" s="181">
        <f>P78/$Q$1</f>
        <v/>
      </c>
      <c r="R78" s="122">
        <f>P78*0.2</f>
        <v/>
      </c>
      <c r="S78" s="122">
        <f>Q78*0.8</f>
        <v/>
      </c>
      <c r="T78" s="133" t="n">
        <v>0.75</v>
      </c>
    </row>
    <row r="79" hidden="1" s="2">
      <c r="A79" s="175" t="inlineStr">
        <is>
          <t>осень</t>
        </is>
      </c>
      <c r="B79" s="176" t="inlineStr">
        <is>
          <t>Основы математического и имитационного моделирования</t>
        </is>
      </c>
      <c r="C79" s="176" t="inlineStr">
        <is>
          <t>ПЗ</t>
        </is>
      </c>
      <c r="D79" s="176" t="inlineStr">
        <is>
          <t>Т11О-302Б-21</t>
        </is>
      </c>
      <c r="E79" s="177" t="n">
        <v>24</v>
      </c>
      <c r="F79" s="176" t="inlineStr">
        <is>
          <t>14861</t>
        </is>
      </c>
      <c r="G79" s="177" t="n">
        <v>24</v>
      </c>
      <c r="H79" s="176" t="inlineStr">
        <is>
          <t>81728</t>
        </is>
      </c>
      <c r="I79" s="176" t="inlineStr">
        <is>
          <t>Галкин Виктор Иванович</t>
        </is>
      </c>
      <c r="J79" s="176" t="n"/>
      <c r="K79" s="176" t="inlineStr">
        <is>
          <t>Да</t>
        </is>
      </c>
      <c r="L79" s="176" t="n"/>
      <c r="M79" s="176" t="n"/>
      <c r="N79" s="179">
        <f>SUMIFS($E$2:$E$896,$A$2:$A$896,"осень",$I$2:$I$896,I79)</f>
        <v/>
      </c>
      <c r="O79" s="179">
        <f>SUMIFS($E$2:$E$896,$A$2:$A$896,"весна",$I$2:$I$896,I79)</f>
        <v/>
      </c>
      <c r="P79" s="180">
        <f>N79+O79</f>
        <v/>
      </c>
      <c r="Q79" s="181">
        <f>P79/$Q$1</f>
        <v/>
      </c>
      <c r="R79" s="122">
        <f>P79*0.2</f>
        <v/>
      </c>
      <c r="S79" s="122">
        <f>Q79*0.8</f>
        <v/>
      </c>
      <c r="T79" s="133" t="n">
        <v>0.75</v>
      </c>
    </row>
    <row r="80" hidden="1" s="2">
      <c r="A80" s="175" t="inlineStr">
        <is>
          <t>осень</t>
        </is>
      </c>
      <c r="B80" s="176" t="inlineStr">
        <is>
          <t>Основы математического и имитационного моделирования</t>
        </is>
      </c>
      <c r="C80" s="176" t="inlineStr">
        <is>
          <t>Зачет</t>
        </is>
      </c>
      <c r="D80" s="176" t="inlineStr">
        <is>
          <t>Т11О-302Б-21</t>
        </is>
      </c>
      <c r="E80" s="177" t="n">
        <v>4</v>
      </c>
      <c r="F80" s="176" t="inlineStr">
        <is>
          <t>14861</t>
        </is>
      </c>
      <c r="G80" s="178" t="n"/>
      <c r="H80" s="176" t="inlineStr">
        <is>
          <t>81728</t>
        </is>
      </c>
      <c r="I80" s="176" t="inlineStr">
        <is>
          <t>Галкин Виктор Иванович</t>
        </is>
      </c>
      <c r="J80" s="176" t="n"/>
      <c r="K80" s="176" t="inlineStr">
        <is>
          <t>Да</t>
        </is>
      </c>
      <c r="L80" s="176" t="n"/>
      <c r="M80" s="176" t="n"/>
      <c r="N80" s="179">
        <f>SUMIFS($E$2:$E$896,$A$2:$A$896,"осень",$I$2:$I$896,I80)</f>
        <v/>
      </c>
      <c r="O80" s="179">
        <f>SUMIFS($E$2:$E$896,$A$2:$A$896,"весна",$I$2:$I$896,I80)</f>
        <v/>
      </c>
      <c r="P80" s="180">
        <f>N80+O80</f>
        <v/>
      </c>
      <c r="Q80" s="181">
        <f>P80/$Q$1</f>
        <v/>
      </c>
      <c r="R80" s="122">
        <f>P80*0.2</f>
        <v/>
      </c>
      <c r="S80" s="122">
        <f>Q80*0.8</f>
        <v/>
      </c>
      <c r="T80" s="133" t="n">
        <v>0.75</v>
      </c>
    </row>
    <row r="81" hidden="1" s="2">
      <c r="A81" s="175" t="inlineStr">
        <is>
          <t>осень</t>
        </is>
      </c>
      <c r="B81" s="176" t="inlineStr">
        <is>
          <t>Основы математического и имитационного моделирования</t>
        </is>
      </c>
      <c r="C81" s="176" t="inlineStr">
        <is>
          <t>Консультация</t>
        </is>
      </c>
      <c r="D81" s="176" t="inlineStr">
        <is>
          <t>Т11О-302Б-21</t>
        </is>
      </c>
      <c r="E81" s="177" t="n">
        <v>1</v>
      </c>
      <c r="F81" s="176" t="inlineStr">
        <is>
          <t>14861</t>
        </is>
      </c>
      <c r="G81" s="178" t="n"/>
      <c r="H81" s="176" t="inlineStr">
        <is>
          <t>81728</t>
        </is>
      </c>
      <c r="I81" s="176" t="inlineStr">
        <is>
          <t>Галкин Виктор Иванович</t>
        </is>
      </c>
      <c r="J81" s="176" t="n"/>
      <c r="K81" s="176" t="inlineStr">
        <is>
          <t>Да</t>
        </is>
      </c>
      <c r="L81" s="176" t="n"/>
      <c r="M81" s="176" t="n"/>
      <c r="N81" s="179">
        <f>SUMIFS($E$2:$E$896,$A$2:$A$896,"осень",$I$2:$I$896,I81)</f>
        <v/>
      </c>
      <c r="O81" s="179">
        <f>SUMIFS($E$2:$E$896,$A$2:$A$896,"весна",$I$2:$I$896,I81)</f>
        <v/>
      </c>
      <c r="P81" s="180">
        <f>N81+O81</f>
        <v/>
      </c>
      <c r="Q81" s="181">
        <f>P81/$Q$1</f>
        <v/>
      </c>
      <c r="R81" s="122">
        <f>P81*0.2</f>
        <v/>
      </c>
      <c r="S81" s="122">
        <f>Q81*0.8</f>
        <v/>
      </c>
      <c r="T81" s="133" t="n">
        <v>0.75</v>
      </c>
    </row>
    <row r="82" hidden="1" s="2">
      <c r="A82" s="175" t="inlineStr">
        <is>
          <t>осень</t>
        </is>
      </c>
      <c r="B82" s="176" t="inlineStr">
        <is>
          <t>Диагностика и надежность автоматизированных систем</t>
        </is>
      </c>
      <c r="C82" s="176" t="inlineStr">
        <is>
          <t>ЛК</t>
        </is>
      </c>
      <c r="D82" s="176" t="inlineStr">
        <is>
          <t>Т11О-302Б-21</t>
        </is>
      </c>
      <c r="E82" s="177" t="n">
        <v>12</v>
      </c>
      <c r="F82" s="176" t="inlineStr">
        <is>
          <t>14861</t>
        </is>
      </c>
      <c r="G82" s="177" t="n">
        <v>12</v>
      </c>
      <c r="H82" s="176" t="inlineStr">
        <is>
          <t>81724</t>
        </is>
      </c>
      <c r="I82" s="176" t="inlineStr">
        <is>
          <t>Галкин Евгений Владимирович</t>
        </is>
      </c>
      <c r="J82" s="176" t="n"/>
      <c r="K82" s="176" t="inlineStr">
        <is>
          <t>Нет</t>
        </is>
      </c>
      <c r="L82" s="176" t="n"/>
      <c r="M82" s="176" t="n"/>
      <c r="N82" s="179">
        <f>SUMIFS($E$2:$E$896,$A$2:$A$896,"осень",$I$2:$I$896,I82)</f>
        <v/>
      </c>
      <c r="O82" s="179">
        <f>SUMIFS($E$2:$E$896,$A$2:$A$896,"весна",$I$2:$I$896,I82)</f>
        <v/>
      </c>
      <c r="P82" s="180">
        <f>N82+O82</f>
        <v/>
      </c>
      <c r="Q82" s="181">
        <f>P82/$Q$1</f>
        <v/>
      </c>
      <c r="R82" s="122">
        <f>P82*0.2</f>
        <v/>
      </c>
      <c r="S82" s="122">
        <f>Q82*0.8</f>
        <v/>
      </c>
      <c r="T82" s="133" t="n">
        <v>0.8</v>
      </c>
    </row>
    <row r="83" hidden="1" s="2">
      <c r="A83" s="175" t="inlineStr">
        <is>
          <t>осень</t>
        </is>
      </c>
      <c r="B83" s="176" t="inlineStr">
        <is>
          <t>Диагностика и надежность автоматизированных систем</t>
        </is>
      </c>
      <c r="C83" s="176" t="inlineStr">
        <is>
          <t>ПЗ</t>
        </is>
      </c>
      <c r="D83" s="176" t="inlineStr">
        <is>
          <t>Т11О-302Б-21</t>
        </is>
      </c>
      <c r="E83" s="177" t="n">
        <v>14</v>
      </c>
      <c r="F83" s="176" t="inlineStr">
        <is>
          <t>14861</t>
        </is>
      </c>
      <c r="G83" s="177" t="n">
        <v>14</v>
      </c>
      <c r="H83" s="176" t="inlineStr">
        <is>
          <t>81724</t>
        </is>
      </c>
      <c r="I83" s="176" t="inlineStr">
        <is>
          <t>Галкин Евгений Владимирович</t>
        </is>
      </c>
      <c r="J83" s="176" t="n"/>
      <c r="K83" s="176" t="inlineStr">
        <is>
          <t>Нет</t>
        </is>
      </c>
      <c r="L83" s="176" t="n"/>
      <c r="M83" s="176" t="n"/>
      <c r="N83" s="179">
        <f>SUMIFS($E$2:$E$896,$A$2:$A$896,"осень",$I$2:$I$896,I83)</f>
        <v/>
      </c>
      <c r="O83" s="179">
        <f>SUMIFS($E$2:$E$896,$A$2:$A$896,"весна",$I$2:$I$896,I83)</f>
        <v/>
      </c>
      <c r="P83" s="180">
        <f>N83+O83</f>
        <v/>
      </c>
      <c r="Q83" s="181">
        <f>P83/$Q$1</f>
        <v/>
      </c>
      <c r="R83" s="122">
        <f>P83*0.2</f>
        <v/>
      </c>
      <c r="S83" s="122">
        <f>Q83*0.8</f>
        <v/>
      </c>
      <c r="T83" s="133" t="n">
        <v>0.8</v>
      </c>
    </row>
    <row r="84" hidden="1" s="2">
      <c r="A84" s="175" t="inlineStr">
        <is>
          <t>осень</t>
        </is>
      </c>
      <c r="B84" s="176" t="inlineStr">
        <is>
          <t>Диагностика и надежность автоматизированных систем</t>
        </is>
      </c>
      <c r="C84" s="176" t="inlineStr">
        <is>
          <t>ЛР</t>
        </is>
      </c>
      <c r="D84" s="176" t="inlineStr">
        <is>
          <t>Т11О-302Б-21</t>
        </is>
      </c>
      <c r="E84" s="177" t="n">
        <v>16</v>
      </c>
      <c r="F84" s="176" t="inlineStr">
        <is>
          <t>14861</t>
        </is>
      </c>
      <c r="G84" s="177" t="n">
        <v>8</v>
      </c>
      <c r="H84" s="176" t="inlineStr">
        <is>
          <t>81724</t>
        </is>
      </c>
      <c r="I84" s="176" t="inlineStr">
        <is>
          <t>Галкин Евгений Владимирович</t>
        </is>
      </c>
      <c r="J84" s="176" t="n"/>
      <c r="K84" s="176" t="inlineStr">
        <is>
          <t>Нет</t>
        </is>
      </c>
      <c r="L84" s="176" t="n"/>
      <c r="M84" s="176" t="n"/>
      <c r="N84" s="179">
        <f>SUMIFS($E$2:$E$896,$A$2:$A$896,"осень",$I$2:$I$896,I84)</f>
        <v/>
      </c>
      <c r="O84" s="179">
        <f>SUMIFS($E$2:$E$896,$A$2:$A$896,"весна",$I$2:$I$896,I84)</f>
        <v/>
      </c>
      <c r="P84" s="180">
        <f>N84+O84</f>
        <v/>
      </c>
      <c r="Q84" s="181">
        <f>P84/$Q$1</f>
        <v/>
      </c>
      <c r="R84" s="122">
        <f>P84*0.2</f>
        <v/>
      </c>
      <c r="S84" s="122">
        <f>Q84*0.8</f>
        <v/>
      </c>
      <c r="T84" s="133" t="n">
        <v>0.8</v>
      </c>
    </row>
    <row r="85" hidden="1" s="2">
      <c r="A85" s="175" t="inlineStr">
        <is>
          <t>осень</t>
        </is>
      </c>
      <c r="B85" s="176" t="inlineStr">
        <is>
          <t>Диагностика и надежность автоматизированных систем</t>
        </is>
      </c>
      <c r="C85" s="176" t="inlineStr">
        <is>
          <t>Зачет</t>
        </is>
      </c>
      <c r="D85" s="176" t="inlineStr">
        <is>
          <t>Т11О-302Б-21</t>
        </is>
      </c>
      <c r="E85" s="177" t="n">
        <v>4</v>
      </c>
      <c r="F85" s="176" t="inlineStr">
        <is>
          <t>14861</t>
        </is>
      </c>
      <c r="G85" s="178" t="n"/>
      <c r="H85" s="176" t="inlineStr">
        <is>
          <t>81724</t>
        </is>
      </c>
      <c r="I85" s="176" t="inlineStr">
        <is>
          <t>Галкин Евгений Владимирович</t>
        </is>
      </c>
      <c r="J85" s="176" t="n"/>
      <c r="K85" s="176" t="inlineStr">
        <is>
          <t>Нет</t>
        </is>
      </c>
      <c r="L85" s="176" t="n"/>
      <c r="M85" s="176" t="n"/>
      <c r="N85" s="179">
        <f>SUMIFS($E$2:$E$896,$A$2:$A$896,"осень",$I$2:$I$896,I85)</f>
        <v/>
      </c>
      <c r="O85" s="179">
        <f>SUMIFS($E$2:$E$896,$A$2:$A$896,"весна",$I$2:$I$896,I85)</f>
        <v/>
      </c>
      <c r="P85" s="180">
        <f>N85+O85</f>
        <v/>
      </c>
      <c r="Q85" s="181">
        <f>P85/$Q$1</f>
        <v/>
      </c>
      <c r="R85" s="122">
        <f>P85*0.2</f>
        <v/>
      </c>
      <c r="S85" s="122">
        <f>Q85*0.8</f>
        <v/>
      </c>
      <c r="T85" s="133" t="n">
        <v>0.8</v>
      </c>
    </row>
    <row r="86" hidden="1" s="2">
      <c r="A86" s="175" t="inlineStr">
        <is>
          <t>осень</t>
        </is>
      </c>
      <c r="B86" s="176" t="inlineStr">
        <is>
          <t>Диагностика и надежность автоматизированных систем</t>
        </is>
      </c>
      <c r="C86" s="176" t="inlineStr">
        <is>
          <t>Консультация</t>
        </is>
      </c>
      <c r="D86" s="176" t="inlineStr">
        <is>
          <t>Т11О-302Б-21</t>
        </is>
      </c>
      <c r="E86" s="177" t="n">
        <v>1</v>
      </c>
      <c r="F86" s="176" t="inlineStr">
        <is>
          <t>14861</t>
        </is>
      </c>
      <c r="G86" s="178" t="n"/>
      <c r="H86" s="176" t="inlineStr">
        <is>
          <t>81724</t>
        </is>
      </c>
      <c r="I86" s="176" t="inlineStr">
        <is>
          <t>Галкин Евгений Владимирович</t>
        </is>
      </c>
      <c r="J86" s="176" t="n"/>
      <c r="K86" s="176" t="inlineStr">
        <is>
          <t>Нет</t>
        </is>
      </c>
      <c r="L86" s="176" t="n"/>
      <c r="M86" s="176" t="n"/>
      <c r="N86" s="179">
        <f>SUMIFS($E$2:$E$896,$A$2:$A$896,"осень",$I$2:$I$896,I86)</f>
        <v/>
      </c>
      <c r="O86" s="179">
        <f>SUMIFS($E$2:$E$896,$A$2:$A$896,"весна",$I$2:$I$896,I86)</f>
        <v/>
      </c>
      <c r="P86" s="180">
        <f>N86+O86</f>
        <v/>
      </c>
      <c r="Q86" s="181">
        <f>P86/$Q$1</f>
        <v/>
      </c>
      <c r="R86" s="122">
        <f>P86*0.2</f>
        <v/>
      </c>
      <c r="S86" s="122">
        <f>Q86*0.8</f>
        <v/>
      </c>
      <c r="T86" s="133" t="n">
        <v>0.8</v>
      </c>
    </row>
    <row r="87" hidden="1" s="2">
      <c r="A87" s="175" t="inlineStr">
        <is>
          <t>осень</t>
        </is>
      </c>
      <c r="B87" s="176" t="inlineStr">
        <is>
          <t>CALS-технологии в производстве продукции</t>
        </is>
      </c>
      <c r="C87" s="176" t="inlineStr">
        <is>
          <t>ЛК</t>
        </is>
      </c>
      <c r="D87" s="176" t="inlineStr">
        <is>
          <t>Т11О-403Б-20</t>
        </is>
      </c>
      <c r="E87" s="177" t="n">
        <v>24</v>
      </c>
      <c r="F87" s="176" t="inlineStr">
        <is>
          <t>13288</t>
        </is>
      </c>
      <c r="G87" s="177" t="n">
        <v>24</v>
      </c>
      <c r="H87" s="176" t="inlineStr">
        <is>
          <t>81724</t>
        </is>
      </c>
      <c r="I87" s="176" t="inlineStr">
        <is>
          <t>Галкин Евгений Владимирович</t>
        </is>
      </c>
      <c r="J87" s="176" t="n"/>
      <c r="K87" s="176" t="inlineStr">
        <is>
          <t>Нет</t>
        </is>
      </c>
      <c r="L87" s="176" t="n"/>
      <c r="M87" s="176" t="n"/>
      <c r="N87" s="179">
        <f>SUMIFS($E$2:$E$896,$A$2:$A$896,"осень",$I$2:$I$896,I87)</f>
        <v/>
      </c>
      <c r="O87" s="179">
        <f>SUMIFS($E$2:$E$896,$A$2:$A$896,"весна",$I$2:$I$896,I87)</f>
        <v/>
      </c>
      <c r="P87" s="180">
        <f>N87+O87</f>
        <v/>
      </c>
      <c r="Q87" s="181">
        <f>P87/$Q$1</f>
        <v/>
      </c>
      <c r="R87" s="122">
        <f>P87*0.2</f>
        <v/>
      </c>
      <c r="S87" s="122">
        <f>Q87*0.8</f>
        <v/>
      </c>
      <c r="T87" s="133" t="n">
        <v>0.8</v>
      </c>
    </row>
    <row r="88" hidden="1" s="2">
      <c r="A88" s="175" t="inlineStr">
        <is>
          <t>осень</t>
        </is>
      </c>
      <c r="B88" s="176" t="inlineStr">
        <is>
          <t>CALS-технологии в производстве продукции</t>
        </is>
      </c>
      <c r="C88" s="176" t="inlineStr">
        <is>
          <t>ПЗ</t>
        </is>
      </c>
      <c r="D88" s="176" t="inlineStr">
        <is>
          <t>Т11О-403Б-20</t>
        </is>
      </c>
      <c r="E88" s="177" t="n">
        <v>40</v>
      </c>
      <c r="F88" s="176" t="inlineStr">
        <is>
          <t>13288</t>
        </is>
      </c>
      <c r="G88" s="177" t="n">
        <v>40</v>
      </c>
      <c r="H88" s="176" t="inlineStr">
        <is>
          <t>81724</t>
        </is>
      </c>
      <c r="I88" s="176" t="inlineStr">
        <is>
          <t>Галкин Евгений Владимирович</t>
        </is>
      </c>
      <c r="J88" s="176" t="n"/>
      <c r="K88" s="176" t="inlineStr">
        <is>
          <t>Нет</t>
        </is>
      </c>
      <c r="L88" s="176" t="n"/>
      <c r="M88" s="176" t="n"/>
      <c r="N88" s="179">
        <f>SUMIFS($E$2:$E$896,$A$2:$A$896,"осень",$I$2:$I$896,I88)</f>
        <v/>
      </c>
      <c r="O88" s="179">
        <f>SUMIFS($E$2:$E$896,$A$2:$A$896,"весна",$I$2:$I$896,I88)</f>
        <v/>
      </c>
      <c r="P88" s="180">
        <f>N88+O88</f>
        <v/>
      </c>
      <c r="Q88" s="181">
        <f>P88/$Q$1</f>
        <v/>
      </c>
      <c r="R88" s="122">
        <f>P88*0.2</f>
        <v/>
      </c>
      <c r="S88" s="122">
        <f>Q88*0.8</f>
        <v/>
      </c>
      <c r="T88" s="133" t="n">
        <v>0.8</v>
      </c>
    </row>
    <row r="89" hidden="1" s="2">
      <c r="A89" s="175" t="inlineStr">
        <is>
          <t>осень</t>
        </is>
      </c>
      <c r="B89" s="176" t="inlineStr">
        <is>
          <t>CALS-технологии в производстве продукции</t>
        </is>
      </c>
      <c r="C89" s="176" t="inlineStr">
        <is>
          <t>Экзамен</t>
        </is>
      </c>
      <c r="D89" s="176" t="inlineStr">
        <is>
          <t>Т11О-403Б-20</t>
        </is>
      </c>
      <c r="E89" s="177" t="n">
        <v>6</v>
      </c>
      <c r="F89" s="176" t="inlineStr">
        <is>
          <t>13288</t>
        </is>
      </c>
      <c r="G89" s="178" t="n"/>
      <c r="H89" s="176" t="inlineStr">
        <is>
          <t>81724</t>
        </is>
      </c>
      <c r="I89" s="176" t="inlineStr">
        <is>
          <t>Галкин Евгений Владимирович</t>
        </is>
      </c>
      <c r="J89" s="176" t="n"/>
      <c r="K89" s="176" t="inlineStr">
        <is>
          <t>Нет</t>
        </is>
      </c>
      <c r="L89" s="176" t="n"/>
      <c r="M89" s="176" t="n"/>
      <c r="N89" s="179">
        <f>SUMIFS($E$2:$E$896,$A$2:$A$896,"осень",$I$2:$I$896,I89)</f>
        <v/>
      </c>
      <c r="O89" s="179">
        <f>SUMIFS($E$2:$E$896,$A$2:$A$896,"весна",$I$2:$I$896,I89)</f>
        <v/>
      </c>
      <c r="P89" s="180">
        <f>N89+O89</f>
        <v/>
      </c>
      <c r="Q89" s="181">
        <f>P89/$Q$1</f>
        <v/>
      </c>
      <c r="R89" s="122">
        <f>P89*0.2</f>
        <v/>
      </c>
      <c r="S89" s="122">
        <f>Q89*0.8</f>
        <v/>
      </c>
      <c r="T89" s="133" t="n">
        <v>0.8</v>
      </c>
    </row>
    <row r="90" hidden="1" s="2">
      <c r="A90" s="175" t="inlineStr">
        <is>
          <t>осень</t>
        </is>
      </c>
      <c r="B90" s="176" t="inlineStr">
        <is>
          <t>CALS-технологии в производстве продукции</t>
        </is>
      </c>
      <c r="C90" s="176" t="inlineStr">
        <is>
          <t>Консультация</t>
        </is>
      </c>
      <c r="D90" s="176" t="inlineStr">
        <is>
          <t>Т11О-403Б-20</t>
        </is>
      </c>
      <c r="E90" s="177" t="n">
        <v>3</v>
      </c>
      <c r="F90" s="176" t="inlineStr">
        <is>
          <t>13288</t>
        </is>
      </c>
      <c r="G90" s="178" t="n"/>
      <c r="H90" s="176" t="inlineStr">
        <is>
          <t>81724</t>
        </is>
      </c>
      <c r="I90" s="176" t="inlineStr">
        <is>
          <t>Галкин Евгений Владимирович</t>
        </is>
      </c>
      <c r="J90" s="176" t="n"/>
      <c r="K90" s="176" t="inlineStr">
        <is>
          <t>Нет</t>
        </is>
      </c>
      <c r="L90" s="176" t="n"/>
      <c r="M90" s="176" t="n"/>
      <c r="N90" s="179">
        <f>SUMIFS($E$2:$E$896,$A$2:$A$896,"осень",$I$2:$I$896,I90)</f>
        <v/>
      </c>
      <c r="O90" s="179">
        <f>SUMIFS($E$2:$E$896,$A$2:$A$896,"весна",$I$2:$I$896,I90)</f>
        <v/>
      </c>
      <c r="P90" s="180">
        <f>N90+O90</f>
        <v/>
      </c>
      <c r="Q90" s="181">
        <f>P90/$Q$1</f>
        <v/>
      </c>
      <c r="R90" s="122">
        <f>P90*0.2</f>
        <v/>
      </c>
      <c r="S90" s="122">
        <f>Q90*0.8</f>
        <v/>
      </c>
      <c r="T90" s="133" t="n">
        <v>0.8</v>
      </c>
    </row>
    <row r="91" hidden="1" s="2">
      <c r="A91" s="175" t="inlineStr">
        <is>
          <t>осень</t>
        </is>
      </c>
      <c r="B91" s="176" t="inlineStr">
        <is>
          <t>Теория и технология композиционных материалов</t>
        </is>
      </c>
      <c r="C91" s="176" t="inlineStr">
        <is>
          <t>ЛК</t>
        </is>
      </c>
      <c r="D91" s="176" t="inlineStr">
        <is>
          <t>Т11О-101М-23</t>
        </is>
      </c>
      <c r="E91" s="177" t="n">
        <v>24</v>
      </c>
      <c r="F91" s="176" t="inlineStr">
        <is>
          <t>18008</t>
        </is>
      </c>
      <c r="G91" s="177" t="n">
        <v>24</v>
      </c>
      <c r="H91" s="176" t="inlineStr">
        <is>
          <t>81724</t>
        </is>
      </c>
      <c r="I91" s="176" t="inlineStr">
        <is>
          <t>Галкин Евгений Владимирович</t>
        </is>
      </c>
      <c r="J91" s="176" t="n"/>
      <c r="K91" s="176" t="inlineStr">
        <is>
          <t>Нет</t>
        </is>
      </c>
      <c r="L91" s="176" t="n"/>
      <c r="M91" s="176" t="n"/>
      <c r="N91" s="179">
        <f>SUMIFS($E$2:$E$896,$A$2:$A$896,"осень",$I$2:$I$896,I91)</f>
        <v/>
      </c>
      <c r="O91" s="179">
        <f>SUMIFS($E$2:$E$896,$A$2:$A$896,"весна",$I$2:$I$896,I91)</f>
        <v/>
      </c>
      <c r="P91" s="180">
        <f>N91+O91</f>
        <v/>
      </c>
      <c r="Q91" s="181">
        <f>P91/$Q$1</f>
        <v/>
      </c>
      <c r="R91" s="122">
        <f>P91*0.2</f>
        <v/>
      </c>
      <c r="S91" s="122">
        <f>Q91*0.8</f>
        <v/>
      </c>
      <c r="T91" s="133" t="n">
        <v>0.8</v>
      </c>
    </row>
    <row r="92" hidden="1" s="2">
      <c r="A92" s="175" t="inlineStr">
        <is>
          <t>осень</t>
        </is>
      </c>
      <c r="B92" s="176" t="inlineStr">
        <is>
          <t>Теория и технология композиционных материалов</t>
        </is>
      </c>
      <c r="C92" s="176" t="inlineStr">
        <is>
          <t>Зачет с оценкой</t>
        </is>
      </c>
      <c r="D92" s="176" t="inlineStr">
        <is>
          <t>Т11О-101М-23</t>
        </is>
      </c>
      <c r="E92" s="177" t="n">
        <v>4</v>
      </c>
      <c r="F92" s="176" t="inlineStr">
        <is>
          <t>18008</t>
        </is>
      </c>
      <c r="G92" s="178" t="n"/>
      <c r="H92" s="176" t="inlineStr">
        <is>
          <t>81724</t>
        </is>
      </c>
      <c r="I92" s="176" t="inlineStr">
        <is>
          <t>Галкин Евгений Владимирович</t>
        </is>
      </c>
      <c r="J92" s="176" t="n"/>
      <c r="K92" s="176" t="inlineStr">
        <is>
          <t>Нет</t>
        </is>
      </c>
      <c r="L92" s="176" t="n"/>
      <c r="M92" s="176" t="n"/>
      <c r="N92" s="179">
        <f>SUMIFS($E$2:$E$896,$A$2:$A$896,"осень",$I$2:$I$896,I92)</f>
        <v/>
      </c>
      <c r="O92" s="179">
        <f>SUMIFS($E$2:$E$896,$A$2:$A$896,"весна",$I$2:$I$896,I92)</f>
        <v/>
      </c>
      <c r="P92" s="180">
        <f>N92+O92</f>
        <v/>
      </c>
      <c r="Q92" s="181">
        <f>P92/$Q$1</f>
        <v/>
      </c>
      <c r="R92" s="122">
        <f>P92*0.2</f>
        <v/>
      </c>
      <c r="S92" s="122">
        <f>Q92*0.8</f>
        <v/>
      </c>
      <c r="T92" s="133" t="n">
        <v>0.8</v>
      </c>
    </row>
    <row r="93" hidden="1" s="2">
      <c r="A93" s="175" t="inlineStr">
        <is>
          <t>осень</t>
        </is>
      </c>
      <c r="B93" s="176" t="inlineStr">
        <is>
          <t>Теория и технология композиционных материалов</t>
        </is>
      </c>
      <c r="C93" s="176" t="inlineStr">
        <is>
          <t>ПЗ</t>
        </is>
      </c>
      <c r="D93" s="176" t="inlineStr">
        <is>
          <t>Т11О-101М-23</t>
        </is>
      </c>
      <c r="E93" s="177" t="n">
        <v>48</v>
      </c>
      <c r="F93" s="176" t="inlineStr">
        <is>
          <t>18008</t>
        </is>
      </c>
      <c r="G93" s="177" t="n">
        <v>48</v>
      </c>
      <c r="H93" s="176" t="inlineStr">
        <is>
          <t>81724</t>
        </is>
      </c>
      <c r="I93" s="176" t="inlineStr">
        <is>
          <t>Галкин Евгений Владимирович</t>
        </is>
      </c>
      <c r="J93" s="176" t="n"/>
      <c r="K93" s="176" t="inlineStr">
        <is>
          <t>Нет</t>
        </is>
      </c>
      <c r="L93" s="176" t="n"/>
      <c r="M93" s="176" t="n"/>
      <c r="N93" s="179">
        <f>SUMIFS($E$2:$E$896,$A$2:$A$896,"осень",$I$2:$I$896,I93)</f>
        <v/>
      </c>
      <c r="O93" s="179">
        <f>SUMIFS($E$2:$E$896,$A$2:$A$896,"весна",$I$2:$I$896,I93)</f>
        <v/>
      </c>
      <c r="P93" s="180">
        <f>N93+O93</f>
        <v/>
      </c>
      <c r="Q93" s="181">
        <f>P93/$Q$1</f>
        <v/>
      </c>
      <c r="R93" s="122">
        <f>P93*0.2</f>
        <v/>
      </c>
      <c r="S93" s="122">
        <f>Q93*0.8</f>
        <v/>
      </c>
      <c r="T93" s="133" t="n">
        <v>0.8</v>
      </c>
    </row>
    <row r="94" hidden="1" s="2">
      <c r="A94" s="175" t="inlineStr">
        <is>
          <t>осень</t>
        </is>
      </c>
      <c r="B94" s="176" t="inlineStr">
        <is>
          <t>Теория и технология композиционных материалов</t>
        </is>
      </c>
      <c r="C94" s="176" t="inlineStr">
        <is>
          <t>Консультация</t>
        </is>
      </c>
      <c r="D94" s="176" t="inlineStr">
        <is>
          <t>Т11О-101М-23</t>
        </is>
      </c>
      <c r="E94" s="177" t="n">
        <v>1</v>
      </c>
      <c r="F94" s="176" t="inlineStr">
        <is>
          <t>18008</t>
        </is>
      </c>
      <c r="G94" s="178" t="n"/>
      <c r="H94" s="176" t="inlineStr">
        <is>
          <t>81724</t>
        </is>
      </c>
      <c r="I94" s="176" t="inlineStr">
        <is>
          <t>Галкин Евгений Владимирович</t>
        </is>
      </c>
      <c r="J94" s="176" t="n"/>
      <c r="K94" s="176" t="inlineStr">
        <is>
          <t>Нет</t>
        </is>
      </c>
      <c r="L94" s="176" t="n"/>
      <c r="M94" s="176" t="n"/>
      <c r="N94" s="179">
        <f>SUMIFS($E$2:$E$896,$A$2:$A$896,"осень",$I$2:$I$896,I94)</f>
        <v/>
      </c>
      <c r="O94" s="179">
        <f>SUMIFS($E$2:$E$896,$A$2:$A$896,"весна",$I$2:$I$896,I94)</f>
        <v/>
      </c>
      <c r="P94" s="180">
        <f>N94+O94</f>
        <v/>
      </c>
      <c r="Q94" s="181">
        <f>P94/$Q$1</f>
        <v/>
      </c>
      <c r="R94" s="122">
        <f>P94*0.2</f>
        <v/>
      </c>
      <c r="S94" s="122">
        <f>Q94*0.8</f>
        <v/>
      </c>
      <c r="T94" s="133" t="n">
        <v>0.8</v>
      </c>
    </row>
    <row r="95" hidden="1" s="2">
      <c r="A95" s="175" t="inlineStr">
        <is>
          <t>осень</t>
        </is>
      </c>
      <c r="B95" s="176" t="inlineStr">
        <is>
          <t>Технология прокатно-прессового производства</t>
        </is>
      </c>
      <c r="C95" s="176" t="inlineStr">
        <is>
          <t>ЛК</t>
        </is>
      </c>
      <c r="D95" s="176" t="inlineStr">
        <is>
          <t>Т11О-401Б-20</t>
        </is>
      </c>
      <c r="E95" s="177" t="n">
        <v>40</v>
      </c>
      <c r="F95" s="176" t="inlineStr">
        <is>
          <t>11924</t>
        </is>
      </c>
      <c r="G95" s="177" t="n">
        <v>40</v>
      </c>
      <c r="H95" s="176" t="inlineStr">
        <is>
          <t>81722</t>
        </is>
      </c>
      <c r="I95" s="176" t="inlineStr">
        <is>
          <t>Шленский Алексей Геннадьевич</t>
        </is>
      </c>
      <c r="J95" s="176" t="n"/>
      <c r="K95" s="176" t="inlineStr">
        <is>
          <t>Нет</t>
        </is>
      </c>
      <c r="L95" s="176" t="n"/>
      <c r="M95" s="176" t="n"/>
      <c r="N95" s="179">
        <f>SUMIFS($E$2:$E$896,$A$2:$A$896,"осень",$I$2:$I$896,I95)</f>
        <v/>
      </c>
      <c r="O95" s="179">
        <f>SUMIFS($E$2:$E$896,$A$2:$A$896,"весна",$I$2:$I$896,I95)</f>
        <v/>
      </c>
      <c r="P95" s="180">
        <f>N95+O95</f>
        <v/>
      </c>
      <c r="Q95" s="181">
        <f>P95/$Q$1</f>
        <v/>
      </c>
      <c r="R95" s="122">
        <f>P95*0.2</f>
        <v/>
      </c>
      <c r="S95" s="122">
        <f>Q95*0.8</f>
        <v/>
      </c>
      <c r="T95" s="133" t="n">
        <v>0.7</v>
      </c>
    </row>
    <row r="96" hidden="1" s="2">
      <c r="A96" s="175" t="inlineStr">
        <is>
          <t>осень</t>
        </is>
      </c>
      <c r="B96" s="176" t="inlineStr">
        <is>
          <t>Технология прокатно-прессового производства</t>
        </is>
      </c>
      <c r="C96" s="176" t="inlineStr">
        <is>
          <t>ПЗ</t>
        </is>
      </c>
      <c r="D96" s="176" t="inlineStr">
        <is>
          <t>Т11О-401Б-20</t>
        </is>
      </c>
      <c r="E96" s="177" t="n">
        <v>68</v>
      </c>
      <c r="F96" s="176" t="inlineStr">
        <is>
          <t>11924</t>
        </is>
      </c>
      <c r="G96" s="177" t="n">
        <v>68</v>
      </c>
      <c r="H96" s="176" t="inlineStr">
        <is>
          <t>81722</t>
        </is>
      </c>
      <c r="I96" s="176" t="inlineStr">
        <is>
          <t>Шленский Алексей Геннадьевич</t>
        </is>
      </c>
      <c r="J96" s="176" t="n"/>
      <c r="K96" s="176" t="inlineStr">
        <is>
          <t>Нет</t>
        </is>
      </c>
      <c r="L96" s="176" t="n"/>
      <c r="M96" s="176" t="n"/>
      <c r="N96" s="179">
        <f>SUMIFS($E$2:$E$896,$A$2:$A$896,"осень",$I$2:$I$896,I96)</f>
        <v/>
      </c>
      <c r="O96" s="179">
        <f>SUMIFS($E$2:$E$896,$A$2:$A$896,"весна",$I$2:$I$896,I96)</f>
        <v/>
      </c>
      <c r="P96" s="180">
        <f>N96+O96</f>
        <v/>
      </c>
      <c r="Q96" s="181">
        <f>P96/$Q$1</f>
        <v/>
      </c>
      <c r="R96" s="122">
        <f>P96*0.2</f>
        <v/>
      </c>
      <c r="S96" s="122">
        <f>Q96*0.8</f>
        <v/>
      </c>
      <c r="T96" s="133" t="n">
        <v>0.7</v>
      </c>
    </row>
    <row r="97" hidden="1" s="2">
      <c r="A97" s="175" t="inlineStr">
        <is>
          <t>осень</t>
        </is>
      </c>
      <c r="B97" s="176" t="inlineStr">
        <is>
          <t>Технология прокатно-прессового производства</t>
        </is>
      </c>
      <c r="C97" s="176" t="inlineStr">
        <is>
          <t>Экзамен</t>
        </is>
      </c>
      <c r="D97" s="176" t="inlineStr">
        <is>
          <t>Т11О-401Б-20</t>
        </is>
      </c>
      <c r="E97" s="177" t="n">
        <v>6</v>
      </c>
      <c r="F97" s="176" t="inlineStr">
        <is>
          <t>11924</t>
        </is>
      </c>
      <c r="G97" s="178" t="n"/>
      <c r="H97" s="176" t="inlineStr">
        <is>
          <t>81722</t>
        </is>
      </c>
      <c r="I97" s="176" t="inlineStr">
        <is>
          <t>Шленский Алексей Геннадьевич</t>
        </is>
      </c>
      <c r="J97" s="176" t="n"/>
      <c r="K97" s="176" t="inlineStr">
        <is>
          <t>Нет</t>
        </is>
      </c>
      <c r="L97" s="176" t="n"/>
      <c r="M97" s="176" t="n"/>
      <c r="N97" s="179">
        <f>SUMIFS($E$2:$E$896,$A$2:$A$896,"осень",$I$2:$I$896,I97)</f>
        <v/>
      </c>
      <c r="O97" s="179">
        <f>SUMIFS($E$2:$E$896,$A$2:$A$896,"весна",$I$2:$I$896,I97)</f>
        <v/>
      </c>
      <c r="P97" s="180">
        <f>N97+O97</f>
        <v/>
      </c>
      <c r="Q97" s="181">
        <f>P97/$Q$1</f>
        <v/>
      </c>
      <c r="R97" s="122">
        <f>P97*0.2</f>
        <v/>
      </c>
      <c r="S97" s="122">
        <f>Q97*0.8</f>
        <v/>
      </c>
      <c r="T97" s="133" t="n">
        <v>0.7</v>
      </c>
    </row>
    <row r="98" hidden="1" s="2">
      <c r="A98" s="175" t="inlineStr">
        <is>
          <t>осень</t>
        </is>
      </c>
      <c r="B98" s="176" t="inlineStr">
        <is>
          <t>Технология прокатно-прессового производства</t>
        </is>
      </c>
      <c r="C98" s="176" t="inlineStr">
        <is>
          <t>Консультация</t>
        </is>
      </c>
      <c r="D98" s="176" t="inlineStr">
        <is>
          <t>Т11О-401Б-20</t>
        </is>
      </c>
      <c r="E98" s="177" t="n">
        <v>4</v>
      </c>
      <c r="F98" s="176" t="inlineStr">
        <is>
          <t>11924</t>
        </is>
      </c>
      <c r="G98" s="178" t="n"/>
      <c r="H98" s="176" t="inlineStr">
        <is>
          <t>81722</t>
        </is>
      </c>
      <c r="I98" s="176" t="inlineStr">
        <is>
          <t>Шленский Алексей Геннадьевич</t>
        </is>
      </c>
      <c r="J98" s="176" t="n"/>
      <c r="K98" s="176" t="inlineStr">
        <is>
          <t>Нет</t>
        </is>
      </c>
      <c r="L98" s="176" t="n"/>
      <c r="M98" s="176" t="n"/>
      <c r="N98" s="179">
        <f>SUMIFS($E$2:$E$896,$A$2:$A$896,"осень",$I$2:$I$896,I98)</f>
        <v/>
      </c>
      <c r="O98" s="179">
        <f>SUMIFS($E$2:$E$896,$A$2:$A$896,"весна",$I$2:$I$896,I98)</f>
        <v/>
      </c>
      <c r="P98" s="180">
        <f>N98+O98</f>
        <v/>
      </c>
      <c r="Q98" s="181">
        <f>P98/$Q$1</f>
        <v/>
      </c>
      <c r="R98" s="122">
        <f>P98*0.2</f>
        <v/>
      </c>
      <c r="S98" s="122">
        <f>Q98*0.8</f>
        <v/>
      </c>
      <c r="T98" s="133" t="n">
        <v>0.7</v>
      </c>
    </row>
    <row r="99" hidden="1" s="2">
      <c r="A99" s="175" t="inlineStr">
        <is>
          <t>осень</t>
        </is>
      </c>
      <c r="B99" s="176" t="inlineStr">
        <is>
          <t>Методы прогнозирования в управлении жизненным циклом продукции</t>
        </is>
      </c>
      <c r="C99" s="176" t="inlineStr">
        <is>
          <t>ЛК</t>
        </is>
      </c>
      <c r="D99" s="176" t="inlineStr">
        <is>
          <t>Т11О-302Б-21</t>
        </is>
      </c>
      <c r="E99" s="177" t="n">
        <v>28</v>
      </c>
      <c r="F99" s="176" t="inlineStr">
        <is>
          <t>14861</t>
        </is>
      </c>
      <c r="G99" s="177" t="n">
        <v>28</v>
      </c>
      <c r="H99" s="176" t="inlineStr">
        <is>
          <t>81724</t>
        </is>
      </c>
      <c r="I99" s="176" t="inlineStr">
        <is>
          <t>Баберцян Сергей Арамович</t>
        </is>
      </c>
      <c r="J99" s="176" t="n"/>
      <c r="K99" s="176" t="inlineStr">
        <is>
          <t>Нет</t>
        </is>
      </c>
      <c r="L99" s="176" t="n"/>
      <c r="M99" s="176" t="n"/>
      <c r="N99" s="179">
        <f>SUMIFS($E$2:$E$896,$A$2:$A$896,"осень",$I$2:$I$896,I99)</f>
        <v/>
      </c>
      <c r="O99" s="179">
        <f>SUMIFS($E$2:$E$896,$A$2:$A$896,"весна",$I$2:$I$896,I99)</f>
        <v/>
      </c>
      <c r="P99" s="180">
        <f>N99+O99</f>
        <v/>
      </c>
      <c r="Q99" s="181">
        <f>P99/$Q$1</f>
        <v/>
      </c>
      <c r="R99" s="122">
        <f>P99*0.2</f>
        <v/>
      </c>
      <c r="S99" s="122">
        <f>Q99*0.8</f>
        <v/>
      </c>
      <c r="T99" s="133" t="n">
        <v>0.8</v>
      </c>
    </row>
    <row r="100" hidden="1" s="2">
      <c r="A100" s="175" t="inlineStr">
        <is>
          <t>осень</t>
        </is>
      </c>
      <c r="B100" s="176" t="inlineStr">
        <is>
          <t>Методы прогнозирования в управлении жизненным циклом продукции</t>
        </is>
      </c>
      <c r="C100" s="176" t="inlineStr">
        <is>
          <t>КР</t>
        </is>
      </c>
      <c r="D100" s="176" t="inlineStr">
        <is>
          <t>Т11О-302Б-21</t>
        </is>
      </c>
      <c r="E100" s="177" t="n">
        <v>36</v>
      </c>
      <c r="F100" s="176" t="inlineStr">
        <is>
          <t>14861</t>
        </is>
      </c>
      <c r="G100" s="178" t="n"/>
      <c r="H100" s="176" t="inlineStr">
        <is>
          <t>81724</t>
        </is>
      </c>
      <c r="I100" s="176" t="inlineStr">
        <is>
          <t>Галкин Евгений Владимирович</t>
        </is>
      </c>
      <c r="J100" s="176" t="n"/>
      <c r="K100" s="176" t="inlineStr">
        <is>
          <t>Нет</t>
        </is>
      </c>
      <c r="L100" s="176" t="n"/>
      <c r="M100" s="176" t="n"/>
      <c r="N100" s="179">
        <f>SUMIFS($E$2:$E$896,$A$2:$A$896,"осень",$I$2:$I$896,I100)</f>
        <v/>
      </c>
      <c r="O100" s="179">
        <f>SUMIFS($E$2:$E$896,$A$2:$A$896,"весна",$I$2:$I$896,I100)</f>
        <v/>
      </c>
      <c r="P100" s="180">
        <f>N100+O100</f>
        <v/>
      </c>
      <c r="Q100" s="181">
        <f>P100/$Q$1</f>
        <v/>
      </c>
      <c r="R100" s="122">
        <f>P100*0.2</f>
        <v/>
      </c>
      <c r="S100" s="122">
        <f>Q100*0.8</f>
        <v/>
      </c>
      <c r="T100" s="133" t="n">
        <v>0.8</v>
      </c>
    </row>
    <row r="101" hidden="1" s="2">
      <c r="A101" s="175" t="inlineStr">
        <is>
          <t>осень</t>
        </is>
      </c>
      <c r="B101" s="176" t="inlineStr">
        <is>
          <t>Методы прогнозирования в управлении жизненным циклом продукции</t>
        </is>
      </c>
      <c r="C101" s="176" t="inlineStr">
        <is>
          <t>Зачет с оценкой</t>
        </is>
      </c>
      <c r="D101" s="176" t="inlineStr">
        <is>
          <t>Т11О-302Б-21</t>
        </is>
      </c>
      <c r="E101" s="177" t="n">
        <v>5</v>
      </c>
      <c r="F101" s="176" t="inlineStr">
        <is>
          <t>14861</t>
        </is>
      </c>
      <c r="G101" s="178" t="n"/>
      <c r="H101" s="176" t="inlineStr">
        <is>
          <t>81724</t>
        </is>
      </c>
      <c r="I101" s="176" t="inlineStr">
        <is>
          <t>Галкин Евгений Владимирович</t>
        </is>
      </c>
      <c r="J101" s="176" t="n"/>
      <c r="K101" s="176" t="inlineStr">
        <is>
          <t>Нет</t>
        </is>
      </c>
      <c r="L101" s="176" t="n"/>
      <c r="M101" s="176" t="n"/>
      <c r="N101" s="179">
        <f>SUMIFS($E$2:$E$896,$A$2:$A$896,"осень",$I$2:$I$896,I101)</f>
        <v/>
      </c>
      <c r="O101" s="179">
        <f>SUMIFS($E$2:$E$896,$A$2:$A$896,"весна",$I$2:$I$896,I101)</f>
        <v/>
      </c>
      <c r="P101" s="180">
        <f>N101+O101</f>
        <v/>
      </c>
      <c r="Q101" s="181">
        <f>P101/$Q$1</f>
        <v/>
      </c>
      <c r="R101" s="122">
        <f>P101*0.2</f>
        <v/>
      </c>
      <c r="S101" s="122">
        <f>Q101*0.8</f>
        <v/>
      </c>
      <c r="T101" s="133" t="n">
        <v>0.8</v>
      </c>
    </row>
    <row r="102" hidden="1" s="2">
      <c r="A102" s="175" t="inlineStr">
        <is>
          <t>осень</t>
        </is>
      </c>
      <c r="B102" s="176" t="inlineStr">
        <is>
          <t>Методы прогнозирования в управлении жизненным циклом продукции</t>
        </is>
      </c>
      <c r="C102" s="176" t="inlineStr">
        <is>
          <t>ПЗ</t>
        </is>
      </c>
      <c r="D102" s="176" t="inlineStr">
        <is>
          <t>Т11О-302Б-21</t>
        </is>
      </c>
      <c r="E102" s="177" t="n">
        <v>40</v>
      </c>
      <c r="F102" s="176" t="inlineStr">
        <is>
          <t>14861</t>
        </is>
      </c>
      <c r="G102" s="177" t="n">
        <v>40</v>
      </c>
      <c r="H102" s="176" t="inlineStr">
        <is>
          <t>81724</t>
        </is>
      </c>
      <c r="I102" s="176" t="inlineStr">
        <is>
          <t>Баберцян Сергей Арамович</t>
        </is>
      </c>
      <c r="J102" s="176" t="n"/>
      <c r="K102" s="176" t="inlineStr">
        <is>
          <t>Нет</t>
        </is>
      </c>
      <c r="L102" s="176" t="n"/>
      <c r="M102" s="176" t="n"/>
      <c r="N102" s="179">
        <f>SUMIFS($E$2:$E$896,$A$2:$A$896,"осень",$I$2:$I$896,I102)</f>
        <v/>
      </c>
      <c r="O102" s="179">
        <f>SUMIFS($E$2:$E$896,$A$2:$A$896,"весна",$I$2:$I$896,I102)</f>
        <v/>
      </c>
      <c r="P102" s="180">
        <f>N102+O102</f>
        <v/>
      </c>
      <c r="Q102" s="181">
        <f>P102/$Q$1</f>
        <v/>
      </c>
      <c r="R102" s="122">
        <f>P102*0.2</f>
        <v/>
      </c>
      <c r="S102" s="122">
        <f>Q102*0.8</f>
        <v/>
      </c>
      <c r="T102" s="133" t="n">
        <v>0.8</v>
      </c>
    </row>
    <row r="103" hidden="1" s="2">
      <c r="A103" s="175" t="inlineStr">
        <is>
          <t>осень</t>
        </is>
      </c>
      <c r="B103" s="176" t="inlineStr">
        <is>
          <t>Методы прогнозирования в управлении жизненным циклом продукции</t>
        </is>
      </c>
      <c r="C103" s="176" t="inlineStr">
        <is>
          <t>Консультация</t>
        </is>
      </c>
      <c r="D103" s="176" t="inlineStr">
        <is>
          <t>Т11О-302Б-21</t>
        </is>
      </c>
      <c r="E103" s="177" t="n">
        <v>1</v>
      </c>
      <c r="F103" s="176" t="inlineStr">
        <is>
          <t>14861</t>
        </is>
      </c>
      <c r="G103" s="178" t="n"/>
      <c r="H103" s="176" t="inlineStr">
        <is>
          <t>81724</t>
        </is>
      </c>
      <c r="I103" s="176" t="inlineStr">
        <is>
          <t>Баберцян Сергей Арамович</t>
        </is>
      </c>
      <c r="J103" s="176" t="n"/>
      <c r="K103" s="176" t="inlineStr">
        <is>
          <t>Нет</t>
        </is>
      </c>
      <c r="L103" s="176" t="n"/>
      <c r="M103" s="176" t="n"/>
      <c r="N103" s="179">
        <f>SUMIFS($E$2:$E$896,$A$2:$A$896,"осень",$I$2:$I$896,I103)</f>
        <v/>
      </c>
      <c r="O103" s="179">
        <f>SUMIFS($E$2:$E$896,$A$2:$A$896,"весна",$I$2:$I$896,I103)</f>
        <v/>
      </c>
      <c r="P103" s="180">
        <f>N103+O103</f>
        <v/>
      </c>
      <c r="Q103" s="181">
        <f>P103/$Q$1</f>
        <v/>
      </c>
      <c r="R103" s="122">
        <f>P103*0.2</f>
        <v/>
      </c>
      <c r="S103" s="122">
        <f>Q103*0.8</f>
        <v/>
      </c>
      <c r="T103" s="133" t="n">
        <v>0.8</v>
      </c>
    </row>
    <row r="104" hidden="1" s="2">
      <c r="A104" s="175" t="inlineStr">
        <is>
          <t>осень</t>
        </is>
      </c>
      <c r="B104" s="176" t="inlineStr">
        <is>
          <t>Программирование и алгоритмизация</t>
        </is>
      </c>
      <c r="C104" s="176" t="inlineStr">
        <is>
          <t>ЛК</t>
        </is>
      </c>
      <c r="D104" s="176" t="inlineStr">
        <is>
          <t>Т11О-206Б-22</t>
        </is>
      </c>
      <c r="E104" s="177" t="n">
        <v>12</v>
      </c>
      <c r="F104" s="176" t="inlineStr">
        <is>
          <t>16776</t>
        </is>
      </c>
      <c r="G104" s="177" t="n">
        <v>12</v>
      </c>
      <c r="H104" s="176" t="inlineStr">
        <is>
          <t>81721</t>
        </is>
      </c>
      <c r="I104" s="176" t="inlineStr">
        <is>
          <t>Преображенский Евгений Владимирович</t>
        </is>
      </c>
      <c r="J104" s="176" t="n"/>
      <c r="K104" s="176" t="inlineStr">
        <is>
          <t>Нет</t>
        </is>
      </c>
      <c r="L104" s="176" t="n"/>
      <c r="M104" s="176" t="n"/>
      <c r="N104" s="179">
        <f>SUMIFS($E$2:$E$896,$A$2:$A$896,"осень",$I$2:$I$896,I104)</f>
        <v/>
      </c>
      <c r="O104" s="179">
        <f>SUMIFS($E$2:$E$896,$A$2:$A$896,"весна",$I$2:$I$896,I104)</f>
        <v/>
      </c>
      <c r="P104" s="180">
        <f>N104+O104</f>
        <v/>
      </c>
      <c r="Q104" s="181">
        <f>P104/$Q$1</f>
        <v/>
      </c>
      <c r="R104" s="122">
        <f>P104*0.2</f>
        <v/>
      </c>
      <c r="S104" s="122">
        <f>Q104*0.8</f>
        <v/>
      </c>
      <c r="T104" s="133" t="n">
        <v>0.25</v>
      </c>
    </row>
    <row r="105" hidden="1" s="2">
      <c r="A105" s="175" t="inlineStr">
        <is>
          <t>осень</t>
        </is>
      </c>
      <c r="B105" s="176" t="inlineStr">
        <is>
          <t>Программирование и алгоритмизация</t>
        </is>
      </c>
      <c r="C105" s="176" t="inlineStr">
        <is>
          <t>Зачет с оценкой</t>
        </is>
      </c>
      <c r="D105" s="176" t="inlineStr">
        <is>
          <t>Т11О-206Б-22</t>
        </is>
      </c>
      <c r="E105" s="177" t="n">
        <v>5</v>
      </c>
      <c r="F105" s="176" t="inlineStr">
        <is>
          <t>16776</t>
        </is>
      </c>
      <c r="G105" s="178" t="n"/>
      <c r="H105" s="176" t="inlineStr">
        <is>
          <t>81721</t>
        </is>
      </c>
      <c r="I105" s="176" t="inlineStr">
        <is>
          <t>Преображенский Евгений Владимирович</t>
        </is>
      </c>
      <c r="J105" s="176" t="n"/>
      <c r="K105" s="176" t="inlineStr">
        <is>
          <t>Нет</t>
        </is>
      </c>
      <c r="L105" s="176" t="n"/>
      <c r="M105" s="176" t="n"/>
      <c r="N105" s="179">
        <f>SUMIFS($E$2:$E$896,$A$2:$A$896,"осень",$I$2:$I$896,I105)</f>
        <v/>
      </c>
      <c r="O105" s="179">
        <f>SUMIFS($E$2:$E$896,$A$2:$A$896,"весна",$I$2:$I$896,I105)</f>
        <v/>
      </c>
      <c r="P105" s="180">
        <f>N105+O105</f>
        <v/>
      </c>
      <c r="Q105" s="181">
        <f>P105/$Q$1</f>
        <v/>
      </c>
      <c r="R105" s="122">
        <f>P105*0.2</f>
        <v/>
      </c>
      <c r="S105" s="122">
        <f>Q105*0.8</f>
        <v/>
      </c>
      <c r="T105" s="133" t="n">
        <v>0.25</v>
      </c>
    </row>
    <row r="106" hidden="1" s="2">
      <c r="A106" s="175" t="inlineStr">
        <is>
          <t>осень</t>
        </is>
      </c>
      <c r="B106" s="176" t="inlineStr">
        <is>
          <t>Программирование и алгоритмизация</t>
        </is>
      </c>
      <c r="C106" s="176" t="inlineStr">
        <is>
          <t>ПЗ</t>
        </is>
      </c>
      <c r="D106" s="176" t="inlineStr">
        <is>
          <t>Т11О-206Б-22</t>
        </is>
      </c>
      <c r="E106" s="177" t="n">
        <v>24</v>
      </c>
      <c r="F106" s="176" t="inlineStr">
        <is>
          <t>16776</t>
        </is>
      </c>
      <c r="G106" s="177" t="n">
        <v>24</v>
      </c>
      <c r="H106" s="176" t="inlineStr">
        <is>
          <t>81721</t>
        </is>
      </c>
      <c r="I106" s="176" t="inlineStr">
        <is>
          <t>Преображенский Евгений Владимирович</t>
        </is>
      </c>
      <c r="J106" s="176" t="n"/>
      <c r="K106" s="176" t="inlineStr">
        <is>
          <t>Нет</t>
        </is>
      </c>
      <c r="L106" s="176" t="n"/>
      <c r="M106" s="176" t="n"/>
      <c r="N106" s="179">
        <f>SUMIFS($E$2:$E$896,$A$2:$A$896,"осень",$I$2:$I$896,I106)</f>
        <v/>
      </c>
      <c r="O106" s="179">
        <f>SUMIFS($E$2:$E$896,$A$2:$A$896,"весна",$I$2:$I$896,I106)</f>
        <v/>
      </c>
      <c r="P106" s="180">
        <f>N106+O106</f>
        <v/>
      </c>
      <c r="Q106" s="181">
        <f>P106/$Q$1</f>
        <v/>
      </c>
      <c r="R106" s="122">
        <f>P106*0.2</f>
        <v/>
      </c>
      <c r="S106" s="122">
        <f>Q106*0.8</f>
        <v/>
      </c>
      <c r="T106" s="133" t="n">
        <v>0.25</v>
      </c>
    </row>
    <row r="107" hidden="1" s="2">
      <c r="A107" s="175" t="inlineStr">
        <is>
          <t>осень</t>
        </is>
      </c>
      <c r="B107" s="176" t="inlineStr">
        <is>
          <t>Программирование и алгоритмизация</t>
        </is>
      </c>
      <c r="C107" s="176" t="inlineStr">
        <is>
          <t>Консультация</t>
        </is>
      </c>
      <c r="D107" s="176" t="inlineStr">
        <is>
          <t>Т11О-206Б-22</t>
        </is>
      </c>
      <c r="E107" s="177" t="n">
        <v>1</v>
      </c>
      <c r="F107" s="176" t="inlineStr">
        <is>
          <t>16776</t>
        </is>
      </c>
      <c r="G107" s="178" t="n"/>
      <c r="H107" s="176" t="inlineStr">
        <is>
          <t>81721</t>
        </is>
      </c>
      <c r="I107" s="176" t="inlineStr">
        <is>
          <t>Преображенский Евгений Владимирович</t>
        </is>
      </c>
      <c r="J107" s="176" t="n"/>
      <c r="K107" s="176" t="inlineStr">
        <is>
          <t>Нет</t>
        </is>
      </c>
      <c r="L107" s="176" t="n"/>
      <c r="M107" s="176" t="n"/>
      <c r="N107" s="179">
        <f>SUMIFS($E$2:$E$896,$A$2:$A$896,"осень",$I$2:$I$896,I107)</f>
        <v/>
      </c>
      <c r="O107" s="179">
        <f>SUMIFS($E$2:$E$896,$A$2:$A$896,"весна",$I$2:$I$896,I107)</f>
        <v/>
      </c>
      <c r="P107" s="180">
        <f>N107+O107</f>
        <v/>
      </c>
      <c r="Q107" s="181">
        <f>P107/$Q$1</f>
        <v/>
      </c>
      <c r="R107" s="122">
        <f>P107*0.2</f>
        <v/>
      </c>
      <c r="S107" s="122">
        <f>Q107*0.8</f>
        <v/>
      </c>
      <c r="T107" s="133" t="n">
        <v>0.25</v>
      </c>
    </row>
    <row r="108" hidden="1" s="2">
      <c r="A108" s="175" t="inlineStr">
        <is>
          <t>осень</t>
        </is>
      </c>
      <c r="B108" s="176" t="inlineStr">
        <is>
          <t>Средства автоматизации и управления</t>
        </is>
      </c>
      <c r="C108" s="176" t="inlineStr">
        <is>
          <t>ЛК</t>
        </is>
      </c>
      <c r="D108" s="176" t="inlineStr">
        <is>
          <t>Т11О-403Б-20</t>
        </is>
      </c>
      <c r="E108" s="177" t="n">
        <v>16</v>
      </c>
      <c r="F108" s="176" t="inlineStr">
        <is>
          <t>13288</t>
        </is>
      </c>
      <c r="G108" s="177" t="n">
        <v>16</v>
      </c>
      <c r="H108" s="176" t="inlineStr">
        <is>
          <t>81721</t>
        </is>
      </c>
      <c r="I108" s="176" t="inlineStr">
        <is>
          <t>Преображенский Евгений Владимирович</t>
        </is>
      </c>
      <c r="J108" s="176" t="n"/>
      <c r="K108" s="176" t="inlineStr">
        <is>
          <t>Нет</t>
        </is>
      </c>
      <c r="L108" s="176" t="n"/>
      <c r="M108" s="176" t="n"/>
      <c r="N108" s="179">
        <f>SUMIFS($E$2:$E$896,$A$2:$A$896,"осень",$I$2:$I$896,I108)</f>
        <v/>
      </c>
      <c r="O108" s="179">
        <f>SUMIFS($E$2:$E$896,$A$2:$A$896,"весна",$I$2:$I$896,I108)</f>
        <v/>
      </c>
      <c r="P108" s="180">
        <f>N108+O108</f>
        <v/>
      </c>
      <c r="Q108" s="181">
        <f>P108/$Q$1</f>
        <v/>
      </c>
      <c r="R108" s="122">
        <f>P108*0.2</f>
        <v/>
      </c>
      <c r="S108" s="122">
        <f>Q108*0.8</f>
        <v/>
      </c>
      <c r="T108" s="133" t="n">
        <v>0.25</v>
      </c>
    </row>
    <row r="109" hidden="1" s="2">
      <c r="A109" s="175" t="inlineStr">
        <is>
          <t>осень</t>
        </is>
      </c>
      <c r="B109" s="176" t="inlineStr">
        <is>
          <t>Средства автоматизации и управления</t>
        </is>
      </c>
      <c r="C109" s="176" t="inlineStr">
        <is>
          <t>ПЗ</t>
        </is>
      </c>
      <c r="D109" s="176" t="inlineStr">
        <is>
          <t>Т11О-403Б-20</t>
        </is>
      </c>
      <c r="E109" s="177" t="n">
        <v>16</v>
      </c>
      <c r="F109" s="176" t="inlineStr">
        <is>
          <t>13288</t>
        </is>
      </c>
      <c r="G109" s="177" t="n">
        <v>16</v>
      </c>
      <c r="H109" s="176" t="inlineStr">
        <is>
          <t>81721</t>
        </is>
      </c>
      <c r="I109" s="176" t="inlineStr">
        <is>
          <t>Преображенский Евгений Владимирович</t>
        </is>
      </c>
      <c r="J109" s="176" t="n"/>
      <c r="K109" s="176" t="inlineStr">
        <is>
          <t>Нет</t>
        </is>
      </c>
      <c r="L109" s="176" t="n"/>
      <c r="M109" s="176" t="n"/>
      <c r="N109" s="179">
        <f>SUMIFS($E$2:$E$896,$A$2:$A$896,"осень",$I$2:$I$896,I109)</f>
        <v/>
      </c>
      <c r="O109" s="179">
        <f>SUMIFS($E$2:$E$896,$A$2:$A$896,"весна",$I$2:$I$896,I109)</f>
        <v/>
      </c>
      <c r="P109" s="180">
        <f>N109+O109</f>
        <v/>
      </c>
      <c r="Q109" s="181">
        <f>P109/$Q$1</f>
        <v/>
      </c>
      <c r="R109" s="122">
        <f>P109*0.2</f>
        <v/>
      </c>
      <c r="S109" s="122">
        <f>Q109*0.8</f>
        <v/>
      </c>
      <c r="T109" s="133" t="n">
        <v>0.25</v>
      </c>
    </row>
    <row r="110" hidden="1" s="2">
      <c r="A110" s="175" t="inlineStr">
        <is>
          <t>осень</t>
        </is>
      </c>
      <c r="B110" s="176" t="inlineStr">
        <is>
          <t>Средства автоматизации и управления</t>
        </is>
      </c>
      <c r="C110" s="176" t="inlineStr">
        <is>
          <t>ЛР</t>
        </is>
      </c>
      <c r="D110" s="176" t="inlineStr">
        <is>
          <t>Т11О-403Б-20</t>
        </is>
      </c>
      <c r="E110" s="177" t="n">
        <v>8</v>
      </c>
      <c r="F110" s="176" t="inlineStr">
        <is>
          <t>13288</t>
        </is>
      </c>
      <c r="G110" s="177" t="n">
        <v>8</v>
      </c>
      <c r="H110" s="176" t="inlineStr">
        <is>
          <t>81721</t>
        </is>
      </c>
      <c r="I110" s="176" t="inlineStr">
        <is>
          <t>Преображенский Евгений Владимирович</t>
        </is>
      </c>
      <c r="J110" s="176" t="n"/>
      <c r="K110" s="176" t="inlineStr">
        <is>
          <t>Нет</t>
        </is>
      </c>
      <c r="L110" s="176" t="n"/>
      <c r="M110" s="176" t="n"/>
      <c r="N110" s="179">
        <f>SUMIFS($E$2:$E$896,$A$2:$A$896,"осень",$I$2:$I$896,I110)</f>
        <v/>
      </c>
      <c r="O110" s="179">
        <f>SUMIFS($E$2:$E$896,$A$2:$A$896,"весна",$I$2:$I$896,I110)</f>
        <v/>
      </c>
      <c r="P110" s="180">
        <f>N110+O110</f>
        <v/>
      </c>
      <c r="Q110" s="181">
        <f>P110/$Q$1</f>
        <v/>
      </c>
      <c r="R110" s="122">
        <f>P110*0.2</f>
        <v/>
      </c>
      <c r="S110" s="122">
        <f>Q110*0.8</f>
        <v/>
      </c>
      <c r="T110" s="133" t="n">
        <v>0.25</v>
      </c>
    </row>
    <row r="111" hidden="1" s="2">
      <c r="A111" s="175" t="inlineStr">
        <is>
          <t>осень</t>
        </is>
      </c>
      <c r="B111" s="176" t="inlineStr">
        <is>
          <t>Средства автоматизации и управления</t>
        </is>
      </c>
      <c r="C111" s="176" t="inlineStr">
        <is>
          <t>Зачет</t>
        </is>
      </c>
      <c r="D111" s="176" t="inlineStr">
        <is>
          <t>Т11О-403Б-20</t>
        </is>
      </c>
      <c r="E111" s="177" t="n">
        <v>2</v>
      </c>
      <c r="F111" s="176" t="inlineStr">
        <is>
          <t>13288</t>
        </is>
      </c>
      <c r="G111" s="178" t="n"/>
      <c r="H111" s="176" t="inlineStr">
        <is>
          <t>81721</t>
        </is>
      </c>
      <c r="I111" s="176" t="inlineStr">
        <is>
          <t>Преображенский Евгений Владимирович</t>
        </is>
      </c>
      <c r="J111" s="176" t="n"/>
      <c r="K111" s="176" t="inlineStr">
        <is>
          <t>Нет</t>
        </is>
      </c>
      <c r="L111" s="176" t="n"/>
      <c r="M111" s="176" t="n"/>
      <c r="N111" s="179">
        <f>SUMIFS($E$2:$E$896,$A$2:$A$896,"осень",$I$2:$I$896,I111)</f>
        <v/>
      </c>
      <c r="O111" s="179">
        <f>SUMIFS($E$2:$E$896,$A$2:$A$896,"весна",$I$2:$I$896,I111)</f>
        <v/>
      </c>
      <c r="P111" s="180">
        <f>N111+O111</f>
        <v/>
      </c>
      <c r="Q111" s="181">
        <f>P111/$Q$1</f>
        <v/>
      </c>
      <c r="R111" s="122">
        <f>P111*0.2</f>
        <v/>
      </c>
      <c r="S111" s="122">
        <f>Q111*0.8</f>
        <v/>
      </c>
      <c r="T111" s="133" t="n">
        <v>0.25</v>
      </c>
    </row>
    <row r="112" hidden="1" s="2">
      <c r="A112" s="175" t="inlineStr">
        <is>
          <t>осень</t>
        </is>
      </c>
      <c r="B112" s="176" t="inlineStr">
        <is>
          <t>Средства автоматизации и управления</t>
        </is>
      </c>
      <c r="C112" s="176" t="inlineStr">
        <is>
          <t>Консультация</t>
        </is>
      </c>
      <c r="D112" s="176" t="inlineStr">
        <is>
          <t>Т11О-403Б-20</t>
        </is>
      </c>
      <c r="E112" s="177" t="n">
        <v>1</v>
      </c>
      <c r="F112" s="176" t="inlineStr">
        <is>
          <t>13288</t>
        </is>
      </c>
      <c r="G112" s="178" t="n"/>
      <c r="H112" s="176" t="inlineStr">
        <is>
          <t>81721</t>
        </is>
      </c>
      <c r="I112" s="176" t="inlineStr">
        <is>
          <t>Преображенский Евгений Владимирович</t>
        </is>
      </c>
      <c r="J112" s="176" t="n"/>
      <c r="K112" s="176" t="inlineStr">
        <is>
          <t>Нет</t>
        </is>
      </c>
      <c r="L112" s="176" t="n"/>
      <c r="M112" s="176" t="n"/>
      <c r="N112" s="179">
        <f>SUMIFS($E$2:$E$896,$A$2:$A$896,"осень",$I$2:$I$896,I112)</f>
        <v/>
      </c>
      <c r="O112" s="179">
        <f>SUMIFS($E$2:$E$896,$A$2:$A$896,"весна",$I$2:$I$896,I112)</f>
        <v/>
      </c>
      <c r="P112" s="180">
        <f>N112+O112</f>
        <v/>
      </c>
      <c r="Q112" s="181">
        <f>P112/$Q$1</f>
        <v/>
      </c>
      <c r="R112" s="122">
        <f>P112*0.2</f>
        <v/>
      </c>
      <c r="S112" s="122">
        <f>Q112*0.8</f>
        <v/>
      </c>
      <c r="T112" s="133" t="n">
        <v>0.25</v>
      </c>
    </row>
    <row r="113" hidden="1" s="2">
      <c r="A113" s="175" t="inlineStr">
        <is>
          <t>осень</t>
        </is>
      </c>
      <c r="B113" s="182" t="inlineStr">
        <is>
          <t>Технологические процессы автоматизированных производств</t>
        </is>
      </c>
      <c r="C113" s="182" t="inlineStr">
        <is>
          <t>ЛК</t>
        </is>
      </c>
      <c r="D113" s="182" t="inlineStr">
        <is>
          <t>Т11О-403Б-20</t>
        </is>
      </c>
      <c r="E113" s="183" t="n">
        <v>16</v>
      </c>
      <c r="F113" s="182" t="inlineStr">
        <is>
          <t>13288</t>
        </is>
      </c>
      <c r="G113" s="183" t="n">
        <v>16</v>
      </c>
      <c r="H113" s="182" t="inlineStr">
        <is>
          <t>81721</t>
        </is>
      </c>
      <c r="I113" s="182" t="inlineStr">
        <is>
          <t>Баберцян Сергей Арамович</t>
        </is>
      </c>
      <c r="J113" s="176" t="n"/>
      <c r="K113" s="176" t="inlineStr">
        <is>
          <t>Нет</t>
        </is>
      </c>
      <c r="L113" s="176" t="n"/>
      <c r="M113" s="176" t="n"/>
      <c r="N113" s="179">
        <f>SUMIFS($E$2:$E$896,$A$2:$A$896,"осень",$I$2:$I$896,I113)</f>
        <v/>
      </c>
      <c r="O113" s="179">
        <f>SUMIFS($E$2:$E$896,$A$2:$A$896,"весна",$I$2:$I$896,I113)</f>
        <v/>
      </c>
      <c r="P113" s="180">
        <f>N113+O113</f>
        <v/>
      </c>
      <c r="Q113" s="181">
        <f>P113/$Q$1</f>
        <v/>
      </c>
      <c r="R113" s="122">
        <f>P113*0.2</f>
        <v/>
      </c>
      <c r="S113" s="122">
        <f>Q113*0.8</f>
        <v/>
      </c>
      <c r="T113" s="185" t="n">
        <v>0.5</v>
      </c>
    </row>
    <row r="114" hidden="1" s="2">
      <c r="A114" s="175" t="inlineStr">
        <is>
          <t>осень</t>
        </is>
      </c>
      <c r="B114" s="182" t="inlineStr">
        <is>
          <t>Технологические процессы автоматизированных производств</t>
        </is>
      </c>
      <c r="C114" s="182" t="inlineStr">
        <is>
          <t>Зачет с оценкой</t>
        </is>
      </c>
      <c r="D114" s="182" t="inlineStr">
        <is>
          <t>Т11О-403Б-20</t>
        </is>
      </c>
      <c r="E114" s="183" t="n">
        <v>4</v>
      </c>
      <c r="F114" s="182" t="inlineStr">
        <is>
          <t>13288</t>
        </is>
      </c>
      <c r="G114" s="187" t="n"/>
      <c r="H114" s="182" t="inlineStr">
        <is>
          <t>81721</t>
        </is>
      </c>
      <c r="I114" s="182" t="inlineStr">
        <is>
          <t>Баберцян Сергей Арамович</t>
        </is>
      </c>
      <c r="J114" s="176" t="n"/>
      <c r="K114" s="176" t="inlineStr">
        <is>
          <t>Нет</t>
        </is>
      </c>
      <c r="L114" s="176" t="n"/>
      <c r="M114" s="176" t="n"/>
      <c r="N114" s="179">
        <f>SUMIFS($E$2:$E$896,$A$2:$A$896,"осень",$I$2:$I$896,I114)</f>
        <v/>
      </c>
      <c r="O114" s="179">
        <f>SUMIFS($E$2:$E$896,$A$2:$A$896,"весна",$I$2:$I$896,I114)</f>
        <v/>
      </c>
      <c r="P114" s="180">
        <f>N114+O114</f>
        <v/>
      </c>
      <c r="Q114" s="181">
        <f>P114/$Q$1</f>
        <v/>
      </c>
      <c r="R114" s="122">
        <f>P114*0.2</f>
        <v/>
      </c>
      <c r="S114" s="122">
        <f>Q114*0.8</f>
        <v/>
      </c>
      <c r="T114" s="185" t="n">
        <v>0.5</v>
      </c>
    </row>
    <row r="115" hidden="1" s="2">
      <c r="A115" s="175" t="inlineStr">
        <is>
          <t>осень</t>
        </is>
      </c>
      <c r="B115" s="182" t="inlineStr">
        <is>
          <t>Технологические процессы автоматизированных производств</t>
        </is>
      </c>
      <c r="C115" s="182" t="inlineStr">
        <is>
          <t>ПЗ</t>
        </is>
      </c>
      <c r="D115" s="182" t="inlineStr">
        <is>
          <t>Т11О-403Б-20</t>
        </is>
      </c>
      <c r="E115" s="183" t="n">
        <v>32</v>
      </c>
      <c r="F115" s="182" t="inlineStr">
        <is>
          <t>13288</t>
        </is>
      </c>
      <c r="G115" s="183" t="n">
        <v>32</v>
      </c>
      <c r="H115" s="182" t="inlineStr">
        <is>
          <t>81721</t>
        </is>
      </c>
      <c r="I115" s="182" t="inlineStr">
        <is>
          <t>Баберцян Сергей Арамович</t>
        </is>
      </c>
      <c r="J115" s="176" t="n"/>
      <c r="K115" s="176" t="inlineStr">
        <is>
          <t>Нет</t>
        </is>
      </c>
      <c r="L115" s="176" t="n"/>
      <c r="M115" s="176" t="n"/>
      <c r="N115" s="179">
        <f>SUMIFS($E$2:$E$896,$A$2:$A$896,"осень",$I$2:$I$896,I115)</f>
        <v/>
      </c>
      <c r="O115" s="179">
        <f>SUMIFS($E$2:$E$896,$A$2:$A$896,"весна",$I$2:$I$896,I115)</f>
        <v/>
      </c>
      <c r="P115" s="180">
        <f>N115+O115</f>
        <v/>
      </c>
      <c r="Q115" s="181">
        <f>P115/$Q$1</f>
        <v/>
      </c>
      <c r="R115" s="122">
        <f>P115*0.2</f>
        <v/>
      </c>
      <c r="S115" s="122">
        <f>Q115*0.8</f>
        <v/>
      </c>
      <c r="T115" s="185" t="n">
        <v>0.5</v>
      </c>
    </row>
    <row r="116" hidden="1" s="2">
      <c r="A116" s="175" t="inlineStr">
        <is>
          <t>осень</t>
        </is>
      </c>
      <c r="B116" s="182" t="inlineStr">
        <is>
          <t>Технологические процессы автоматизированных производств</t>
        </is>
      </c>
      <c r="C116" s="182" t="inlineStr">
        <is>
          <t>ЛР</t>
        </is>
      </c>
      <c r="D116" s="182" t="inlineStr">
        <is>
          <t>Т11О-403Б-20</t>
        </is>
      </c>
      <c r="E116" s="183" t="n">
        <v>8</v>
      </c>
      <c r="F116" s="182" t="inlineStr">
        <is>
          <t>13288</t>
        </is>
      </c>
      <c r="G116" s="183" t="n">
        <v>8</v>
      </c>
      <c r="H116" s="182" t="inlineStr">
        <is>
          <t>81721</t>
        </is>
      </c>
      <c r="I116" s="182" t="inlineStr">
        <is>
          <t>Бережной Дмитрий Васильевич</t>
        </is>
      </c>
      <c r="J116" s="176" t="n"/>
      <c r="K116" s="176" t="inlineStr">
        <is>
          <t>Нет</t>
        </is>
      </c>
      <c r="L116" s="176" t="n"/>
      <c r="M116" s="176" t="n"/>
      <c r="N116" s="179">
        <f>SUMIFS($E$2:$E$896,$A$2:$A$896,"осень",$I$2:$I$896,I116)</f>
        <v/>
      </c>
      <c r="O116" s="179">
        <f>SUMIFS($E$2:$E$896,$A$2:$A$896,"весна",$I$2:$I$896,I116)</f>
        <v/>
      </c>
      <c r="P116" s="180">
        <f>N116+O116</f>
        <v/>
      </c>
      <c r="Q116" s="181">
        <f>P116/$Q$1</f>
        <v/>
      </c>
      <c r="R116" s="122">
        <f>P116*0.2</f>
        <v/>
      </c>
      <c r="S116" s="122">
        <f>Q116*0.8</f>
        <v/>
      </c>
      <c r="T116" s="185" t="n">
        <v>0.5</v>
      </c>
    </row>
    <row r="117" hidden="1" s="2">
      <c r="A117" s="175" t="inlineStr">
        <is>
          <t>осень</t>
        </is>
      </c>
      <c r="B117" s="182" t="inlineStr">
        <is>
          <t>Технологические процессы автоматизированных производств</t>
        </is>
      </c>
      <c r="C117" s="182" t="inlineStr">
        <is>
          <t>Консультация</t>
        </is>
      </c>
      <c r="D117" s="182" t="inlineStr">
        <is>
          <t>Т11О-403Б-20</t>
        </is>
      </c>
      <c r="E117" s="183" t="n">
        <v>1</v>
      </c>
      <c r="F117" s="182" t="inlineStr">
        <is>
          <t>13288</t>
        </is>
      </c>
      <c r="G117" s="187" t="n"/>
      <c r="H117" s="182" t="inlineStr">
        <is>
          <t>81721</t>
        </is>
      </c>
      <c r="I117" s="182" t="inlineStr">
        <is>
          <t>Баберцян Сергей Арамович</t>
        </is>
      </c>
      <c r="J117" s="176" t="n"/>
      <c r="K117" s="176" t="inlineStr">
        <is>
          <t>Нет</t>
        </is>
      </c>
      <c r="L117" s="176" t="n"/>
      <c r="M117" s="176" t="n"/>
      <c r="N117" s="179">
        <f>SUMIFS($E$2:$E$896,$A$2:$A$896,"осень",$I$2:$I$896,I117)</f>
        <v/>
      </c>
      <c r="O117" s="179">
        <f>SUMIFS($E$2:$E$896,$A$2:$A$896,"весна",$I$2:$I$896,I117)</f>
        <v/>
      </c>
      <c r="P117" s="180">
        <f>N117+O117</f>
        <v/>
      </c>
      <c r="Q117" s="181">
        <f>P117/$Q$1</f>
        <v/>
      </c>
      <c r="R117" s="122">
        <f>P117*0.2</f>
        <v/>
      </c>
      <c r="S117" s="122">
        <f>Q117*0.8</f>
        <v/>
      </c>
      <c r="T117" s="185" t="n">
        <v>0.5</v>
      </c>
    </row>
    <row r="118" hidden="1" s="2">
      <c r="A118" s="175" t="inlineStr">
        <is>
          <t>осень</t>
        </is>
      </c>
      <c r="B118" s="176" t="inlineStr">
        <is>
          <t>Основы технологии и организации получения продукции методами КШП</t>
        </is>
      </c>
      <c r="C118" s="176" t="inlineStr">
        <is>
          <t>ЛК</t>
        </is>
      </c>
      <c r="D118" s="176" t="inlineStr">
        <is>
          <t>Т11О-403Б-20</t>
        </is>
      </c>
      <c r="E118" s="177" t="n">
        <v>24</v>
      </c>
      <c r="F118" s="176" t="inlineStr">
        <is>
          <t>13288</t>
        </is>
      </c>
      <c r="G118" s="177" t="n">
        <v>24</v>
      </c>
      <c r="H118" s="176" t="inlineStr">
        <is>
          <t>81729</t>
        </is>
      </c>
      <c r="I118" s="176" t="inlineStr">
        <is>
          <t>Соколов Алексей Викторович</t>
        </is>
      </c>
      <c r="J118" s="176" t="n"/>
      <c r="K118" s="176" t="inlineStr">
        <is>
          <t>Нет</t>
        </is>
      </c>
      <c r="L118" s="176" t="n"/>
      <c r="M118" s="176" t="n"/>
      <c r="N118" s="179">
        <f>SUMIFS($E$2:$E$896,$A$2:$A$896,"осень",$I$2:$I$896,I118)</f>
        <v/>
      </c>
      <c r="O118" s="179">
        <f>SUMIFS($E$2:$E$896,$A$2:$A$896,"весна",$I$2:$I$896,I118)</f>
        <v/>
      </c>
      <c r="P118" s="180">
        <f>N118+O118</f>
        <v/>
      </c>
      <c r="Q118" s="181">
        <f>P118/$Q$1</f>
        <v/>
      </c>
      <c r="R118" s="122">
        <f>P118*0.2</f>
        <v/>
      </c>
      <c r="S118" s="122">
        <f>Q118*0.8</f>
        <v/>
      </c>
      <c r="T118" s="133" t="n">
        <v>0.55</v>
      </c>
    </row>
    <row r="119" hidden="1" s="2">
      <c r="A119" s="175" t="inlineStr">
        <is>
          <t>осень</t>
        </is>
      </c>
      <c r="B119" s="176" t="inlineStr">
        <is>
          <t>Основы технологии и организации получения продукции методами КШП</t>
        </is>
      </c>
      <c r="C119" s="176" t="inlineStr">
        <is>
          <t>Зачет с оценкой</t>
        </is>
      </c>
      <c r="D119" s="176" t="inlineStr">
        <is>
          <t>Т11О-403Б-20</t>
        </is>
      </c>
      <c r="E119" s="177" t="n">
        <v>4</v>
      </c>
      <c r="F119" s="176" t="inlineStr">
        <is>
          <t>13288</t>
        </is>
      </c>
      <c r="G119" s="178" t="n"/>
      <c r="H119" s="176" t="inlineStr">
        <is>
          <t>81729</t>
        </is>
      </c>
      <c r="I119" s="176" t="inlineStr">
        <is>
          <t>Соколов Алексей Викторович</t>
        </is>
      </c>
      <c r="J119" s="176" t="n"/>
      <c r="K119" s="176" t="inlineStr">
        <is>
          <t>Нет</t>
        </is>
      </c>
      <c r="L119" s="176" t="n"/>
      <c r="M119" s="176" t="n"/>
      <c r="N119" s="179">
        <f>SUMIFS($E$2:$E$896,$A$2:$A$896,"осень",$I$2:$I$896,I119)</f>
        <v/>
      </c>
      <c r="O119" s="179">
        <f>SUMIFS($E$2:$E$896,$A$2:$A$896,"весна",$I$2:$I$896,I119)</f>
        <v/>
      </c>
      <c r="P119" s="180">
        <f>N119+O119</f>
        <v/>
      </c>
      <c r="Q119" s="181">
        <f>P119/$Q$1</f>
        <v/>
      </c>
      <c r="R119" s="122">
        <f>P119*0.2</f>
        <v/>
      </c>
      <c r="S119" s="122">
        <f>Q119*0.8</f>
        <v/>
      </c>
      <c r="T119" s="133" t="n">
        <v>0.55</v>
      </c>
    </row>
    <row r="120" hidden="1" s="2">
      <c r="A120" s="175" t="inlineStr">
        <is>
          <t>осень</t>
        </is>
      </c>
      <c r="B120" s="176" t="inlineStr">
        <is>
          <t>Основы технологии и организации получения продукции методами КШП</t>
        </is>
      </c>
      <c r="C120" s="176" t="inlineStr">
        <is>
          <t>ПЗ</t>
        </is>
      </c>
      <c r="D120" s="176" t="inlineStr">
        <is>
          <t>Т11О-403Б-20</t>
        </is>
      </c>
      <c r="E120" s="177" t="n">
        <v>40</v>
      </c>
      <c r="F120" s="176" t="inlineStr">
        <is>
          <t>13288</t>
        </is>
      </c>
      <c r="G120" s="177" t="n">
        <v>40</v>
      </c>
      <c r="H120" s="176" t="inlineStr">
        <is>
          <t>81729</t>
        </is>
      </c>
      <c r="I120" s="176" t="inlineStr">
        <is>
          <t>Соколов Алексей Викторович</t>
        </is>
      </c>
      <c r="J120" s="176" t="n"/>
      <c r="K120" s="176" t="inlineStr">
        <is>
          <t>Нет</t>
        </is>
      </c>
      <c r="L120" s="176" t="n"/>
      <c r="M120" s="176" t="n"/>
      <c r="N120" s="179">
        <f>SUMIFS($E$2:$E$896,$A$2:$A$896,"осень",$I$2:$I$896,I120)</f>
        <v/>
      </c>
      <c r="O120" s="179">
        <f>SUMIFS($E$2:$E$896,$A$2:$A$896,"весна",$I$2:$I$896,I120)</f>
        <v/>
      </c>
      <c r="P120" s="180">
        <f>N120+O120</f>
        <v/>
      </c>
      <c r="Q120" s="181">
        <f>P120/$Q$1</f>
        <v/>
      </c>
      <c r="R120" s="122">
        <f>P120*0.2</f>
        <v/>
      </c>
      <c r="S120" s="122">
        <f>Q120*0.8</f>
        <v/>
      </c>
      <c r="T120" s="133" t="n">
        <v>0.55</v>
      </c>
    </row>
    <row r="121" hidden="1" s="2">
      <c r="A121" s="175" t="inlineStr">
        <is>
          <t>осень</t>
        </is>
      </c>
      <c r="B121" s="176" t="inlineStr">
        <is>
          <t>Основы технологии и организации получения продукции методами КШП</t>
        </is>
      </c>
      <c r="C121" s="176" t="inlineStr">
        <is>
          <t>Консультация</t>
        </is>
      </c>
      <c r="D121" s="176" t="inlineStr">
        <is>
          <t>Т11О-403Б-20</t>
        </is>
      </c>
      <c r="E121" s="177" t="n">
        <v>1</v>
      </c>
      <c r="F121" s="176" t="inlineStr">
        <is>
          <t>13288</t>
        </is>
      </c>
      <c r="G121" s="178" t="n"/>
      <c r="H121" s="176" t="inlineStr">
        <is>
          <t>81729</t>
        </is>
      </c>
      <c r="I121" s="176" t="inlineStr">
        <is>
          <t>Соколов Алексей Викторович</t>
        </is>
      </c>
      <c r="J121" s="176" t="n"/>
      <c r="K121" s="176" t="inlineStr">
        <is>
          <t>Нет</t>
        </is>
      </c>
      <c r="L121" s="176" t="n"/>
      <c r="M121" s="176" t="n"/>
      <c r="N121" s="179">
        <f>SUMIFS($E$2:$E$896,$A$2:$A$896,"осень",$I$2:$I$896,I121)</f>
        <v/>
      </c>
      <c r="O121" s="179">
        <f>SUMIFS($E$2:$E$896,$A$2:$A$896,"весна",$I$2:$I$896,I121)</f>
        <v/>
      </c>
      <c r="P121" s="180">
        <f>N121+O121</f>
        <v/>
      </c>
      <c r="Q121" s="181">
        <f>P121/$Q$1</f>
        <v/>
      </c>
      <c r="R121" s="122">
        <f>P121*0.2</f>
        <v/>
      </c>
      <c r="S121" s="122">
        <f>Q121*0.8</f>
        <v/>
      </c>
      <c r="T121" s="133" t="n">
        <v>0.55</v>
      </c>
    </row>
    <row r="122" hidden="1" s="2">
      <c r="A122" s="175" t="inlineStr">
        <is>
          <t>осень</t>
        </is>
      </c>
      <c r="B122" s="176" t="inlineStr">
        <is>
          <t>Методы управления информационными и материальными потоками</t>
        </is>
      </c>
      <c r="C122" s="176" t="inlineStr">
        <is>
          <t>ЛК</t>
        </is>
      </c>
      <c r="D122" s="176" t="inlineStr">
        <is>
          <t>Т11О-403Б-20</t>
        </is>
      </c>
      <c r="E122" s="177" t="n">
        <v>32</v>
      </c>
      <c r="F122" s="176" t="inlineStr">
        <is>
          <t>13288</t>
        </is>
      </c>
      <c r="G122" s="177" t="n">
        <v>32</v>
      </c>
      <c r="H122" s="176" t="inlineStr">
        <is>
          <t>81716</t>
        </is>
      </c>
      <c r="I122" s="176" t="inlineStr">
        <is>
          <t>Жаров Максим Владимирович</t>
        </is>
      </c>
      <c r="J122" s="176" t="n"/>
      <c r="K122" s="176" t="inlineStr">
        <is>
          <t>Нет</t>
        </is>
      </c>
      <c r="L122" s="176" t="n"/>
      <c r="M122" s="176" t="n"/>
      <c r="N122" s="179">
        <f>SUMIFS($E$2:$E$896,$A$2:$A$896,"осень",$I$2:$I$896,I122)</f>
        <v/>
      </c>
      <c r="O122" s="179">
        <f>SUMIFS($E$2:$E$896,$A$2:$A$896,"весна",$I$2:$I$896,I122)</f>
        <v/>
      </c>
      <c r="P122" s="180">
        <f>N122+O122</f>
        <v/>
      </c>
      <c r="Q122" s="181">
        <f>P122/$Q$1</f>
        <v/>
      </c>
      <c r="R122" s="122">
        <f>P122*0.2</f>
        <v/>
      </c>
      <c r="S122" s="122">
        <f>Q122*0.8</f>
        <v/>
      </c>
      <c r="T122" s="133" t="n">
        <v>0.2</v>
      </c>
    </row>
    <row r="123" hidden="1" s="2">
      <c r="A123" s="175" t="inlineStr">
        <is>
          <t>осень</t>
        </is>
      </c>
      <c r="B123" s="176" t="inlineStr">
        <is>
          <t>Методы управления информационными и материальными потоками</t>
        </is>
      </c>
      <c r="C123" s="176" t="inlineStr">
        <is>
          <t>ПЗ</t>
        </is>
      </c>
      <c r="D123" s="176" t="inlineStr">
        <is>
          <t>Т11О-403Б-20</t>
        </is>
      </c>
      <c r="E123" s="177" t="n">
        <v>32</v>
      </c>
      <c r="F123" s="176" t="inlineStr">
        <is>
          <t>13288</t>
        </is>
      </c>
      <c r="G123" s="177" t="n">
        <v>32</v>
      </c>
      <c r="H123" s="176" t="inlineStr">
        <is>
          <t>81716</t>
        </is>
      </c>
      <c r="I123" s="176" t="inlineStr">
        <is>
          <t>Жаров Максим Владимирович</t>
        </is>
      </c>
      <c r="J123" s="176" t="n"/>
      <c r="K123" s="176" t="inlineStr">
        <is>
          <t>Нет</t>
        </is>
      </c>
      <c r="L123" s="176" t="n"/>
      <c r="M123" s="176" t="n"/>
      <c r="N123" s="179">
        <f>SUMIFS($E$2:$E$896,$A$2:$A$896,"осень",$I$2:$I$896,I123)</f>
        <v/>
      </c>
      <c r="O123" s="179">
        <f>SUMIFS($E$2:$E$896,$A$2:$A$896,"весна",$I$2:$I$896,I123)</f>
        <v/>
      </c>
      <c r="P123" s="180">
        <f>N123+O123</f>
        <v/>
      </c>
      <c r="Q123" s="181">
        <f>P123/$Q$1</f>
        <v/>
      </c>
      <c r="R123" s="122">
        <f>P123*0.2</f>
        <v/>
      </c>
      <c r="S123" s="122">
        <f>Q123*0.8</f>
        <v/>
      </c>
      <c r="T123" s="133" t="n">
        <v>0.2</v>
      </c>
    </row>
    <row r="124" hidden="1" s="2">
      <c r="A124" s="175" t="inlineStr">
        <is>
          <t>осень</t>
        </is>
      </c>
      <c r="B124" s="176" t="inlineStr">
        <is>
          <t>Методы управления информационными и материальными потоками</t>
        </is>
      </c>
      <c r="C124" s="176" t="inlineStr">
        <is>
          <t>Экзамен</t>
        </is>
      </c>
      <c r="D124" s="176" t="inlineStr">
        <is>
          <t>Т11О-403Б-20</t>
        </is>
      </c>
      <c r="E124" s="177" t="n">
        <v>6</v>
      </c>
      <c r="F124" s="176" t="inlineStr">
        <is>
          <t>13288</t>
        </is>
      </c>
      <c r="G124" s="178" t="n"/>
      <c r="H124" s="176" t="inlineStr">
        <is>
          <t>81716</t>
        </is>
      </c>
      <c r="I124" s="176" t="inlineStr">
        <is>
          <t>Жаров Максим Владимирович</t>
        </is>
      </c>
      <c r="J124" s="176" t="n"/>
      <c r="K124" s="176" t="inlineStr">
        <is>
          <t>Нет</t>
        </is>
      </c>
      <c r="L124" s="176" t="n"/>
      <c r="M124" s="176" t="n"/>
      <c r="N124" s="179">
        <f>SUMIFS($E$2:$E$896,$A$2:$A$896,"осень",$I$2:$I$896,I124)</f>
        <v/>
      </c>
      <c r="O124" s="179">
        <f>SUMIFS($E$2:$E$896,$A$2:$A$896,"весна",$I$2:$I$896,I124)</f>
        <v/>
      </c>
      <c r="P124" s="180">
        <f>N124+O124</f>
        <v/>
      </c>
      <c r="Q124" s="181">
        <f>P124/$Q$1</f>
        <v/>
      </c>
      <c r="R124" s="122">
        <f>P124*0.2</f>
        <v/>
      </c>
      <c r="S124" s="122">
        <f>Q124*0.8</f>
        <v/>
      </c>
      <c r="T124" s="133" t="n">
        <v>0.2</v>
      </c>
    </row>
    <row r="125" hidden="1" s="2">
      <c r="A125" s="175" t="inlineStr">
        <is>
          <t>осень</t>
        </is>
      </c>
      <c r="B125" s="176" t="inlineStr">
        <is>
          <t>Методы управления информационными и материальными потоками</t>
        </is>
      </c>
      <c r="C125" s="176" t="inlineStr">
        <is>
          <t>Консультация</t>
        </is>
      </c>
      <c r="D125" s="176" t="inlineStr">
        <is>
          <t>Т11О-403Б-20</t>
        </is>
      </c>
      <c r="E125" s="177" t="n">
        <v>3</v>
      </c>
      <c r="F125" s="176" t="inlineStr">
        <is>
          <t>13288</t>
        </is>
      </c>
      <c r="G125" s="178" t="n"/>
      <c r="H125" s="176" t="inlineStr">
        <is>
          <t>81716</t>
        </is>
      </c>
      <c r="I125" s="176" t="inlineStr">
        <is>
          <t>Жаров Максим Владимирович</t>
        </is>
      </c>
      <c r="J125" s="176" t="n"/>
      <c r="K125" s="176" t="inlineStr">
        <is>
          <t>Нет</t>
        </is>
      </c>
      <c r="L125" s="176" t="n"/>
      <c r="M125" s="176" t="n"/>
      <c r="N125" s="179">
        <f>SUMIFS($E$2:$E$896,$A$2:$A$896,"осень",$I$2:$I$896,I125)</f>
        <v/>
      </c>
      <c r="O125" s="179">
        <f>SUMIFS($E$2:$E$896,$A$2:$A$896,"весна",$I$2:$I$896,I125)</f>
        <v/>
      </c>
      <c r="P125" s="180">
        <f>N125+O125</f>
        <v/>
      </c>
      <c r="Q125" s="181">
        <f>P125/$Q$1</f>
        <v/>
      </c>
      <c r="R125" s="122">
        <f>P125*0.2</f>
        <v/>
      </c>
      <c r="S125" s="122">
        <f>Q125*0.8</f>
        <v/>
      </c>
      <c r="T125" s="133" t="n">
        <v>0.2</v>
      </c>
    </row>
    <row r="126" hidden="1" s="2">
      <c r="A126" s="175" t="inlineStr">
        <is>
          <t>осень</t>
        </is>
      </c>
      <c r="B126" s="176" t="inlineStr">
        <is>
          <t>Основы функционального моделирования</t>
        </is>
      </c>
      <c r="C126" s="176" t="inlineStr">
        <is>
          <t>ЛК</t>
        </is>
      </c>
      <c r="D126" s="176" t="inlineStr">
        <is>
          <t>Т11О-206Б-22</t>
        </is>
      </c>
      <c r="E126" s="177" t="n">
        <v>12</v>
      </c>
      <c r="F126" s="176" t="inlineStr">
        <is>
          <t>16776</t>
        </is>
      </c>
      <c r="G126" s="177" t="n">
        <v>12</v>
      </c>
      <c r="H126" s="176" t="inlineStr">
        <is>
          <t>81724</t>
        </is>
      </c>
      <c r="I126" s="176" t="inlineStr">
        <is>
          <t>Галкин Евгений Владимирович</t>
        </is>
      </c>
      <c r="J126" s="176" t="n"/>
      <c r="K126" s="176" t="inlineStr">
        <is>
          <t>Нет</t>
        </is>
      </c>
      <c r="L126" s="176" t="n"/>
      <c r="M126" s="176" t="n"/>
      <c r="N126" s="179">
        <f>SUMIFS($E$2:$E$896,$A$2:$A$896,"осень",$I$2:$I$896,I126)</f>
        <v/>
      </c>
      <c r="O126" s="179">
        <f>SUMIFS($E$2:$E$896,$A$2:$A$896,"весна",$I$2:$I$896,I126)</f>
        <v/>
      </c>
      <c r="P126" s="180">
        <f>N126+O126</f>
        <v/>
      </c>
      <c r="Q126" s="181">
        <f>P126/$Q$1</f>
        <v/>
      </c>
      <c r="R126" s="122">
        <f>P126*0.2</f>
        <v/>
      </c>
      <c r="S126" s="122">
        <f>Q126*0.8</f>
        <v/>
      </c>
      <c r="T126" s="133" t="n">
        <v>0.8</v>
      </c>
    </row>
    <row r="127" hidden="1" s="2">
      <c r="A127" s="175" t="inlineStr">
        <is>
          <t>осень</t>
        </is>
      </c>
      <c r="B127" s="176" t="inlineStr">
        <is>
          <t>Основы функционального моделирования</t>
        </is>
      </c>
      <c r="C127" s="176" t="inlineStr">
        <is>
          <t>ПЗ</t>
        </is>
      </c>
      <c r="D127" s="176" t="inlineStr">
        <is>
          <t>Т11О-206Б-22</t>
        </is>
      </c>
      <c r="E127" s="177" t="n">
        <v>24</v>
      </c>
      <c r="F127" s="176" t="inlineStr">
        <is>
          <t>16776</t>
        </is>
      </c>
      <c r="G127" s="177" t="n">
        <v>24</v>
      </c>
      <c r="H127" s="176" t="inlineStr">
        <is>
          <t>81724</t>
        </is>
      </c>
      <c r="I127" s="176" t="inlineStr">
        <is>
          <t>Галкин Евгений Владимирович</t>
        </is>
      </c>
      <c r="J127" s="176" t="n"/>
      <c r="K127" s="176" t="inlineStr">
        <is>
          <t>Нет</t>
        </is>
      </c>
      <c r="L127" s="176" t="n"/>
      <c r="M127" s="176" t="n"/>
      <c r="N127" s="179">
        <f>SUMIFS($E$2:$E$896,$A$2:$A$896,"осень",$I$2:$I$896,I127)</f>
        <v/>
      </c>
      <c r="O127" s="179">
        <f>SUMIFS($E$2:$E$896,$A$2:$A$896,"весна",$I$2:$I$896,I127)</f>
        <v/>
      </c>
      <c r="P127" s="180">
        <f>N127+O127</f>
        <v/>
      </c>
      <c r="Q127" s="181">
        <f>P127/$Q$1</f>
        <v/>
      </c>
      <c r="R127" s="122">
        <f>P127*0.2</f>
        <v/>
      </c>
      <c r="S127" s="122">
        <f>Q127*0.8</f>
        <v/>
      </c>
      <c r="T127" s="133" t="n">
        <v>0.8</v>
      </c>
    </row>
    <row r="128" hidden="1" s="2">
      <c r="A128" s="175" t="inlineStr">
        <is>
          <t>осень</t>
        </is>
      </c>
      <c r="B128" s="176" t="inlineStr">
        <is>
          <t>Основы функционального моделирования</t>
        </is>
      </c>
      <c r="C128" s="176" t="inlineStr">
        <is>
          <t>Зачет</t>
        </is>
      </c>
      <c r="D128" s="176" t="inlineStr">
        <is>
          <t>Т11О-206Б-22</t>
        </is>
      </c>
      <c r="E128" s="177" t="n">
        <v>4</v>
      </c>
      <c r="F128" s="176" t="inlineStr">
        <is>
          <t>16776</t>
        </is>
      </c>
      <c r="G128" s="178" t="n"/>
      <c r="H128" s="176" t="inlineStr">
        <is>
          <t>81724</t>
        </is>
      </c>
      <c r="I128" s="176" t="inlineStr">
        <is>
          <t>Галкин Евгений Владимирович</t>
        </is>
      </c>
      <c r="J128" s="176" t="n"/>
      <c r="K128" s="176" t="inlineStr">
        <is>
          <t>Нет</t>
        </is>
      </c>
      <c r="L128" s="176" t="n"/>
      <c r="M128" s="176" t="n"/>
      <c r="N128" s="179">
        <f>SUMIFS($E$2:$E$896,$A$2:$A$896,"осень",$I$2:$I$896,I128)</f>
        <v/>
      </c>
      <c r="O128" s="179">
        <f>SUMIFS($E$2:$E$896,$A$2:$A$896,"весна",$I$2:$I$896,I128)</f>
        <v/>
      </c>
      <c r="P128" s="180">
        <f>N128+O128</f>
        <v/>
      </c>
      <c r="Q128" s="181">
        <f>P128/$Q$1</f>
        <v/>
      </c>
      <c r="R128" s="122">
        <f>P128*0.2</f>
        <v/>
      </c>
      <c r="S128" s="122">
        <f>Q128*0.8</f>
        <v/>
      </c>
      <c r="T128" s="133" t="n">
        <v>0.8</v>
      </c>
    </row>
    <row r="129" hidden="1" s="2">
      <c r="A129" s="175" t="inlineStr">
        <is>
          <t>осень</t>
        </is>
      </c>
      <c r="B129" s="176" t="inlineStr">
        <is>
          <t>Основы функционального моделирования</t>
        </is>
      </c>
      <c r="C129" s="176" t="inlineStr">
        <is>
          <t>Консультация</t>
        </is>
      </c>
      <c r="D129" s="176" t="inlineStr">
        <is>
          <t>Т11О-206Б-22</t>
        </is>
      </c>
      <c r="E129" s="177" t="n">
        <v>1</v>
      </c>
      <c r="F129" s="176" t="inlineStr">
        <is>
          <t>16776</t>
        </is>
      </c>
      <c r="G129" s="178" t="n"/>
      <c r="H129" s="176" t="inlineStr">
        <is>
          <t>81724</t>
        </is>
      </c>
      <c r="I129" s="176" t="inlineStr">
        <is>
          <t>Галкин Евгений Владимирович</t>
        </is>
      </c>
      <c r="J129" s="176" t="n"/>
      <c r="K129" s="176" t="inlineStr">
        <is>
          <t>Нет</t>
        </is>
      </c>
      <c r="L129" s="176" t="n"/>
      <c r="M129" s="176" t="n"/>
      <c r="N129" s="179">
        <f>SUMIFS($E$2:$E$896,$A$2:$A$896,"осень",$I$2:$I$896,I129)</f>
        <v/>
      </c>
      <c r="O129" s="179">
        <f>SUMIFS($E$2:$E$896,$A$2:$A$896,"весна",$I$2:$I$896,I129)</f>
        <v/>
      </c>
      <c r="P129" s="180">
        <f>N129+O129</f>
        <v/>
      </c>
      <c r="Q129" s="181">
        <f>P129/$Q$1</f>
        <v/>
      </c>
      <c r="R129" s="122">
        <f>P129*0.2</f>
        <v/>
      </c>
      <c r="S129" s="122">
        <f>Q129*0.8</f>
        <v/>
      </c>
      <c r="T129" s="133" t="n">
        <v>0.8</v>
      </c>
    </row>
    <row r="130" hidden="1" s="2">
      <c r="A130" s="175" t="inlineStr">
        <is>
          <t>осень</t>
        </is>
      </c>
      <c r="B130" s="176" t="inlineStr">
        <is>
          <t>TPS-технологии</t>
        </is>
      </c>
      <c r="C130" s="176" t="inlineStr">
        <is>
          <t>ЛК</t>
        </is>
      </c>
      <c r="D130" s="176" t="inlineStr">
        <is>
          <t>Т11О-403Б-20</t>
        </is>
      </c>
      <c r="E130" s="177" t="n">
        <v>24</v>
      </c>
      <c r="F130" s="176" t="inlineStr">
        <is>
          <t>13288</t>
        </is>
      </c>
      <c r="G130" s="177" t="n">
        <v>24</v>
      </c>
      <c r="H130" s="176" t="inlineStr">
        <is>
          <t>81728</t>
        </is>
      </c>
      <c r="I130" s="176" t="inlineStr">
        <is>
          <t>Галкин Виктор Иванович</t>
        </is>
      </c>
      <c r="J130" s="176" t="n"/>
      <c r="K130" s="176" t="inlineStr">
        <is>
          <t>Да</t>
        </is>
      </c>
      <c r="L130" s="176" t="n"/>
      <c r="M130" s="176" t="n"/>
      <c r="N130" s="179">
        <f>SUMIFS($E$2:$E$896,$A$2:$A$896,"осень",$I$2:$I$896,I130)</f>
        <v/>
      </c>
      <c r="O130" s="179">
        <f>SUMIFS($E$2:$E$896,$A$2:$A$896,"весна",$I$2:$I$896,I130)</f>
        <v/>
      </c>
      <c r="P130" s="180">
        <f>N130+O130</f>
        <v/>
      </c>
      <c r="Q130" s="181">
        <f>P130/$Q$1</f>
        <v/>
      </c>
      <c r="R130" s="122">
        <f>P130*0.2</f>
        <v/>
      </c>
      <c r="S130" s="122">
        <f>Q130*0.8</f>
        <v/>
      </c>
      <c r="T130" s="133" t="n">
        <v>0.75</v>
      </c>
    </row>
    <row r="131" hidden="1" s="2">
      <c r="A131" s="175" t="inlineStr">
        <is>
          <t>осень</t>
        </is>
      </c>
      <c r="B131" s="176" t="inlineStr">
        <is>
          <t>TPS-технологии</t>
        </is>
      </c>
      <c r="C131" s="176" t="inlineStr">
        <is>
          <t>ПЗ</t>
        </is>
      </c>
      <c r="D131" s="176" t="inlineStr">
        <is>
          <t>Т11О-403Б-20</t>
        </is>
      </c>
      <c r="E131" s="177" t="n">
        <v>40</v>
      </c>
      <c r="F131" s="176" t="inlineStr">
        <is>
          <t>13288</t>
        </is>
      </c>
      <c r="G131" s="177" t="n">
        <v>40</v>
      </c>
      <c r="H131" s="176" t="inlineStr">
        <is>
          <t>81728</t>
        </is>
      </c>
      <c r="I131" s="176" t="inlineStr">
        <is>
          <t>Галкин Виктор Иванович</t>
        </is>
      </c>
      <c r="J131" s="176" t="n"/>
      <c r="K131" s="176" t="inlineStr">
        <is>
          <t>Да</t>
        </is>
      </c>
      <c r="L131" s="176" t="n"/>
      <c r="M131" s="176" t="n"/>
      <c r="N131" s="179">
        <f>SUMIFS($E$2:$E$896,$A$2:$A$896,"осень",$I$2:$I$896,I131)</f>
        <v/>
      </c>
      <c r="O131" s="179">
        <f>SUMIFS($E$2:$E$896,$A$2:$A$896,"весна",$I$2:$I$896,I131)</f>
        <v/>
      </c>
      <c r="P131" s="180">
        <f>N131+O131</f>
        <v/>
      </c>
      <c r="Q131" s="181">
        <f>P131/$Q$1</f>
        <v/>
      </c>
      <c r="R131" s="122">
        <f>P131*0.2</f>
        <v/>
      </c>
      <c r="S131" s="122">
        <f>Q131*0.8</f>
        <v/>
      </c>
      <c r="T131" s="133" t="n">
        <v>0.75</v>
      </c>
    </row>
    <row r="132" hidden="1" s="2">
      <c r="A132" s="175" t="inlineStr">
        <is>
          <t>осень</t>
        </is>
      </c>
      <c r="B132" s="176" t="inlineStr">
        <is>
          <t>TPS-технологии</t>
        </is>
      </c>
      <c r="C132" s="176" t="inlineStr">
        <is>
          <t>ЛР</t>
        </is>
      </c>
      <c r="D132" s="176" t="inlineStr">
        <is>
          <t>Т11О-403Б-20</t>
        </is>
      </c>
      <c r="E132" s="177" t="n">
        <v>8</v>
      </c>
      <c r="F132" s="176" t="inlineStr">
        <is>
          <t>13288</t>
        </is>
      </c>
      <c r="G132" s="177" t="n">
        <v>8</v>
      </c>
      <c r="H132" s="176" t="inlineStr">
        <is>
          <t>81728</t>
        </is>
      </c>
      <c r="I132" s="176" t="inlineStr">
        <is>
          <t>Галкин Виктор Иванович</t>
        </is>
      </c>
      <c r="J132" s="176" t="n"/>
      <c r="K132" s="176" t="inlineStr">
        <is>
          <t>Да</t>
        </is>
      </c>
      <c r="L132" s="176" t="n"/>
      <c r="M132" s="176" t="n"/>
      <c r="N132" s="179">
        <f>SUMIFS($E$2:$E$896,$A$2:$A$896,"осень",$I$2:$I$896,I132)</f>
        <v/>
      </c>
      <c r="O132" s="179">
        <f>SUMIFS($E$2:$E$896,$A$2:$A$896,"весна",$I$2:$I$896,I132)</f>
        <v/>
      </c>
      <c r="P132" s="180">
        <f>N132+O132</f>
        <v/>
      </c>
      <c r="Q132" s="181">
        <f>P132/$Q$1</f>
        <v/>
      </c>
      <c r="R132" s="122">
        <f>P132*0.2</f>
        <v/>
      </c>
      <c r="S132" s="122">
        <f>Q132*0.8</f>
        <v/>
      </c>
      <c r="T132" s="133" t="n">
        <v>0.75</v>
      </c>
    </row>
    <row r="133" hidden="1" s="2">
      <c r="A133" s="175" t="inlineStr">
        <is>
          <t>осень</t>
        </is>
      </c>
      <c r="B133" s="176" t="inlineStr">
        <is>
          <t>TPS-технологии</t>
        </is>
      </c>
      <c r="C133" s="176" t="inlineStr">
        <is>
          <t>Экзамен</t>
        </is>
      </c>
      <c r="D133" s="176" t="inlineStr">
        <is>
          <t>Т11О-403Б-20</t>
        </is>
      </c>
      <c r="E133" s="177" t="n">
        <v>6</v>
      </c>
      <c r="F133" s="176" t="inlineStr">
        <is>
          <t>13288</t>
        </is>
      </c>
      <c r="G133" s="178" t="n"/>
      <c r="H133" s="176" t="inlineStr">
        <is>
          <t>81728</t>
        </is>
      </c>
      <c r="I133" s="176" t="inlineStr">
        <is>
          <t>Галкин Виктор Иванович</t>
        </is>
      </c>
      <c r="J133" s="176" t="n"/>
      <c r="K133" s="176" t="inlineStr">
        <is>
          <t>Да</t>
        </is>
      </c>
      <c r="L133" s="176" t="n"/>
      <c r="M133" s="176" t="n"/>
      <c r="N133" s="179">
        <f>SUMIFS($E$2:$E$896,$A$2:$A$896,"осень",$I$2:$I$896,I133)</f>
        <v/>
      </c>
      <c r="O133" s="179">
        <f>SUMIFS($E$2:$E$896,$A$2:$A$896,"весна",$I$2:$I$896,I133)</f>
        <v/>
      </c>
      <c r="P133" s="180">
        <f>N133+O133</f>
        <v/>
      </c>
      <c r="Q133" s="181">
        <f>P133/$Q$1</f>
        <v/>
      </c>
      <c r="R133" s="122">
        <f>P133*0.2</f>
        <v/>
      </c>
      <c r="S133" s="122">
        <f>Q133*0.8</f>
        <v/>
      </c>
      <c r="T133" s="133" t="n">
        <v>0.75</v>
      </c>
    </row>
    <row r="134" hidden="1" s="2">
      <c r="A134" s="175" t="inlineStr">
        <is>
          <t>осень</t>
        </is>
      </c>
      <c r="B134" s="176" t="inlineStr">
        <is>
          <t>TPS-технологии</t>
        </is>
      </c>
      <c r="C134" s="176" t="inlineStr">
        <is>
          <t>Консультация</t>
        </is>
      </c>
      <c r="D134" s="176" t="inlineStr">
        <is>
          <t>Т11О-403Б-20</t>
        </is>
      </c>
      <c r="E134" s="177" t="n">
        <v>3</v>
      </c>
      <c r="F134" s="176" t="inlineStr">
        <is>
          <t>13288</t>
        </is>
      </c>
      <c r="G134" s="178" t="n"/>
      <c r="H134" s="176" t="inlineStr">
        <is>
          <t>81728</t>
        </is>
      </c>
      <c r="I134" s="176" t="inlineStr">
        <is>
          <t>Галкин Виктор Иванович</t>
        </is>
      </c>
      <c r="J134" s="176" t="n"/>
      <c r="K134" s="176" t="inlineStr">
        <is>
          <t>Да</t>
        </is>
      </c>
      <c r="L134" s="176" t="n"/>
      <c r="M134" s="176" t="n"/>
      <c r="N134" s="179">
        <f>SUMIFS($E$2:$E$896,$A$2:$A$896,"осень",$I$2:$I$896,I134)</f>
        <v/>
      </c>
      <c r="O134" s="179">
        <f>SUMIFS($E$2:$E$896,$A$2:$A$896,"весна",$I$2:$I$896,I134)</f>
        <v/>
      </c>
      <c r="P134" s="180">
        <f>N134+O134</f>
        <v/>
      </c>
      <c r="Q134" s="181">
        <f>P134/$Q$1</f>
        <v/>
      </c>
      <c r="R134" s="122">
        <f>P134*0.2</f>
        <v/>
      </c>
      <c r="S134" s="122">
        <f>Q134*0.8</f>
        <v/>
      </c>
      <c r="T134" s="133" t="n">
        <v>0.75</v>
      </c>
    </row>
    <row r="135" hidden="1" s="2">
      <c r="A135" s="175" t="inlineStr">
        <is>
          <t>осень</t>
        </is>
      </c>
      <c r="B135" s="176" t="inlineStr">
        <is>
          <t>Применение вычислительной техники в инженерной деятельности</t>
        </is>
      </c>
      <c r="C135" s="176" t="inlineStr">
        <is>
          <t>ЛК</t>
        </is>
      </c>
      <c r="D135" s="176" t="inlineStr">
        <is>
          <t>Т11О-401Б-20</t>
        </is>
      </c>
      <c r="E135" s="177" t="n">
        <v>18</v>
      </c>
      <c r="F135" s="176" t="inlineStr">
        <is>
          <t>11924</t>
        </is>
      </c>
      <c r="G135" s="177" t="n">
        <v>18</v>
      </c>
      <c r="H135" s="176" t="inlineStr">
        <is>
          <t>81724</t>
        </is>
      </c>
      <c r="I135" s="176" t="inlineStr">
        <is>
          <t>Галкин Евгений Владимирович</t>
        </is>
      </c>
      <c r="J135" s="176" t="n"/>
      <c r="K135" s="176" t="inlineStr">
        <is>
          <t>Нет</t>
        </is>
      </c>
      <c r="L135" s="176" t="n"/>
      <c r="M135" s="176" t="n"/>
      <c r="N135" s="179">
        <f>SUMIFS($E$2:$E$896,$A$2:$A$896,"осень",$I$2:$I$896,I135)</f>
        <v/>
      </c>
      <c r="O135" s="179">
        <f>SUMIFS($E$2:$E$896,$A$2:$A$896,"весна",$I$2:$I$896,I135)</f>
        <v/>
      </c>
      <c r="P135" s="180">
        <f>N135+O135</f>
        <v/>
      </c>
      <c r="Q135" s="181">
        <f>P135/$Q$1</f>
        <v/>
      </c>
      <c r="R135" s="122">
        <f>P135*0.2</f>
        <v/>
      </c>
      <c r="S135" s="122">
        <f>Q135*0.8</f>
        <v/>
      </c>
      <c r="T135" s="133" t="n">
        <v>0.8</v>
      </c>
    </row>
    <row r="136" hidden="1" s="2">
      <c r="A136" s="175" t="inlineStr">
        <is>
          <t>осень</t>
        </is>
      </c>
      <c r="B136" s="176" t="inlineStr">
        <is>
          <t>Применение вычислительной техники в инженерной деятельности</t>
        </is>
      </c>
      <c r="C136" s="176" t="inlineStr">
        <is>
          <t>ЛР</t>
        </is>
      </c>
      <c r="D136" s="176" t="inlineStr">
        <is>
          <t>Т11О-401Б-20</t>
        </is>
      </c>
      <c r="E136" s="177" t="n">
        <v>32</v>
      </c>
      <c r="F136" s="176" t="inlineStr">
        <is>
          <t>11924</t>
        </is>
      </c>
      <c r="G136" s="177" t="n">
        <v>32</v>
      </c>
      <c r="H136" s="176" t="inlineStr">
        <is>
          <t>81724</t>
        </is>
      </c>
      <c r="I136" s="176" t="inlineStr">
        <is>
          <t>Галкин Евгений Владимирович</t>
        </is>
      </c>
      <c r="J136" s="176" t="n"/>
      <c r="K136" s="176" t="inlineStr">
        <is>
          <t>Нет</t>
        </is>
      </c>
      <c r="L136" s="176" t="n"/>
      <c r="M136" s="176" t="n"/>
      <c r="N136" s="179">
        <f>SUMIFS($E$2:$E$896,$A$2:$A$896,"осень",$I$2:$I$896,I136)</f>
        <v/>
      </c>
      <c r="O136" s="179">
        <f>SUMIFS($E$2:$E$896,$A$2:$A$896,"весна",$I$2:$I$896,I136)</f>
        <v/>
      </c>
      <c r="P136" s="180">
        <f>N136+O136</f>
        <v/>
      </c>
      <c r="Q136" s="181">
        <f>P136/$Q$1</f>
        <v/>
      </c>
      <c r="R136" s="122">
        <f>P136*0.2</f>
        <v/>
      </c>
      <c r="S136" s="122">
        <f>Q136*0.8</f>
        <v/>
      </c>
      <c r="T136" s="133" t="n">
        <v>0.8</v>
      </c>
    </row>
    <row r="137" hidden="1" s="2">
      <c r="A137" s="175" t="inlineStr">
        <is>
          <t>осень</t>
        </is>
      </c>
      <c r="B137" s="176" t="inlineStr">
        <is>
          <t>Применение вычислительной техники в инженерной деятельности</t>
        </is>
      </c>
      <c r="C137" s="176" t="inlineStr">
        <is>
          <t>Зачет</t>
        </is>
      </c>
      <c r="D137" s="176" t="inlineStr">
        <is>
          <t>Т11О-401Б-20</t>
        </is>
      </c>
      <c r="E137" s="177" t="n">
        <v>2</v>
      </c>
      <c r="F137" s="176" t="inlineStr">
        <is>
          <t>11924</t>
        </is>
      </c>
      <c r="G137" s="178" t="n"/>
      <c r="H137" s="176" t="inlineStr">
        <is>
          <t>81724</t>
        </is>
      </c>
      <c r="I137" s="176" t="inlineStr">
        <is>
          <t>Галкин Евгений Владимирович</t>
        </is>
      </c>
      <c r="J137" s="176" t="n"/>
      <c r="K137" s="176" t="inlineStr">
        <is>
          <t>Нет</t>
        </is>
      </c>
      <c r="L137" s="176" t="n"/>
      <c r="M137" s="176" t="n"/>
      <c r="N137" s="179">
        <f>SUMIFS($E$2:$E$896,$A$2:$A$896,"осень",$I$2:$I$896,I137)</f>
        <v/>
      </c>
      <c r="O137" s="179">
        <f>SUMIFS($E$2:$E$896,$A$2:$A$896,"весна",$I$2:$I$896,I137)</f>
        <v/>
      </c>
      <c r="P137" s="180">
        <f>N137+O137</f>
        <v/>
      </c>
      <c r="Q137" s="181">
        <f>P137/$Q$1</f>
        <v/>
      </c>
      <c r="R137" s="122">
        <f>P137*0.2</f>
        <v/>
      </c>
      <c r="S137" s="122">
        <f>Q137*0.8</f>
        <v/>
      </c>
      <c r="T137" s="133" t="n">
        <v>0.8</v>
      </c>
    </row>
    <row r="138" hidden="1" s="2">
      <c r="A138" s="175" t="inlineStr">
        <is>
          <t>осень</t>
        </is>
      </c>
      <c r="B138" s="176" t="inlineStr">
        <is>
          <t>Применение вычислительной техники в инженерной деятельности</t>
        </is>
      </c>
      <c r="C138" s="176" t="inlineStr">
        <is>
          <t>Консультация</t>
        </is>
      </c>
      <c r="D138" s="176" t="inlineStr">
        <is>
          <t>Т11О-401Б-20</t>
        </is>
      </c>
      <c r="E138" s="177" t="n">
        <v>1</v>
      </c>
      <c r="F138" s="176" t="inlineStr">
        <is>
          <t>11924</t>
        </is>
      </c>
      <c r="G138" s="178" t="n"/>
      <c r="H138" s="176" t="inlineStr">
        <is>
          <t>81724</t>
        </is>
      </c>
      <c r="I138" s="176" t="inlineStr">
        <is>
          <t>Галкин Евгений Владимирович</t>
        </is>
      </c>
      <c r="J138" s="176" t="n"/>
      <c r="K138" s="176" t="inlineStr">
        <is>
          <t>Нет</t>
        </is>
      </c>
      <c r="L138" s="176" t="n"/>
      <c r="M138" s="176" t="n"/>
      <c r="N138" s="179">
        <f>SUMIFS($E$2:$E$896,$A$2:$A$896,"осень",$I$2:$I$896,I138)</f>
        <v/>
      </c>
      <c r="O138" s="179">
        <f>SUMIFS($E$2:$E$896,$A$2:$A$896,"весна",$I$2:$I$896,I138)</f>
        <v/>
      </c>
      <c r="P138" s="180">
        <f>N138+O138</f>
        <v/>
      </c>
      <c r="Q138" s="181">
        <f>P138/$Q$1</f>
        <v/>
      </c>
      <c r="R138" s="122">
        <f>P138*0.2</f>
        <v/>
      </c>
      <c r="S138" s="122">
        <f>Q138*0.8</f>
        <v/>
      </c>
      <c r="T138" s="133" t="n">
        <v>0.8</v>
      </c>
    </row>
    <row r="139" hidden="1" s="2">
      <c r="A139" s="175" t="inlineStr">
        <is>
          <t>осень</t>
        </is>
      </c>
      <c r="B139" s="176" t="inlineStr">
        <is>
          <t>Технология кузнечно-штамповочного производства</t>
        </is>
      </c>
      <c r="C139" s="176" t="inlineStr">
        <is>
          <t>ЛК</t>
        </is>
      </c>
      <c r="D139" s="176" t="inlineStr">
        <is>
          <t>Т11О-401Б-20</t>
        </is>
      </c>
      <c r="E139" s="177" t="n">
        <v>20</v>
      </c>
      <c r="F139" s="176" t="inlineStr">
        <is>
          <t>11924</t>
        </is>
      </c>
      <c r="G139" s="177" t="n">
        <v>20</v>
      </c>
      <c r="H139" s="176" t="inlineStr">
        <is>
          <t>81729</t>
        </is>
      </c>
      <c r="I139" s="176" t="inlineStr">
        <is>
          <t>Соколов Алексей Викторович</t>
        </is>
      </c>
      <c r="J139" s="176" t="n"/>
      <c r="K139" s="176" t="inlineStr">
        <is>
          <t>Нет</t>
        </is>
      </c>
      <c r="L139" s="176" t="n"/>
      <c r="M139" s="176" t="n"/>
      <c r="N139" s="179">
        <f>SUMIFS($E$2:$E$896,$A$2:$A$896,"осень",$I$2:$I$896,I139)</f>
        <v/>
      </c>
      <c r="O139" s="179">
        <f>SUMIFS($E$2:$E$896,$A$2:$A$896,"весна",$I$2:$I$896,I139)</f>
        <v/>
      </c>
      <c r="P139" s="180">
        <f>N139+O139</f>
        <v/>
      </c>
      <c r="Q139" s="181">
        <f>P139/$Q$1</f>
        <v/>
      </c>
      <c r="R139" s="122">
        <f>P139*0.2</f>
        <v/>
      </c>
      <c r="S139" s="122">
        <f>Q139*0.8</f>
        <v/>
      </c>
      <c r="T139" s="133" t="n">
        <v>0.55</v>
      </c>
    </row>
    <row r="140" hidden="1" s="2">
      <c r="A140" s="175" t="inlineStr">
        <is>
          <t>осень</t>
        </is>
      </c>
      <c r="B140" s="176" t="inlineStr">
        <is>
          <t>Технология кузнечно-штамповочного производства</t>
        </is>
      </c>
      <c r="C140" s="176" t="inlineStr">
        <is>
          <t>ПЗ</t>
        </is>
      </c>
      <c r="D140" s="176" t="inlineStr">
        <is>
          <t>Т11О-401Б-20</t>
        </is>
      </c>
      <c r="E140" s="177" t="n">
        <v>30</v>
      </c>
      <c r="F140" s="176" t="inlineStr">
        <is>
          <t>11924</t>
        </is>
      </c>
      <c r="G140" s="177" t="n">
        <v>30</v>
      </c>
      <c r="H140" s="176" t="inlineStr">
        <is>
          <t>81729</t>
        </is>
      </c>
      <c r="I140" s="176" t="inlineStr">
        <is>
          <t>Соколов Алексей Викторович</t>
        </is>
      </c>
      <c r="J140" s="176" t="n"/>
      <c r="K140" s="176" t="inlineStr">
        <is>
          <t>Нет</t>
        </is>
      </c>
      <c r="L140" s="176" t="n"/>
      <c r="M140" s="176" t="n"/>
      <c r="N140" s="179">
        <f>SUMIFS($E$2:$E$896,$A$2:$A$896,"осень",$I$2:$I$896,I140)</f>
        <v/>
      </c>
      <c r="O140" s="179">
        <f>SUMIFS($E$2:$E$896,$A$2:$A$896,"весна",$I$2:$I$896,I140)</f>
        <v/>
      </c>
      <c r="P140" s="180">
        <f>N140+O140</f>
        <v/>
      </c>
      <c r="Q140" s="181">
        <f>P140/$Q$1</f>
        <v/>
      </c>
      <c r="R140" s="122">
        <f>P140*0.2</f>
        <v/>
      </c>
      <c r="S140" s="122">
        <f>Q140*0.8</f>
        <v/>
      </c>
      <c r="T140" s="133" t="n">
        <v>0.55</v>
      </c>
    </row>
    <row r="141" hidden="1" s="2">
      <c r="A141" s="175" t="inlineStr">
        <is>
          <t>осень</t>
        </is>
      </c>
      <c r="B141" s="176" t="inlineStr">
        <is>
          <t>Технология кузнечно-штамповочного производства</t>
        </is>
      </c>
      <c r="C141" s="176" t="inlineStr">
        <is>
          <t>Зачет</t>
        </is>
      </c>
      <c r="D141" s="176" t="inlineStr">
        <is>
          <t>Т11О-401Б-20</t>
        </is>
      </c>
      <c r="E141" s="177" t="n">
        <v>2</v>
      </c>
      <c r="F141" s="176" t="inlineStr">
        <is>
          <t>11924</t>
        </is>
      </c>
      <c r="G141" s="178" t="n"/>
      <c r="H141" s="176" t="inlineStr">
        <is>
          <t>81729</t>
        </is>
      </c>
      <c r="I141" s="176" t="inlineStr">
        <is>
          <t>Соколов Алексей Викторович</t>
        </is>
      </c>
      <c r="J141" s="176" t="n"/>
      <c r="K141" s="176" t="inlineStr">
        <is>
          <t>Нет</t>
        </is>
      </c>
      <c r="L141" s="176" t="n"/>
      <c r="M141" s="176" t="n"/>
      <c r="N141" s="179">
        <f>SUMIFS($E$2:$E$896,$A$2:$A$896,"осень",$I$2:$I$896,I141)</f>
        <v/>
      </c>
      <c r="O141" s="179">
        <f>SUMIFS($E$2:$E$896,$A$2:$A$896,"весна",$I$2:$I$896,I141)</f>
        <v/>
      </c>
      <c r="P141" s="180">
        <f>N141+O141</f>
        <v/>
      </c>
      <c r="Q141" s="181">
        <f>P141/$Q$1</f>
        <v/>
      </c>
      <c r="R141" s="122">
        <f>P141*0.2</f>
        <v/>
      </c>
      <c r="S141" s="122">
        <f>Q141*0.8</f>
        <v/>
      </c>
      <c r="T141" s="133" t="n">
        <v>0.55</v>
      </c>
    </row>
    <row r="142" hidden="1" s="2">
      <c r="A142" s="175" t="inlineStr">
        <is>
          <t>осень</t>
        </is>
      </c>
      <c r="B142" s="176" t="inlineStr">
        <is>
          <t>Технология кузнечно-штамповочного производства</t>
        </is>
      </c>
      <c r="C142" s="176" t="inlineStr">
        <is>
          <t>Консультация</t>
        </is>
      </c>
      <c r="D142" s="176" t="inlineStr">
        <is>
          <t>Т11О-401Б-20</t>
        </is>
      </c>
      <c r="E142" s="177" t="n">
        <v>1</v>
      </c>
      <c r="F142" s="176" t="inlineStr">
        <is>
          <t>11924</t>
        </is>
      </c>
      <c r="G142" s="178" t="n"/>
      <c r="H142" s="176" t="inlineStr">
        <is>
          <t>81729</t>
        </is>
      </c>
      <c r="I142" s="176" t="inlineStr">
        <is>
          <t>Соколов Алексей Викторович</t>
        </is>
      </c>
      <c r="J142" s="176" t="n"/>
      <c r="K142" s="176" t="inlineStr">
        <is>
          <t>Нет</t>
        </is>
      </c>
      <c r="L142" s="176" t="n"/>
      <c r="M142" s="176" t="n"/>
      <c r="N142" s="179">
        <f>SUMIFS($E$2:$E$896,$A$2:$A$896,"осень",$I$2:$I$896,I142)</f>
        <v/>
      </c>
      <c r="O142" s="179">
        <f>SUMIFS($E$2:$E$896,$A$2:$A$896,"весна",$I$2:$I$896,I142)</f>
        <v/>
      </c>
      <c r="P142" s="180">
        <f>N142+O142</f>
        <v/>
      </c>
      <c r="Q142" s="181">
        <f>P142/$Q$1</f>
        <v/>
      </c>
      <c r="R142" s="122">
        <f>P142*0.2</f>
        <v/>
      </c>
      <c r="S142" s="122">
        <f>Q142*0.8</f>
        <v/>
      </c>
      <c r="T142" s="133" t="n">
        <v>0.55</v>
      </c>
    </row>
    <row r="143" hidden="1" s="2">
      <c r="A143" s="175" t="inlineStr">
        <is>
          <t>осень</t>
        </is>
      </c>
      <c r="B143" s="176" t="inlineStr">
        <is>
          <t>Технологии конструкционных материалов</t>
        </is>
      </c>
      <c r="C143" s="176" t="inlineStr">
        <is>
          <t>ЛК</t>
        </is>
      </c>
      <c r="D143" s="176" t="inlineStr">
        <is>
          <t>Т11О-201Б-22, Т11О-202Б-22, Т11О-203Б-22</t>
        </is>
      </c>
      <c r="E143" s="177" t="n">
        <v>18</v>
      </c>
      <c r="F143" s="176" t="inlineStr">
        <is>
          <t>16107</t>
        </is>
      </c>
      <c r="G143" s="177" t="n">
        <v>18</v>
      </c>
      <c r="H143" s="176" t="inlineStr">
        <is>
          <t>82020</t>
        </is>
      </c>
      <c r="I143" s="176" t="inlineStr">
        <is>
          <t>Варфоломеев Максим Сергеевич</t>
        </is>
      </c>
      <c r="J143" s="176" t="n"/>
      <c r="K143" s="176" t="inlineStr">
        <is>
          <t>Нет</t>
        </is>
      </c>
      <c r="L143" s="176" t="n"/>
      <c r="M143" s="176" t="n"/>
      <c r="N143" s="179">
        <f>SUMIFS($E$2:$E$896,$A$2:$A$896,"осень",$I$2:$I$896,I143)</f>
        <v/>
      </c>
      <c r="O143" s="179">
        <f>SUMIFS($E$2:$E$896,$A$2:$A$896,"весна",$I$2:$I$896,I143)</f>
        <v/>
      </c>
      <c r="P143" s="180">
        <f>N143+O143</f>
        <v/>
      </c>
      <c r="Q143" s="181">
        <f>P143/$Q$1</f>
        <v/>
      </c>
      <c r="R143" s="122">
        <f>P143*0.2</f>
        <v/>
      </c>
      <c r="S143" s="122">
        <f>Q143*0.8</f>
        <v/>
      </c>
      <c r="T143" s="133" t="n">
        <v>0.7</v>
      </c>
    </row>
    <row r="144" hidden="1" s="2">
      <c r="A144" s="175" t="inlineStr">
        <is>
          <t>осень</t>
        </is>
      </c>
      <c r="B144" s="176" t="inlineStr">
        <is>
          <t>Технологии конструкционных материалов</t>
        </is>
      </c>
      <c r="C144" s="176" t="inlineStr">
        <is>
          <t>ПЗ</t>
        </is>
      </c>
      <c r="D144" s="176" t="inlineStr">
        <is>
          <t>Т11О-201Б-22</t>
        </is>
      </c>
      <c r="E144" s="177" t="n">
        <v>18</v>
      </c>
      <c r="F144" s="176" t="inlineStr">
        <is>
          <t>16107</t>
        </is>
      </c>
      <c r="G144" s="177" t="n">
        <v>18</v>
      </c>
      <c r="H144" s="176" t="inlineStr">
        <is>
          <t>82020</t>
        </is>
      </c>
      <c r="I144" s="176" t="inlineStr">
        <is>
          <t>Варфоломеев Максим Сергеевич</t>
        </is>
      </c>
      <c r="J144" s="176" t="n"/>
      <c r="K144" s="176" t="inlineStr">
        <is>
          <t>Нет</t>
        </is>
      </c>
      <c r="L144" s="176" t="n"/>
      <c r="M144" s="176" t="n"/>
      <c r="N144" s="179">
        <f>SUMIFS($E$2:$E$896,$A$2:$A$896,"осень",$I$2:$I$896,I144)</f>
        <v/>
      </c>
      <c r="O144" s="179">
        <f>SUMIFS($E$2:$E$896,$A$2:$A$896,"весна",$I$2:$I$896,I144)</f>
        <v/>
      </c>
      <c r="P144" s="180">
        <f>N144+O144</f>
        <v/>
      </c>
      <c r="Q144" s="181">
        <f>P144/$Q$1</f>
        <v/>
      </c>
      <c r="R144" s="122">
        <f>P144*0.2</f>
        <v/>
      </c>
      <c r="S144" s="122">
        <f>Q144*0.8</f>
        <v/>
      </c>
      <c r="T144" s="133" t="n">
        <v>0.7</v>
      </c>
    </row>
    <row r="145" hidden="1" s="2">
      <c r="A145" s="175" t="inlineStr">
        <is>
          <t>осень</t>
        </is>
      </c>
      <c r="B145" s="176" t="inlineStr">
        <is>
          <t>Технологии конструкционных материалов</t>
        </is>
      </c>
      <c r="C145" s="176" t="inlineStr">
        <is>
          <t>ПЗ</t>
        </is>
      </c>
      <c r="D145" s="176" t="inlineStr">
        <is>
          <t>Т11О-203Б-22</t>
        </is>
      </c>
      <c r="E145" s="177" t="n">
        <v>18</v>
      </c>
      <c r="F145" s="176" t="inlineStr">
        <is>
          <t>16107</t>
        </is>
      </c>
      <c r="G145" s="177" t="n">
        <v>18</v>
      </c>
      <c r="H145" s="176" t="inlineStr">
        <is>
          <t>82020</t>
        </is>
      </c>
      <c r="I145" s="176" t="inlineStr">
        <is>
          <t>Варфоломеев Максим Сергеевич</t>
        </is>
      </c>
      <c r="J145" s="176" t="n"/>
      <c r="K145" s="176" t="inlineStr">
        <is>
          <t>Нет</t>
        </is>
      </c>
      <c r="L145" s="176" t="n"/>
      <c r="M145" s="176" t="n"/>
      <c r="N145" s="179">
        <f>SUMIFS($E$2:$E$896,$A$2:$A$896,"осень",$I$2:$I$896,I145)</f>
        <v/>
      </c>
      <c r="O145" s="179">
        <f>SUMIFS($E$2:$E$896,$A$2:$A$896,"весна",$I$2:$I$896,I145)</f>
        <v/>
      </c>
      <c r="P145" s="180">
        <f>N145+O145</f>
        <v/>
      </c>
      <c r="Q145" s="181">
        <f>P145/$Q$1</f>
        <v/>
      </c>
      <c r="R145" s="122">
        <f>P145*0.2</f>
        <v/>
      </c>
      <c r="S145" s="122">
        <f>Q145*0.8</f>
        <v/>
      </c>
      <c r="T145" s="133" t="n">
        <v>0.7</v>
      </c>
    </row>
    <row r="146" hidden="1" s="2">
      <c r="A146" s="175" t="inlineStr">
        <is>
          <t>осень</t>
        </is>
      </c>
      <c r="B146" s="176" t="inlineStr">
        <is>
          <t>Технологии конструкционных материалов</t>
        </is>
      </c>
      <c r="C146" s="176" t="inlineStr">
        <is>
          <t>ПЗ</t>
        </is>
      </c>
      <c r="D146" s="176" t="inlineStr">
        <is>
          <t>Т11О-202Б-22</t>
        </is>
      </c>
      <c r="E146" s="177" t="n">
        <v>18</v>
      </c>
      <c r="F146" s="176" t="inlineStr">
        <is>
          <t>16107</t>
        </is>
      </c>
      <c r="G146" s="177" t="n">
        <v>18</v>
      </c>
      <c r="H146" s="176" t="inlineStr">
        <is>
          <t>82020</t>
        </is>
      </c>
      <c r="I146" s="176" t="inlineStr">
        <is>
          <t>Варфоломеев Максим Сергеевич</t>
        </is>
      </c>
      <c r="J146" s="176" t="n"/>
      <c r="K146" s="176" t="inlineStr">
        <is>
          <t>Нет</t>
        </is>
      </c>
      <c r="L146" s="176" t="n"/>
      <c r="M146" s="176" t="n"/>
      <c r="N146" s="179">
        <f>SUMIFS($E$2:$E$896,$A$2:$A$896,"осень",$I$2:$I$896,I146)</f>
        <v/>
      </c>
      <c r="O146" s="179">
        <f>SUMIFS($E$2:$E$896,$A$2:$A$896,"весна",$I$2:$I$896,I146)</f>
        <v/>
      </c>
      <c r="P146" s="180">
        <f>N146+O146</f>
        <v/>
      </c>
      <c r="Q146" s="181">
        <f>P146/$Q$1</f>
        <v/>
      </c>
      <c r="R146" s="122">
        <f>P146*0.2</f>
        <v/>
      </c>
      <c r="S146" s="122">
        <f>Q146*0.8</f>
        <v/>
      </c>
      <c r="T146" s="133" t="n">
        <v>0.7</v>
      </c>
    </row>
    <row r="147" hidden="1" s="2">
      <c r="A147" s="175" t="inlineStr">
        <is>
          <t>осень</t>
        </is>
      </c>
      <c r="B147" s="176" t="inlineStr">
        <is>
          <t>Технологии конструкционных материалов</t>
        </is>
      </c>
      <c r="C147" s="176" t="inlineStr">
        <is>
          <t>Зачет</t>
        </is>
      </c>
      <c r="D147" s="176" t="inlineStr">
        <is>
          <t>Т11О-201Б-22</t>
        </is>
      </c>
      <c r="E147" s="177" t="n">
        <v>2</v>
      </c>
      <c r="F147" s="176" t="inlineStr">
        <is>
          <t>16107</t>
        </is>
      </c>
      <c r="G147" s="178" t="n"/>
      <c r="H147" s="176" t="inlineStr">
        <is>
          <t>82020</t>
        </is>
      </c>
      <c r="I147" s="176" t="inlineStr">
        <is>
          <t>Варфоломеев Максим Сергеевич</t>
        </is>
      </c>
      <c r="J147" s="176" t="n"/>
      <c r="K147" s="176" t="inlineStr">
        <is>
          <t>Нет</t>
        </is>
      </c>
      <c r="L147" s="176" t="n"/>
      <c r="M147" s="176" t="n"/>
      <c r="N147" s="179">
        <f>SUMIFS($E$2:$E$896,$A$2:$A$896,"осень",$I$2:$I$896,I147)</f>
        <v/>
      </c>
      <c r="O147" s="179">
        <f>SUMIFS($E$2:$E$896,$A$2:$A$896,"весна",$I$2:$I$896,I147)</f>
        <v/>
      </c>
      <c r="P147" s="180">
        <f>N147+O147</f>
        <v/>
      </c>
      <c r="Q147" s="181">
        <f>P147/$Q$1</f>
        <v/>
      </c>
      <c r="R147" s="122">
        <f>P147*0.2</f>
        <v/>
      </c>
      <c r="S147" s="122">
        <f>Q147*0.8</f>
        <v/>
      </c>
      <c r="T147" s="133" t="n">
        <v>0.7</v>
      </c>
    </row>
    <row r="148">
      <c r="A148" s="175" t="inlineStr">
        <is>
          <t>осень</t>
        </is>
      </c>
      <c r="B148" s="176" t="inlineStr">
        <is>
          <t>Технологии конструкционных материалов</t>
        </is>
      </c>
      <c r="C148" s="176" t="inlineStr">
        <is>
          <t>Зачет</t>
        </is>
      </c>
      <c r="D148" s="176" t="inlineStr">
        <is>
          <t>Т11О-201Б-22</t>
        </is>
      </c>
      <c r="E148" s="177" t="n">
        <v>1</v>
      </c>
      <c r="F148" s="176" t="inlineStr">
        <is>
          <t>16107</t>
        </is>
      </c>
      <c r="G148" s="178" t="n"/>
      <c r="H148" s="176" t="n"/>
      <c r="I148" s="176" t="inlineStr">
        <is>
          <t>э-резерв</t>
        </is>
      </c>
      <c r="J148" s="176" t="n"/>
      <c r="K148" s="176" t="inlineStr">
        <is>
          <t>Нет</t>
        </is>
      </c>
      <c r="L148" s="176" t="n"/>
      <c r="M148" s="176" t="n"/>
      <c r="N148" s="179">
        <f>SUMIFS($E$2:$E$896,$A$2:$A$896,"осень",$I$2:$I$896,I148)</f>
        <v/>
      </c>
      <c r="O148" s="179">
        <f>SUMIFS($E$2:$E$896,$A$2:$A$896,"весна",$I$2:$I$896,I148)</f>
        <v/>
      </c>
      <c r="P148" s="180">
        <f>N148+O148</f>
        <v/>
      </c>
      <c r="Q148" s="181">
        <f>P148/$Q$1</f>
        <v/>
      </c>
      <c r="R148" s="122">
        <f>P148*0.2</f>
        <v/>
      </c>
      <c r="S148" s="122">
        <f>Q148*0.8</f>
        <v/>
      </c>
      <c r="T148" s="133" t="n">
        <v>0</v>
      </c>
    </row>
    <row r="149" hidden="1" s="2">
      <c r="A149" s="175" t="inlineStr">
        <is>
          <t>осень</t>
        </is>
      </c>
      <c r="B149" s="176" t="inlineStr">
        <is>
          <t>Технологии конструкционных материалов</t>
        </is>
      </c>
      <c r="C149" s="176" t="inlineStr">
        <is>
          <t>Зачет</t>
        </is>
      </c>
      <c r="D149" s="176" t="inlineStr">
        <is>
          <t>Т11О-203Б-22</t>
        </is>
      </c>
      <c r="E149" s="177" t="n">
        <v>3</v>
      </c>
      <c r="F149" s="176" t="inlineStr">
        <is>
          <t>16107</t>
        </is>
      </c>
      <c r="G149" s="178" t="n"/>
      <c r="H149" s="176" t="inlineStr">
        <is>
          <t>82020</t>
        </is>
      </c>
      <c r="I149" s="176" t="inlineStr">
        <is>
          <t>Варфоломеев Максим Сергеевич</t>
        </is>
      </c>
      <c r="J149" s="176" t="n"/>
      <c r="K149" s="176" t="inlineStr">
        <is>
          <t>Нет</t>
        </is>
      </c>
      <c r="L149" s="176" t="n"/>
      <c r="M149" s="176" t="n"/>
      <c r="N149" s="179">
        <f>SUMIFS($E$2:$E$896,$A$2:$A$896,"осень",$I$2:$I$896,I149)</f>
        <v/>
      </c>
      <c r="O149" s="179">
        <f>SUMIFS($E$2:$E$896,$A$2:$A$896,"весна",$I$2:$I$896,I149)</f>
        <v/>
      </c>
      <c r="P149" s="180">
        <f>N149+O149</f>
        <v/>
      </c>
      <c r="Q149" s="181">
        <f>P149/$Q$1</f>
        <v/>
      </c>
      <c r="R149" s="122">
        <f>P149*0.2</f>
        <v/>
      </c>
      <c r="S149" s="122">
        <f>Q149*0.8</f>
        <v/>
      </c>
      <c r="T149" s="133" t="n">
        <v>0.7</v>
      </c>
    </row>
    <row r="150">
      <c r="A150" s="175" t="inlineStr">
        <is>
          <t>осень</t>
        </is>
      </c>
      <c r="B150" s="176" t="inlineStr">
        <is>
          <t>Технологии конструкционных материалов</t>
        </is>
      </c>
      <c r="C150" s="176" t="inlineStr">
        <is>
          <t>Зачет</t>
        </is>
      </c>
      <c r="D150" s="176" t="inlineStr">
        <is>
          <t>Т11О-203Б-22</t>
        </is>
      </c>
      <c r="E150" s="177" t="n">
        <v>1</v>
      </c>
      <c r="F150" s="176" t="inlineStr">
        <is>
          <t>16107</t>
        </is>
      </c>
      <c r="G150" s="178" t="n"/>
      <c r="H150" s="176" t="n"/>
      <c r="I150" s="176" t="inlineStr">
        <is>
          <t>э-резерв</t>
        </is>
      </c>
      <c r="J150" s="176" t="n"/>
      <c r="K150" s="176" t="inlineStr">
        <is>
          <t>Нет</t>
        </is>
      </c>
      <c r="L150" s="176" t="n"/>
      <c r="M150" s="176" t="n"/>
      <c r="N150" s="179">
        <f>SUMIFS($E$2:$E$896,$A$2:$A$896,"осень",$I$2:$I$896,I150)</f>
        <v/>
      </c>
      <c r="O150" s="179">
        <f>SUMIFS($E$2:$E$896,$A$2:$A$896,"весна",$I$2:$I$896,I150)</f>
        <v/>
      </c>
      <c r="P150" s="180">
        <f>N150+O150</f>
        <v/>
      </c>
      <c r="Q150" s="181">
        <f>P150/$Q$1</f>
        <v/>
      </c>
      <c r="R150" s="122">
        <f>P150*0.2</f>
        <v/>
      </c>
      <c r="S150" s="122">
        <f>Q150*0.8</f>
        <v/>
      </c>
      <c r="T150" s="133" t="n">
        <v>0</v>
      </c>
    </row>
    <row r="151" hidden="1" s="2">
      <c r="A151" s="175" t="inlineStr">
        <is>
          <t>осень</t>
        </is>
      </c>
      <c r="B151" s="176" t="inlineStr">
        <is>
          <t>Технологии конструкционных материалов</t>
        </is>
      </c>
      <c r="C151" s="176" t="inlineStr">
        <is>
          <t>Зачет</t>
        </is>
      </c>
      <c r="D151" s="176" t="inlineStr">
        <is>
          <t>Т11О-202Б-22</t>
        </is>
      </c>
      <c r="E151" s="177" t="n">
        <v>3</v>
      </c>
      <c r="F151" s="176" t="inlineStr">
        <is>
          <t>16107</t>
        </is>
      </c>
      <c r="G151" s="178" t="n"/>
      <c r="H151" s="176" t="inlineStr">
        <is>
          <t>82020</t>
        </is>
      </c>
      <c r="I151" s="176" t="inlineStr">
        <is>
          <t>Варфоломеев Максим Сергеевич</t>
        </is>
      </c>
      <c r="J151" s="176" t="n"/>
      <c r="K151" s="176" t="inlineStr">
        <is>
          <t>Нет</t>
        </is>
      </c>
      <c r="L151" s="176" t="n"/>
      <c r="M151" s="176" t="n"/>
      <c r="N151" s="179">
        <f>SUMIFS($E$2:$E$896,$A$2:$A$896,"осень",$I$2:$I$896,I151)</f>
        <v/>
      </c>
      <c r="O151" s="179">
        <f>SUMIFS($E$2:$E$896,$A$2:$A$896,"весна",$I$2:$I$896,I151)</f>
        <v/>
      </c>
      <c r="P151" s="180">
        <f>N151+O151</f>
        <v/>
      </c>
      <c r="Q151" s="181">
        <f>P151/$Q$1</f>
        <v/>
      </c>
      <c r="R151" s="122">
        <f>P151*0.2</f>
        <v/>
      </c>
      <c r="S151" s="122">
        <f>Q151*0.8</f>
        <v/>
      </c>
      <c r="T151" s="133" t="n">
        <v>0.7</v>
      </c>
    </row>
    <row r="152">
      <c r="A152" s="175" t="inlineStr">
        <is>
          <t>осень</t>
        </is>
      </c>
      <c r="B152" s="176" t="inlineStr">
        <is>
          <t>Технологии конструкционных материалов</t>
        </is>
      </c>
      <c r="C152" s="176" t="inlineStr">
        <is>
          <t>Зачет</t>
        </is>
      </c>
      <c r="D152" s="176" t="inlineStr">
        <is>
          <t>Т11О-202Б-22</t>
        </is>
      </c>
      <c r="E152" s="177" t="n">
        <v>1</v>
      </c>
      <c r="F152" s="176" t="inlineStr">
        <is>
          <t>16107</t>
        </is>
      </c>
      <c r="G152" s="178" t="n"/>
      <c r="H152" s="176" t="n"/>
      <c r="I152" s="176" t="inlineStr">
        <is>
          <t>э-резерв</t>
        </is>
      </c>
      <c r="J152" s="176" t="n"/>
      <c r="K152" s="176" t="inlineStr">
        <is>
          <t>Нет</t>
        </is>
      </c>
      <c r="L152" s="176" t="n"/>
      <c r="M152" s="176" t="n"/>
      <c r="N152" s="179">
        <f>SUMIFS($E$2:$E$896,$A$2:$A$896,"осень",$I$2:$I$896,I152)</f>
        <v/>
      </c>
      <c r="O152" s="179">
        <f>SUMIFS($E$2:$E$896,$A$2:$A$896,"весна",$I$2:$I$896,I152)</f>
        <v/>
      </c>
      <c r="P152" s="180">
        <f>N152+O152</f>
        <v/>
      </c>
      <c r="Q152" s="181">
        <f>P152/$Q$1</f>
        <v/>
      </c>
      <c r="R152" s="122">
        <f>P152*0.2</f>
        <v/>
      </c>
      <c r="S152" s="122">
        <f>Q152*0.8</f>
        <v/>
      </c>
      <c r="T152" s="133" t="n">
        <v>0</v>
      </c>
    </row>
    <row r="153" hidden="1" s="2">
      <c r="A153" s="175" t="inlineStr">
        <is>
          <t>осень</t>
        </is>
      </c>
      <c r="B153" s="176" t="inlineStr">
        <is>
          <t>Технологии конструкционных материалов</t>
        </is>
      </c>
      <c r="C153" s="176" t="inlineStr">
        <is>
          <t>Консультация</t>
        </is>
      </c>
      <c r="D153" s="176" t="inlineStr">
        <is>
          <t>Т11О-201Б-22</t>
        </is>
      </c>
      <c r="E153" s="177" t="n">
        <v>1</v>
      </c>
      <c r="F153" s="176" t="inlineStr">
        <is>
          <t>16107</t>
        </is>
      </c>
      <c r="G153" s="178" t="n"/>
      <c r="H153" s="176" t="inlineStr">
        <is>
          <t>82020</t>
        </is>
      </c>
      <c r="I153" s="176" t="inlineStr">
        <is>
          <t>Варфоломеев Максим Сергеевич</t>
        </is>
      </c>
      <c r="J153" s="176" t="n"/>
      <c r="K153" s="176" t="inlineStr">
        <is>
          <t>Нет</t>
        </is>
      </c>
      <c r="L153" s="176" t="n"/>
      <c r="M153" s="176" t="n"/>
      <c r="N153" s="179">
        <f>SUMIFS($E$2:$E$896,$A$2:$A$896,"осень",$I$2:$I$896,I153)</f>
        <v/>
      </c>
      <c r="O153" s="179">
        <f>SUMIFS($E$2:$E$896,$A$2:$A$896,"весна",$I$2:$I$896,I153)</f>
        <v/>
      </c>
      <c r="P153" s="180">
        <f>N153+O153</f>
        <v/>
      </c>
      <c r="Q153" s="181">
        <f>P153/$Q$1</f>
        <v/>
      </c>
      <c r="R153" s="122">
        <f>P153*0.2</f>
        <v/>
      </c>
      <c r="S153" s="122">
        <f>Q153*0.8</f>
        <v/>
      </c>
      <c r="T153" s="133" t="n">
        <v>0.7</v>
      </c>
    </row>
    <row r="154" hidden="1" s="2">
      <c r="A154" s="175" t="inlineStr">
        <is>
          <t>осень</t>
        </is>
      </c>
      <c r="B154" s="176" t="inlineStr">
        <is>
          <t>Технологии конструкционных материалов</t>
        </is>
      </c>
      <c r="C154" s="176" t="inlineStr">
        <is>
          <t>Консультация</t>
        </is>
      </c>
      <c r="D154" s="176" t="inlineStr">
        <is>
          <t>Т11О-203Б-22</t>
        </is>
      </c>
      <c r="E154" s="177" t="n">
        <v>1</v>
      </c>
      <c r="F154" s="176" t="inlineStr">
        <is>
          <t>16107</t>
        </is>
      </c>
      <c r="G154" s="178" t="n"/>
      <c r="H154" s="176" t="inlineStr">
        <is>
          <t>82020</t>
        </is>
      </c>
      <c r="I154" s="176" t="inlineStr">
        <is>
          <t>Варфоломеев Максим Сергеевич</t>
        </is>
      </c>
      <c r="J154" s="176" t="n"/>
      <c r="K154" s="176" t="inlineStr">
        <is>
          <t>Нет</t>
        </is>
      </c>
      <c r="L154" s="176" t="n"/>
      <c r="M154" s="176" t="n"/>
      <c r="N154" s="179">
        <f>SUMIFS($E$2:$E$896,$A$2:$A$896,"осень",$I$2:$I$896,I154)</f>
        <v/>
      </c>
      <c r="O154" s="179">
        <f>SUMIFS($E$2:$E$896,$A$2:$A$896,"весна",$I$2:$I$896,I154)</f>
        <v/>
      </c>
      <c r="P154" s="180">
        <f>N154+O154</f>
        <v/>
      </c>
      <c r="Q154" s="181">
        <f>P154/$Q$1</f>
        <v/>
      </c>
      <c r="R154" s="122">
        <f>P154*0.2</f>
        <v/>
      </c>
      <c r="S154" s="122">
        <f>Q154*0.8</f>
        <v/>
      </c>
      <c r="T154" s="133" t="n">
        <v>0.7</v>
      </c>
    </row>
    <row r="155" hidden="1" s="2">
      <c r="A155" s="175" t="inlineStr">
        <is>
          <t>осень</t>
        </is>
      </c>
      <c r="B155" s="176" t="inlineStr">
        <is>
          <t>Технологии конструкционных материалов</t>
        </is>
      </c>
      <c r="C155" s="176" t="inlineStr">
        <is>
          <t>Консультация</t>
        </is>
      </c>
      <c r="D155" s="176" t="inlineStr">
        <is>
          <t>Т11О-202Б-22</t>
        </is>
      </c>
      <c r="E155" s="177" t="n">
        <v>1</v>
      </c>
      <c r="F155" s="176" t="inlineStr">
        <is>
          <t>16107</t>
        </is>
      </c>
      <c r="G155" s="178" t="n"/>
      <c r="H155" s="176" t="inlineStr">
        <is>
          <t>82020</t>
        </is>
      </c>
      <c r="I155" s="176" t="inlineStr">
        <is>
          <t>Варфоломеев Максим Сергеевич</t>
        </is>
      </c>
      <c r="J155" s="176" t="n"/>
      <c r="K155" s="176" t="inlineStr">
        <is>
          <t>Нет</t>
        </is>
      </c>
      <c r="L155" s="176" t="n"/>
      <c r="M155" s="176" t="n"/>
      <c r="N155" s="179">
        <f>SUMIFS($E$2:$E$896,$A$2:$A$896,"осень",$I$2:$I$896,I155)</f>
        <v/>
      </c>
      <c r="O155" s="179">
        <f>SUMIFS($E$2:$E$896,$A$2:$A$896,"весна",$I$2:$I$896,I155)</f>
        <v/>
      </c>
      <c r="P155" s="180">
        <f>N155+O155</f>
        <v/>
      </c>
      <c r="Q155" s="181">
        <f>P155/$Q$1</f>
        <v/>
      </c>
      <c r="R155" s="122">
        <f>P155*0.2</f>
        <v/>
      </c>
      <c r="S155" s="122">
        <f>Q155*0.8</f>
        <v/>
      </c>
      <c r="T155" s="133" t="n">
        <v>0.7</v>
      </c>
    </row>
    <row r="156" hidden="1" s="2">
      <c r="A156" s="175" t="inlineStr">
        <is>
          <t>осень</t>
        </is>
      </c>
      <c r="B156" s="176" t="inlineStr">
        <is>
          <t>Производство отливок из легких сплавов</t>
        </is>
      </c>
      <c r="C156" s="176" t="inlineStr">
        <is>
          <t>ЛК</t>
        </is>
      </c>
      <c r="D156" s="176" t="inlineStr">
        <is>
          <t>Т11О-202М-22</t>
        </is>
      </c>
      <c r="E156" s="177" t="n">
        <v>20</v>
      </c>
      <c r="F156" s="176" t="inlineStr">
        <is>
          <t>16103</t>
        </is>
      </c>
      <c r="G156" s="177" t="n">
        <v>20</v>
      </c>
      <c r="H156" s="176" t="inlineStr">
        <is>
          <t>82020</t>
        </is>
      </c>
      <c r="I156" s="176" t="inlineStr">
        <is>
          <t>Бобрышев Борис Леонидович</t>
        </is>
      </c>
      <c r="J156" s="176" t="n"/>
      <c r="K156" s="176" t="inlineStr">
        <is>
          <t>Нет</t>
        </is>
      </c>
      <c r="L156" s="176" t="n"/>
      <c r="M156" s="176" t="n"/>
      <c r="N156" s="179">
        <f>SUMIFS($E$2:$E$896,$A$2:$A$896,"осень",$I$2:$I$896,I156)</f>
        <v/>
      </c>
      <c r="O156" s="179">
        <f>SUMIFS($E$2:$E$896,$A$2:$A$896,"весна",$I$2:$I$896,I156)</f>
        <v/>
      </c>
      <c r="P156" s="180">
        <f>N156+O156</f>
        <v/>
      </c>
      <c r="Q156" s="181">
        <f>P156/$Q$1</f>
        <v/>
      </c>
      <c r="R156" s="122">
        <f>P156*0.2</f>
        <v/>
      </c>
      <c r="S156" s="122">
        <f>Q156*0.8</f>
        <v/>
      </c>
      <c r="T156" s="133" t="n">
        <v>0.7</v>
      </c>
    </row>
    <row r="157" hidden="1" s="2">
      <c r="A157" s="175" t="inlineStr">
        <is>
          <t>осень</t>
        </is>
      </c>
      <c r="B157" s="176" t="inlineStr">
        <is>
          <t>Производство отливок из легких сплавов</t>
        </is>
      </c>
      <c r="C157" s="176" t="inlineStr">
        <is>
          <t>КР</t>
        </is>
      </c>
      <c r="D157" s="176" t="inlineStr">
        <is>
          <t>Т11О-202М-22</t>
        </is>
      </c>
      <c r="E157" s="177" t="n">
        <v>14</v>
      </c>
      <c r="F157" s="176" t="inlineStr">
        <is>
          <t>16103</t>
        </is>
      </c>
      <c r="G157" s="178" t="n"/>
      <c r="H157" s="176" t="inlineStr">
        <is>
          <t>82020</t>
        </is>
      </c>
      <c r="I157" s="176" t="inlineStr">
        <is>
          <t>Бобрышев Борис Леонидович</t>
        </is>
      </c>
      <c r="J157" s="176" t="n"/>
      <c r="K157" s="176" t="inlineStr">
        <is>
          <t>Нет</t>
        </is>
      </c>
      <c r="L157" s="176" t="n"/>
      <c r="M157" s="176" t="n"/>
      <c r="N157" s="179">
        <f>SUMIFS($E$2:$E$896,$A$2:$A$896,"осень",$I$2:$I$896,I157)</f>
        <v/>
      </c>
      <c r="O157" s="179">
        <f>SUMIFS($E$2:$E$896,$A$2:$A$896,"весна",$I$2:$I$896,I157)</f>
        <v/>
      </c>
      <c r="P157" s="180">
        <f>N157+O157</f>
        <v/>
      </c>
      <c r="Q157" s="181">
        <f>P157/$Q$1</f>
        <v/>
      </c>
      <c r="R157" s="122">
        <f>P157*0.2</f>
        <v/>
      </c>
      <c r="S157" s="122">
        <f>Q157*0.8</f>
        <v/>
      </c>
      <c r="T157" s="133" t="n">
        <v>0.7</v>
      </c>
    </row>
    <row r="158" hidden="1" s="2">
      <c r="A158" s="175" t="inlineStr">
        <is>
          <t>осень</t>
        </is>
      </c>
      <c r="B158" s="176" t="inlineStr">
        <is>
          <t>Производство отливок из легких сплавов</t>
        </is>
      </c>
      <c r="C158" s="176" t="inlineStr">
        <is>
          <t>Зачет с оценкой</t>
        </is>
      </c>
      <c r="D158" s="176" t="inlineStr">
        <is>
          <t>Т11О-202М-22</t>
        </is>
      </c>
      <c r="E158" s="177" t="n">
        <v>2</v>
      </c>
      <c r="F158" s="176" t="inlineStr">
        <is>
          <t>16103</t>
        </is>
      </c>
      <c r="G158" s="178" t="n"/>
      <c r="H158" s="176" t="inlineStr">
        <is>
          <t>82020</t>
        </is>
      </c>
      <c r="I158" s="176" t="inlineStr">
        <is>
          <t>Бобрышев Борис Леонидович</t>
        </is>
      </c>
      <c r="J158" s="176" t="n"/>
      <c r="K158" s="176" t="inlineStr">
        <is>
          <t>Нет</t>
        </is>
      </c>
      <c r="L158" s="176" t="n"/>
      <c r="M158" s="176" t="n"/>
      <c r="N158" s="179">
        <f>SUMIFS($E$2:$E$896,$A$2:$A$896,"осень",$I$2:$I$896,I158)</f>
        <v/>
      </c>
      <c r="O158" s="179">
        <f>SUMIFS($E$2:$E$896,$A$2:$A$896,"весна",$I$2:$I$896,I158)</f>
        <v/>
      </c>
      <c r="P158" s="180">
        <f>N158+O158</f>
        <v/>
      </c>
      <c r="Q158" s="181">
        <f>P158/$Q$1</f>
        <v/>
      </c>
      <c r="R158" s="122">
        <f>P158*0.2</f>
        <v/>
      </c>
      <c r="S158" s="122">
        <f>Q158*0.8</f>
        <v/>
      </c>
      <c r="T158" s="133" t="n">
        <v>0.7</v>
      </c>
    </row>
    <row r="159" hidden="1" s="2">
      <c r="A159" s="175" t="inlineStr">
        <is>
          <t>осень</t>
        </is>
      </c>
      <c r="B159" s="176" t="inlineStr">
        <is>
          <t>Производство отливок из легких сплавов</t>
        </is>
      </c>
      <c r="C159" s="176" t="inlineStr">
        <is>
          <t>ПЗ</t>
        </is>
      </c>
      <c r="D159" s="176" t="inlineStr">
        <is>
          <t>Т11О-202М-22</t>
        </is>
      </c>
      <c r="E159" s="177" t="n">
        <v>12</v>
      </c>
      <c r="F159" s="176" t="inlineStr">
        <is>
          <t>16103</t>
        </is>
      </c>
      <c r="G159" s="177" t="n">
        <v>12</v>
      </c>
      <c r="H159" s="176" t="inlineStr">
        <is>
          <t>82020</t>
        </is>
      </c>
      <c r="I159" s="176" t="inlineStr">
        <is>
          <t>Бобрышев Борис Леонидович</t>
        </is>
      </c>
      <c r="J159" s="176" t="n"/>
      <c r="K159" s="176" t="inlineStr">
        <is>
          <t>Нет</t>
        </is>
      </c>
      <c r="L159" s="176" t="n"/>
      <c r="M159" s="176" t="n"/>
      <c r="N159" s="179">
        <f>SUMIFS($E$2:$E$896,$A$2:$A$896,"осень",$I$2:$I$896,I159)</f>
        <v/>
      </c>
      <c r="O159" s="179">
        <f>SUMIFS($E$2:$E$896,$A$2:$A$896,"весна",$I$2:$I$896,I159)</f>
        <v/>
      </c>
      <c r="P159" s="180">
        <f>N159+O159</f>
        <v/>
      </c>
      <c r="Q159" s="181">
        <f>P159/$Q$1</f>
        <v/>
      </c>
      <c r="R159" s="122">
        <f>P159*0.2</f>
        <v/>
      </c>
      <c r="S159" s="122">
        <f>Q159*0.8</f>
        <v/>
      </c>
      <c r="T159" s="133" t="n">
        <v>0.7</v>
      </c>
    </row>
    <row r="160" hidden="1" s="2">
      <c r="A160" s="175" t="inlineStr">
        <is>
          <t>осень</t>
        </is>
      </c>
      <c r="B160" s="176" t="inlineStr">
        <is>
          <t>Производство отливок из легких сплавов</t>
        </is>
      </c>
      <c r="C160" s="176" t="inlineStr">
        <is>
          <t>ЛР</t>
        </is>
      </c>
      <c r="D160" s="176" t="inlineStr">
        <is>
          <t>Т11О-202М-22</t>
        </is>
      </c>
      <c r="E160" s="177" t="n">
        <v>24</v>
      </c>
      <c r="F160" s="176" t="inlineStr">
        <is>
          <t>16103</t>
        </is>
      </c>
      <c r="G160" s="177" t="n">
        <v>24</v>
      </c>
      <c r="H160" s="176" t="inlineStr">
        <is>
          <t>82020</t>
        </is>
      </c>
      <c r="I160" s="176" t="inlineStr">
        <is>
          <t>Бобрышев Борис Леонидович</t>
        </is>
      </c>
      <c r="J160" s="176" t="n"/>
      <c r="K160" s="176" t="inlineStr">
        <is>
          <t>Нет</t>
        </is>
      </c>
      <c r="L160" s="176" t="n"/>
      <c r="M160" s="176" t="n"/>
      <c r="N160" s="179">
        <f>SUMIFS($E$2:$E$896,$A$2:$A$896,"осень",$I$2:$I$896,I160)</f>
        <v/>
      </c>
      <c r="O160" s="179">
        <f>SUMIFS($E$2:$E$896,$A$2:$A$896,"весна",$I$2:$I$896,I160)</f>
        <v/>
      </c>
      <c r="P160" s="180">
        <f>N160+O160</f>
        <v/>
      </c>
      <c r="Q160" s="181">
        <f>P160/$Q$1</f>
        <v/>
      </c>
      <c r="R160" s="122">
        <f>P160*0.2</f>
        <v/>
      </c>
      <c r="S160" s="122">
        <f>Q160*0.8</f>
        <v/>
      </c>
      <c r="T160" s="133" t="n">
        <v>0.7</v>
      </c>
    </row>
    <row r="161" hidden="1" s="2">
      <c r="A161" s="175" t="inlineStr">
        <is>
          <t>осень</t>
        </is>
      </c>
      <c r="B161" s="176" t="inlineStr">
        <is>
          <t>Производство отливок из легких сплавов</t>
        </is>
      </c>
      <c r="C161" s="176" t="inlineStr">
        <is>
          <t>Консультация</t>
        </is>
      </c>
      <c r="D161" s="176" t="inlineStr">
        <is>
          <t>Т11О-202М-22</t>
        </is>
      </c>
      <c r="E161" s="177" t="n">
        <v>1</v>
      </c>
      <c r="F161" s="176" t="inlineStr">
        <is>
          <t>16103</t>
        </is>
      </c>
      <c r="G161" s="178" t="n"/>
      <c r="H161" s="176" t="inlineStr">
        <is>
          <t>82020</t>
        </is>
      </c>
      <c r="I161" s="176" t="inlineStr">
        <is>
          <t>Бобрышев Борис Леонидович</t>
        </is>
      </c>
      <c r="J161" s="176" t="n"/>
      <c r="K161" s="176" t="inlineStr">
        <is>
          <t>Нет</t>
        </is>
      </c>
      <c r="L161" s="176" t="n"/>
      <c r="M161" s="176" t="n"/>
      <c r="N161" s="179">
        <f>SUMIFS($E$2:$E$896,$A$2:$A$896,"осень",$I$2:$I$896,I161)</f>
        <v/>
      </c>
      <c r="O161" s="179">
        <f>SUMIFS($E$2:$E$896,$A$2:$A$896,"весна",$I$2:$I$896,I161)</f>
        <v/>
      </c>
      <c r="P161" s="180">
        <f>N161+O161</f>
        <v/>
      </c>
      <c r="Q161" s="181">
        <f>P161/$Q$1</f>
        <v/>
      </c>
      <c r="R161" s="122">
        <f>P161*0.2</f>
        <v/>
      </c>
      <c r="S161" s="122">
        <f>Q161*0.8</f>
        <v/>
      </c>
      <c r="T161" s="133" t="n">
        <v>0.7</v>
      </c>
    </row>
    <row r="162" hidden="1" s="2">
      <c r="A162" s="175" t="inlineStr">
        <is>
          <t>осень</t>
        </is>
      </c>
      <c r="B162" s="176" t="inlineStr">
        <is>
          <t>САПР технологических процессов в литейном производстве</t>
        </is>
      </c>
      <c r="C162" s="176" t="inlineStr">
        <is>
          <t>ЛК</t>
        </is>
      </c>
      <c r="D162" s="176" t="inlineStr">
        <is>
          <t>Т11О-202М-22</t>
        </is>
      </c>
      <c r="E162" s="177" t="n">
        <v>14</v>
      </c>
      <c r="F162" s="176" t="inlineStr">
        <is>
          <t>16103</t>
        </is>
      </c>
      <c r="G162" s="177" t="n">
        <v>14</v>
      </c>
      <c r="H162" s="176" t="inlineStr">
        <is>
          <t>82061</t>
        </is>
      </c>
      <c r="I162" s="176" t="inlineStr">
        <is>
          <t>Моисеев Виктор Сергеевич</t>
        </is>
      </c>
      <c r="J162" s="176" t="n"/>
      <c r="K162" s="176" t="inlineStr">
        <is>
          <t>Да</t>
        </is>
      </c>
      <c r="L162" s="176" t="n"/>
      <c r="M162" s="176" t="n"/>
      <c r="N162" s="179">
        <f>SUMIFS($E$2:$E$896,$A$2:$A$896,"осень",$I$2:$I$896,I162)</f>
        <v/>
      </c>
      <c r="O162" s="179">
        <f>SUMIFS($E$2:$E$896,$A$2:$A$896,"весна",$I$2:$I$896,I162)</f>
        <v/>
      </c>
      <c r="P162" s="180">
        <f>N162+O162</f>
        <v/>
      </c>
      <c r="Q162" s="181">
        <f>P162/$Q$1</f>
        <v/>
      </c>
      <c r="R162" s="122">
        <f>P162*0.2</f>
        <v/>
      </c>
      <c r="S162" s="122">
        <f>Q162*0.8</f>
        <v/>
      </c>
      <c r="T162" s="133" t="n">
        <v>0.2</v>
      </c>
    </row>
    <row r="163" hidden="1" s="2">
      <c r="A163" s="175" t="inlineStr">
        <is>
          <t>осень</t>
        </is>
      </c>
      <c r="B163" s="182" t="inlineStr">
        <is>
          <t>САПР технологических процессов в литейном производстве</t>
        </is>
      </c>
      <c r="C163" s="182" t="inlineStr">
        <is>
          <t>КР</t>
        </is>
      </c>
      <c r="D163" s="182" t="inlineStr">
        <is>
          <t>Т11О-202М-22</t>
        </is>
      </c>
      <c r="E163" s="183" t="n">
        <v>14</v>
      </c>
      <c r="F163" s="182" t="inlineStr">
        <is>
          <t>16103</t>
        </is>
      </c>
      <c r="G163" s="187" t="n"/>
      <c r="H163" s="182" t="inlineStr">
        <is>
          <t>82061</t>
        </is>
      </c>
      <c r="I163" s="182" t="inlineStr">
        <is>
          <t>Моисеев Виктор Сергеевич</t>
        </is>
      </c>
      <c r="J163" s="176" t="n"/>
      <c r="K163" s="176" t="inlineStr">
        <is>
          <t>Да</t>
        </is>
      </c>
      <c r="L163" s="176" t="n"/>
      <c r="M163" s="176" t="n"/>
      <c r="N163" s="179">
        <f>SUMIFS($E$2:$E$896,$A$2:$A$896,"осень",$I$2:$I$896,I163)</f>
        <v/>
      </c>
      <c r="O163" s="179">
        <f>SUMIFS($E$2:$E$896,$A$2:$A$896,"весна",$I$2:$I$896,I163)</f>
        <v/>
      </c>
      <c r="P163" s="180">
        <f>N163+O163</f>
        <v/>
      </c>
      <c r="Q163" s="181">
        <f>P163/$Q$1</f>
        <v/>
      </c>
      <c r="R163" s="122">
        <f>P163*0.2</f>
        <v/>
      </c>
      <c r="S163" s="122">
        <f>Q163*0.8</f>
        <v/>
      </c>
      <c r="T163" s="133" t="n">
        <v>0.5</v>
      </c>
    </row>
    <row r="164" hidden="1" s="2">
      <c r="A164" s="175" t="inlineStr">
        <is>
          <t>осень</t>
        </is>
      </c>
      <c r="B164" s="176" t="inlineStr">
        <is>
          <t>САПР технологических процессов в литейном производстве</t>
        </is>
      </c>
      <c r="C164" s="176" t="inlineStr">
        <is>
          <t>ПЗ</t>
        </is>
      </c>
      <c r="D164" s="176" t="inlineStr">
        <is>
          <t>Т11О-202М-22</t>
        </is>
      </c>
      <c r="E164" s="177" t="n">
        <v>40</v>
      </c>
      <c r="F164" s="176" t="inlineStr">
        <is>
          <t>16103</t>
        </is>
      </c>
      <c r="G164" s="177" t="n">
        <v>40</v>
      </c>
      <c r="H164" s="176" t="inlineStr">
        <is>
          <t>82061</t>
        </is>
      </c>
      <c r="I164" s="176" t="inlineStr">
        <is>
          <t>Моисеев Виктор Сергеевич</t>
        </is>
      </c>
      <c r="J164" s="176" t="n"/>
      <c r="K164" s="176" t="inlineStr">
        <is>
          <t>Да</t>
        </is>
      </c>
      <c r="L164" s="176" t="n"/>
      <c r="M164" s="176" t="n"/>
      <c r="N164" s="179">
        <f>SUMIFS($E$2:$E$896,$A$2:$A$896,"осень",$I$2:$I$896,I164)</f>
        <v/>
      </c>
      <c r="O164" s="179">
        <f>SUMIFS($E$2:$E$896,$A$2:$A$896,"весна",$I$2:$I$896,I164)</f>
        <v/>
      </c>
      <c r="P164" s="180">
        <f>N164+O164</f>
        <v/>
      </c>
      <c r="Q164" s="181">
        <f>P164/$Q$1</f>
        <v/>
      </c>
      <c r="R164" s="122">
        <f>P164*0.2</f>
        <v/>
      </c>
      <c r="S164" s="122">
        <f>Q164*0.8</f>
        <v/>
      </c>
      <c r="T164" s="133" t="n">
        <v>0.2</v>
      </c>
    </row>
    <row r="165" hidden="1" s="2">
      <c r="A165" s="175" t="inlineStr">
        <is>
          <t>осень</t>
        </is>
      </c>
      <c r="B165" s="176" t="inlineStr">
        <is>
          <t>САПР технологических процессов в литейном производстве</t>
        </is>
      </c>
      <c r="C165" s="176" t="inlineStr">
        <is>
          <t>Экзамен</t>
        </is>
      </c>
      <c r="D165" s="176" t="inlineStr">
        <is>
          <t>Т11О-202М-22</t>
        </is>
      </c>
      <c r="E165" s="177" t="n">
        <v>4</v>
      </c>
      <c r="F165" s="176" t="inlineStr">
        <is>
          <t>16103</t>
        </is>
      </c>
      <c r="G165" s="178" t="n"/>
      <c r="H165" s="176" t="inlineStr">
        <is>
          <t>82061</t>
        </is>
      </c>
      <c r="I165" s="176" t="inlineStr">
        <is>
          <t>Моисеев Виктор Сергеевич</t>
        </is>
      </c>
      <c r="J165" s="176" t="n"/>
      <c r="K165" s="176" t="inlineStr">
        <is>
          <t>Да</t>
        </is>
      </c>
      <c r="L165" s="176" t="n"/>
      <c r="M165" s="176" t="n"/>
      <c r="N165" s="179">
        <f>SUMIFS($E$2:$E$896,$A$2:$A$896,"осень",$I$2:$I$896,I165)</f>
        <v/>
      </c>
      <c r="O165" s="179">
        <f>SUMIFS($E$2:$E$896,$A$2:$A$896,"весна",$I$2:$I$896,I165)</f>
        <v/>
      </c>
      <c r="P165" s="180">
        <f>N165+O165</f>
        <v/>
      </c>
      <c r="Q165" s="181">
        <f>P165/$Q$1</f>
        <v/>
      </c>
      <c r="R165" s="122">
        <f>P165*0.2</f>
        <v/>
      </c>
      <c r="S165" s="122">
        <f>Q165*0.8</f>
        <v/>
      </c>
      <c r="T165" s="133" t="n">
        <v>0.2</v>
      </c>
    </row>
    <row r="166" hidden="1" s="2">
      <c r="A166" s="175" t="inlineStr">
        <is>
          <t>осень</t>
        </is>
      </c>
      <c r="B166" s="176" t="inlineStr">
        <is>
          <t>САПР технологических процессов в литейном производстве</t>
        </is>
      </c>
      <c r="C166" s="176" t="inlineStr">
        <is>
          <t>Консультация</t>
        </is>
      </c>
      <c r="D166" s="176" t="inlineStr">
        <is>
          <t>Т11О-202М-22</t>
        </is>
      </c>
      <c r="E166" s="177" t="n">
        <v>2</v>
      </c>
      <c r="F166" s="176" t="inlineStr">
        <is>
          <t>16103</t>
        </is>
      </c>
      <c r="G166" s="178" t="n"/>
      <c r="H166" s="176" t="inlineStr">
        <is>
          <t>82061</t>
        </is>
      </c>
      <c r="I166" s="176" t="inlineStr">
        <is>
          <t>Моисеев Виктор Сергеевич</t>
        </is>
      </c>
      <c r="J166" s="176" t="n"/>
      <c r="K166" s="176" t="inlineStr">
        <is>
          <t>Да</t>
        </is>
      </c>
      <c r="L166" s="176" t="n"/>
      <c r="M166" s="176" t="n"/>
      <c r="N166" s="179">
        <f>SUMIFS($E$2:$E$896,$A$2:$A$896,"осень",$I$2:$I$896,I166)</f>
        <v/>
      </c>
      <c r="O166" s="179">
        <f>SUMIFS($E$2:$E$896,$A$2:$A$896,"весна",$I$2:$I$896,I166)</f>
        <v/>
      </c>
      <c r="P166" s="180">
        <f>N166+O166</f>
        <v/>
      </c>
      <c r="Q166" s="181">
        <f>P166/$Q$1</f>
        <v/>
      </c>
      <c r="R166" s="122">
        <f>P166*0.2</f>
        <v/>
      </c>
      <c r="S166" s="122">
        <f>Q166*0.8</f>
        <v/>
      </c>
      <c r="T166" s="133" t="n">
        <v>0.2</v>
      </c>
    </row>
    <row r="167" hidden="1" s="2">
      <c r="A167" s="175" t="inlineStr">
        <is>
          <t>осень</t>
        </is>
      </c>
      <c r="B167" s="176" t="inlineStr">
        <is>
          <t>Специальные методы литья</t>
        </is>
      </c>
      <c r="C167" s="176" t="inlineStr">
        <is>
          <t>ЛК</t>
        </is>
      </c>
      <c r="D167" s="176" t="inlineStr">
        <is>
          <t>Т11О-101М-23</t>
        </is>
      </c>
      <c r="E167" s="177" t="n">
        <v>24</v>
      </c>
      <c r="F167" s="176" t="inlineStr">
        <is>
          <t>18008</t>
        </is>
      </c>
      <c r="G167" s="177" t="n">
        <v>24</v>
      </c>
      <c r="H167" s="176" t="inlineStr">
        <is>
          <t>82020</t>
        </is>
      </c>
      <c r="I167" s="176" t="inlineStr">
        <is>
          <t>Варфоломеев Максим Сергеевич</t>
        </is>
      </c>
      <c r="J167" s="176" t="n"/>
      <c r="K167" s="176" t="inlineStr">
        <is>
          <t>Нет</t>
        </is>
      </c>
      <c r="L167" s="176" t="n"/>
      <c r="M167" s="176" t="n"/>
      <c r="N167" s="179">
        <f>SUMIFS($E$2:$E$896,$A$2:$A$896,"осень",$I$2:$I$896,I167)</f>
        <v/>
      </c>
      <c r="O167" s="179">
        <f>SUMIFS($E$2:$E$896,$A$2:$A$896,"весна",$I$2:$I$896,I167)</f>
        <v/>
      </c>
      <c r="P167" s="180">
        <f>N167+O167</f>
        <v/>
      </c>
      <c r="Q167" s="181">
        <f>P167/$Q$1</f>
        <v/>
      </c>
      <c r="R167" s="122">
        <f>P167*0.2</f>
        <v/>
      </c>
      <c r="S167" s="122">
        <f>Q167*0.8</f>
        <v/>
      </c>
      <c r="T167" s="133" t="n">
        <v>0.7</v>
      </c>
    </row>
    <row r="168" hidden="1" s="2">
      <c r="A168" s="175" t="inlineStr">
        <is>
          <t>осень</t>
        </is>
      </c>
      <c r="B168" s="176" t="inlineStr">
        <is>
          <t>Специальные методы литья</t>
        </is>
      </c>
      <c r="C168" s="176" t="inlineStr">
        <is>
          <t>КР</t>
        </is>
      </c>
      <c r="D168" s="176" t="inlineStr">
        <is>
          <t>Т11О-101М-23</t>
        </is>
      </c>
      <c r="E168" s="177" t="n">
        <v>26</v>
      </c>
      <c r="F168" s="176" t="inlineStr">
        <is>
          <t>18008</t>
        </is>
      </c>
      <c r="G168" s="178" t="n"/>
      <c r="H168" s="176" t="inlineStr">
        <is>
          <t>82020</t>
        </is>
      </c>
      <c r="I168" s="176" t="inlineStr">
        <is>
          <t>Варфоломеев Максим Сергеевич</t>
        </is>
      </c>
      <c r="J168" s="176" t="n"/>
      <c r="K168" s="176" t="inlineStr">
        <is>
          <t>Нет</t>
        </is>
      </c>
      <c r="L168" s="176" t="n"/>
      <c r="M168" s="176" t="n"/>
      <c r="N168" s="179">
        <f>SUMIFS($E$2:$E$896,$A$2:$A$896,"осень",$I$2:$I$896,I168)</f>
        <v/>
      </c>
      <c r="O168" s="179">
        <f>SUMIFS($E$2:$E$896,$A$2:$A$896,"весна",$I$2:$I$896,I168)</f>
        <v/>
      </c>
      <c r="P168" s="180">
        <f>N168+O168</f>
        <v/>
      </c>
      <c r="Q168" s="181">
        <f>P168/$Q$1</f>
        <v/>
      </c>
      <c r="R168" s="122">
        <f>P168*0.2</f>
        <v/>
      </c>
      <c r="S168" s="122">
        <f>Q168*0.8</f>
        <v/>
      </c>
      <c r="T168" s="133" t="n">
        <v>0.7</v>
      </c>
    </row>
    <row r="169" hidden="1" s="2">
      <c r="A169" s="175" t="inlineStr">
        <is>
          <t>осень</t>
        </is>
      </c>
      <c r="B169" s="176" t="inlineStr">
        <is>
          <t>Специальные методы литья</t>
        </is>
      </c>
      <c r="C169" s="176" t="inlineStr">
        <is>
          <t>ПЗ</t>
        </is>
      </c>
      <c r="D169" s="176" t="inlineStr">
        <is>
          <t>Т11О-101М-23</t>
        </is>
      </c>
      <c r="E169" s="177" t="n">
        <v>26</v>
      </c>
      <c r="F169" s="176" t="inlineStr">
        <is>
          <t>18008</t>
        </is>
      </c>
      <c r="G169" s="177" t="n">
        <v>26</v>
      </c>
      <c r="H169" s="176" t="inlineStr">
        <is>
          <t>82020</t>
        </is>
      </c>
      <c r="I169" s="176" t="inlineStr">
        <is>
          <t>Варфоломеев Максим Сергеевич</t>
        </is>
      </c>
      <c r="J169" s="176" t="n"/>
      <c r="K169" s="176" t="inlineStr">
        <is>
          <t>Нет</t>
        </is>
      </c>
      <c r="L169" s="176" t="n"/>
      <c r="M169" s="176" t="n"/>
      <c r="N169" s="179">
        <f>SUMIFS($E$2:$E$896,$A$2:$A$896,"осень",$I$2:$I$896,I169)</f>
        <v/>
      </c>
      <c r="O169" s="179">
        <f>SUMIFS($E$2:$E$896,$A$2:$A$896,"весна",$I$2:$I$896,I169)</f>
        <v/>
      </c>
      <c r="P169" s="180">
        <f>N169+O169</f>
        <v/>
      </c>
      <c r="Q169" s="181">
        <f>P169/$Q$1</f>
        <v/>
      </c>
      <c r="R169" s="122">
        <f>P169*0.2</f>
        <v/>
      </c>
      <c r="S169" s="122">
        <f>Q169*0.8</f>
        <v/>
      </c>
      <c r="T169" s="133" t="n">
        <v>0.7</v>
      </c>
    </row>
    <row r="170" hidden="1" s="2">
      <c r="A170" s="175" t="inlineStr">
        <is>
          <t>осень</t>
        </is>
      </c>
      <c r="B170" s="176" t="inlineStr">
        <is>
          <t>Специальные методы литья</t>
        </is>
      </c>
      <c r="C170" s="176" t="inlineStr">
        <is>
          <t>ЛР</t>
        </is>
      </c>
      <c r="D170" s="176" t="inlineStr">
        <is>
          <t>Т11О-101М-23</t>
        </is>
      </c>
      <c r="E170" s="177" t="n">
        <v>16</v>
      </c>
      <c r="F170" s="176" t="inlineStr">
        <is>
          <t>18008</t>
        </is>
      </c>
      <c r="G170" s="177" t="n">
        <v>16</v>
      </c>
      <c r="H170" s="176" t="inlineStr">
        <is>
          <t>82020</t>
        </is>
      </c>
      <c r="I170" s="176" t="inlineStr">
        <is>
          <t>Варфоломеев Максим Сергеевич</t>
        </is>
      </c>
      <c r="J170" s="176" t="n"/>
      <c r="K170" s="176" t="inlineStr">
        <is>
          <t>Нет</t>
        </is>
      </c>
      <c r="L170" s="176" t="n"/>
      <c r="M170" s="176" t="n"/>
      <c r="N170" s="179">
        <f>SUMIFS($E$2:$E$896,$A$2:$A$896,"осень",$I$2:$I$896,I170)</f>
        <v/>
      </c>
      <c r="O170" s="179">
        <f>SUMIFS($E$2:$E$896,$A$2:$A$896,"весна",$I$2:$I$896,I170)</f>
        <v/>
      </c>
      <c r="P170" s="180">
        <f>N170+O170</f>
        <v/>
      </c>
      <c r="Q170" s="181">
        <f>P170/$Q$1</f>
        <v/>
      </c>
      <c r="R170" s="122">
        <f>P170*0.2</f>
        <v/>
      </c>
      <c r="S170" s="122">
        <f>Q170*0.8</f>
        <v/>
      </c>
      <c r="T170" s="133" t="n">
        <v>0.7</v>
      </c>
    </row>
    <row r="171" hidden="1" s="2">
      <c r="A171" s="175" t="inlineStr">
        <is>
          <t>осень</t>
        </is>
      </c>
      <c r="B171" s="176" t="inlineStr">
        <is>
          <t>Специальные методы литья</t>
        </is>
      </c>
      <c r="C171" s="176" t="inlineStr">
        <is>
          <t>Экзамен</t>
        </is>
      </c>
      <c r="D171" s="176" t="inlineStr">
        <is>
          <t>Т11О-101М-23</t>
        </is>
      </c>
      <c r="E171" s="177" t="n">
        <v>7</v>
      </c>
      <c r="F171" s="176" t="inlineStr">
        <is>
          <t>18008</t>
        </is>
      </c>
      <c r="G171" s="178" t="n"/>
      <c r="H171" s="176" t="inlineStr">
        <is>
          <t>82020</t>
        </is>
      </c>
      <c r="I171" s="176" t="inlineStr">
        <is>
          <t>Варфоломеев Максим Сергеевич</t>
        </is>
      </c>
      <c r="J171" s="176" t="n"/>
      <c r="K171" s="176" t="inlineStr">
        <is>
          <t>Нет</t>
        </is>
      </c>
      <c r="L171" s="176" t="n"/>
      <c r="M171" s="176" t="n"/>
      <c r="N171" s="179">
        <f>SUMIFS($E$2:$E$896,$A$2:$A$896,"осень",$I$2:$I$896,I171)</f>
        <v/>
      </c>
      <c r="O171" s="179">
        <f>SUMIFS($E$2:$E$896,$A$2:$A$896,"весна",$I$2:$I$896,I171)</f>
        <v/>
      </c>
      <c r="P171" s="180">
        <f>N171+O171</f>
        <v/>
      </c>
      <c r="Q171" s="181">
        <f>P171/$Q$1</f>
        <v/>
      </c>
      <c r="R171" s="122">
        <f>P171*0.2</f>
        <v/>
      </c>
      <c r="S171" s="122">
        <f>Q171*0.8</f>
        <v/>
      </c>
      <c r="T171" s="133" t="n">
        <v>0.7</v>
      </c>
    </row>
    <row r="172" hidden="1" s="2">
      <c r="A172" s="175" t="inlineStr">
        <is>
          <t>осень</t>
        </is>
      </c>
      <c r="B172" s="176" t="inlineStr">
        <is>
          <t>Специальные методы литья</t>
        </is>
      </c>
      <c r="C172" s="176" t="inlineStr">
        <is>
          <t>Консультация</t>
        </is>
      </c>
      <c r="D172" s="176" t="inlineStr">
        <is>
          <t>Т11О-101М-23</t>
        </is>
      </c>
      <c r="E172" s="177" t="n">
        <v>3</v>
      </c>
      <c r="F172" s="176" t="inlineStr">
        <is>
          <t>18008</t>
        </is>
      </c>
      <c r="G172" s="178" t="n"/>
      <c r="H172" s="176" t="inlineStr">
        <is>
          <t>82020</t>
        </is>
      </c>
      <c r="I172" s="176" t="inlineStr">
        <is>
          <t>Варфоломеев Максим Сергеевич</t>
        </is>
      </c>
      <c r="J172" s="176" t="n"/>
      <c r="K172" s="176" t="inlineStr">
        <is>
          <t>Нет</t>
        </is>
      </c>
      <c r="L172" s="176" t="n"/>
      <c r="M172" s="176" t="n"/>
      <c r="N172" s="179">
        <f>SUMIFS($E$2:$E$896,$A$2:$A$896,"осень",$I$2:$I$896,I172)</f>
        <v/>
      </c>
      <c r="O172" s="179">
        <f>SUMIFS($E$2:$E$896,$A$2:$A$896,"весна",$I$2:$I$896,I172)</f>
        <v/>
      </c>
      <c r="P172" s="180">
        <f>N172+O172</f>
        <v/>
      </c>
      <c r="Q172" s="181">
        <f>P172/$Q$1</f>
        <v/>
      </c>
      <c r="R172" s="122">
        <f>P172*0.2</f>
        <v/>
      </c>
      <c r="S172" s="122">
        <f>Q172*0.8</f>
        <v/>
      </c>
      <c r="T172" s="133" t="n">
        <v>0.7</v>
      </c>
    </row>
    <row r="173" hidden="1" s="2">
      <c r="A173" s="175" t="inlineStr">
        <is>
          <t>осень</t>
        </is>
      </c>
      <c r="B173" s="176" t="inlineStr">
        <is>
          <t>Твердофазные методы получения композиционных материалов</t>
        </is>
      </c>
      <c r="C173" s="176" t="inlineStr">
        <is>
          <t>ЛК</t>
        </is>
      </c>
      <c r="D173" s="176" t="inlineStr">
        <is>
          <t>Т11О-402Б-20</t>
        </is>
      </c>
      <c r="E173" s="177" t="n">
        <v>24</v>
      </c>
      <c r="F173" s="176" t="inlineStr">
        <is>
          <t>11923</t>
        </is>
      </c>
      <c r="G173" s="177" t="n">
        <v>24</v>
      </c>
      <c r="H173" s="176" t="inlineStr">
        <is>
          <t>82090</t>
        </is>
      </c>
      <c r="I173" s="176" t="inlineStr">
        <is>
          <t>Барабанова Ольга Алексеевна</t>
        </is>
      </c>
      <c r="J173" s="176" t="n"/>
      <c r="K173" s="176" t="inlineStr">
        <is>
          <t>Да</t>
        </is>
      </c>
      <c r="L173" s="176" t="n"/>
      <c r="M173" s="176" t="n"/>
      <c r="N173" s="179">
        <f>SUMIFS($E$2:$E$896,$A$2:$A$896,"осень",$I$2:$I$896,I173)</f>
        <v/>
      </c>
      <c r="O173" s="179">
        <f>SUMIFS($E$2:$E$896,$A$2:$A$896,"весна",$I$2:$I$896,I173)</f>
        <v/>
      </c>
      <c r="P173" s="180">
        <f>N173+O173</f>
        <v/>
      </c>
      <c r="Q173" s="181">
        <f>P173/$Q$1</f>
        <v/>
      </c>
      <c r="R173" s="122">
        <f>P173*0.2</f>
        <v/>
      </c>
      <c r="S173" s="122">
        <f>Q173*0.8</f>
        <v/>
      </c>
      <c r="T173" s="133" t="n">
        <v>0.25</v>
      </c>
    </row>
    <row r="174" hidden="1" s="2">
      <c r="A174" s="175" t="inlineStr">
        <is>
          <t>осень</t>
        </is>
      </c>
      <c r="B174" s="176" t="inlineStr">
        <is>
          <t>Твердофазные методы получения композиционных материалов</t>
        </is>
      </c>
      <c r="C174" s="176" t="inlineStr">
        <is>
          <t>Зачет с оценкой</t>
        </is>
      </c>
      <c r="D174" s="176" t="inlineStr">
        <is>
          <t>Т11О-402Б-20</t>
        </is>
      </c>
      <c r="E174" s="177" t="n">
        <v>3</v>
      </c>
      <c r="F174" s="176" t="inlineStr">
        <is>
          <t>11923</t>
        </is>
      </c>
      <c r="G174" s="178" t="n"/>
      <c r="H174" s="176" t="inlineStr">
        <is>
          <t>82090</t>
        </is>
      </c>
      <c r="I174" s="176" t="inlineStr">
        <is>
          <t>Барабанова Ольга Алексеевна</t>
        </is>
      </c>
      <c r="J174" s="176" t="n"/>
      <c r="K174" s="176" t="inlineStr">
        <is>
          <t>Да</t>
        </is>
      </c>
      <c r="L174" s="176" t="n"/>
      <c r="M174" s="176" t="n"/>
      <c r="N174" s="179">
        <f>SUMIFS($E$2:$E$896,$A$2:$A$896,"осень",$I$2:$I$896,I174)</f>
        <v/>
      </c>
      <c r="O174" s="179">
        <f>SUMIFS($E$2:$E$896,$A$2:$A$896,"весна",$I$2:$I$896,I174)</f>
        <v/>
      </c>
      <c r="P174" s="180">
        <f>N174+O174</f>
        <v/>
      </c>
      <c r="Q174" s="181">
        <f>P174/$Q$1</f>
        <v/>
      </c>
      <c r="R174" s="122">
        <f>P174*0.2</f>
        <v/>
      </c>
      <c r="S174" s="122">
        <f>Q174*0.8</f>
        <v/>
      </c>
      <c r="T174" s="133" t="n">
        <v>0.25</v>
      </c>
    </row>
    <row r="175" hidden="1" s="2">
      <c r="A175" s="175" t="inlineStr">
        <is>
          <t>осень</t>
        </is>
      </c>
      <c r="B175" s="176" t="inlineStr">
        <is>
          <t>Твердофазные методы получения композиционных материалов</t>
        </is>
      </c>
      <c r="C175" s="176" t="inlineStr">
        <is>
          <t>ПЗ</t>
        </is>
      </c>
      <c r="D175" s="176" t="inlineStr">
        <is>
          <t>Т11О-402Б-20</t>
        </is>
      </c>
      <c r="E175" s="177" t="n">
        <v>28</v>
      </c>
      <c r="F175" s="176" t="inlineStr">
        <is>
          <t>11923</t>
        </is>
      </c>
      <c r="G175" s="177" t="n">
        <v>28</v>
      </c>
      <c r="H175" s="176" t="inlineStr">
        <is>
          <t>82090</t>
        </is>
      </c>
      <c r="I175" s="176" t="inlineStr">
        <is>
          <t>Барабанова Ольга Алексеевна</t>
        </is>
      </c>
      <c r="J175" s="176" t="n"/>
      <c r="K175" s="176" t="inlineStr">
        <is>
          <t>Да</t>
        </is>
      </c>
      <c r="L175" s="176" t="n"/>
      <c r="M175" s="176" t="n"/>
      <c r="N175" s="179">
        <f>SUMIFS($E$2:$E$896,$A$2:$A$896,"осень",$I$2:$I$896,I175)</f>
        <v/>
      </c>
      <c r="O175" s="179">
        <f>SUMIFS($E$2:$E$896,$A$2:$A$896,"весна",$I$2:$I$896,I175)</f>
        <v/>
      </c>
      <c r="P175" s="180">
        <f>N175+O175</f>
        <v/>
      </c>
      <c r="Q175" s="181">
        <f>P175/$Q$1</f>
        <v/>
      </c>
      <c r="R175" s="122">
        <f>P175*0.2</f>
        <v/>
      </c>
      <c r="S175" s="122">
        <f>Q175*0.8</f>
        <v/>
      </c>
      <c r="T175" s="133" t="n">
        <v>0.25</v>
      </c>
    </row>
    <row r="176" hidden="1" s="2">
      <c r="A176" s="175" t="inlineStr">
        <is>
          <t>осень</t>
        </is>
      </c>
      <c r="B176" s="176" t="inlineStr">
        <is>
          <t>Твердофазные методы получения композиционных материалов</t>
        </is>
      </c>
      <c r="C176" s="176" t="inlineStr">
        <is>
          <t>ЛР</t>
        </is>
      </c>
      <c r="D176" s="176" t="inlineStr">
        <is>
          <t>Т11О-402Б-20</t>
        </is>
      </c>
      <c r="E176" s="177" t="n">
        <v>8</v>
      </c>
      <c r="F176" s="176" t="inlineStr">
        <is>
          <t>11923</t>
        </is>
      </c>
      <c r="G176" s="177" t="n">
        <v>8</v>
      </c>
      <c r="H176" s="176" t="inlineStr">
        <is>
          <t>82090</t>
        </is>
      </c>
      <c r="I176" s="176" t="inlineStr">
        <is>
          <t>Барабанова Ольга Алексеевна</t>
        </is>
      </c>
      <c r="J176" s="176" t="n"/>
      <c r="K176" s="176" t="inlineStr">
        <is>
          <t>Да</t>
        </is>
      </c>
      <c r="L176" s="176" t="n"/>
      <c r="M176" s="176" t="n"/>
      <c r="N176" s="179">
        <f>SUMIFS($E$2:$E$896,$A$2:$A$896,"осень",$I$2:$I$896,I176)</f>
        <v/>
      </c>
      <c r="O176" s="179">
        <f>SUMIFS($E$2:$E$896,$A$2:$A$896,"весна",$I$2:$I$896,I176)</f>
        <v/>
      </c>
      <c r="P176" s="180">
        <f>N176+O176</f>
        <v/>
      </c>
      <c r="Q176" s="181">
        <f>P176/$Q$1</f>
        <v/>
      </c>
      <c r="R176" s="122">
        <f>P176*0.2</f>
        <v/>
      </c>
      <c r="S176" s="122">
        <f>Q176*0.8</f>
        <v/>
      </c>
      <c r="T176" s="133" t="n">
        <v>0.25</v>
      </c>
    </row>
    <row r="177" hidden="1" s="2">
      <c r="A177" s="175" t="inlineStr">
        <is>
          <t>осень</t>
        </is>
      </c>
      <c r="B177" s="176" t="inlineStr">
        <is>
          <t>Твердофазные методы получения композиционных материалов</t>
        </is>
      </c>
      <c r="C177" s="176" t="inlineStr">
        <is>
          <t>Консультация</t>
        </is>
      </c>
      <c r="D177" s="176" t="inlineStr">
        <is>
          <t>Т11О-402Б-20</t>
        </is>
      </c>
      <c r="E177" s="177" t="n">
        <v>1</v>
      </c>
      <c r="F177" s="176" t="inlineStr">
        <is>
          <t>11923</t>
        </is>
      </c>
      <c r="G177" s="178" t="n"/>
      <c r="H177" s="176" t="inlineStr">
        <is>
          <t>82090</t>
        </is>
      </c>
      <c r="I177" s="176" t="inlineStr">
        <is>
          <t>Барабанова Ольга Алексеевна</t>
        </is>
      </c>
      <c r="J177" s="176" t="n"/>
      <c r="K177" s="176" t="inlineStr">
        <is>
          <t>Да</t>
        </is>
      </c>
      <c r="L177" s="176" t="n"/>
      <c r="M177" s="176" t="n"/>
      <c r="N177" s="179">
        <f>SUMIFS($E$2:$E$896,$A$2:$A$896,"осень",$I$2:$I$896,I177)</f>
        <v/>
      </c>
      <c r="O177" s="179">
        <f>SUMIFS($E$2:$E$896,$A$2:$A$896,"весна",$I$2:$I$896,I177)</f>
        <v/>
      </c>
      <c r="P177" s="180">
        <f>N177+O177</f>
        <v/>
      </c>
      <c r="Q177" s="181">
        <f>P177/$Q$1</f>
        <v/>
      </c>
      <c r="R177" s="122">
        <f>P177*0.2</f>
        <v/>
      </c>
      <c r="S177" s="122">
        <f>Q177*0.8</f>
        <v/>
      </c>
      <c r="T177" s="133" t="n">
        <v>0.25</v>
      </c>
    </row>
    <row r="178" hidden="1" s="2">
      <c r="A178" s="175" t="inlineStr">
        <is>
          <t>осень</t>
        </is>
      </c>
      <c r="B178" s="176" t="inlineStr">
        <is>
          <t>Теория затвердевания отливки</t>
        </is>
      </c>
      <c r="C178" s="176" t="inlineStr">
        <is>
          <t>ЛК</t>
        </is>
      </c>
      <c r="D178" s="176" t="inlineStr">
        <is>
          <t>Т11О-402Б-20</t>
        </is>
      </c>
      <c r="E178" s="177" t="n">
        <v>24</v>
      </c>
      <c r="F178" s="176" t="inlineStr">
        <is>
          <t>11923</t>
        </is>
      </c>
      <c r="G178" s="177" t="n">
        <v>24</v>
      </c>
      <c r="H178" s="176" t="inlineStr">
        <is>
          <t>81891</t>
        </is>
      </c>
      <c r="I178" s="176" t="inlineStr">
        <is>
          <t>Смыков Андрей Федорович</t>
        </is>
      </c>
      <c r="J178" s="176" t="n"/>
      <c r="K178" s="176" t="inlineStr">
        <is>
          <t>Да</t>
        </is>
      </c>
      <c r="L178" s="176" t="n"/>
      <c r="M178" s="176" t="n"/>
      <c r="N178" s="179">
        <f>SUMIFS($E$2:$E$896,$A$2:$A$896,"осень",$I$2:$I$896,I178)</f>
        <v/>
      </c>
      <c r="O178" s="179">
        <f>SUMIFS($E$2:$E$896,$A$2:$A$896,"весна",$I$2:$I$896,I178)</f>
        <v/>
      </c>
      <c r="P178" s="180">
        <f>N178+O178</f>
        <v/>
      </c>
      <c r="Q178" s="181">
        <f>P178/$Q$1</f>
        <v/>
      </c>
      <c r="R178" s="122">
        <f>P178*0.2</f>
        <v/>
      </c>
      <c r="S178" s="122">
        <f>Q178*0.8</f>
        <v/>
      </c>
      <c r="T178" s="133" t="n">
        <v>0.5</v>
      </c>
    </row>
    <row r="179" hidden="1" s="2">
      <c r="A179" s="175" t="inlineStr">
        <is>
          <t>осень</t>
        </is>
      </c>
      <c r="B179" s="176" t="inlineStr">
        <is>
          <t>Теория затвердевания отливки</t>
        </is>
      </c>
      <c r="C179" s="176" t="inlineStr">
        <is>
          <t>Зачет с оценкой</t>
        </is>
      </c>
      <c r="D179" s="176" t="inlineStr">
        <is>
          <t>Т11О-402Б-20</t>
        </is>
      </c>
      <c r="E179" s="177" t="n">
        <v>3</v>
      </c>
      <c r="F179" s="176" t="inlineStr">
        <is>
          <t>11923</t>
        </is>
      </c>
      <c r="G179" s="178" t="n"/>
      <c r="H179" s="176" t="inlineStr">
        <is>
          <t>81891</t>
        </is>
      </c>
      <c r="I179" s="176" t="inlineStr">
        <is>
          <t>Смыков Андрей Федорович</t>
        </is>
      </c>
      <c r="J179" s="176" t="n"/>
      <c r="K179" s="176" t="inlineStr">
        <is>
          <t>Да</t>
        </is>
      </c>
      <c r="L179" s="176" t="n"/>
      <c r="M179" s="176" t="n"/>
      <c r="N179" s="179">
        <f>SUMIFS($E$2:$E$896,$A$2:$A$896,"осень",$I$2:$I$896,I179)</f>
        <v/>
      </c>
      <c r="O179" s="179">
        <f>SUMIFS($E$2:$E$896,$A$2:$A$896,"весна",$I$2:$I$896,I179)</f>
        <v/>
      </c>
      <c r="P179" s="180">
        <f>N179+O179</f>
        <v/>
      </c>
      <c r="Q179" s="181">
        <f>P179/$Q$1</f>
        <v/>
      </c>
      <c r="R179" s="122">
        <f>P179*0.2</f>
        <v/>
      </c>
      <c r="S179" s="122">
        <f>Q179*0.8</f>
        <v/>
      </c>
      <c r="T179" s="133" t="n">
        <v>0.5</v>
      </c>
    </row>
    <row r="180" hidden="1" s="2">
      <c r="A180" s="175" t="inlineStr">
        <is>
          <t>осень</t>
        </is>
      </c>
      <c r="B180" s="176" t="inlineStr">
        <is>
          <t>Теория затвердевания отливки</t>
        </is>
      </c>
      <c r="C180" s="176" t="inlineStr">
        <is>
          <t>ПЗ</t>
        </is>
      </c>
      <c r="D180" s="176" t="inlineStr">
        <is>
          <t>Т11О-402Б-20</t>
        </is>
      </c>
      <c r="E180" s="177" t="n">
        <v>12</v>
      </c>
      <c r="F180" s="176" t="inlineStr">
        <is>
          <t>11923</t>
        </is>
      </c>
      <c r="G180" s="177" t="n">
        <v>12</v>
      </c>
      <c r="H180" s="176" t="inlineStr">
        <is>
          <t>81891</t>
        </is>
      </c>
      <c r="I180" s="176" t="inlineStr">
        <is>
          <t>Смыков Андрей Федорович</t>
        </is>
      </c>
      <c r="J180" s="176" t="n"/>
      <c r="K180" s="176" t="inlineStr">
        <is>
          <t>Да</t>
        </is>
      </c>
      <c r="L180" s="176" t="n"/>
      <c r="M180" s="176" t="n"/>
      <c r="N180" s="179">
        <f>SUMIFS($E$2:$E$896,$A$2:$A$896,"осень",$I$2:$I$896,I180)</f>
        <v/>
      </c>
      <c r="O180" s="179">
        <f>SUMIFS($E$2:$E$896,$A$2:$A$896,"весна",$I$2:$I$896,I180)</f>
        <v/>
      </c>
      <c r="P180" s="180">
        <f>N180+O180</f>
        <v/>
      </c>
      <c r="Q180" s="181">
        <f>P180/$Q$1</f>
        <v/>
      </c>
      <c r="R180" s="122">
        <f>P180*0.2</f>
        <v/>
      </c>
      <c r="S180" s="122">
        <f>Q180*0.8</f>
        <v/>
      </c>
      <c r="T180" s="133" t="n">
        <v>0.5</v>
      </c>
    </row>
    <row r="181" hidden="1" s="2">
      <c r="A181" s="175" t="inlineStr">
        <is>
          <t>осень</t>
        </is>
      </c>
      <c r="B181" s="176" t="inlineStr">
        <is>
          <t>Теория затвердевания отливки</t>
        </is>
      </c>
      <c r="C181" s="176" t="inlineStr">
        <is>
          <t>ЛР</t>
        </is>
      </c>
      <c r="D181" s="176" t="inlineStr">
        <is>
          <t>Т11О-402Б-20</t>
        </is>
      </c>
      <c r="E181" s="177" t="n">
        <v>24</v>
      </c>
      <c r="F181" s="176" t="inlineStr">
        <is>
          <t>11923</t>
        </is>
      </c>
      <c r="G181" s="177" t="n">
        <v>24</v>
      </c>
      <c r="H181" s="176" t="inlineStr">
        <is>
          <t>81891</t>
        </is>
      </c>
      <c r="I181" s="176" t="inlineStr">
        <is>
          <t>Смыков Андрей Федорович</t>
        </is>
      </c>
      <c r="J181" s="176" t="n"/>
      <c r="K181" s="176" t="inlineStr">
        <is>
          <t>Да</t>
        </is>
      </c>
      <c r="L181" s="176" t="n"/>
      <c r="M181" s="176" t="n"/>
      <c r="N181" s="179">
        <f>SUMIFS($E$2:$E$896,$A$2:$A$896,"осень",$I$2:$I$896,I181)</f>
        <v/>
      </c>
      <c r="O181" s="179">
        <f>SUMIFS($E$2:$E$896,$A$2:$A$896,"весна",$I$2:$I$896,I181)</f>
        <v/>
      </c>
      <c r="P181" s="180">
        <f>N181+O181</f>
        <v/>
      </c>
      <c r="Q181" s="181">
        <f>P181/$Q$1</f>
        <v/>
      </c>
      <c r="R181" s="122">
        <f>P181*0.2</f>
        <v/>
      </c>
      <c r="S181" s="122">
        <f>Q181*0.8</f>
        <v/>
      </c>
      <c r="T181" s="133" t="n">
        <v>0.5</v>
      </c>
    </row>
    <row r="182" hidden="1" s="2">
      <c r="A182" s="175" t="inlineStr">
        <is>
          <t>осень</t>
        </is>
      </c>
      <c r="B182" s="176" t="inlineStr">
        <is>
          <t>Теория затвердевания отливки</t>
        </is>
      </c>
      <c r="C182" s="176" t="inlineStr">
        <is>
          <t>Консультация</t>
        </is>
      </c>
      <c r="D182" s="176" t="inlineStr">
        <is>
          <t>Т11О-402Б-20</t>
        </is>
      </c>
      <c r="E182" s="177" t="n">
        <v>1</v>
      </c>
      <c r="F182" s="176" t="inlineStr">
        <is>
          <t>11923</t>
        </is>
      </c>
      <c r="G182" s="178" t="n"/>
      <c r="H182" s="176" t="inlineStr">
        <is>
          <t>81891</t>
        </is>
      </c>
      <c r="I182" s="176" t="inlineStr">
        <is>
          <t>Смыков Андрей Федорович</t>
        </is>
      </c>
      <c r="J182" s="176" t="n"/>
      <c r="K182" s="176" t="inlineStr">
        <is>
          <t>Да</t>
        </is>
      </c>
      <c r="L182" s="176" t="n"/>
      <c r="M182" s="176" t="n"/>
      <c r="N182" s="179">
        <f>SUMIFS($E$2:$E$896,$A$2:$A$896,"осень",$I$2:$I$896,I182)</f>
        <v/>
      </c>
      <c r="O182" s="179">
        <f>SUMIFS($E$2:$E$896,$A$2:$A$896,"весна",$I$2:$I$896,I182)</f>
        <v/>
      </c>
      <c r="P182" s="180">
        <f>N182+O182</f>
        <v/>
      </c>
      <c r="Q182" s="181">
        <f>P182/$Q$1</f>
        <v/>
      </c>
      <c r="R182" s="122">
        <f>P182*0.2</f>
        <v/>
      </c>
      <c r="S182" s="122">
        <f>Q182*0.8</f>
        <v/>
      </c>
      <c r="T182" s="133" t="n">
        <v>0.5</v>
      </c>
    </row>
    <row r="183" hidden="1" ht="15.75" customHeight="1" s="2">
      <c r="A183" s="175" t="inlineStr">
        <is>
          <t>осень</t>
        </is>
      </c>
      <c r="B183" s="176" t="inlineStr">
        <is>
          <t>Оборудование и автоматизация литейных цехов</t>
        </is>
      </c>
      <c r="C183" s="176" t="inlineStr">
        <is>
          <t>ЛК</t>
        </is>
      </c>
      <c r="D183" s="176" t="inlineStr">
        <is>
          <t>Т11О-402Б-20</t>
        </is>
      </c>
      <c r="E183" s="177" t="n">
        <v>28</v>
      </c>
      <c r="F183" s="176" t="inlineStr">
        <is>
          <t>11923</t>
        </is>
      </c>
      <c r="G183" s="177" t="n">
        <v>28</v>
      </c>
      <c r="H183" s="176" t="inlineStr">
        <is>
          <t>94221</t>
        </is>
      </c>
      <c r="I183" s="176" t="inlineStr">
        <is>
          <t>Варфоломеев Максим Сергеевич</t>
        </is>
      </c>
      <c r="J183" s="176" t="n"/>
      <c r="K183" s="176" t="inlineStr">
        <is>
          <t>Нет</t>
        </is>
      </c>
      <c r="L183" s="176" t="n"/>
      <c r="M183" s="176" t="n"/>
      <c r="N183" s="179">
        <f>SUMIFS($E$2:$E$896,$A$2:$A$896,"осень",$I$2:$I$896,I183)</f>
        <v/>
      </c>
      <c r="O183" s="179">
        <f>SUMIFS($E$2:$E$896,$A$2:$A$896,"весна",$I$2:$I$896,I183)</f>
        <v/>
      </c>
      <c r="P183" s="180">
        <f>N183+O183</f>
        <v/>
      </c>
      <c r="Q183" s="181">
        <f>P183/$Q$1</f>
        <v/>
      </c>
      <c r="R183" s="122">
        <f>P183*0.2</f>
        <v/>
      </c>
      <c r="S183" s="122">
        <f>Q183*0.8</f>
        <v/>
      </c>
      <c r="T183" s="133" t="n">
        <v>0.45</v>
      </c>
    </row>
    <row r="184" hidden="1" ht="15.75" customHeight="1" s="2">
      <c r="A184" s="175" t="inlineStr">
        <is>
          <t>осень</t>
        </is>
      </c>
      <c r="B184" s="176" t="inlineStr">
        <is>
          <t>Оборудование и автоматизация литейных цехов</t>
        </is>
      </c>
      <c r="C184" s="176" t="inlineStr">
        <is>
          <t>Зачет с оценкой</t>
        </is>
      </c>
      <c r="D184" s="176" t="inlineStr">
        <is>
          <t>Т11О-402Б-20</t>
        </is>
      </c>
      <c r="E184" s="177" t="n">
        <v>3</v>
      </c>
      <c r="F184" s="176" t="inlineStr">
        <is>
          <t>11923</t>
        </is>
      </c>
      <c r="G184" s="178" t="n"/>
      <c r="H184" s="176" t="inlineStr">
        <is>
          <t>94221</t>
        </is>
      </c>
      <c r="I184" s="176" t="inlineStr">
        <is>
          <t>Шляпцева Анастасия Дмитриевна</t>
        </is>
      </c>
      <c r="J184" s="176" t="n"/>
      <c r="K184" s="176" t="inlineStr">
        <is>
          <t>Нет</t>
        </is>
      </c>
      <c r="L184" s="176" t="n"/>
      <c r="M184" s="176" t="n"/>
      <c r="N184" s="179">
        <f>SUMIFS($E$2:$E$896,$A$2:$A$896,"осень",$I$2:$I$896,I184)</f>
        <v/>
      </c>
      <c r="O184" s="179">
        <f>SUMIFS($E$2:$E$896,$A$2:$A$896,"весна",$I$2:$I$896,I184)</f>
        <v/>
      </c>
      <c r="P184" s="180">
        <f>N184+O184</f>
        <v/>
      </c>
      <c r="Q184" s="181">
        <f>P184/$Q$1</f>
        <v/>
      </c>
      <c r="R184" s="122">
        <f>P184*0.2</f>
        <v/>
      </c>
      <c r="S184" s="122">
        <f>Q184*0.8</f>
        <v/>
      </c>
      <c r="T184" s="133" t="n">
        <v>0.45</v>
      </c>
    </row>
    <row r="185" hidden="1" ht="15.75" customHeight="1" s="2">
      <c r="A185" s="175" t="inlineStr">
        <is>
          <t>осень</t>
        </is>
      </c>
      <c r="B185" s="176" t="inlineStr">
        <is>
          <t>Оборудование и автоматизация литейных цехов</t>
        </is>
      </c>
      <c r="C185" s="176" t="inlineStr">
        <is>
          <t>ПЗ</t>
        </is>
      </c>
      <c r="D185" s="176" t="inlineStr">
        <is>
          <t>Т11О-402Б-20</t>
        </is>
      </c>
      <c r="E185" s="177" t="n">
        <v>32</v>
      </c>
      <c r="F185" s="176" t="inlineStr">
        <is>
          <t>11923</t>
        </is>
      </c>
      <c r="G185" s="177" t="n">
        <v>32</v>
      </c>
      <c r="H185" s="176" t="inlineStr">
        <is>
          <t>94221</t>
        </is>
      </c>
      <c r="I185" s="176" t="inlineStr">
        <is>
          <t>Варфоломеев Максим Сергеевич</t>
        </is>
      </c>
      <c r="J185" s="176" t="n"/>
      <c r="K185" s="176" t="inlineStr">
        <is>
          <t>Нет</t>
        </is>
      </c>
      <c r="L185" s="176" t="n"/>
      <c r="M185" s="176" t="n"/>
      <c r="N185" s="179">
        <f>SUMIFS($E$2:$E$896,$A$2:$A$896,"осень",$I$2:$I$896,I185)</f>
        <v/>
      </c>
      <c r="O185" s="179">
        <f>SUMIFS($E$2:$E$896,$A$2:$A$896,"весна",$I$2:$I$896,I185)</f>
        <v/>
      </c>
      <c r="P185" s="180">
        <f>N185+O185</f>
        <v/>
      </c>
      <c r="Q185" s="181">
        <f>P185/$Q$1</f>
        <v/>
      </c>
      <c r="R185" s="122">
        <f>P185*0.2</f>
        <v/>
      </c>
      <c r="S185" s="122">
        <f>Q185*0.8</f>
        <v/>
      </c>
      <c r="T185" s="133" t="n">
        <v>0.45</v>
      </c>
    </row>
    <row r="186" hidden="1" ht="15.75" customHeight="1" s="2">
      <c r="A186" s="175" t="inlineStr">
        <is>
          <t>осень</t>
        </is>
      </c>
      <c r="B186" s="176" t="inlineStr">
        <is>
          <t>Оборудование и автоматизация литейных цехов</t>
        </is>
      </c>
      <c r="C186" s="176" t="inlineStr">
        <is>
          <t>Консультация</t>
        </is>
      </c>
      <c r="D186" s="176" t="inlineStr">
        <is>
          <t>Т11О-402Б-20</t>
        </is>
      </c>
      <c r="E186" s="177" t="n">
        <v>1</v>
      </c>
      <c r="F186" s="176" t="inlineStr">
        <is>
          <t>11923</t>
        </is>
      </c>
      <c r="G186" s="178" t="n"/>
      <c r="H186" s="176" t="inlineStr">
        <is>
          <t>94221</t>
        </is>
      </c>
      <c r="I186" s="176" t="inlineStr">
        <is>
          <t>Варфоломеев Максим Сергеевич</t>
        </is>
      </c>
      <c r="J186" s="176" t="n"/>
      <c r="K186" s="176" t="inlineStr">
        <is>
          <t>Нет</t>
        </is>
      </c>
      <c r="L186" s="176" t="n"/>
      <c r="M186" s="176" t="n"/>
      <c r="N186" s="179">
        <f>SUMIFS($E$2:$E$896,$A$2:$A$896,"осень",$I$2:$I$896,I186)</f>
        <v/>
      </c>
      <c r="O186" s="179">
        <f>SUMIFS($E$2:$E$896,$A$2:$A$896,"весна",$I$2:$I$896,I186)</f>
        <v/>
      </c>
      <c r="P186" s="180">
        <f>N186+O186</f>
        <v/>
      </c>
      <c r="Q186" s="181">
        <f>P186/$Q$1</f>
        <v/>
      </c>
      <c r="R186" s="122">
        <f>P186*0.2</f>
        <v/>
      </c>
      <c r="S186" s="122">
        <f>Q186*0.8</f>
        <v/>
      </c>
      <c r="T186" s="133" t="n">
        <v>0.45</v>
      </c>
    </row>
    <row r="187" hidden="1" ht="15.75" customHeight="1" s="2">
      <c r="A187" s="175" t="inlineStr">
        <is>
          <t>осень</t>
        </is>
      </c>
      <c r="B187" s="176" t="inlineStr">
        <is>
          <t>Введение в искусственный интеллект в технологиях материалов, изделий и в системах принятия решений</t>
        </is>
      </c>
      <c r="C187" s="176" t="inlineStr">
        <is>
          <t>ЛК</t>
        </is>
      </c>
      <c r="D187" s="176" t="inlineStr">
        <is>
          <t>Т11О-308Б-21</t>
        </is>
      </c>
      <c r="E187" s="177" t="n">
        <v>30</v>
      </c>
      <c r="F187" s="176" t="inlineStr">
        <is>
          <t>14816</t>
        </is>
      </c>
      <c r="G187" s="177" t="n">
        <v>30</v>
      </c>
      <c r="H187" s="176" t="inlineStr">
        <is>
          <t>81728</t>
        </is>
      </c>
      <c r="I187" s="176" t="inlineStr">
        <is>
          <t>Галкин Виктор Иванович</t>
        </is>
      </c>
      <c r="J187" s="176" t="n"/>
      <c r="K187" s="176" t="inlineStr">
        <is>
          <t>Да</t>
        </is>
      </c>
      <c r="L187" s="176" t="n"/>
      <c r="M187" s="176" t="n"/>
      <c r="N187" s="179">
        <f>SUMIFS($E$2:$E$896,$A$2:$A$896,"осень",$I$2:$I$896,I187)</f>
        <v/>
      </c>
      <c r="O187" s="179">
        <f>SUMIFS($E$2:$E$896,$A$2:$A$896,"весна",$I$2:$I$896,I187)</f>
        <v/>
      </c>
      <c r="P187" s="180">
        <f>N187+O187</f>
        <v/>
      </c>
      <c r="Q187" s="181">
        <f>P187/$Q$1</f>
        <v/>
      </c>
      <c r="R187" s="122">
        <f>P187*0.2</f>
        <v/>
      </c>
      <c r="S187" s="122">
        <f>Q187*0.8</f>
        <v/>
      </c>
      <c r="T187" s="133" t="n">
        <v>0.75</v>
      </c>
    </row>
    <row r="188" hidden="1" ht="15.75" customHeight="1" s="2">
      <c r="A188" s="175" t="inlineStr">
        <is>
          <t>осень</t>
        </is>
      </c>
      <c r="B188" s="176" t="inlineStr">
        <is>
          <t>Введение в искусственный интеллект в технологиях материалов, изделий и в системах принятия решений</t>
        </is>
      </c>
      <c r="C188" s="176" t="inlineStr">
        <is>
          <t>Зачет с оценкой</t>
        </is>
      </c>
      <c r="D188" s="176" t="inlineStr">
        <is>
          <t>Т11О-308Б-21</t>
        </is>
      </c>
      <c r="E188" s="177" t="n">
        <v>4</v>
      </c>
      <c r="F188" s="176" t="inlineStr">
        <is>
          <t>14816</t>
        </is>
      </c>
      <c r="G188" s="178" t="n"/>
      <c r="H188" s="176" t="inlineStr">
        <is>
          <t>81728</t>
        </is>
      </c>
      <c r="I188" s="176" t="inlineStr">
        <is>
          <t>Галкин Виктор Иванович</t>
        </is>
      </c>
      <c r="J188" s="176" t="n"/>
      <c r="K188" s="176" t="inlineStr">
        <is>
          <t>Да</t>
        </is>
      </c>
      <c r="L188" s="176" t="n"/>
      <c r="M188" s="176" t="n"/>
      <c r="N188" s="179">
        <f>SUMIFS($E$2:$E$896,$A$2:$A$896,"осень",$I$2:$I$896,I188)</f>
        <v/>
      </c>
      <c r="O188" s="179">
        <f>SUMIFS($E$2:$E$896,$A$2:$A$896,"весна",$I$2:$I$896,I188)</f>
        <v/>
      </c>
      <c r="P188" s="180">
        <f>N188+O188</f>
        <v/>
      </c>
      <c r="Q188" s="181">
        <f>P188/$Q$1</f>
        <v/>
      </c>
      <c r="R188" s="122">
        <f>P188*0.2</f>
        <v/>
      </c>
      <c r="S188" s="122">
        <f>Q188*0.8</f>
        <v/>
      </c>
      <c r="T188" s="133" t="n">
        <v>0.75</v>
      </c>
    </row>
    <row r="189" ht="15.75" customHeight="1" s="2">
      <c r="A189" s="175" t="inlineStr">
        <is>
          <t>осень</t>
        </is>
      </c>
      <c r="B189" s="176" t="inlineStr">
        <is>
          <t>Введение в искусственный интеллект в технологиях материалов, изделий и в системах принятия решений</t>
        </is>
      </c>
      <c r="C189" s="176" t="inlineStr">
        <is>
          <t>Зачет с оценкой</t>
        </is>
      </c>
      <c r="D189" s="176" t="inlineStr">
        <is>
          <t>Т11О-308Б-21</t>
        </is>
      </c>
      <c r="E189" s="177" t="n">
        <v>1</v>
      </c>
      <c r="F189" s="176" t="inlineStr">
        <is>
          <t>14816</t>
        </is>
      </c>
      <c r="G189" s="178" t="n"/>
      <c r="H189" s="176" t="n"/>
      <c r="I189" s="176" t="inlineStr">
        <is>
          <t>э-резерв</t>
        </is>
      </c>
      <c r="J189" s="176" t="n"/>
      <c r="K189" s="176" t="inlineStr">
        <is>
          <t>Нет</t>
        </is>
      </c>
      <c r="L189" s="176" t="n"/>
      <c r="M189" s="176" t="n"/>
      <c r="N189" s="179">
        <f>SUMIFS($E$2:$E$896,$A$2:$A$896,"осень",$I$2:$I$896,I189)</f>
        <v/>
      </c>
      <c r="O189" s="179">
        <f>SUMIFS($E$2:$E$896,$A$2:$A$896,"весна",$I$2:$I$896,I189)</f>
        <v/>
      </c>
      <c r="P189" s="180">
        <f>N189+O189</f>
        <v/>
      </c>
      <c r="Q189" s="181">
        <f>P189/$Q$1</f>
        <v/>
      </c>
      <c r="R189" s="122">
        <f>P189*0.2</f>
        <v/>
      </c>
      <c r="S189" s="122">
        <f>Q189*0.8</f>
        <v/>
      </c>
      <c r="T189" s="133" t="n">
        <v>0</v>
      </c>
    </row>
    <row r="190" hidden="1" ht="15.75" customHeight="1" s="2">
      <c r="A190" s="175" t="inlineStr">
        <is>
          <t>осень</t>
        </is>
      </c>
      <c r="B190" s="182" t="inlineStr">
        <is>
          <t>Введение в искусственный интеллект в технологиях материалов, изделий и в системах принятия решений</t>
        </is>
      </c>
      <c r="C190" s="182" t="inlineStr">
        <is>
          <t>ПЗ</t>
        </is>
      </c>
      <c r="D190" s="182" t="inlineStr">
        <is>
          <t>Т11О-308Б-21</t>
        </is>
      </c>
      <c r="E190" s="183" t="n">
        <v>4</v>
      </c>
      <c r="F190" s="182" t="inlineStr">
        <is>
          <t>14816</t>
        </is>
      </c>
      <c r="G190" s="183" t="n">
        <v>8</v>
      </c>
      <c r="H190" s="182" t="inlineStr">
        <is>
          <t>82086</t>
        </is>
      </c>
      <c r="I190" s="182" t="inlineStr">
        <is>
          <t>Петров Игорь Алексеевич</t>
        </is>
      </c>
      <c r="J190" s="176" t="n"/>
      <c r="K190" s="176" t="inlineStr">
        <is>
          <t>Нет</t>
        </is>
      </c>
      <c r="L190" s="176" t="n"/>
      <c r="M190" s="176" t="n"/>
      <c r="N190" s="179">
        <f>SUMIFS($E$2:$E$896,$A$2:$A$896,"осень",$I$2:$I$896,I190)</f>
        <v/>
      </c>
      <c r="O190" s="179">
        <f>SUMIFS($E$2:$E$896,$A$2:$A$896,"весна",$I$2:$I$896,I190)</f>
        <v/>
      </c>
      <c r="P190" s="180">
        <f>N190+O190</f>
        <v/>
      </c>
      <c r="Q190" s="181">
        <f>P190/$Q$1</f>
        <v/>
      </c>
      <c r="R190" s="122">
        <f>P190*0.2</f>
        <v/>
      </c>
      <c r="S190" s="122">
        <f>Q190*0.8</f>
        <v/>
      </c>
      <c r="T190" s="133" t="n">
        <v>0.35</v>
      </c>
    </row>
    <row r="191" hidden="1" ht="15.75" customHeight="1" s="2">
      <c r="A191" s="175" t="inlineStr">
        <is>
          <t>осень</t>
        </is>
      </c>
      <c r="B191" s="176" t="inlineStr">
        <is>
          <t>Введение в искусственный интеллект в технологиях материалов, изделий и в системах принятия решений</t>
        </is>
      </c>
      <c r="C191" s="176" t="inlineStr">
        <is>
          <t>ПЗ</t>
        </is>
      </c>
      <c r="D191" s="176" t="inlineStr">
        <is>
          <t>Т11О-308Б-21</t>
        </is>
      </c>
      <c r="E191" s="177" t="n">
        <v>4</v>
      </c>
      <c r="F191" s="176" t="inlineStr">
        <is>
          <t>14816</t>
        </is>
      </c>
      <c r="G191" s="177" t="n">
        <v>8</v>
      </c>
      <c r="H191" s="176" t="inlineStr">
        <is>
          <t>92509</t>
        </is>
      </c>
      <c r="I191" s="176" t="inlineStr">
        <is>
          <t>Пашков Игорь Николаевич</t>
        </is>
      </c>
      <c r="J191" s="176" t="n"/>
      <c r="K191" s="176" t="inlineStr">
        <is>
          <t>Нет</t>
        </is>
      </c>
      <c r="L191" s="176" t="n"/>
      <c r="M191" s="176" t="n"/>
      <c r="N191" s="179">
        <f>SUMIFS($E$2:$E$896,$A$2:$A$896,"осень",$I$2:$I$896,I191)</f>
        <v/>
      </c>
      <c r="O191" s="179">
        <f>SUMIFS($E$2:$E$896,$A$2:$A$896,"весна",$I$2:$I$896,I191)</f>
        <v/>
      </c>
      <c r="P191" s="180">
        <f>N191+O191</f>
        <v/>
      </c>
      <c r="Q191" s="181">
        <f>P191/$Q$1</f>
        <v/>
      </c>
      <c r="R191" s="122">
        <f>P191*0.2</f>
        <v/>
      </c>
      <c r="S191" s="122">
        <f>Q191*0.8</f>
        <v/>
      </c>
      <c r="T191" s="133" t="n">
        <v>0.55</v>
      </c>
    </row>
    <row r="192" hidden="1" ht="15.75" customHeight="1" s="2">
      <c r="A192" s="175" t="inlineStr">
        <is>
          <t>осень</t>
        </is>
      </c>
      <c r="B192" s="176" t="inlineStr">
        <is>
          <t>Введение в искусственный интеллект в технологиях материалов, изделий и в системах принятия решений</t>
        </is>
      </c>
      <c r="C192" s="176" t="inlineStr">
        <is>
          <t>ЛР</t>
        </is>
      </c>
      <c r="D192" s="176" t="inlineStr">
        <is>
          <t>Т11О-308Б-21</t>
        </is>
      </c>
      <c r="E192" s="177" t="n">
        <v>4</v>
      </c>
      <c r="F192" s="176" t="inlineStr">
        <is>
          <t>14816</t>
        </is>
      </c>
      <c r="G192" s="177" t="n">
        <v>12</v>
      </c>
      <c r="H192" s="176" t="inlineStr">
        <is>
          <t>81728</t>
        </is>
      </c>
      <c r="I192" s="176" t="inlineStr">
        <is>
          <t>Галкин Виктор Иванович</t>
        </is>
      </c>
      <c r="J192" s="176" t="n"/>
      <c r="K192" s="176" t="inlineStr">
        <is>
          <t>Да</t>
        </is>
      </c>
      <c r="L192" s="176" t="n"/>
      <c r="M192" s="176" t="n"/>
      <c r="N192" s="179">
        <f>SUMIFS($E$2:$E$896,$A$2:$A$896,"осень",$I$2:$I$896,I192)</f>
        <v/>
      </c>
      <c r="O192" s="179">
        <f>SUMIFS($E$2:$E$896,$A$2:$A$896,"весна",$I$2:$I$896,I192)</f>
        <v/>
      </c>
      <c r="P192" s="180">
        <f>N192+O192</f>
        <v/>
      </c>
      <c r="Q192" s="181">
        <f>P192/$Q$1</f>
        <v/>
      </c>
      <c r="R192" s="122">
        <f>P192*0.2</f>
        <v/>
      </c>
      <c r="S192" s="122">
        <f>Q192*0.8</f>
        <v/>
      </c>
      <c r="T192" s="133" t="n">
        <v>0.75</v>
      </c>
    </row>
    <row r="193" hidden="1" ht="15.75" customHeight="1" s="2">
      <c r="A193" s="175" t="inlineStr">
        <is>
          <t>осень</t>
        </is>
      </c>
      <c r="B193" s="176" t="inlineStr">
        <is>
          <t>Введение в искусственный интеллект в технологиях материалов, изделий и в системах принятия решений</t>
        </is>
      </c>
      <c r="C193" s="176" t="inlineStr">
        <is>
          <t>ЛР</t>
        </is>
      </c>
      <c r="D193" s="176" t="inlineStr">
        <is>
          <t>Т11О-308Б-21</t>
        </is>
      </c>
      <c r="E193" s="177" t="n">
        <v>4</v>
      </c>
      <c r="F193" s="176" t="inlineStr">
        <is>
          <t>14816</t>
        </is>
      </c>
      <c r="G193" s="177" t="n">
        <v>12</v>
      </c>
      <c r="H193" s="176" t="inlineStr">
        <is>
          <t>81721</t>
        </is>
      </c>
      <c r="I193" s="176" t="inlineStr">
        <is>
          <t>Преображенский Евгений Владимирович</t>
        </is>
      </c>
      <c r="J193" s="176" t="n"/>
      <c r="K193" s="176" t="inlineStr">
        <is>
          <t>Нет</t>
        </is>
      </c>
      <c r="L193" s="176" t="n"/>
      <c r="M193" s="176" t="n"/>
      <c r="N193" s="179">
        <f>SUMIFS($E$2:$E$896,$A$2:$A$896,"осень",$I$2:$I$896,I193)</f>
        <v/>
      </c>
      <c r="O193" s="179">
        <f>SUMIFS($E$2:$E$896,$A$2:$A$896,"весна",$I$2:$I$896,I193)</f>
        <v/>
      </c>
      <c r="P193" s="180">
        <f>N193+O193</f>
        <v/>
      </c>
      <c r="Q193" s="181">
        <f>P193/$Q$1</f>
        <v/>
      </c>
      <c r="R193" s="122">
        <f>P193*0.2</f>
        <v/>
      </c>
      <c r="S193" s="122">
        <f>Q193*0.8</f>
        <v/>
      </c>
      <c r="T193" s="133" t="n">
        <v>0.25</v>
      </c>
    </row>
    <row r="194" hidden="1" ht="15.75" customHeight="1" s="2">
      <c r="A194" s="175" t="inlineStr">
        <is>
          <t>осень</t>
        </is>
      </c>
      <c r="B194" s="176" t="inlineStr">
        <is>
          <t>Введение в искусственный интеллект в технологиях материалов, изделий и в системах принятия решений</t>
        </is>
      </c>
      <c r="C194" s="176" t="inlineStr">
        <is>
          <t>ЛР</t>
        </is>
      </c>
      <c r="D194" s="176" t="inlineStr">
        <is>
          <t>Т11О-308Б-21</t>
        </is>
      </c>
      <c r="E194" s="177" t="n">
        <v>4</v>
      </c>
      <c r="F194" s="176" t="inlineStr">
        <is>
          <t>14816</t>
        </is>
      </c>
      <c r="G194" s="177" t="n">
        <v>12</v>
      </c>
      <c r="H194" s="176" t="inlineStr">
        <is>
          <t>82066</t>
        </is>
      </c>
      <c r="I194" s="176" t="inlineStr">
        <is>
          <t>Серов Михаил Михайлович</t>
        </is>
      </c>
      <c r="J194" s="176" t="n"/>
      <c r="K194" s="176" t="inlineStr">
        <is>
          <t>Да</t>
        </is>
      </c>
      <c r="L194" s="176" t="n"/>
      <c r="M194" s="176" t="n"/>
      <c r="N194" s="179">
        <f>SUMIFS($E$2:$E$896,$A$2:$A$896,"осень",$I$2:$I$896,I194)</f>
        <v/>
      </c>
      <c r="O194" s="179">
        <f>SUMIFS($E$2:$E$896,$A$2:$A$896,"весна",$I$2:$I$896,I194)</f>
        <v/>
      </c>
      <c r="P194" s="180">
        <f>N194+O194</f>
        <v/>
      </c>
      <c r="Q194" s="181">
        <f>P194/$Q$1</f>
        <v/>
      </c>
      <c r="R194" s="122">
        <f>P194*0.2</f>
        <v/>
      </c>
      <c r="S194" s="122">
        <f>Q194*0.8</f>
        <v/>
      </c>
      <c r="T194" s="133" t="n">
        <v>0.6</v>
      </c>
    </row>
    <row r="195" hidden="1" ht="15.75" customHeight="1" s="2">
      <c r="A195" s="175" t="inlineStr">
        <is>
          <t>осень</t>
        </is>
      </c>
      <c r="B195" s="176" t="inlineStr">
        <is>
          <t>Введение в искусственный интеллект в технологиях материалов, изделий и в системах принятия решений</t>
        </is>
      </c>
      <c r="C195" s="176" t="inlineStr">
        <is>
          <t>Консультация</t>
        </is>
      </c>
      <c r="D195" s="176" t="inlineStr">
        <is>
          <t>Т11О-308Б-21</t>
        </is>
      </c>
      <c r="E195" s="177" t="n">
        <v>2</v>
      </c>
      <c r="F195" s="176" t="inlineStr">
        <is>
          <t>14816</t>
        </is>
      </c>
      <c r="G195" s="178" t="n"/>
      <c r="H195" s="176" t="inlineStr">
        <is>
          <t>81728</t>
        </is>
      </c>
      <c r="I195" s="176" t="inlineStr">
        <is>
          <t>Галкин Виктор Иванович</t>
        </is>
      </c>
      <c r="J195" s="176" t="n"/>
      <c r="K195" s="176" t="inlineStr">
        <is>
          <t>Да</t>
        </is>
      </c>
      <c r="L195" s="176" t="n"/>
      <c r="M195" s="176" t="n"/>
      <c r="N195" s="179">
        <f>SUMIFS($E$2:$E$896,$A$2:$A$896,"осень",$I$2:$I$896,I195)</f>
        <v/>
      </c>
      <c r="O195" s="179">
        <f>SUMIFS($E$2:$E$896,$A$2:$A$896,"весна",$I$2:$I$896,I195)</f>
        <v/>
      </c>
      <c r="P195" s="180">
        <f>N195+O195</f>
        <v/>
      </c>
      <c r="Q195" s="181">
        <f>P195/$Q$1</f>
        <v/>
      </c>
      <c r="R195" s="122">
        <f>P195*0.2</f>
        <v/>
      </c>
      <c r="S195" s="122">
        <f>Q195*0.8</f>
        <v/>
      </c>
      <c r="T195" s="133" t="n">
        <v>0.75</v>
      </c>
    </row>
    <row r="196" hidden="1" ht="15.75" customHeight="1" s="2">
      <c r="A196" s="175" t="inlineStr">
        <is>
          <t>осень</t>
        </is>
      </c>
      <c r="B196" s="176" t="inlineStr">
        <is>
          <t>Спецглавы теории литейных процессов</t>
        </is>
      </c>
      <c r="C196" s="176" t="inlineStr">
        <is>
          <t>ЛК</t>
        </is>
      </c>
      <c r="D196" s="176" t="inlineStr">
        <is>
          <t>Т11О-202М-22</t>
        </is>
      </c>
      <c r="E196" s="177" t="n">
        <v>14</v>
      </c>
      <c r="F196" s="176" t="inlineStr">
        <is>
          <t>16103</t>
        </is>
      </c>
      <c r="G196" s="177" t="n">
        <v>14</v>
      </c>
      <c r="H196" s="176" t="inlineStr">
        <is>
          <t>81891</t>
        </is>
      </c>
      <c r="I196" s="176" t="inlineStr">
        <is>
          <t>Ряховский Александр Павлович</t>
        </is>
      </c>
      <c r="J196" s="176" t="n"/>
      <c r="K196" s="176" t="inlineStr">
        <is>
          <t>Да</t>
        </is>
      </c>
      <c r="L196" s="176" t="n"/>
      <c r="M196" s="176" t="n"/>
      <c r="N196" s="179">
        <f>SUMIFS($E$2:$E$896,$A$2:$A$896,"осень",$I$2:$I$896,I196)</f>
        <v/>
      </c>
      <c r="O196" s="179">
        <f>SUMIFS($E$2:$E$896,$A$2:$A$896,"весна",$I$2:$I$896,I196)</f>
        <v/>
      </c>
      <c r="P196" s="180">
        <f>N196+O196</f>
        <v/>
      </c>
      <c r="Q196" s="181">
        <f>P196/$Q$1</f>
        <v/>
      </c>
      <c r="R196" s="122">
        <f>P196*0.2</f>
        <v/>
      </c>
      <c r="S196" s="122">
        <f>Q196*0.8</f>
        <v/>
      </c>
      <c r="T196" s="133" t="n">
        <v>0.5</v>
      </c>
    </row>
    <row r="197" hidden="1" ht="15.75" customHeight="1" s="2">
      <c r="A197" s="175" t="inlineStr">
        <is>
          <t>осень</t>
        </is>
      </c>
      <c r="B197" s="176" t="inlineStr">
        <is>
          <t>Спецглавы теории литейных процессов</t>
        </is>
      </c>
      <c r="C197" s="176" t="inlineStr">
        <is>
          <t>Зачет с оценкой</t>
        </is>
      </c>
      <c r="D197" s="176" t="inlineStr">
        <is>
          <t>Т11О-202М-22</t>
        </is>
      </c>
      <c r="E197" s="177" t="n">
        <v>2</v>
      </c>
      <c r="F197" s="176" t="inlineStr">
        <is>
          <t>16103</t>
        </is>
      </c>
      <c r="G197" s="178" t="n"/>
      <c r="H197" s="176" t="inlineStr">
        <is>
          <t>81891</t>
        </is>
      </c>
      <c r="I197" s="176" t="inlineStr">
        <is>
          <t>Ряховский Александр Павлович</t>
        </is>
      </c>
      <c r="J197" s="176" t="n"/>
      <c r="K197" s="176" t="inlineStr">
        <is>
          <t>Да</t>
        </is>
      </c>
      <c r="L197" s="176" t="n"/>
      <c r="M197" s="176" t="n"/>
      <c r="N197" s="179">
        <f>SUMIFS($E$2:$E$896,$A$2:$A$896,"осень",$I$2:$I$896,I197)</f>
        <v/>
      </c>
      <c r="O197" s="179">
        <f>SUMIFS($E$2:$E$896,$A$2:$A$896,"весна",$I$2:$I$896,I197)</f>
        <v/>
      </c>
      <c r="P197" s="180">
        <f>N197+O197</f>
        <v/>
      </c>
      <c r="Q197" s="181">
        <f>P197/$Q$1</f>
        <v/>
      </c>
      <c r="R197" s="122">
        <f>P197*0.2</f>
        <v/>
      </c>
      <c r="S197" s="122">
        <f>Q197*0.8</f>
        <v/>
      </c>
      <c r="T197" s="133" t="n">
        <v>0.5</v>
      </c>
    </row>
    <row r="198" hidden="1" ht="15.75" customHeight="1" s="2">
      <c r="A198" s="175" t="inlineStr">
        <is>
          <t>осень</t>
        </is>
      </c>
      <c r="B198" s="176" t="inlineStr">
        <is>
          <t>Спецглавы теории литейных процессов</t>
        </is>
      </c>
      <c r="C198" s="176" t="inlineStr">
        <is>
          <t>ПЗ</t>
        </is>
      </c>
      <c r="D198" s="176" t="inlineStr">
        <is>
          <t>Т11О-202М-22</t>
        </is>
      </c>
      <c r="E198" s="177" t="n">
        <v>36</v>
      </c>
      <c r="F198" s="176" t="inlineStr">
        <is>
          <t>16103</t>
        </is>
      </c>
      <c r="G198" s="177" t="n">
        <v>36</v>
      </c>
      <c r="H198" s="176" t="inlineStr">
        <is>
          <t>81891</t>
        </is>
      </c>
      <c r="I198" s="176" t="inlineStr">
        <is>
          <t>Ряховский Александр Павлович</t>
        </is>
      </c>
      <c r="J198" s="176" t="n"/>
      <c r="K198" s="176" t="inlineStr">
        <is>
          <t>Да</t>
        </is>
      </c>
      <c r="L198" s="176" t="n"/>
      <c r="M198" s="176" t="n"/>
      <c r="N198" s="179">
        <f>SUMIFS($E$2:$E$896,$A$2:$A$896,"осень",$I$2:$I$896,I198)</f>
        <v/>
      </c>
      <c r="O198" s="179">
        <f>SUMIFS($E$2:$E$896,$A$2:$A$896,"весна",$I$2:$I$896,I198)</f>
        <v/>
      </c>
      <c r="P198" s="180">
        <f>N198+O198</f>
        <v/>
      </c>
      <c r="Q198" s="181">
        <f>P198/$Q$1</f>
        <v/>
      </c>
      <c r="R198" s="122">
        <f>P198*0.2</f>
        <v/>
      </c>
      <c r="S198" s="122">
        <f>Q198*0.8</f>
        <v/>
      </c>
      <c r="T198" s="133" t="n">
        <v>0.5</v>
      </c>
    </row>
    <row r="199" hidden="1" ht="15.75" customHeight="1" s="2">
      <c r="A199" s="175" t="inlineStr">
        <is>
          <t>осень</t>
        </is>
      </c>
      <c r="B199" s="176" t="inlineStr">
        <is>
          <t>Спецглавы теории литейных процессов</t>
        </is>
      </c>
      <c r="C199" s="176" t="inlineStr">
        <is>
          <t>Консультация</t>
        </is>
      </c>
      <c r="D199" s="176" t="inlineStr">
        <is>
          <t>Т11О-202М-22</t>
        </is>
      </c>
      <c r="E199" s="177" t="n">
        <v>1</v>
      </c>
      <c r="F199" s="176" t="inlineStr">
        <is>
          <t>16103</t>
        </is>
      </c>
      <c r="G199" s="178" t="n"/>
      <c r="H199" s="176" t="inlineStr">
        <is>
          <t>81891</t>
        </is>
      </c>
      <c r="I199" s="176" t="inlineStr">
        <is>
          <t>Ряховский Александр Павлович</t>
        </is>
      </c>
      <c r="J199" s="176" t="n"/>
      <c r="K199" s="176" t="inlineStr">
        <is>
          <t>Да</t>
        </is>
      </c>
      <c r="L199" s="176" t="n"/>
      <c r="M199" s="176" t="n"/>
      <c r="N199" s="179">
        <f>SUMIFS($E$2:$E$896,$A$2:$A$896,"осень",$I$2:$I$896,I199)</f>
        <v/>
      </c>
      <c r="O199" s="179">
        <f>SUMIFS($E$2:$E$896,$A$2:$A$896,"весна",$I$2:$I$896,I199)</f>
        <v/>
      </c>
      <c r="P199" s="180">
        <f>N199+O199</f>
        <v/>
      </c>
      <c r="Q199" s="181">
        <f>P199/$Q$1</f>
        <v/>
      </c>
      <c r="R199" s="122">
        <f>P199*0.2</f>
        <v/>
      </c>
      <c r="S199" s="122">
        <f>Q199*0.8</f>
        <v/>
      </c>
      <c r="T199" s="133" t="n">
        <v>0.5</v>
      </c>
    </row>
    <row r="200" hidden="1" ht="15.75" customHeight="1" s="2">
      <c r="A200" s="175" t="inlineStr">
        <is>
          <t>осень</t>
        </is>
      </c>
      <c r="B200" s="176" t="inlineStr">
        <is>
          <t>Технология листовой штамповки</t>
        </is>
      </c>
      <c r="C200" s="176" t="inlineStr">
        <is>
          <t>КП</t>
        </is>
      </c>
      <c r="D200" s="176" t="inlineStr">
        <is>
          <t>Т11О-401Б-20</t>
        </is>
      </c>
      <c r="E200" s="177" t="n">
        <v>33</v>
      </c>
      <c r="F200" s="176" t="inlineStr">
        <is>
          <t>11924</t>
        </is>
      </c>
      <c r="G200" s="178" t="n"/>
      <c r="H200" s="176" t="inlineStr">
        <is>
          <t>81716</t>
        </is>
      </c>
      <c r="I200" s="176" t="inlineStr">
        <is>
          <t>Жаров Максим Владимирович</t>
        </is>
      </c>
      <c r="J200" s="176" t="n"/>
      <c r="K200" s="176" t="inlineStr">
        <is>
          <t>Нет</t>
        </is>
      </c>
      <c r="L200" s="176" t="n"/>
      <c r="M200" s="176" t="n"/>
      <c r="N200" s="179">
        <f>SUMIFS($E$2:$E$896,$A$2:$A$896,"осень",$I$2:$I$896,I200)</f>
        <v/>
      </c>
      <c r="O200" s="179">
        <f>SUMIFS($E$2:$E$896,$A$2:$A$896,"весна",$I$2:$I$896,I200)</f>
        <v/>
      </c>
      <c r="P200" s="180">
        <f>N200+O200</f>
        <v/>
      </c>
      <c r="Q200" s="181">
        <f>P200/$Q$1</f>
        <v/>
      </c>
      <c r="R200" s="122">
        <f>P200*0.2</f>
        <v/>
      </c>
      <c r="S200" s="122">
        <f>Q200*0.8</f>
        <v/>
      </c>
      <c r="T200" s="133" t="n">
        <v>0.2</v>
      </c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</row>
    <row r="201" hidden="1" ht="15.75" customHeight="1" s="2">
      <c r="A201" s="175" t="inlineStr">
        <is>
          <t>осень</t>
        </is>
      </c>
      <c r="B201" s="176" t="inlineStr">
        <is>
          <t>Технология листовой штамповки</t>
        </is>
      </c>
      <c r="C201" s="176" t="inlineStr">
        <is>
          <t>ЛК</t>
        </is>
      </c>
      <c r="D201" s="176" t="inlineStr">
        <is>
          <t>Т11О-401Б-20</t>
        </is>
      </c>
      <c r="E201" s="177" t="n">
        <v>46</v>
      </c>
      <c r="F201" s="176" t="inlineStr">
        <is>
          <t>11924</t>
        </is>
      </c>
      <c r="G201" s="177" t="n">
        <v>46</v>
      </c>
      <c r="H201" s="176" t="inlineStr">
        <is>
          <t>81716</t>
        </is>
      </c>
      <c r="I201" s="176" t="inlineStr">
        <is>
          <t>Жаров Максим Владимирович</t>
        </is>
      </c>
      <c r="J201" s="176" t="n"/>
      <c r="K201" s="176" t="inlineStr">
        <is>
          <t>Нет</t>
        </is>
      </c>
      <c r="L201" s="176" t="n"/>
      <c r="M201" s="176" t="n"/>
      <c r="N201" s="179">
        <f>SUMIFS($E$2:$E$896,$A$2:$A$896,"осень",$I$2:$I$896,I201)</f>
        <v/>
      </c>
      <c r="O201" s="179">
        <f>SUMIFS($E$2:$E$896,$A$2:$A$896,"весна",$I$2:$I$896,I201)</f>
        <v/>
      </c>
      <c r="P201" s="180">
        <f>N201+O201</f>
        <v/>
      </c>
      <c r="Q201" s="181">
        <f>P201/$Q$1</f>
        <v/>
      </c>
      <c r="R201" s="122">
        <f>P201*0.2</f>
        <v/>
      </c>
      <c r="S201" s="122">
        <f>Q201*0.8</f>
        <v/>
      </c>
      <c r="T201" s="133" t="n">
        <v>0.2</v>
      </c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</row>
    <row r="202" hidden="1" ht="15.75" customHeight="1" s="2">
      <c r="A202" s="175" t="inlineStr">
        <is>
          <t>осень</t>
        </is>
      </c>
      <c r="B202" s="176" t="inlineStr">
        <is>
          <t>Технология листовой штамповки</t>
        </is>
      </c>
      <c r="C202" s="176" t="inlineStr">
        <is>
          <t>ПЗ</t>
        </is>
      </c>
      <c r="D202" s="176" t="inlineStr">
        <is>
          <t>Т11О-401Б-20</t>
        </is>
      </c>
      <c r="E202" s="177" t="n">
        <v>80</v>
      </c>
      <c r="F202" s="176" t="inlineStr">
        <is>
          <t>11924</t>
        </is>
      </c>
      <c r="G202" s="177" t="n">
        <v>80</v>
      </c>
      <c r="H202" s="176" t="inlineStr">
        <is>
          <t>81716</t>
        </is>
      </c>
      <c r="I202" s="176" t="inlineStr">
        <is>
          <t>Жаров Максим Владимирович</t>
        </is>
      </c>
      <c r="J202" s="176" t="n"/>
      <c r="K202" s="176" t="inlineStr">
        <is>
          <t>Нет</t>
        </is>
      </c>
      <c r="L202" s="176" t="n"/>
      <c r="M202" s="176" t="n"/>
      <c r="N202" s="179">
        <f>SUMIFS($E$2:$E$896,$A$2:$A$896,"осень",$I$2:$I$896,I202)</f>
        <v/>
      </c>
      <c r="O202" s="179">
        <f>SUMIFS($E$2:$E$896,$A$2:$A$896,"весна",$I$2:$I$896,I202)</f>
        <v/>
      </c>
      <c r="P202" s="180">
        <f>N202+O202</f>
        <v/>
      </c>
      <c r="Q202" s="181">
        <f>P202/$Q$1</f>
        <v/>
      </c>
      <c r="R202" s="122">
        <f>P202*0.2</f>
        <v/>
      </c>
      <c r="S202" s="122">
        <f>Q202*0.8</f>
        <v/>
      </c>
      <c r="T202" s="133" t="n">
        <v>0.2</v>
      </c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</row>
    <row r="203" hidden="1" ht="15.75" customHeight="1" s="2">
      <c r="A203" s="175" t="inlineStr">
        <is>
          <t>осень</t>
        </is>
      </c>
      <c r="B203" s="176" t="inlineStr">
        <is>
          <t>Технология листовой штамповки</t>
        </is>
      </c>
      <c r="C203" s="176" t="inlineStr">
        <is>
          <t>Экзамен</t>
        </is>
      </c>
      <c r="D203" s="176" t="inlineStr">
        <is>
          <t>Т11О-401Б-20</t>
        </is>
      </c>
      <c r="E203" s="177" t="n">
        <v>6</v>
      </c>
      <c r="F203" s="176" t="inlineStr">
        <is>
          <t>11924</t>
        </is>
      </c>
      <c r="G203" s="178" t="n"/>
      <c r="H203" s="176" t="inlineStr">
        <is>
          <t>81716</t>
        </is>
      </c>
      <c r="I203" s="176" t="inlineStr">
        <is>
          <t>Жаров Максим Владимирович</t>
        </is>
      </c>
      <c r="J203" s="176" t="n"/>
      <c r="K203" s="176" t="inlineStr">
        <is>
          <t>Нет</t>
        </is>
      </c>
      <c r="L203" s="176" t="n"/>
      <c r="M203" s="176" t="n"/>
      <c r="N203" s="179">
        <f>SUMIFS($E$2:$E$896,$A$2:$A$896,"осень",$I$2:$I$896,I203)</f>
        <v/>
      </c>
      <c r="O203" s="179">
        <f>SUMIFS($E$2:$E$896,$A$2:$A$896,"весна",$I$2:$I$896,I203)</f>
        <v/>
      </c>
      <c r="P203" s="180">
        <f>N203+O203</f>
        <v/>
      </c>
      <c r="Q203" s="181">
        <f>P203/$Q$1</f>
        <v/>
      </c>
      <c r="R203" s="122">
        <f>P203*0.2</f>
        <v/>
      </c>
      <c r="S203" s="122">
        <f>Q203*0.8</f>
        <v/>
      </c>
      <c r="T203" s="133" t="n">
        <v>0.2</v>
      </c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</row>
    <row r="204" hidden="1" ht="15.75" customHeight="1" s="2">
      <c r="A204" s="175" t="inlineStr">
        <is>
          <t>осень</t>
        </is>
      </c>
      <c r="B204" s="176" t="inlineStr">
        <is>
          <t>Технология листовой штамповки</t>
        </is>
      </c>
      <c r="C204" s="176" t="inlineStr">
        <is>
          <t>Консультация</t>
        </is>
      </c>
      <c r="D204" s="176" t="inlineStr">
        <is>
          <t>Т11О-401Б-20</t>
        </is>
      </c>
      <c r="E204" s="177" t="n">
        <v>4</v>
      </c>
      <c r="F204" s="176" t="inlineStr">
        <is>
          <t>11924</t>
        </is>
      </c>
      <c r="G204" s="178" t="n"/>
      <c r="H204" s="176" t="inlineStr">
        <is>
          <t>81716</t>
        </is>
      </c>
      <c r="I204" s="176" t="inlineStr">
        <is>
          <t>Жаров Максим Владимирович</t>
        </is>
      </c>
      <c r="J204" s="176" t="n"/>
      <c r="K204" s="176" t="inlineStr">
        <is>
          <t>Нет</t>
        </is>
      </c>
      <c r="L204" s="176" t="n"/>
      <c r="M204" s="176" t="n"/>
      <c r="N204" s="179">
        <f>SUMIFS($E$2:$E$896,$A$2:$A$896,"осень",$I$2:$I$896,I204)</f>
        <v/>
      </c>
      <c r="O204" s="179">
        <f>SUMIFS($E$2:$E$896,$A$2:$A$896,"весна",$I$2:$I$896,I204)</f>
        <v/>
      </c>
      <c r="P204" s="180">
        <f>N204+O204</f>
        <v/>
      </c>
      <c r="Q204" s="181">
        <f>P204/$Q$1</f>
        <v/>
      </c>
      <c r="R204" s="122">
        <f>P204*0.2</f>
        <v/>
      </c>
      <c r="S204" s="122">
        <f>Q204*0.8</f>
        <v/>
      </c>
      <c r="T204" s="133" t="n">
        <v>0.2</v>
      </c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6" t="n"/>
      <c r="AI204" s="16" t="n"/>
      <c r="AJ204" s="16" t="n"/>
      <c r="AK204" s="16" t="n"/>
    </row>
    <row r="205" hidden="1" ht="15.75" customHeight="1" s="2">
      <c r="A205" s="175" t="inlineStr">
        <is>
          <t>осень</t>
        </is>
      </c>
      <c r="B205" s="176" t="inlineStr">
        <is>
          <t>Нагревательные печи и устройства</t>
        </is>
      </c>
      <c r="C205" s="176" t="inlineStr">
        <is>
          <t>ЛК</t>
        </is>
      </c>
      <c r="D205" s="176" t="inlineStr">
        <is>
          <t>Т11О-401Б-20</t>
        </is>
      </c>
      <c r="E205" s="177" t="n">
        <v>18</v>
      </c>
      <c r="F205" s="176" t="inlineStr">
        <is>
          <t>11924</t>
        </is>
      </c>
      <c r="G205" s="177" t="n">
        <v>18</v>
      </c>
      <c r="H205" s="176" t="inlineStr">
        <is>
          <t>81729</t>
        </is>
      </c>
      <c r="I205" s="176" t="inlineStr">
        <is>
          <t>Соколов Алексей Викторович</t>
        </is>
      </c>
      <c r="J205" s="176" t="n"/>
      <c r="K205" s="176" t="inlineStr">
        <is>
          <t>Нет</t>
        </is>
      </c>
      <c r="L205" s="176" t="n"/>
      <c r="M205" s="176" t="n"/>
      <c r="N205" s="179">
        <f>SUMIFS($E$2:$E$896,$A$2:$A$896,"осень",$I$2:$I$896,I205)</f>
        <v/>
      </c>
      <c r="O205" s="179">
        <f>SUMIFS($E$2:$E$896,$A$2:$A$896,"весна",$I$2:$I$896,I205)</f>
        <v/>
      </c>
      <c r="P205" s="180">
        <f>N205+O205</f>
        <v/>
      </c>
      <c r="Q205" s="181">
        <f>P205/$Q$1</f>
        <v/>
      </c>
      <c r="R205" s="122">
        <f>P205*0.2</f>
        <v/>
      </c>
      <c r="S205" s="122">
        <f>Q205*0.8</f>
        <v/>
      </c>
      <c r="T205" s="133" t="n">
        <v>0.55</v>
      </c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6" t="n"/>
      <c r="AK205" s="16" t="n"/>
    </row>
    <row r="206" hidden="1" ht="15.75" customHeight="1" s="2">
      <c r="A206" s="175" t="inlineStr">
        <is>
          <t>осень</t>
        </is>
      </c>
      <c r="B206" s="176" t="inlineStr">
        <is>
          <t>Нагревательные печи и устройства</t>
        </is>
      </c>
      <c r="C206" s="176" t="inlineStr">
        <is>
          <t>ПЗ</t>
        </is>
      </c>
      <c r="D206" s="176" t="inlineStr">
        <is>
          <t>Т11О-401Б-20</t>
        </is>
      </c>
      <c r="E206" s="177" t="n">
        <v>32</v>
      </c>
      <c r="F206" s="176" t="inlineStr">
        <is>
          <t>11924</t>
        </is>
      </c>
      <c r="G206" s="177" t="n">
        <v>32</v>
      </c>
      <c r="H206" s="176" t="inlineStr">
        <is>
          <t>94921</t>
        </is>
      </c>
      <c r="I206" s="176" t="inlineStr">
        <is>
          <t>Соколов Алексей Викторович</t>
        </is>
      </c>
      <c r="J206" s="176" t="n"/>
      <c r="K206" s="176" t="inlineStr">
        <is>
          <t>Нет</t>
        </is>
      </c>
      <c r="L206" s="176" t="n"/>
      <c r="M206" s="176" t="n"/>
      <c r="N206" s="179">
        <f>SUMIFS($E$2:$E$896,$A$2:$A$896,"осень",$I$2:$I$896,I206)</f>
        <v/>
      </c>
      <c r="O206" s="179">
        <f>SUMIFS($E$2:$E$896,$A$2:$A$896,"весна",$I$2:$I$896,I206)</f>
        <v/>
      </c>
      <c r="P206" s="180">
        <f>N206+O206</f>
        <v/>
      </c>
      <c r="Q206" s="181">
        <f>P206/$Q$1</f>
        <v/>
      </c>
      <c r="R206" s="122">
        <f>P206*0.2</f>
        <v/>
      </c>
      <c r="S206" s="122">
        <f>Q206*0.8</f>
        <v/>
      </c>
      <c r="T206" s="133" t="n">
        <v>0.55</v>
      </c>
    </row>
    <row r="207" hidden="1" ht="15.75" customHeight="1" s="2">
      <c r="A207" s="175" t="inlineStr">
        <is>
          <t>осень</t>
        </is>
      </c>
      <c r="B207" s="176" t="inlineStr">
        <is>
          <t>Нагревательные печи и устройства</t>
        </is>
      </c>
      <c r="C207" s="176" t="inlineStr">
        <is>
          <t>Зачет</t>
        </is>
      </c>
      <c r="D207" s="176" t="inlineStr">
        <is>
          <t>Т11О-401Б-20</t>
        </is>
      </c>
      <c r="E207" s="177" t="n">
        <v>2</v>
      </c>
      <c r="F207" s="176" t="inlineStr">
        <is>
          <t>11924</t>
        </is>
      </c>
      <c r="G207" s="178" t="n"/>
      <c r="H207" s="176" t="inlineStr">
        <is>
          <t>81729</t>
        </is>
      </c>
      <c r="I207" s="176" t="inlineStr">
        <is>
          <t>Соколов Алексей Викторович</t>
        </is>
      </c>
      <c r="J207" s="176" t="n"/>
      <c r="K207" s="176" t="inlineStr">
        <is>
          <t>Нет</t>
        </is>
      </c>
      <c r="L207" s="176" t="n"/>
      <c r="M207" s="176" t="n"/>
      <c r="N207" s="179">
        <f>SUMIFS($E$2:$E$896,$A$2:$A$896,"осень",$I$2:$I$896,I207)</f>
        <v/>
      </c>
      <c r="O207" s="179">
        <f>SUMIFS($E$2:$E$896,$A$2:$A$896,"весна",$I$2:$I$896,I207)</f>
        <v/>
      </c>
      <c r="P207" s="180">
        <f>N207+O207</f>
        <v/>
      </c>
      <c r="Q207" s="181">
        <f>P207/$Q$1</f>
        <v/>
      </c>
      <c r="R207" s="122">
        <f>P207*0.2</f>
        <v/>
      </c>
      <c r="S207" s="122">
        <f>Q207*0.8</f>
        <v/>
      </c>
      <c r="T207" s="133" t="n">
        <v>0.55</v>
      </c>
    </row>
    <row r="208" hidden="1" ht="15.75" customHeight="1" s="2">
      <c r="A208" s="175" t="inlineStr">
        <is>
          <t>осень</t>
        </is>
      </c>
      <c r="B208" s="176" t="inlineStr">
        <is>
          <t>Нагревательные печи и устройства</t>
        </is>
      </c>
      <c r="C208" s="176" t="inlineStr">
        <is>
          <t>Консультация</t>
        </is>
      </c>
      <c r="D208" s="176" t="inlineStr">
        <is>
          <t>Т11О-401Б-20</t>
        </is>
      </c>
      <c r="E208" s="177" t="n">
        <v>1</v>
      </c>
      <c r="F208" s="176" t="inlineStr">
        <is>
          <t>11924</t>
        </is>
      </c>
      <c r="G208" s="178" t="n"/>
      <c r="H208" s="176" t="inlineStr">
        <is>
          <t>81729</t>
        </is>
      </c>
      <c r="I208" s="176" t="inlineStr">
        <is>
          <t>Соколов Алексей Викторович</t>
        </is>
      </c>
      <c r="J208" s="176" t="n"/>
      <c r="K208" s="176" t="inlineStr">
        <is>
          <t>Нет</t>
        </is>
      </c>
      <c r="L208" s="176" t="n"/>
      <c r="M208" s="176" t="n"/>
      <c r="N208" s="179">
        <f>SUMIFS($E$2:$E$896,$A$2:$A$896,"осень",$I$2:$I$896,I208)</f>
        <v/>
      </c>
      <c r="O208" s="179">
        <f>SUMIFS($E$2:$E$896,$A$2:$A$896,"весна",$I$2:$I$896,I208)</f>
        <v/>
      </c>
      <c r="P208" s="180">
        <f>N208+O208</f>
        <v/>
      </c>
      <c r="Q208" s="181">
        <f>P208/$Q$1</f>
        <v/>
      </c>
      <c r="R208" s="122">
        <f>P208*0.2</f>
        <v/>
      </c>
      <c r="S208" s="122">
        <f>Q208*0.8</f>
        <v/>
      </c>
      <c r="T208" s="133" t="n">
        <v>0.55</v>
      </c>
    </row>
    <row r="209" hidden="1" ht="15.75" customHeight="1" s="2">
      <c r="A209" s="175" t="inlineStr">
        <is>
          <t>осень</t>
        </is>
      </c>
      <c r="B209" s="176" t="inlineStr">
        <is>
          <t>Процессы порошковой металлургии - 2</t>
        </is>
      </c>
      <c r="C209" s="176" t="inlineStr">
        <is>
          <t>ЛК</t>
        </is>
      </c>
      <c r="D209" s="176" t="inlineStr">
        <is>
          <t>Т11О-402Б-20</t>
        </is>
      </c>
      <c r="E209" s="177" t="n">
        <v>44</v>
      </c>
      <c r="F209" s="176" t="inlineStr">
        <is>
          <t>11923</t>
        </is>
      </c>
      <c r="G209" s="177" t="n">
        <v>44</v>
      </c>
      <c r="H209" s="176" t="inlineStr">
        <is>
          <t>82066</t>
        </is>
      </c>
      <c r="I209" s="176" t="inlineStr">
        <is>
          <t>Серов Михаил Михайлович</t>
        </is>
      </c>
      <c r="J209" s="176" t="n"/>
      <c r="K209" s="176" t="inlineStr">
        <is>
          <t>Да</t>
        </is>
      </c>
      <c r="L209" s="176" t="n"/>
      <c r="M209" s="176" t="n"/>
      <c r="N209" s="179">
        <f>SUMIFS($E$2:$E$896,$A$2:$A$896,"осень",$I$2:$I$896,I209)</f>
        <v/>
      </c>
      <c r="O209" s="179">
        <f>SUMIFS($E$2:$E$896,$A$2:$A$896,"весна",$I$2:$I$896,I209)</f>
        <v/>
      </c>
      <c r="P209" s="180">
        <f>N209+O209</f>
        <v/>
      </c>
      <c r="Q209" s="181">
        <f>P209/$Q$1</f>
        <v/>
      </c>
      <c r="R209" s="122">
        <f>P209*0.2</f>
        <v/>
      </c>
      <c r="S209" s="122">
        <f>Q209*0.8</f>
        <v/>
      </c>
      <c r="T209" s="133" t="n">
        <v>0.6</v>
      </c>
    </row>
    <row r="210" hidden="1" ht="15.75" customHeight="1" s="2">
      <c r="A210" s="175" t="inlineStr">
        <is>
          <t>осень</t>
        </is>
      </c>
      <c r="B210" s="176" t="inlineStr">
        <is>
          <t>Процессы порошковой металлургии - 2</t>
        </is>
      </c>
      <c r="C210" s="176" t="inlineStr">
        <is>
          <t>КР</t>
        </is>
      </c>
      <c r="D210" s="176" t="inlineStr">
        <is>
          <t>Т11О-402Б-20</t>
        </is>
      </c>
      <c r="E210" s="177" t="n">
        <v>18</v>
      </c>
      <c r="F210" s="176" t="inlineStr">
        <is>
          <t>11923</t>
        </is>
      </c>
      <c r="G210" s="178" t="n"/>
      <c r="H210" s="176" t="inlineStr">
        <is>
          <t>82066</t>
        </is>
      </c>
      <c r="I210" s="176" t="inlineStr">
        <is>
          <t>Серов Михаил Михайлович</t>
        </is>
      </c>
      <c r="J210" s="176" t="n"/>
      <c r="K210" s="176" t="inlineStr">
        <is>
          <t>Да</t>
        </is>
      </c>
      <c r="L210" s="176" t="n"/>
      <c r="M210" s="176" t="n"/>
      <c r="N210" s="179">
        <f>SUMIFS($E$2:$E$896,$A$2:$A$896,"осень",$I$2:$I$896,I210)</f>
        <v/>
      </c>
      <c r="O210" s="179">
        <f>SUMIFS($E$2:$E$896,$A$2:$A$896,"весна",$I$2:$I$896,I210)</f>
        <v/>
      </c>
      <c r="P210" s="180">
        <f>N210+O210</f>
        <v/>
      </c>
      <c r="Q210" s="181">
        <f>P210/$Q$1</f>
        <v/>
      </c>
      <c r="R210" s="122">
        <f>P210*0.2</f>
        <v/>
      </c>
      <c r="S210" s="122">
        <f>Q210*0.8</f>
        <v/>
      </c>
      <c r="T210" s="133" t="n">
        <v>0.6</v>
      </c>
    </row>
    <row r="211" hidden="1" ht="15.75" customHeight="1" s="2">
      <c r="A211" s="175" t="inlineStr">
        <is>
          <t>осень</t>
        </is>
      </c>
      <c r="B211" s="176" t="inlineStr">
        <is>
          <t>Процессы порошковой металлургии - 2</t>
        </is>
      </c>
      <c r="C211" s="176" t="inlineStr">
        <is>
          <t>ПЗ</t>
        </is>
      </c>
      <c r="D211" s="176" t="inlineStr">
        <is>
          <t>Т11О-402Б-20</t>
        </is>
      </c>
      <c r="E211" s="177" t="n">
        <v>30</v>
      </c>
      <c r="F211" s="176" t="inlineStr">
        <is>
          <t>11923</t>
        </is>
      </c>
      <c r="G211" s="177" t="n">
        <v>30</v>
      </c>
      <c r="H211" s="176" t="inlineStr">
        <is>
          <t>82066</t>
        </is>
      </c>
      <c r="I211" s="176" t="inlineStr">
        <is>
          <t>Серов Михаил Михайлович</t>
        </is>
      </c>
      <c r="J211" s="176" t="n"/>
      <c r="K211" s="176" t="inlineStr">
        <is>
          <t>Да</t>
        </is>
      </c>
      <c r="L211" s="176" t="n"/>
      <c r="M211" s="176" t="n"/>
      <c r="N211" s="179">
        <f>SUMIFS($E$2:$E$896,$A$2:$A$896,"осень",$I$2:$I$896,I211)</f>
        <v/>
      </c>
      <c r="O211" s="179">
        <f>SUMIFS($E$2:$E$896,$A$2:$A$896,"весна",$I$2:$I$896,I211)</f>
        <v/>
      </c>
      <c r="P211" s="180">
        <f>N211+O211</f>
        <v/>
      </c>
      <c r="Q211" s="181">
        <f>P211/$Q$1</f>
        <v/>
      </c>
      <c r="R211" s="122">
        <f>P211*0.2</f>
        <v/>
      </c>
      <c r="S211" s="122">
        <f>Q211*0.8</f>
        <v/>
      </c>
      <c r="T211" s="133" t="n">
        <v>0.6</v>
      </c>
    </row>
    <row r="212" hidden="1" ht="15.75" customHeight="1" s="2">
      <c r="A212" s="175" t="inlineStr">
        <is>
          <t>осень</t>
        </is>
      </c>
      <c r="B212" s="176" t="inlineStr">
        <is>
          <t>Процессы порошковой металлургии - 2</t>
        </is>
      </c>
      <c r="C212" s="176" t="inlineStr">
        <is>
          <t>ЛР</t>
        </is>
      </c>
      <c r="D212" s="176" t="inlineStr">
        <is>
          <t>Т11О-402Б-20</t>
        </is>
      </c>
      <c r="E212" s="177" t="n">
        <v>16</v>
      </c>
      <c r="F212" s="176" t="inlineStr">
        <is>
          <t>11923</t>
        </is>
      </c>
      <c r="G212" s="177" t="n">
        <v>16</v>
      </c>
      <c r="H212" s="176" t="inlineStr">
        <is>
          <t>82066</t>
        </is>
      </c>
      <c r="I212" s="176" t="inlineStr">
        <is>
          <t>Серов Михаил Михайлович</t>
        </is>
      </c>
      <c r="J212" s="176" t="n"/>
      <c r="K212" s="176" t="inlineStr">
        <is>
          <t>Да</t>
        </is>
      </c>
      <c r="L212" s="176" t="n"/>
      <c r="M212" s="176" t="n"/>
      <c r="N212" s="179">
        <f>SUMIFS($E$2:$E$896,$A$2:$A$896,"осень",$I$2:$I$896,I212)</f>
        <v/>
      </c>
      <c r="O212" s="179">
        <f>SUMIFS($E$2:$E$896,$A$2:$A$896,"весна",$I$2:$I$896,I212)</f>
        <v/>
      </c>
      <c r="P212" s="180">
        <f>N212+O212</f>
        <v/>
      </c>
      <c r="Q212" s="181">
        <f>P212/$Q$1</f>
        <v/>
      </c>
      <c r="R212" s="122">
        <f>P212*0.2</f>
        <v/>
      </c>
      <c r="S212" s="122">
        <f>Q212*0.8</f>
        <v/>
      </c>
      <c r="T212" s="133" t="n">
        <v>0.6</v>
      </c>
    </row>
    <row r="213" hidden="1" ht="17.25" customHeight="1" s="2">
      <c r="A213" s="175" t="inlineStr">
        <is>
          <t>осень</t>
        </is>
      </c>
      <c r="B213" s="176" t="inlineStr">
        <is>
          <t>Процессы порошковой металлургии - 2</t>
        </is>
      </c>
      <c r="C213" s="176" t="inlineStr">
        <is>
          <t>Экзамен</t>
        </is>
      </c>
      <c r="D213" s="176" t="inlineStr">
        <is>
          <t>Т11О-402Б-20</t>
        </is>
      </c>
      <c r="E213" s="177" t="n">
        <v>5</v>
      </c>
      <c r="F213" s="176" t="inlineStr">
        <is>
          <t>11923</t>
        </is>
      </c>
      <c r="G213" s="178" t="n"/>
      <c r="H213" s="176" t="inlineStr">
        <is>
          <t>82066</t>
        </is>
      </c>
      <c r="I213" s="176" t="inlineStr">
        <is>
          <t>Серов Михаил Михайлович</t>
        </is>
      </c>
      <c r="J213" s="176" t="n"/>
      <c r="K213" s="176" t="inlineStr">
        <is>
          <t>Да</t>
        </is>
      </c>
      <c r="L213" s="176" t="n"/>
      <c r="M213" s="176" t="n"/>
      <c r="N213" s="179">
        <f>SUMIFS($E$2:$E$896,$A$2:$A$896,"осень",$I$2:$I$896,I213)</f>
        <v/>
      </c>
      <c r="O213" s="179">
        <f>SUMIFS($E$2:$E$896,$A$2:$A$896,"весна",$I$2:$I$896,I213)</f>
        <v/>
      </c>
      <c r="P213" s="180">
        <f>N213+O213</f>
        <v/>
      </c>
      <c r="Q213" s="181">
        <f>P213/$Q$1</f>
        <v/>
      </c>
      <c r="R213" s="122">
        <f>P213*0.2</f>
        <v/>
      </c>
      <c r="S213" s="122">
        <f>Q213*0.8</f>
        <v/>
      </c>
      <c r="T213" s="133" t="n">
        <v>0.6</v>
      </c>
    </row>
    <row r="214" hidden="1" ht="15.75" customHeight="1" s="2">
      <c r="A214" s="175" t="inlineStr">
        <is>
          <t>осень</t>
        </is>
      </c>
      <c r="B214" s="176" t="inlineStr">
        <is>
          <t>Процессы порошковой металлургии - 2</t>
        </is>
      </c>
      <c r="C214" s="176" t="inlineStr">
        <is>
          <t>Консультация</t>
        </is>
      </c>
      <c r="D214" s="176" t="inlineStr">
        <is>
          <t>Т11О-402Б-20</t>
        </is>
      </c>
      <c r="E214" s="177" t="n">
        <v>4</v>
      </c>
      <c r="F214" s="176" t="inlineStr">
        <is>
          <t>11923</t>
        </is>
      </c>
      <c r="G214" s="178" t="n"/>
      <c r="H214" s="176" t="inlineStr">
        <is>
          <t>82066</t>
        </is>
      </c>
      <c r="I214" s="176" t="inlineStr">
        <is>
          <t>Серов Михаил Михайлович</t>
        </is>
      </c>
      <c r="J214" s="176" t="n"/>
      <c r="K214" s="176" t="inlineStr">
        <is>
          <t>Да</t>
        </is>
      </c>
      <c r="L214" s="176" t="n"/>
      <c r="M214" s="176" t="n"/>
      <c r="N214" s="179">
        <f>SUMIFS($E$2:$E$896,$A$2:$A$896,"осень",$I$2:$I$896,I214)</f>
        <v/>
      </c>
      <c r="O214" s="179">
        <f>SUMIFS($E$2:$E$896,$A$2:$A$896,"весна",$I$2:$I$896,I214)</f>
        <v/>
      </c>
      <c r="P214" s="180">
        <f>N214+O214</f>
        <v/>
      </c>
      <c r="Q214" s="181">
        <f>P214/$Q$1</f>
        <v/>
      </c>
      <c r="R214" s="122">
        <f>P214*0.2</f>
        <v/>
      </c>
      <c r="S214" s="122">
        <f>Q214*0.8</f>
        <v/>
      </c>
      <c r="T214" s="133" t="n">
        <v>0.6</v>
      </c>
    </row>
    <row r="215" hidden="1" ht="15.75" customHeight="1" s="2">
      <c r="A215" s="175" t="inlineStr">
        <is>
          <t>осень</t>
        </is>
      </c>
      <c r="B215" s="176" t="inlineStr">
        <is>
          <t>Теория, технология и оборудование нанесения покрытий</t>
        </is>
      </c>
      <c r="C215" s="176" t="inlineStr">
        <is>
          <t>ЛК</t>
        </is>
      </c>
      <c r="D215" s="176" t="inlineStr">
        <is>
          <t>Т11О-402Б-20</t>
        </is>
      </c>
      <c r="E215" s="177" t="n">
        <v>36</v>
      </c>
      <c r="F215" s="176" t="inlineStr">
        <is>
          <t>11923</t>
        </is>
      </c>
      <c r="G215" s="177" t="n">
        <v>36</v>
      </c>
      <c r="H215" s="176" t="inlineStr">
        <is>
          <t>95460</t>
        </is>
      </c>
      <c r="I215" s="176" t="inlineStr">
        <is>
          <t>Банишев Александр Федорович</t>
        </is>
      </c>
      <c r="J215" s="176" t="n"/>
      <c r="K215" s="176" t="inlineStr">
        <is>
          <t>Нет</t>
        </is>
      </c>
      <c r="L215" s="176" t="n"/>
      <c r="M215" s="176" t="n"/>
      <c r="N215" s="179">
        <f>SUMIFS($E$2:$E$896,$A$2:$A$896,"осень",$I$2:$I$896,I215)</f>
        <v/>
      </c>
      <c r="O215" s="179">
        <f>SUMIFS($E$2:$E$896,$A$2:$A$896,"весна",$I$2:$I$896,I215)</f>
        <v/>
      </c>
      <c r="P215" s="180">
        <f>N215+O215</f>
        <v/>
      </c>
      <c r="Q215" s="181">
        <f>P215/$Q$1</f>
        <v/>
      </c>
      <c r="R215" s="122">
        <f>P215*0.2</f>
        <v/>
      </c>
      <c r="S215" s="122">
        <f>Q215*0.8</f>
        <v/>
      </c>
      <c r="T215" s="133" t="n">
        <v>0.15</v>
      </c>
    </row>
    <row r="216" hidden="1" ht="15.75" customHeight="1" s="2">
      <c r="A216" s="175" t="inlineStr">
        <is>
          <t>осень</t>
        </is>
      </c>
      <c r="B216" s="176" t="inlineStr">
        <is>
          <t>Теория, технология и оборудование нанесения покрытий</t>
        </is>
      </c>
      <c r="C216" s="176" t="inlineStr">
        <is>
          <t>Зачет с оценкой</t>
        </is>
      </c>
      <c r="D216" s="176" t="inlineStr">
        <is>
          <t>Т11О-402Б-20</t>
        </is>
      </c>
      <c r="E216" s="177" t="n">
        <v>3</v>
      </c>
      <c r="F216" s="176" t="inlineStr">
        <is>
          <t>11923</t>
        </is>
      </c>
      <c r="G216" s="178" t="n"/>
      <c r="H216" s="176" t="inlineStr">
        <is>
          <t>95460</t>
        </is>
      </c>
      <c r="I216" s="176" t="inlineStr">
        <is>
          <t>Банишев Александр Федорович</t>
        </is>
      </c>
      <c r="J216" s="176" t="n"/>
      <c r="K216" s="176" t="inlineStr">
        <is>
          <t>Нет</t>
        </is>
      </c>
      <c r="L216" s="176" t="n"/>
      <c r="M216" s="176" t="n"/>
      <c r="N216" s="179">
        <f>SUMIFS($E$2:$E$896,$A$2:$A$896,"осень",$I$2:$I$896,I216)</f>
        <v/>
      </c>
      <c r="O216" s="179">
        <f>SUMIFS($E$2:$E$896,$A$2:$A$896,"весна",$I$2:$I$896,I216)</f>
        <v/>
      </c>
      <c r="P216" s="180">
        <f>N216+O216</f>
        <v/>
      </c>
      <c r="Q216" s="181">
        <f>P216/$Q$1</f>
        <v/>
      </c>
      <c r="R216" s="122">
        <f>P216*0.2</f>
        <v/>
      </c>
      <c r="S216" s="122">
        <f>Q216*0.8</f>
        <v/>
      </c>
      <c r="T216" s="133" t="n">
        <v>0.15</v>
      </c>
    </row>
    <row r="217" hidden="1" ht="15.75" customHeight="1" s="2">
      <c r="A217" s="175" t="inlineStr">
        <is>
          <t>осень</t>
        </is>
      </c>
      <c r="B217" s="176" t="inlineStr">
        <is>
          <t>Теория, технология и оборудование нанесения покрытий</t>
        </is>
      </c>
      <c r="C217" s="176" t="inlineStr">
        <is>
          <t>ПЗ</t>
        </is>
      </c>
      <c r="D217" s="176" t="inlineStr">
        <is>
          <t>Т11О-402Б-20</t>
        </is>
      </c>
      <c r="E217" s="177" t="n">
        <v>20</v>
      </c>
      <c r="F217" s="176" t="inlineStr">
        <is>
          <t>11923</t>
        </is>
      </c>
      <c r="G217" s="177" t="n">
        <v>20</v>
      </c>
      <c r="H217" s="176" t="inlineStr">
        <is>
          <t>95460</t>
        </is>
      </c>
      <c r="I217" s="176" t="inlineStr">
        <is>
          <t>Банишев Александр Федорович</t>
        </is>
      </c>
      <c r="J217" s="176" t="n"/>
      <c r="K217" s="176" t="inlineStr">
        <is>
          <t>Нет</t>
        </is>
      </c>
      <c r="L217" s="176" t="n"/>
      <c r="M217" s="176" t="n"/>
      <c r="N217" s="179">
        <f>SUMIFS($E$2:$E$896,$A$2:$A$896,"осень",$I$2:$I$896,I217)</f>
        <v/>
      </c>
      <c r="O217" s="179">
        <f>SUMIFS($E$2:$E$896,$A$2:$A$896,"весна",$I$2:$I$896,I217)</f>
        <v/>
      </c>
      <c r="P217" s="180">
        <f>N217+O217</f>
        <v/>
      </c>
      <c r="Q217" s="181">
        <f>P217/$Q$1</f>
        <v/>
      </c>
      <c r="R217" s="122">
        <f>P217*0.2</f>
        <v/>
      </c>
      <c r="S217" s="122">
        <f>Q217*0.8</f>
        <v/>
      </c>
      <c r="T217" s="133" t="n">
        <v>0.15</v>
      </c>
    </row>
    <row r="218" hidden="1" ht="15.75" customHeight="1" s="2">
      <c r="A218" s="175" t="inlineStr">
        <is>
          <t>осень</t>
        </is>
      </c>
      <c r="B218" s="176" t="inlineStr">
        <is>
          <t>Теория, технология и оборудование нанесения покрытий</t>
        </is>
      </c>
      <c r="C218" s="176" t="inlineStr">
        <is>
          <t>ЛР</t>
        </is>
      </c>
      <c r="D218" s="176" t="inlineStr">
        <is>
          <t>Т11О-402Б-20</t>
        </is>
      </c>
      <c r="E218" s="177" t="n">
        <v>16</v>
      </c>
      <c r="F218" s="176" t="inlineStr">
        <is>
          <t>11923</t>
        </is>
      </c>
      <c r="G218" s="177" t="n">
        <v>16</v>
      </c>
      <c r="H218" s="176" t="inlineStr">
        <is>
          <t>82060</t>
        </is>
      </c>
      <c r="I218" s="176" t="inlineStr">
        <is>
          <t>Лозован Александр Александрович</t>
        </is>
      </c>
      <c r="J218" s="176" t="n"/>
      <c r="K218" s="176" t="inlineStr">
        <is>
          <t>Да</t>
        </is>
      </c>
      <c r="L218" s="176" t="n"/>
      <c r="M218" s="176" t="n"/>
      <c r="N218" s="179">
        <f>SUMIFS($E$2:$E$896,$A$2:$A$896,"осень",$I$2:$I$896,I218)</f>
        <v/>
      </c>
      <c r="O218" s="179">
        <f>SUMIFS($E$2:$E$896,$A$2:$A$896,"весна",$I$2:$I$896,I218)</f>
        <v/>
      </c>
      <c r="P218" s="180">
        <f>N218+O218</f>
        <v/>
      </c>
      <c r="Q218" s="181">
        <f>P218/$Q$1</f>
        <v/>
      </c>
      <c r="R218" s="122">
        <f>P218*0.2</f>
        <v/>
      </c>
      <c r="S218" s="122">
        <f>Q218*0.8</f>
        <v/>
      </c>
      <c r="T218" s="133" t="n">
        <v>0.55</v>
      </c>
    </row>
    <row r="219" hidden="1" ht="15.75" customHeight="1" s="2">
      <c r="A219" s="175" t="inlineStr">
        <is>
          <t>осень</t>
        </is>
      </c>
      <c r="B219" s="176" t="inlineStr">
        <is>
          <t>Теория, технология и оборудование нанесения покрытий</t>
        </is>
      </c>
      <c r="C219" s="176" t="inlineStr">
        <is>
          <t>Консультация</t>
        </is>
      </c>
      <c r="D219" s="176" t="inlineStr">
        <is>
          <t>Т11О-402Б-20</t>
        </is>
      </c>
      <c r="E219" s="177" t="n">
        <v>2</v>
      </c>
      <c r="F219" s="176" t="inlineStr">
        <is>
          <t>11923</t>
        </is>
      </c>
      <c r="G219" s="178" t="n"/>
      <c r="H219" s="176" t="inlineStr">
        <is>
          <t>95460</t>
        </is>
      </c>
      <c r="I219" s="176" t="inlineStr">
        <is>
          <t>Банишев Александр Федорович</t>
        </is>
      </c>
      <c r="J219" s="176" t="n"/>
      <c r="K219" s="176" t="inlineStr">
        <is>
          <t>Нет</t>
        </is>
      </c>
      <c r="L219" s="176" t="n"/>
      <c r="M219" s="176" t="n"/>
      <c r="N219" s="179">
        <f>SUMIFS($E$2:$E$896,$A$2:$A$896,"осень",$I$2:$I$896,I219)</f>
        <v/>
      </c>
      <c r="O219" s="179">
        <f>SUMIFS($E$2:$E$896,$A$2:$A$896,"весна",$I$2:$I$896,I219)</f>
        <v/>
      </c>
      <c r="P219" s="180">
        <f>N219+O219</f>
        <v/>
      </c>
      <c r="Q219" s="181">
        <f>P219/$Q$1</f>
        <v/>
      </c>
      <c r="R219" s="122">
        <f>P219*0.2</f>
        <v/>
      </c>
      <c r="S219" s="122">
        <f>Q219*0.8</f>
        <v/>
      </c>
      <c r="T219" s="133" t="n">
        <v>0.15</v>
      </c>
    </row>
    <row r="220" hidden="1" ht="15.75" customHeight="1" s="2">
      <c r="A220" s="175" t="inlineStr">
        <is>
          <t>осень</t>
        </is>
      </c>
      <c r="B220" s="176" t="inlineStr">
        <is>
          <t>Сварка, родственные процессы и технологии</t>
        </is>
      </c>
      <c r="C220" s="176" t="inlineStr">
        <is>
          <t>ЛК</t>
        </is>
      </c>
      <c r="D220" s="176" t="inlineStr">
        <is>
          <t>Т11О-306А-21</t>
        </is>
      </c>
      <c r="E220" s="177" t="n">
        <v>68</v>
      </c>
      <c r="F220" s="176" t="inlineStr">
        <is>
          <t>15646</t>
        </is>
      </c>
      <c r="G220" s="177" t="n">
        <v>68</v>
      </c>
      <c r="H220" s="176" t="inlineStr">
        <is>
          <t>82056</t>
        </is>
      </c>
      <c r="I220" s="176" t="inlineStr">
        <is>
          <t>Конкевич Валентин Юрьевич</t>
        </is>
      </c>
      <c r="J220" s="176" t="n"/>
      <c r="K220" s="176" t="inlineStr">
        <is>
          <t>Да</t>
        </is>
      </c>
      <c r="L220" s="176" t="n"/>
      <c r="M220" s="176" t="inlineStr">
        <is>
          <t>Федотов Александр Юрьевич</t>
        </is>
      </c>
      <c r="N220" s="179">
        <f>SUMIFS($E$2:$E$896,$A$2:$A$896,"осень",$I$2:$I$896,I220)</f>
        <v/>
      </c>
      <c r="O220" s="179">
        <f>SUMIFS($E$2:$E$896,$A$2:$A$896,"весна",$I$2:$I$896,I220)</f>
        <v/>
      </c>
      <c r="P220" s="180">
        <f>N220+O220</f>
        <v/>
      </c>
      <c r="Q220" s="181">
        <f>P220/$Q$1</f>
        <v/>
      </c>
      <c r="R220" s="122">
        <f>P220*0.2</f>
        <v/>
      </c>
      <c r="S220" s="122">
        <f>Q220*0.8</f>
        <v/>
      </c>
      <c r="T220" s="133" t="n">
        <v>0.5</v>
      </c>
    </row>
    <row r="221" hidden="1" ht="15.75" customHeight="1" s="2">
      <c r="A221" s="175" t="inlineStr">
        <is>
          <t>осень</t>
        </is>
      </c>
      <c r="B221" s="176" t="inlineStr">
        <is>
          <t>Сварка, родственные процессы и технологии</t>
        </is>
      </c>
      <c r="C221" s="176" t="inlineStr">
        <is>
          <t>ПЗ</t>
        </is>
      </c>
      <c r="D221" s="176" t="inlineStr">
        <is>
          <t>Т11О-306А-21</t>
        </is>
      </c>
      <c r="E221" s="177" t="n">
        <v>20</v>
      </c>
      <c r="F221" s="176" t="inlineStr">
        <is>
          <t>15646</t>
        </is>
      </c>
      <c r="G221" s="177" t="n">
        <v>20</v>
      </c>
      <c r="H221" s="176" t="inlineStr">
        <is>
          <t>82056</t>
        </is>
      </c>
      <c r="I221" s="176" t="inlineStr">
        <is>
          <t>Конкевич Валентин Юрьевич</t>
        </is>
      </c>
      <c r="J221" s="176" t="n"/>
      <c r="K221" s="176" t="inlineStr">
        <is>
          <t>Да</t>
        </is>
      </c>
      <c r="L221" s="176" t="n"/>
      <c r="M221" s="176" t="n"/>
      <c r="N221" s="179">
        <f>SUMIFS($E$2:$E$896,$A$2:$A$896,"осень",$I$2:$I$896,I221)</f>
        <v/>
      </c>
      <c r="O221" s="179">
        <f>SUMIFS($E$2:$E$896,$A$2:$A$896,"весна",$I$2:$I$896,I221)</f>
        <v/>
      </c>
      <c r="P221" s="180">
        <f>N221+O221</f>
        <v/>
      </c>
      <c r="Q221" s="181">
        <f>P221/$Q$1</f>
        <v/>
      </c>
      <c r="R221" s="122">
        <f>P221*0.2</f>
        <v/>
      </c>
      <c r="S221" s="122">
        <f>Q221*0.8</f>
        <v/>
      </c>
      <c r="T221" s="133" t="n">
        <v>0.5</v>
      </c>
    </row>
    <row r="222" hidden="1" ht="15.75" customHeight="1" s="2">
      <c r="A222" s="175" t="inlineStr">
        <is>
          <t>осень</t>
        </is>
      </c>
      <c r="B222" s="176" t="inlineStr">
        <is>
          <t>Сварка, родственные процессы и технологии</t>
        </is>
      </c>
      <c r="C222" s="176" t="inlineStr">
        <is>
          <t>Экзамен</t>
        </is>
      </c>
      <c r="D222" s="176" t="inlineStr">
        <is>
          <t>Т11О-306А-21</t>
        </is>
      </c>
      <c r="E222" s="177" t="n">
        <v>1</v>
      </c>
      <c r="F222" s="176" t="inlineStr">
        <is>
          <t>15646</t>
        </is>
      </c>
      <c r="G222" s="178" t="n"/>
      <c r="H222" s="176" t="inlineStr">
        <is>
          <t>82056</t>
        </is>
      </c>
      <c r="I222" s="176" t="inlineStr">
        <is>
          <t>Конкевич Валентин Юрьевич</t>
        </is>
      </c>
      <c r="J222" s="176" t="n"/>
      <c r="K222" s="176" t="inlineStr">
        <is>
          <t>Да</t>
        </is>
      </c>
      <c r="L222" s="176" t="n"/>
      <c r="M222" s="176" t="n"/>
      <c r="N222" s="179">
        <f>SUMIFS($E$2:$E$896,$A$2:$A$896,"осень",$I$2:$I$896,I222)</f>
        <v/>
      </c>
      <c r="O222" s="179">
        <f>SUMIFS($E$2:$E$896,$A$2:$A$896,"весна",$I$2:$I$896,I222)</f>
        <v/>
      </c>
      <c r="P222" s="180">
        <f>N222+O222</f>
        <v/>
      </c>
      <c r="Q222" s="181">
        <f>P222/$Q$1</f>
        <v/>
      </c>
      <c r="R222" s="122">
        <f>P222*0.2</f>
        <v/>
      </c>
      <c r="S222" s="122">
        <f>Q222*0.8</f>
        <v/>
      </c>
      <c r="T222" s="133" t="n">
        <v>0.5</v>
      </c>
    </row>
    <row r="223" hidden="1" ht="15.75" customHeight="1" s="2">
      <c r="A223" s="175" t="inlineStr">
        <is>
          <t>осень</t>
        </is>
      </c>
      <c r="B223" s="176" t="inlineStr">
        <is>
          <t>Сварка, родственные процессы и технологии</t>
        </is>
      </c>
      <c r="C223" s="176" t="inlineStr">
        <is>
          <t>Консультация</t>
        </is>
      </c>
      <c r="D223" s="176" t="inlineStr">
        <is>
          <t>Т11О-306А-21</t>
        </is>
      </c>
      <c r="E223" s="177" t="n">
        <v>4</v>
      </c>
      <c r="F223" s="176" t="inlineStr">
        <is>
          <t>15646</t>
        </is>
      </c>
      <c r="G223" s="178" t="n"/>
      <c r="H223" s="176" t="inlineStr">
        <is>
          <t>82056</t>
        </is>
      </c>
      <c r="I223" s="176" t="inlineStr">
        <is>
          <t>Конкевич Валентин Юрьевич</t>
        </is>
      </c>
      <c r="J223" s="176" t="n"/>
      <c r="K223" s="176" t="inlineStr">
        <is>
          <t>Да</t>
        </is>
      </c>
      <c r="L223" s="176" t="n"/>
      <c r="M223" s="176" t="n"/>
      <c r="N223" s="179">
        <f>SUMIFS($E$2:$E$896,$A$2:$A$896,"осень",$I$2:$I$896,I223)</f>
        <v/>
      </c>
      <c r="O223" s="179">
        <f>SUMIFS($E$2:$E$896,$A$2:$A$896,"весна",$I$2:$I$896,I223)</f>
        <v/>
      </c>
      <c r="P223" s="180">
        <f>N223+O223</f>
        <v/>
      </c>
      <c r="Q223" s="181">
        <f>P223/$Q$1</f>
        <v/>
      </c>
      <c r="R223" s="122">
        <f>P223*0.2</f>
        <v/>
      </c>
      <c r="S223" s="122">
        <f>Q223*0.8</f>
        <v/>
      </c>
      <c r="T223" s="133" t="n">
        <v>0.5</v>
      </c>
    </row>
    <row r="224" ht="15.75" customHeight="1" s="2">
      <c r="A224" s="175" t="inlineStr">
        <is>
          <t>осень</t>
        </is>
      </c>
      <c r="B224" s="176" t="inlineStr">
        <is>
          <t>Сварка, родственные процессы и технологии</t>
        </is>
      </c>
      <c r="C224" s="176" t="inlineStr">
        <is>
          <t>Консультация</t>
        </is>
      </c>
      <c r="D224" s="176" t="inlineStr">
        <is>
          <t>Т11О-306А-21</t>
        </is>
      </c>
      <c r="E224" s="177" t="n">
        <v>1</v>
      </c>
      <c r="F224" s="176" t="inlineStr">
        <is>
          <t>15646</t>
        </is>
      </c>
      <c r="G224" s="178" t="n"/>
      <c r="H224" s="176" t="n"/>
      <c r="I224" s="176" t="inlineStr">
        <is>
          <t>Конкевич Валентин Юрьевич</t>
        </is>
      </c>
      <c r="J224" s="176" t="n"/>
      <c r="K224" s="176" t="inlineStr">
        <is>
          <t>Нет</t>
        </is>
      </c>
      <c r="L224" s="176" t="n"/>
      <c r="M224" s="176" t="n"/>
      <c r="N224" s="179">
        <f>SUMIFS($E$2:$E$896,$A$2:$A$896,"осень",$I$2:$I$896,I224)</f>
        <v/>
      </c>
      <c r="O224" s="179">
        <f>SUMIFS($E$2:$E$896,$A$2:$A$896,"весна",$I$2:$I$896,I224)</f>
        <v/>
      </c>
      <c r="P224" s="180">
        <f>N224+O224</f>
        <v/>
      </c>
      <c r="Q224" s="181">
        <f>P224/$Q$1</f>
        <v/>
      </c>
      <c r="R224" s="122">
        <f>P224*0.2</f>
        <v/>
      </c>
      <c r="S224" s="122">
        <f>Q224*0.8</f>
        <v/>
      </c>
      <c r="T224" s="133" t="n">
        <v>0</v>
      </c>
    </row>
    <row r="225" hidden="1" ht="15.75" customHeight="1" s="2">
      <c r="A225" s="175" t="inlineStr">
        <is>
          <t>осень</t>
        </is>
      </c>
      <c r="B225" s="176" t="inlineStr">
        <is>
          <t>Спецглавы информатики</t>
        </is>
      </c>
      <c r="C225" s="176" t="inlineStr">
        <is>
          <t>ЛК</t>
        </is>
      </c>
      <c r="D225" s="176" t="inlineStr">
        <is>
          <t>Т11О-201Б-22</t>
        </is>
      </c>
      <c r="E225" s="177" t="n">
        <v>36</v>
      </c>
      <c r="F225" s="176" t="inlineStr">
        <is>
          <t>14668</t>
        </is>
      </c>
      <c r="G225" s="177" t="n">
        <v>36</v>
      </c>
      <c r="H225" s="176" t="inlineStr">
        <is>
          <t>82026</t>
        </is>
      </c>
      <c r="I225" s="176" t="inlineStr">
        <is>
          <t>Александрова Светлана Сергеевна</t>
        </is>
      </c>
      <c r="J225" s="176" t="n"/>
      <c r="K225" s="176" t="inlineStr">
        <is>
          <t>Нет</t>
        </is>
      </c>
      <c r="L225" s="176" t="n"/>
      <c r="M225" s="176" t="n"/>
      <c r="N225" s="179">
        <f>SUMIFS($E$2:$E$896,$A$2:$A$896,"осень",$I$2:$I$896,I225)</f>
        <v/>
      </c>
      <c r="O225" s="179">
        <f>SUMIFS($E$2:$E$896,$A$2:$A$896,"весна",$I$2:$I$896,I225)</f>
        <v/>
      </c>
      <c r="P225" s="180">
        <f>N225+O225</f>
        <v/>
      </c>
      <c r="Q225" s="181">
        <f>P225/$Q$1</f>
        <v/>
      </c>
      <c r="R225" s="122">
        <f>P225*0.2</f>
        <v/>
      </c>
      <c r="S225" s="122">
        <f>Q225*0.8</f>
        <v/>
      </c>
      <c r="T225" s="133" t="n">
        <v>0.65</v>
      </c>
    </row>
    <row r="226" hidden="1" ht="15.75" customHeight="1" s="2">
      <c r="A226" s="175" t="inlineStr">
        <is>
          <t>осень</t>
        </is>
      </c>
      <c r="B226" s="176" t="inlineStr">
        <is>
          <t>Спецглавы информатики</t>
        </is>
      </c>
      <c r="C226" s="176" t="inlineStr">
        <is>
          <t>Зачет с оценкой</t>
        </is>
      </c>
      <c r="D226" s="176" t="inlineStr">
        <is>
          <t>Т11О-201Б-22</t>
        </is>
      </c>
      <c r="E226" s="177" t="n">
        <v>5</v>
      </c>
      <c r="F226" s="176" t="inlineStr">
        <is>
          <t>14668</t>
        </is>
      </c>
      <c r="G226" s="178" t="n"/>
      <c r="H226" s="176" t="inlineStr">
        <is>
          <t>82026</t>
        </is>
      </c>
      <c r="I226" s="176" t="inlineStr">
        <is>
          <t>Александрова Светлана Сергеевна</t>
        </is>
      </c>
      <c r="J226" s="176" t="n"/>
      <c r="K226" s="176" t="inlineStr">
        <is>
          <t>Нет</t>
        </is>
      </c>
      <c r="L226" s="176" t="n"/>
      <c r="M226" s="176" t="n"/>
      <c r="N226" s="179">
        <f>SUMIFS($E$2:$E$896,$A$2:$A$896,"осень",$I$2:$I$896,I226)</f>
        <v/>
      </c>
      <c r="O226" s="179">
        <f>SUMIFS($E$2:$E$896,$A$2:$A$896,"весна",$I$2:$I$896,I226)</f>
        <v/>
      </c>
      <c r="P226" s="180">
        <f>N226+O226</f>
        <v/>
      </c>
      <c r="Q226" s="181">
        <f>P226/$Q$1</f>
        <v/>
      </c>
      <c r="R226" s="122">
        <f>P226*0.2</f>
        <v/>
      </c>
      <c r="S226" s="122">
        <f>Q226*0.8</f>
        <v/>
      </c>
      <c r="T226" s="133" t="n">
        <v>0.65</v>
      </c>
    </row>
    <row r="227" hidden="1" ht="15.75" customHeight="1" s="2">
      <c r="A227" s="175" t="inlineStr">
        <is>
          <t>осень</t>
        </is>
      </c>
      <c r="B227" s="176" t="inlineStr">
        <is>
          <t>Спецглавы информатики</t>
        </is>
      </c>
      <c r="C227" s="176" t="inlineStr">
        <is>
          <t>ПЗ</t>
        </is>
      </c>
      <c r="D227" s="176" t="inlineStr">
        <is>
          <t>Т11О-201Б-22</t>
        </is>
      </c>
      <c r="E227" s="177" t="n">
        <v>46</v>
      </c>
      <c r="F227" s="176" t="inlineStr">
        <is>
          <t>14668</t>
        </is>
      </c>
      <c r="G227" s="177" t="n">
        <v>46</v>
      </c>
      <c r="H227" s="176" t="inlineStr">
        <is>
          <t>82026</t>
        </is>
      </c>
      <c r="I227" s="176" t="inlineStr">
        <is>
          <t>Александрова Светлана Сергеевна</t>
        </is>
      </c>
      <c r="J227" s="176" t="n"/>
      <c r="K227" s="176" t="inlineStr">
        <is>
          <t>Нет</t>
        </is>
      </c>
      <c r="L227" s="176" t="n"/>
      <c r="M227" s="176" t="n"/>
      <c r="N227" s="179">
        <f>SUMIFS($E$2:$E$896,$A$2:$A$896,"осень",$I$2:$I$896,I227)</f>
        <v/>
      </c>
      <c r="O227" s="179">
        <f>SUMIFS($E$2:$E$896,$A$2:$A$896,"весна",$I$2:$I$896,I227)</f>
        <v/>
      </c>
      <c r="P227" s="180">
        <f>N227+O227</f>
        <v/>
      </c>
      <c r="Q227" s="181">
        <f>P227/$Q$1</f>
        <v/>
      </c>
      <c r="R227" s="122">
        <f>P227*0.2</f>
        <v/>
      </c>
      <c r="S227" s="122">
        <f>Q227*0.8</f>
        <v/>
      </c>
      <c r="T227" s="133" t="n">
        <v>0.65</v>
      </c>
    </row>
    <row r="228" hidden="1" ht="15.75" customHeight="1" s="2">
      <c r="A228" s="175" t="inlineStr">
        <is>
          <t>осень</t>
        </is>
      </c>
      <c r="B228" s="176" t="inlineStr">
        <is>
          <t>Спецглавы информатики</t>
        </is>
      </c>
      <c r="C228" s="176" t="inlineStr">
        <is>
          <t>Консультация</t>
        </is>
      </c>
      <c r="D228" s="176" t="inlineStr">
        <is>
          <t>Т11О-201Б-22</t>
        </is>
      </c>
      <c r="E228" s="177" t="n">
        <v>2</v>
      </c>
      <c r="F228" s="176" t="inlineStr">
        <is>
          <t>14668</t>
        </is>
      </c>
      <c r="G228" s="178" t="n"/>
      <c r="H228" s="176" t="inlineStr">
        <is>
          <t>82026</t>
        </is>
      </c>
      <c r="I228" s="176" t="inlineStr">
        <is>
          <t>Александрова Светлана Сергеевна</t>
        </is>
      </c>
      <c r="J228" s="176" t="n"/>
      <c r="K228" s="176" t="inlineStr">
        <is>
          <t>Нет</t>
        </is>
      </c>
      <c r="L228" s="176" t="n"/>
      <c r="M228" s="176" t="n"/>
      <c r="N228" s="179">
        <f>SUMIFS($E$2:$E$896,$A$2:$A$896,"осень",$I$2:$I$896,I228)</f>
        <v/>
      </c>
      <c r="O228" s="179">
        <f>SUMIFS($E$2:$E$896,$A$2:$A$896,"весна",$I$2:$I$896,I228)</f>
        <v/>
      </c>
      <c r="P228" s="180">
        <f>N228+O228</f>
        <v/>
      </c>
      <c r="Q228" s="181">
        <f>P228/$Q$1</f>
        <v/>
      </c>
      <c r="R228" s="122">
        <f>P228*0.2</f>
        <v/>
      </c>
      <c r="S228" s="122">
        <f>Q228*0.8</f>
        <v/>
      </c>
      <c r="T228" s="133" t="n">
        <v>0.65</v>
      </c>
    </row>
    <row r="229" hidden="1" ht="15.75" customHeight="1" s="2">
      <c r="A229" s="175" t="inlineStr">
        <is>
          <t>осень</t>
        </is>
      </c>
      <c r="B229" s="176" t="inlineStr">
        <is>
          <t>Проектирование сварных и паянных конструкций</t>
        </is>
      </c>
      <c r="C229" s="176" t="inlineStr">
        <is>
          <t>ЛК</t>
        </is>
      </c>
      <c r="D229" s="176" t="inlineStr">
        <is>
          <t>Т11О-401Б-20</t>
        </is>
      </c>
      <c r="E229" s="177" t="n">
        <v>34</v>
      </c>
      <c r="F229" s="176" t="inlineStr">
        <is>
          <t>11924</t>
        </is>
      </c>
      <c r="G229" s="177" t="n">
        <v>34</v>
      </c>
      <c r="H229" s="176" t="inlineStr">
        <is>
          <t>92509</t>
        </is>
      </c>
      <c r="I229" s="176" t="inlineStr">
        <is>
          <t>Пашков Игорь Николаевич</t>
        </is>
      </c>
      <c r="J229" s="176" t="n"/>
      <c r="K229" s="176" t="inlineStr">
        <is>
          <t>Нет</t>
        </is>
      </c>
      <c r="L229" s="176" t="n"/>
      <c r="M229" s="176" t="n"/>
      <c r="N229" s="179">
        <f>SUMIFS($E$2:$E$896,$A$2:$A$896,"осень",$I$2:$I$896,I229)</f>
        <v/>
      </c>
      <c r="O229" s="179">
        <f>SUMIFS($E$2:$E$896,$A$2:$A$896,"весна",$I$2:$I$896,I229)</f>
        <v/>
      </c>
      <c r="P229" s="180">
        <f>N229+O229</f>
        <v/>
      </c>
      <c r="Q229" s="181">
        <f>P229/$Q$1</f>
        <v/>
      </c>
      <c r="R229" s="122">
        <f>P229*0.2</f>
        <v/>
      </c>
      <c r="S229" s="122">
        <f>Q229*0.8</f>
        <v/>
      </c>
      <c r="T229" s="133" t="n">
        <v>0.55</v>
      </c>
    </row>
    <row r="230" hidden="1" ht="15.75" customHeight="1" s="2">
      <c r="A230" s="175" t="inlineStr">
        <is>
          <t>осень</t>
        </is>
      </c>
      <c r="B230" s="176" t="inlineStr">
        <is>
          <t>Проектирование сварных и паянных конструкций</t>
        </is>
      </c>
      <c r="C230" s="176" t="inlineStr">
        <is>
          <t>Зачет с оценкой</t>
        </is>
      </c>
      <c r="D230" s="176" t="inlineStr">
        <is>
          <t>Т11О-401Б-20</t>
        </is>
      </c>
      <c r="E230" s="177" t="n">
        <v>3</v>
      </c>
      <c r="F230" s="176" t="inlineStr">
        <is>
          <t>11924</t>
        </is>
      </c>
      <c r="G230" s="178" t="n"/>
      <c r="H230" s="176" t="inlineStr">
        <is>
          <t>92509</t>
        </is>
      </c>
      <c r="I230" s="176" t="inlineStr">
        <is>
          <t>Пашков Игорь Николаевич</t>
        </is>
      </c>
      <c r="J230" s="176" t="n"/>
      <c r="K230" s="176" t="inlineStr">
        <is>
          <t>Нет</t>
        </is>
      </c>
      <c r="L230" s="176" t="n"/>
      <c r="M230" s="176" t="n"/>
      <c r="N230" s="179">
        <f>SUMIFS($E$2:$E$896,$A$2:$A$896,"осень",$I$2:$I$896,I230)</f>
        <v/>
      </c>
      <c r="O230" s="179">
        <f>SUMIFS($E$2:$E$896,$A$2:$A$896,"весна",$I$2:$I$896,I230)</f>
        <v/>
      </c>
      <c r="P230" s="180">
        <f>N230+O230</f>
        <v/>
      </c>
      <c r="Q230" s="181">
        <f>P230/$Q$1</f>
        <v/>
      </c>
      <c r="R230" s="122">
        <f>P230*0.2</f>
        <v/>
      </c>
      <c r="S230" s="122">
        <f>Q230*0.8</f>
        <v/>
      </c>
      <c r="T230" s="133" t="n">
        <v>0.55</v>
      </c>
    </row>
    <row r="231" hidden="1" ht="15.75" customHeight="1" s="2">
      <c r="A231" s="175" t="inlineStr">
        <is>
          <t>осень</t>
        </is>
      </c>
      <c r="B231" s="176" t="inlineStr">
        <is>
          <t>Проектирование сварных и паянных конструкций</t>
        </is>
      </c>
      <c r="C231" s="176" t="inlineStr">
        <is>
          <t>ПЗ</t>
        </is>
      </c>
      <c r="D231" s="176" t="inlineStr">
        <is>
          <t>Т11О-401Б-20</t>
        </is>
      </c>
      <c r="E231" s="177" t="n">
        <v>40</v>
      </c>
      <c r="F231" s="176" t="inlineStr">
        <is>
          <t>11924</t>
        </is>
      </c>
      <c r="G231" s="177" t="n">
        <v>40</v>
      </c>
      <c r="H231" s="176" t="inlineStr">
        <is>
          <t>92509</t>
        </is>
      </c>
      <c r="I231" s="176" t="inlineStr">
        <is>
          <t>Пашков Игорь Николаевич</t>
        </is>
      </c>
      <c r="J231" s="176" t="n"/>
      <c r="K231" s="176" t="inlineStr">
        <is>
          <t>Нет</t>
        </is>
      </c>
      <c r="L231" s="176" t="n"/>
      <c r="M231" s="176" t="n"/>
      <c r="N231" s="179">
        <f>SUMIFS($E$2:$E$896,$A$2:$A$896,"осень",$I$2:$I$896,I231)</f>
        <v/>
      </c>
      <c r="O231" s="179">
        <f>SUMIFS($E$2:$E$896,$A$2:$A$896,"весна",$I$2:$I$896,I231)</f>
        <v/>
      </c>
      <c r="P231" s="180">
        <f>N231+O231</f>
        <v/>
      </c>
      <c r="Q231" s="181">
        <f>P231/$Q$1</f>
        <v/>
      </c>
      <c r="R231" s="122">
        <f>P231*0.2</f>
        <v/>
      </c>
      <c r="S231" s="122">
        <f>Q231*0.8</f>
        <v/>
      </c>
      <c r="T231" s="133" t="n">
        <v>0.55</v>
      </c>
    </row>
    <row r="232" hidden="1" ht="15.75" customHeight="1" s="2">
      <c r="A232" s="175" t="inlineStr">
        <is>
          <t>осень</t>
        </is>
      </c>
      <c r="B232" s="176" t="inlineStr">
        <is>
          <t>Проектирование сварных и паянных конструкций</t>
        </is>
      </c>
      <c r="C232" s="176" t="inlineStr">
        <is>
          <t>ЛР</t>
        </is>
      </c>
      <c r="D232" s="176" t="inlineStr">
        <is>
          <t>Т11О-401Б-20</t>
        </is>
      </c>
      <c r="E232" s="177" t="n">
        <v>16</v>
      </c>
      <c r="F232" s="176" t="inlineStr">
        <is>
          <t>11924</t>
        </is>
      </c>
      <c r="G232" s="177" t="n">
        <v>16</v>
      </c>
      <c r="H232" s="176" t="inlineStr">
        <is>
          <t>89090</t>
        </is>
      </c>
      <c r="I232" s="176" t="inlineStr">
        <is>
          <t>Степанов Владимир Валерьевич</t>
        </is>
      </c>
      <c r="J232" s="176" t="n"/>
      <c r="K232" s="176" t="inlineStr">
        <is>
          <t>Нет</t>
        </is>
      </c>
      <c r="L232" s="176" t="n"/>
      <c r="M232" s="176" t="n"/>
      <c r="N232" s="179">
        <f>SUMIFS($E$2:$E$896,$A$2:$A$896,"осень",$I$2:$I$896,I232)</f>
        <v/>
      </c>
      <c r="O232" s="179">
        <f>SUMIFS($E$2:$E$896,$A$2:$A$896,"весна",$I$2:$I$896,I232)</f>
        <v/>
      </c>
      <c r="P232" s="180">
        <f>N232+O232</f>
        <v/>
      </c>
      <c r="Q232" s="181">
        <f>P232/$Q$1</f>
        <v/>
      </c>
      <c r="R232" s="122">
        <f>P232*0.2</f>
        <v/>
      </c>
      <c r="S232" s="122">
        <f>Q232*0.8</f>
        <v/>
      </c>
      <c r="T232" s="133" t="n">
        <v>0.4</v>
      </c>
    </row>
    <row r="233" hidden="1" ht="15.75" customHeight="1" s="2">
      <c r="A233" s="175" t="inlineStr">
        <is>
          <t>осень</t>
        </is>
      </c>
      <c r="B233" s="176" t="inlineStr">
        <is>
          <t>Проектирование сварных и паянных конструкций</t>
        </is>
      </c>
      <c r="C233" s="176" t="inlineStr">
        <is>
          <t>Консультация</t>
        </is>
      </c>
      <c r="D233" s="176" t="inlineStr">
        <is>
          <t>Т11О-401Б-20</t>
        </is>
      </c>
      <c r="E233" s="177" t="n">
        <v>2</v>
      </c>
      <c r="F233" s="176" t="inlineStr">
        <is>
          <t>11924</t>
        </is>
      </c>
      <c r="G233" s="178" t="n"/>
      <c r="H233" s="176" t="inlineStr">
        <is>
          <t>92509</t>
        </is>
      </c>
      <c r="I233" s="176" t="inlineStr">
        <is>
          <t>Пашков Игорь Николаевич</t>
        </is>
      </c>
      <c r="J233" s="176" t="n"/>
      <c r="K233" s="176" t="inlineStr">
        <is>
          <t>Нет</t>
        </is>
      </c>
      <c r="L233" s="176" t="n"/>
      <c r="M233" s="176" t="n"/>
      <c r="N233" s="179">
        <f>SUMIFS($E$2:$E$896,$A$2:$A$896,"осень",$I$2:$I$896,I233)</f>
        <v/>
      </c>
      <c r="O233" s="179">
        <f>SUMIFS($E$2:$E$896,$A$2:$A$896,"весна",$I$2:$I$896,I233)</f>
        <v/>
      </c>
      <c r="P233" s="180">
        <f>N233+O233</f>
        <v/>
      </c>
      <c r="Q233" s="181">
        <f>P233/$Q$1</f>
        <v/>
      </c>
      <c r="R233" s="122">
        <f>P233*0.2</f>
        <v/>
      </c>
      <c r="S233" s="122">
        <f>Q233*0.8</f>
        <v/>
      </c>
      <c r="T233" s="133" t="n">
        <v>0.55</v>
      </c>
    </row>
    <row r="234" hidden="1" ht="15.75" customHeight="1" s="2">
      <c r="A234" s="175" t="inlineStr">
        <is>
          <t>осень</t>
        </is>
      </c>
      <c r="B234" s="182" t="inlineStr">
        <is>
          <t>Вакуумные технологии в металлургии</t>
        </is>
      </c>
      <c r="C234" s="182" t="inlineStr">
        <is>
          <t>ЛК</t>
        </is>
      </c>
      <c r="D234" s="182" t="inlineStr">
        <is>
          <t>Т11О-402Б-20</t>
        </is>
      </c>
      <c r="E234" s="183" t="n">
        <v>30</v>
      </c>
      <c r="F234" s="182" t="inlineStr">
        <is>
          <t>11923</t>
        </is>
      </c>
      <c r="G234" s="183" t="n">
        <v>30</v>
      </c>
      <c r="H234" s="182" t="inlineStr">
        <is>
          <t>95460</t>
        </is>
      </c>
      <c r="I234" s="182" t="inlineStr">
        <is>
          <t>Лозован Александр Александрович</t>
        </is>
      </c>
      <c r="J234" s="176" t="n"/>
      <c r="K234" s="176" t="inlineStr">
        <is>
          <t>Нет</t>
        </is>
      </c>
      <c r="L234" s="176" t="n"/>
      <c r="M234" s="176" t="n"/>
      <c r="N234" s="179">
        <f>SUMIFS($E$2:$E$896,$A$2:$A$896,"осень",$I$2:$I$896,I234)</f>
        <v/>
      </c>
      <c r="O234" s="179">
        <f>SUMIFS($E$2:$E$896,$A$2:$A$896,"весна",$I$2:$I$896,I234)</f>
        <v/>
      </c>
      <c r="P234" s="180">
        <f>N234+O234</f>
        <v/>
      </c>
      <c r="Q234" s="181">
        <f>P234/$Q$1</f>
        <v/>
      </c>
      <c r="R234" s="122">
        <f>P234*0.2</f>
        <v/>
      </c>
      <c r="S234" s="122">
        <f>Q234*0.8</f>
        <v/>
      </c>
      <c r="T234" s="133" t="n">
        <v>0.55</v>
      </c>
    </row>
    <row r="235" hidden="1" ht="15.75" customHeight="1" s="2">
      <c r="A235" s="175" t="inlineStr">
        <is>
          <t>осень</t>
        </is>
      </c>
      <c r="B235" s="176" t="inlineStr">
        <is>
          <t>Вакуумные технологии в металлургии</t>
        </is>
      </c>
      <c r="C235" s="176" t="inlineStr">
        <is>
          <t>Зачет с оценкой</t>
        </is>
      </c>
      <c r="D235" s="176" t="inlineStr">
        <is>
          <t>Т11О-402Б-20</t>
        </is>
      </c>
      <c r="E235" s="177" t="n">
        <v>3</v>
      </c>
      <c r="F235" s="176" t="inlineStr">
        <is>
          <t>11923</t>
        </is>
      </c>
      <c r="G235" s="178" t="n"/>
      <c r="H235" s="176" t="inlineStr">
        <is>
          <t>95460</t>
        </is>
      </c>
      <c r="I235" s="176" t="inlineStr">
        <is>
          <t>Кубатина Екатерина Павловна</t>
        </is>
      </c>
      <c r="J235" s="176" t="n"/>
      <c r="K235" s="176" t="inlineStr">
        <is>
          <t>Нет</t>
        </is>
      </c>
      <c r="L235" s="176" t="n"/>
      <c r="M235" s="176" t="n"/>
      <c r="N235" s="179">
        <f>SUMIFS($E$2:$E$896,$A$2:$A$896,"осень",$I$2:$I$896,I235)</f>
        <v/>
      </c>
      <c r="O235" s="179">
        <f>SUMIFS($E$2:$E$896,$A$2:$A$896,"весна",$I$2:$I$896,I235)</f>
        <v/>
      </c>
      <c r="P235" s="180">
        <f>N235+O235</f>
        <v/>
      </c>
      <c r="Q235" s="181">
        <f>P235/$Q$1</f>
        <v/>
      </c>
      <c r="R235" s="122">
        <f>P235*0.2</f>
        <v/>
      </c>
      <c r="S235" s="122">
        <f>Q235*0.8</f>
        <v/>
      </c>
      <c r="T235" s="133" t="n">
        <v>0.15</v>
      </c>
    </row>
    <row r="236" hidden="1" ht="15.75" customHeight="1" s="2">
      <c r="A236" s="175" t="inlineStr">
        <is>
          <t>осень</t>
        </is>
      </c>
      <c r="B236" s="176" t="inlineStr">
        <is>
          <t>Вакуумные технологии в металлургии</t>
        </is>
      </c>
      <c r="C236" s="176" t="inlineStr">
        <is>
          <t>ПЗ</t>
        </is>
      </c>
      <c r="D236" s="176" t="inlineStr">
        <is>
          <t>Т11О-402Б-20</t>
        </is>
      </c>
      <c r="E236" s="177" t="n">
        <v>18</v>
      </c>
      <c r="F236" s="176" t="inlineStr">
        <is>
          <t>11923</t>
        </is>
      </c>
      <c r="G236" s="177" t="n">
        <v>18</v>
      </c>
      <c r="H236" s="176" t="inlineStr">
        <is>
          <t>95460</t>
        </is>
      </c>
      <c r="I236" s="176" t="inlineStr">
        <is>
          <t>Кубатина Екатерина Павловна</t>
        </is>
      </c>
      <c r="J236" s="176" t="n"/>
      <c r="K236" s="176" t="inlineStr">
        <is>
          <t>Нет</t>
        </is>
      </c>
      <c r="L236" s="176" t="n"/>
      <c r="M236" s="176" t="n"/>
      <c r="N236" s="179">
        <f>SUMIFS($E$2:$E$896,$A$2:$A$896,"осень",$I$2:$I$896,I236)</f>
        <v/>
      </c>
      <c r="O236" s="179">
        <f>SUMIFS($E$2:$E$896,$A$2:$A$896,"весна",$I$2:$I$896,I236)</f>
        <v/>
      </c>
      <c r="P236" s="180">
        <f>N236+O236</f>
        <v/>
      </c>
      <c r="Q236" s="181">
        <f>P236/$Q$1</f>
        <v/>
      </c>
      <c r="R236" s="122">
        <f>P236*0.2</f>
        <v/>
      </c>
      <c r="S236" s="122">
        <f>Q236*0.8</f>
        <v/>
      </c>
      <c r="T236" s="133" t="n">
        <v>0.15</v>
      </c>
    </row>
    <row r="237" hidden="1" ht="15.75" customHeight="1" s="2">
      <c r="A237" s="175" t="inlineStr">
        <is>
          <t>осень</t>
        </is>
      </c>
      <c r="B237" s="176" t="inlineStr">
        <is>
          <t>Вакуумные технологии в металлургии</t>
        </is>
      </c>
      <c r="C237" s="176" t="inlineStr">
        <is>
          <t>ЛР</t>
        </is>
      </c>
      <c r="D237" s="176" t="inlineStr">
        <is>
          <t>Т11О-402Б-20</t>
        </is>
      </c>
      <c r="E237" s="177" t="n">
        <v>12</v>
      </c>
      <c r="F237" s="176" t="inlineStr">
        <is>
          <t>11923</t>
        </is>
      </c>
      <c r="G237" s="177" t="n">
        <v>12</v>
      </c>
      <c r="H237" s="176" t="inlineStr">
        <is>
          <t>82060</t>
        </is>
      </c>
      <c r="I237" s="176" t="inlineStr">
        <is>
          <t>Лозован Александр Александрович</t>
        </is>
      </c>
      <c r="J237" s="176" t="n"/>
      <c r="K237" s="176" t="inlineStr">
        <is>
          <t>Да</t>
        </is>
      </c>
      <c r="L237" s="176" t="n"/>
      <c r="M237" s="176" t="n"/>
      <c r="N237" s="179">
        <f>SUMIFS($E$2:$E$896,$A$2:$A$896,"осень",$I$2:$I$896,I237)</f>
        <v/>
      </c>
      <c r="O237" s="179">
        <f>SUMIFS($E$2:$E$896,$A$2:$A$896,"весна",$I$2:$I$896,I237)</f>
        <v/>
      </c>
      <c r="P237" s="180">
        <f>N237+O237</f>
        <v/>
      </c>
      <c r="Q237" s="181">
        <f>P237/$Q$1</f>
        <v/>
      </c>
      <c r="R237" s="122">
        <f>P237*0.2</f>
        <v/>
      </c>
      <c r="S237" s="122">
        <f>Q237*0.8</f>
        <v/>
      </c>
      <c r="T237" s="133" t="n">
        <v>0.55</v>
      </c>
    </row>
    <row r="238" hidden="1" ht="15.75" customHeight="1" s="2">
      <c r="A238" s="175" t="inlineStr">
        <is>
          <t>осень</t>
        </is>
      </c>
      <c r="B238" s="176" t="inlineStr">
        <is>
          <t>Вакуумные технологии в металлургии</t>
        </is>
      </c>
      <c r="C238" s="176" t="inlineStr">
        <is>
          <t>Консультация</t>
        </is>
      </c>
      <c r="D238" s="176" t="inlineStr">
        <is>
          <t>Т11О-402Б-20</t>
        </is>
      </c>
      <c r="E238" s="177" t="n">
        <v>2</v>
      </c>
      <c r="F238" s="176" t="inlineStr">
        <is>
          <t>11923</t>
        </is>
      </c>
      <c r="G238" s="178" t="n"/>
      <c r="H238" s="176" t="inlineStr">
        <is>
          <t>95460</t>
        </is>
      </c>
      <c r="I238" s="176" t="inlineStr">
        <is>
          <t>Кубатина Екатерина Павловна</t>
        </is>
      </c>
      <c r="J238" s="176" t="n"/>
      <c r="K238" s="176" t="inlineStr">
        <is>
          <t>Нет</t>
        </is>
      </c>
      <c r="L238" s="176" t="n"/>
      <c r="M238" s="176" t="n"/>
      <c r="N238" s="179">
        <f>SUMIFS($E$2:$E$896,$A$2:$A$896,"осень",$I$2:$I$896,I238)</f>
        <v/>
      </c>
      <c r="O238" s="179">
        <f>SUMIFS($E$2:$E$896,$A$2:$A$896,"весна",$I$2:$I$896,I238)</f>
        <v/>
      </c>
      <c r="P238" s="180">
        <f>N238+O238</f>
        <v/>
      </c>
      <c r="Q238" s="181">
        <f>P238/$Q$1</f>
        <v/>
      </c>
      <c r="R238" s="122">
        <f>P238*0.2</f>
        <v/>
      </c>
      <c r="S238" s="122">
        <f>Q238*0.8</f>
        <v/>
      </c>
      <c r="T238" s="133" t="n">
        <v>0.15</v>
      </c>
    </row>
    <row r="239" hidden="1" ht="15.75" customHeight="1" s="2">
      <c r="A239" s="175" t="inlineStr">
        <is>
          <t>осень</t>
        </is>
      </c>
      <c r="B239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39" s="176" t="inlineStr">
        <is>
          <t>ЛК</t>
        </is>
      </c>
      <c r="D239" s="176" t="inlineStr">
        <is>
          <t>Т11О-201М-22, Т11О-202М-22</t>
        </is>
      </c>
      <c r="E239" s="177" t="n">
        <v>10</v>
      </c>
      <c r="F239" s="176" t="inlineStr">
        <is>
          <t>16104</t>
        </is>
      </c>
      <c r="G239" s="177" t="n">
        <v>10</v>
      </c>
      <c r="H239" s="176" t="inlineStr">
        <is>
          <t>81730</t>
        </is>
      </c>
      <c r="I239" s="176" t="inlineStr">
        <is>
          <t>Федоров Анатолий Александрович</t>
        </is>
      </c>
      <c r="J239" s="176" t="n"/>
      <c r="K239" s="176" t="inlineStr">
        <is>
          <t>Да</t>
        </is>
      </c>
      <c r="L239" s="176" t="n"/>
      <c r="M239" s="176" t="n"/>
      <c r="N239" s="179">
        <f>SUMIFS($E$2:$E$896,$A$2:$A$896,"осень",$I$2:$I$896,I239)</f>
        <v/>
      </c>
      <c r="O239" s="179">
        <f>SUMIFS($E$2:$E$896,$A$2:$A$896,"весна",$I$2:$I$896,I239)</f>
        <v/>
      </c>
      <c r="P239" s="180">
        <f>N239+O239</f>
        <v/>
      </c>
      <c r="Q239" s="181">
        <f>P239/$Q$1</f>
        <v/>
      </c>
      <c r="R239" s="122">
        <f>P239*0.2</f>
        <v/>
      </c>
      <c r="S239" s="122">
        <f>Q239*0.8</f>
        <v/>
      </c>
      <c r="T239" s="133" t="n">
        <v>0.2</v>
      </c>
    </row>
    <row r="240" hidden="1" ht="15.75" customHeight="1" s="2">
      <c r="A240" s="175" t="inlineStr">
        <is>
          <t>осень</t>
        </is>
      </c>
      <c r="B240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0" s="176" t="inlineStr">
        <is>
          <t>ПЗ</t>
        </is>
      </c>
      <c r="D240" s="176" t="inlineStr">
        <is>
          <t>Т11О-201М-22</t>
        </is>
      </c>
      <c r="E240" s="177" t="n">
        <v>44</v>
      </c>
      <c r="F240" s="176" t="inlineStr">
        <is>
          <t>16104</t>
        </is>
      </c>
      <c r="G240" s="177" t="n">
        <v>44</v>
      </c>
      <c r="H240" s="176" t="inlineStr">
        <is>
          <t>81730</t>
        </is>
      </c>
      <c r="I240" s="176" t="inlineStr">
        <is>
          <t>Федоров Анатолий Александрович</t>
        </is>
      </c>
      <c r="J240" s="176" t="n"/>
      <c r="K240" s="176" t="inlineStr">
        <is>
          <t>Да</t>
        </is>
      </c>
      <c r="L240" s="176" t="n"/>
      <c r="M240" s="176" t="n"/>
      <c r="N240" s="179">
        <f>SUMIFS($E$2:$E$896,$A$2:$A$896,"осень",$I$2:$I$896,I240)</f>
        <v/>
      </c>
      <c r="O240" s="179">
        <f>SUMIFS($E$2:$E$896,$A$2:$A$896,"весна",$I$2:$I$896,I240)</f>
        <v/>
      </c>
      <c r="P240" s="180">
        <f>N240+O240</f>
        <v/>
      </c>
      <c r="Q240" s="181">
        <f>P240/$Q$1</f>
        <v/>
      </c>
      <c r="R240" s="122">
        <f>P240*0.2</f>
        <v/>
      </c>
      <c r="S240" s="122">
        <f>Q240*0.8</f>
        <v/>
      </c>
      <c r="T240" s="133" t="n">
        <v>0.2</v>
      </c>
    </row>
    <row r="241" hidden="1" ht="15.75" customHeight="1" s="2">
      <c r="A241" s="175" t="inlineStr">
        <is>
          <t>осень</t>
        </is>
      </c>
      <c r="B241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1" s="176" t="inlineStr">
        <is>
          <t>ПЗ</t>
        </is>
      </c>
      <c r="D241" s="176" t="inlineStr">
        <is>
          <t>Т11О-202М-22</t>
        </is>
      </c>
      <c r="E241" s="177" t="n">
        <v>44</v>
      </c>
      <c r="F241" s="176" t="inlineStr">
        <is>
          <t>16104</t>
        </is>
      </c>
      <c r="G241" s="177" t="n">
        <v>44</v>
      </c>
      <c r="H241" s="176" t="inlineStr">
        <is>
          <t>81730</t>
        </is>
      </c>
      <c r="I241" s="176" t="inlineStr">
        <is>
          <t>Федоров Анатолий Александрович</t>
        </is>
      </c>
      <c r="J241" s="176" t="n"/>
      <c r="K241" s="176" t="inlineStr">
        <is>
          <t>Да</t>
        </is>
      </c>
      <c r="L241" s="176" t="n"/>
      <c r="M241" s="176" t="n"/>
      <c r="N241" s="179">
        <f>SUMIFS($E$2:$E$896,$A$2:$A$896,"осень",$I$2:$I$896,I241)</f>
        <v/>
      </c>
      <c r="O241" s="179">
        <f>SUMIFS($E$2:$E$896,$A$2:$A$896,"весна",$I$2:$I$896,I241)</f>
        <v/>
      </c>
      <c r="P241" s="180">
        <f>N241+O241</f>
        <v/>
      </c>
      <c r="Q241" s="181">
        <f>P241/$Q$1</f>
        <v/>
      </c>
      <c r="R241" s="122">
        <f>P241*0.2</f>
        <v/>
      </c>
      <c r="S241" s="122">
        <f>Q241*0.8</f>
        <v/>
      </c>
      <c r="T241" s="133" t="n">
        <v>0.2</v>
      </c>
    </row>
    <row r="242" hidden="1" ht="15.75" customHeight="1" s="2">
      <c r="A242" s="175" t="inlineStr">
        <is>
          <t>осень</t>
        </is>
      </c>
      <c r="B242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2" s="176" t="inlineStr">
        <is>
          <t>Экзамен</t>
        </is>
      </c>
      <c r="D242" s="176" t="inlineStr">
        <is>
          <t>Т11О-201М-22</t>
        </is>
      </c>
      <c r="E242" s="177" t="n">
        <v>6</v>
      </c>
      <c r="F242" s="176" t="inlineStr">
        <is>
          <t>16104</t>
        </is>
      </c>
      <c r="G242" s="178" t="n"/>
      <c r="H242" s="176" t="inlineStr">
        <is>
          <t>81730</t>
        </is>
      </c>
      <c r="I242" s="176" t="inlineStr">
        <is>
          <t>Федоров Анатолий Александрович</t>
        </is>
      </c>
      <c r="J242" s="176" t="n"/>
      <c r="K242" s="176" t="inlineStr">
        <is>
          <t>Да</t>
        </is>
      </c>
      <c r="L242" s="176" t="n"/>
      <c r="M242" s="176" t="n"/>
      <c r="N242" s="179">
        <f>SUMIFS($E$2:$E$896,$A$2:$A$896,"осень",$I$2:$I$896,I242)</f>
        <v/>
      </c>
      <c r="O242" s="179">
        <f>SUMIFS($E$2:$E$896,$A$2:$A$896,"весна",$I$2:$I$896,I242)</f>
        <v/>
      </c>
      <c r="P242" s="180">
        <f>N242+O242</f>
        <v/>
      </c>
      <c r="Q242" s="181">
        <f>P242/$Q$1</f>
        <v/>
      </c>
      <c r="R242" s="122">
        <f>P242*0.2</f>
        <v/>
      </c>
      <c r="S242" s="122">
        <f>Q242*0.8</f>
        <v/>
      </c>
      <c r="T242" s="133" t="n">
        <v>0.2</v>
      </c>
    </row>
    <row r="243" hidden="1" ht="15.75" customHeight="1" s="2">
      <c r="A243" s="175" t="inlineStr">
        <is>
          <t>осень</t>
        </is>
      </c>
      <c r="B243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3" s="176" t="inlineStr">
        <is>
          <t>Экзамен</t>
        </is>
      </c>
      <c r="D243" s="176" t="inlineStr">
        <is>
          <t>Т11О-202М-22</t>
        </is>
      </c>
      <c r="E243" s="177" t="n">
        <v>4</v>
      </c>
      <c r="F243" s="176" t="inlineStr">
        <is>
          <t>16104</t>
        </is>
      </c>
      <c r="G243" s="178" t="n"/>
      <c r="H243" s="176" t="inlineStr">
        <is>
          <t>81730</t>
        </is>
      </c>
      <c r="I243" s="176" t="inlineStr">
        <is>
          <t>Федоров Анатолий Александрович</t>
        </is>
      </c>
      <c r="J243" s="176" t="n"/>
      <c r="K243" s="176" t="inlineStr">
        <is>
          <t>Да</t>
        </is>
      </c>
      <c r="L243" s="176" t="n"/>
      <c r="M243" s="176" t="n"/>
      <c r="N243" s="179">
        <f>SUMIFS($E$2:$E$896,$A$2:$A$896,"осень",$I$2:$I$896,I243)</f>
        <v/>
      </c>
      <c r="O243" s="179">
        <f>SUMIFS($E$2:$E$896,$A$2:$A$896,"весна",$I$2:$I$896,I243)</f>
        <v/>
      </c>
      <c r="P243" s="180">
        <f>N243+O243</f>
        <v/>
      </c>
      <c r="Q243" s="181">
        <f>P243/$Q$1</f>
        <v/>
      </c>
      <c r="R243" s="122">
        <f>P243*0.2</f>
        <v/>
      </c>
      <c r="S243" s="122">
        <f>Q243*0.8</f>
        <v/>
      </c>
      <c r="T243" s="133" t="n">
        <v>0.2</v>
      </c>
    </row>
    <row r="244" hidden="1" ht="15.75" customHeight="1" s="2">
      <c r="A244" s="175" t="inlineStr">
        <is>
          <t>осень</t>
        </is>
      </c>
      <c r="B244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4" s="176" t="inlineStr">
        <is>
          <t>Консультация</t>
        </is>
      </c>
      <c r="D244" s="176" t="inlineStr">
        <is>
          <t>Т11О-201М-22</t>
        </is>
      </c>
      <c r="E244" s="177" t="n">
        <v>2</v>
      </c>
      <c r="F244" s="176" t="inlineStr">
        <is>
          <t>16104</t>
        </is>
      </c>
      <c r="G244" s="178" t="n"/>
      <c r="H244" s="176" t="inlineStr">
        <is>
          <t>81730</t>
        </is>
      </c>
      <c r="I244" s="176" t="inlineStr">
        <is>
          <t>Федоров Анатолий Александрович</t>
        </is>
      </c>
      <c r="J244" s="176" t="n"/>
      <c r="K244" s="176" t="inlineStr">
        <is>
          <t>Да</t>
        </is>
      </c>
      <c r="L244" s="176" t="n"/>
      <c r="M244" s="176" t="n"/>
      <c r="N244" s="179">
        <f>SUMIFS($E$2:$E$896,$A$2:$A$896,"осень",$I$2:$I$896,I244)</f>
        <v/>
      </c>
      <c r="O244" s="179">
        <f>SUMIFS($E$2:$E$896,$A$2:$A$896,"весна",$I$2:$I$896,I244)</f>
        <v/>
      </c>
      <c r="P244" s="180">
        <f>N244+O244</f>
        <v/>
      </c>
      <c r="Q244" s="181">
        <f>P244/$Q$1</f>
        <v/>
      </c>
      <c r="R244" s="122">
        <f>P244*0.2</f>
        <v/>
      </c>
      <c r="S244" s="122">
        <f>Q244*0.8</f>
        <v/>
      </c>
      <c r="T244" s="133" t="n">
        <v>0.2</v>
      </c>
    </row>
    <row r="245" hidden="1" ht="15.75" customHeight="1" s="2">
      <c r="A245" s="175" t="inlineStr">
        <is>
          <t>осень</t>
        </is>
      </c>
      <c r="B245" s="17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45" s="176" t="inlineStr">
        <is>
          <t>Консультация</t>
        </is>
      </c>
      <c r="D245" s="176" t="inlineStr">
        <is>
          <t>Т11О-202М-22</t>
        </is>
      </c>
      <c r="E245" s="177" t="n">
        <v>2</v>
      </c>
      <c r="F245" s="176" t="inlineStr">
        <is>
          <t>16104</t>
        </is>
      </c>
      <c r="G245" s="178" t="n"/>
      <c r="H245" s="176" t="inlineStr">
        <is>
          <t>81730</t>
        </is>
      </c>
      <c r="I245" s="176" t="inlineStr">
        <is>
          <t>Федоров Анатолий Александрович</t>
        </is>
      </c>
      <c r="J245" s="176" t="n"/>
      <c r="K245" s="176" t="inlineStr">
        <is>
          <t>Да</t>
        </is>
      </c>
      <c r="L245" s="176" t="n"/>
      <c r="M245" s="176" t="n"/>
      <c r="N245" s="179">
        <f>SUMIFS($E$2:$E$896,$A$2:$A$896,"осень",$I$2:$I$896,I245)</f>
        <v/>
      </c>
      <c r="O245" s="179">
        <f>SUMIFS($E$2:$E$896,$A$2:$A$896,"весна",$I$2:$I$896,I245)</f>
        <v/>
      </c>
      <c r="P245" s="180">
        <f>N245+O245</f>
        <v/>
      </c>
      <c r="Q245" s="181">
        <f>P245/$Q$1</f>
        <v/>
      </c>
      <c r="R245" s="122">
        <f>P245*0.2</f>
        <v/>
      </c>
      <c r="S245" s="122">
        <f>Q245*0.8</f>
        <v/>
      </c>
      <c r="T245" s="133" t="n">
        <v>0.2</v>
      </c>
    </row>
    <row r="246" hidden="1" ht="15.75" customHeight="1" s="2">
      <c r="A246" s="175" t="inlineStr">
        <is>
          <t>осень</t>
        </is>
      </c>
      <c r="B246" s="176" t="inlineStr">
        <is>
          <t>Современное состояние, перспективы и тенденции развития металлургии</t>
        </is>
      </c>
      <c r="C246" s="176" t="inlineStr">
        <is>
          <t>ЛК</t>
        </is>
      </c>
      <c r="D246" s="176" t="inlineStr">
        <is>
          <t>Т11О-201М-22, Т11О-202М-22</t>
        </is>
      </c>
      <c r="E246" s="177" t="n">
        <v>8</v>
      </c>
      <c r="F246" s="176" t="inlineStr">
        <is>
          <t>16104</t>
        </is>
      </c>
      <c r="G246" s="177" t="n">
        <v>8</v>
      </c>
      <c r="H246" s="176" t="inlineStr">
        <is>
          <t>81732</t>
        </is>
      </c>
      <c r="I246" s="176" t="inlineStr">
        <is>
          <t>Петров Анатолий Павлович</t>
        </is>
      </c>
      <c r="J246" s="176" t="n"/>
      <c r="K246" s="176" t="inlineStr">
        <is>
          <t>Да</t>
        </is>
      </c>
      <c r="L246" s="176" t="n"/>
      <c r="M246" s="176" t="n"/>
      <c r="N246" s="179">
        <f>SUMIFS($E$2:$E$896,$A$2:$A$896,"осень",$I$2:$I$896,I246)</f>
        <v/>
      </c>
      <c r="O246" s="179">
        <f>SUMIFS($E$2:$E$896,$A$2:$A$896,"весна",$I$2:$I$896,I246)</f>
        <v/>
      </c>
      <c r="P246" s="180">
        <f>N246+O246</f>
        <v/>
      </c>
      <c r="Q246" s="181">
        <f>P246/$Q$1</f>
        <v/>
      </c>
      <c r="R246" s="122">
        <f>P246*0.2</f>
        <v/>
      </c>
      <c r="S246" s="122">
        <f>Q246*0.8</f>
        <v/>
      </c>
      <c r="T246" s="133" t="n">
        <v>0.25</v>
      </c>
    </row>
    <row r="247" hidden="1" ht="15.75" customHeight="1" s="2">
      <c r="A247" s="175" t="inlineStr">
        <is>
          <t>осень</t>
        </is>
      </c>
      <c r="B247" s="176" t="inlineStr">
        <is>
          <t>Современное состояние, перспективы и тенденции развития металлургии</t>
        </is>
      </c>
      <c r="C247" s="176" t="inlineStr">
        <is>
          <t>ПЗ</t>
        </is>
      </c>
      <c r="D247" s="176" t="inlineStr">
        <is>
          <t>Т11О-201М-22</t>
        </is>
      </c>
      <c r="E247" s="177" t="n">
        <v>28</v>
      </c>
      <c r="F247" s="176" t="inlineStr">
        <is>
          <t>16104</t>
        </is>
      </c>
      <c r="G247" s="177" t="n">
        <v>28</v>
      </c>
      <c r="H247" s="176" t="inlineStr">
        <is>
          <t>81732</t>
        </is>
      </c>
      <c r="I247" s="176" t="inlineStr">
        <is>
          <t>Петров Анатолий Павлович</t>
        </is>
      </c>
      <c r="J247" s="176" t="n"/>
      <c r="K247" s="176" t="inlineStr">
        <is>
          <t>Да</t>
        </is>
      </c>
      <c r="L247" s="176" t="n"/>
      <c r="M247" s="176" t="n"/>
      <c r="N247" s="179">
        <f>SUMIFS($E$2:$E$896,$A$2:$A$896,"осень",$I$2:$I$896,I247)</f>
        <v/>
      </c>
      <c r="O247" s="179">
        <f>SUMIFS($E$2:$E$896,$A$2:$A$896,"весна",$I$2:$I$896,I247)</f>
        <v/>
      </c>
      <c r="P247" s="180">
        <f>N247+O247</f>
        <v/>
      </c>
      <c r="Q247" s="181">
        <f>P247/$Q$1</f>
        <v/>
      </c>
      <c r="R247" s="122">
        <f>P247*0.2</f>
        <v/>
      </c>
      <c r="S247" s="122">
        <f>Q247*0.8</f>
        <v/>
      </c>
      <c r="T247" s="133" t="n">
        <v>0.25</v>
      </c>
    </row>
    <row r="248" hidden="1" ht="15.75" customHeight="1" s="2">
      <c r="A248" s="175" t="inlineStr">
        <is>
          <t>осень</t>
        </is>
      </c>
      <c r="B248" s="176" t="inlineStr">
        <is>
          <t>Современное состояние, перспективы и тенденции развития металлургии</t>
        </is>
      </c>
      <c r="C248" s="176" t="inlineStr">
        <is>
          <t>ПЗ</t>
        </is>
      </c>
      <c r="D248" s="176" t="inlineStr">
        <is>
          <t>Т11О-202М-22</t>
        </is>
      </c>
      <c r="E248" s="177" t="n">
        <v>28</v>
      </c>
      <c r="F248" s="176" t="inlineStr">
        <is>
          <t>16104</t>
        </is>
      </c>
      <c r="G248" s="177" t="n">
        <v>28</v>
      </c>
      <c r="H248" s="176" t="inlineStr">
        <is>
          <t>81732</t>
        </is>
      </c>
      <c r="I248" s="176" t="inlineStr">
        <is>
          <t>Петров Анатолий Павлович</t>
        </is>
      </c>
      <c r="J248" s="176" t="n"/>
      <c r="K248" s="176" t="inlineStr">
        <is>
          <t>Да</t>
        </is>
      </c>
      <c r="L248" s="176" t="n"/>
      <c r="M248" s="176" t="n"/>
      <c r="N248" s="179">
        <f>SUMIFS($E$2:$E$896,$A$2:$A$896,"осень",$I$2:$I$896,I248)</f>
        <v/>
      </c>
      <c r="O248" s="179">
        <f>SUMIFS($E$2:$E$896,$A$2:$A$896,"весна",$I$2:$I$896,I248)</f>
        <v/>
      </c>
      <c r="P248" s="180">
        <f>N248+O248</f>
        <v/>
      </c>
      <c r="Q248" s="181">
        <f>P248/$Q$1</f>
        <v/>
      </c>
      <c r="R248" s="122">
        <f>P248*0.2</f>
        <v/>
      </c>
      <c r="S248" s="122">
        <f>Q248*0.8</f>
        <v/>
      </c>
      <c r="T248" s="133" t="n">
        <v>0.25</v>
      </c>
    </row>
    <row r="249" hidden="1" ht="15.75" customHeight="1" s="2">
      <c r="A249" s="175" t="inlineStr">
        <is>
          <t>осень</t>
        </is>
      </c>
      <c r="B249" s="176" t="inlineStr">
        <is>
          <t>Современное состояние, перспективы и тенденции развития металлургии</t>
        </is>
      </c>
      <c r="C249" s="176" t="inlineStr">
        <is>
          <t>Зачет</t>
        </is>
      </c>
      <c r="D249" s="176" t="inlineStr">
        <is>
          <t>Т11О-201М-22</t>
        </is>
      </c>
      <c r="E249" s="177" t="n">
        <v>2</v>
      </c>
      <c r="F249" s="176" t="inlineStr">
        <is>
          <t>16104</t>
        </is>
      </c>
      <c r="G249" s="178" t="n"/>
      <c r="H249" s="176" t="inlineStr">
        <is>
          <t>81732</t>
        </is>
      </c>
      <c r="I249" s="176" t="inlineStr">
        <is>
          <t>Петров Анатолий Павлович</t>
        </is>
      </c>
      <c r="J249" s="176" t="n"/>
      <c r="K249" s="176" t="inlineStr">
        <is>
          <t>Да</t>
        </is>
      </c>
      <c r="L249" s="176" t="n"/>
      <c r="M249" s="176" t="n"/>
      <c r="N249" s="179">
        <f>SUMIFS($E$2:$E$896,$A$2:$A$896,"осень",$I$2:$I$896,I249)</f>
        <v/>
      </c>
      <c r="O249" s="179">
        <f>SUMIFS($E$2:$E$896,$A$2:$A$896,"весна",$I$2:$I$896,I249)</f>
        <v/>
      </c>
      <c r="P249" s="180">
        <f>N249+O249</f>
        <v/>
      </c>
      <c r="Q249" s="181">
        <f>P249/$Q$1</f>
        <v/>
      </c>
      <c r="R249" s="122">
        <f>P249*0.2</f>
        <v/>
      </c>
      <c r="S249" s="122">
        <f>Q249*0.8</f>
        <v/>
      </c>
      <c r="T249" s="133" t="n">
        <v>0.25</v>
      </c>
    </row>
    <row r="250" hidden="1" ht="15.75" customHeight="1" s="2">
      <c r="A250" s="175" t="inlineStr">
        <is>
          <t>осень</t>
        </is>
      </c>
      <c r="B250" s="176" t="inlineStr">
        <is>
          <t>Современное состояние, перспективы и тенденции развития металлургии</t>
        </is>
      </c>
      <c r="C250" s="176" t="inlineStr">
        <is>
          <t>Зачет</t>
        </is>
      </c>
      <c r="D250" s="176" t="inlineStr">
        <is>
          <t>Т11О-202М-22</t>
        </is>
      </c>
      <c r="E250" s="177" t="n">
        <v>1</v>
      </c>
      <c r="F250" s="176" t="inlineStr">
        <is>
          <t>16104</t>
        </is>
      </c>
      <c r="G250" s="178" t="n"/>
      <c r="H250" s="176" t="inlineStr">
        <is>
          <t>81732</t>
        </is>
      </c>
      <c r="I250" s="176" t="inlineStr">
        <is>
          <t>Петров Анатолий Павлович</t>
        </is>
      </c>
      <c r="J250" s="176" t="n"/>
      <c r="K250" s="176" t="inlineStr">
        <is>
          <t>Да</t>
        </is>
      </c>
      <c r="L250" s="176" t="n"/>
      <c r="M250" s="176" t="n"/>
      <c r="N250" s="179">
        <f>SUMIFS($E$2:$E$896,$A$2:$A$896,"осень",$I$2:$I$896,I250)</f>
        <v/>
      </c>
      <c r="O250" s="179">
        <f>SUMIFS($E$2:$E$896,$A$2:$A$896,"весна",$I$2:$I$896,I250)</f>
        <v/>
      </c>
      <c r="P250" s="180">
        <f>N250+O250</f>
        <v/>
      </c>
      <c r="Q250" s="181">
        <f>P250/$Q$1</f>
        <v/>
      </c>
      <c r="R250" s="122">
        <f>P250*0.2</f>
        <v/>
      </c>
      <c r="S250" s="122">
        <f>Q250*0.8</f>
        <v/>
      </c>
      <c r="T250" s="133" t="n">
        <v>0.25</v>
      </c>
    </row>
    <row r="251" hidden="1" ht="15.75" customHeight="1" s="2">
      <c r="A251" s="175" t="inlineStr">
        <is>
          <t>осень</t>
        </is>
      </c>
      <c r="B251" s="176" t="inlineStr">
        <is>
          <t>Основы вакуумной металлургии</t>
        </is>
      </c>
      <c r="C251" s="176" t="inlineStr">
        <is>
          <t>ЛК</t>
        </is>
      </c>
      <c r="D251" s="176" t="inlineStr">
        <is>
          <t>Т11О-201М-22, Т11О-202М-22</t>
        </is>
      </c>
      <c r="E251" s="177" t="n">
        <v>12</v>
      </c>
      <c r="F251" s="176" t="inlineStr">
        <is>
          <t>16104</t>
        </is>
      </c>
      <c r="G251" s="177" t="n">
        <v>12</v>
      </c>
      <c r="H251" s="176" t="inlineStr">
        <is>
          <t>82026</t>
        </is>
      </c>
      <c r="I251" s="176" t="inlineStr">
        <is>
          <t>Александрова Светлана Сергеевна</t>
        </is>
      </c>
      <c r="J251" s="176" t="n"/>
      <c r="K251" s="176" t="inlineStr">
        <is>
          <t>Нет</t>
        </is>
      </c>
      <c r="L251" s="176" t="n"/>
      <c r="M251" s="176" t="n"/>
      <c r="N251" s="179">
        <f>SUMIFS($E$2:$E$896,$A$2:$A$896,"осень",$I$2:$I$896,I251)</f>
        <v/>
      </c>
      <c r="O251" s="179">
        <f>SUMIFS($E$2:$E$896,$A$2:$A$896,"весна",$I$2:$I$896,I251)</f>
        <v/>
      </c>
      <c r="P251" s="180">
        <f>N251+O251</f>
        <v/>
      </c>
      <c r="Q251" s="181">
        <f>P251/$Q$1</f>
        <v/>
      </c>
      <c r="R251" s="122">
        <f>P251*0.2</f>
        <v/>
      </c>
      <c r="S251" s="122">
        <f>Q251*0.8</f>
        <v/>
      </c>
      <c r="T251" s="133" t="n">
        <v>0.65</v>
      </c>
    </row>
    <row r="252" hidden="1" ht="15.75" customHeight="1" s="2">
      <c r="A252" s="175" t="inlineStr">
        <is>
          <t>осень</t>
        </is>
      </c>
      <c r="B252" s="176" t="inlineStr">
        <is>
          <t>Основы вакуумной металлургии</t>
        </is>
      </c>
      <c r="C252" s="176" t="inlineStr">
        <is>
          <t>ПЗ</t>
        </is>
      </c>
      <c r="D252" s="176" t="inlineStr">
        <is>
          <t>Т11О-201М-22</t>
        </is>
      </c>
      <c r="E252" s="177" t="n">
        <v>24</v>
      </c>
      <c r="F252" s="176" t="inlineStr">
        <is>
          <t>16104</t>
        </is>
      </c>
      <c r="G252" s="177" t="n">
        <v>24</v>
      </c>
      <c r="H252" s="176" t="inlineStr">
        <is>
          <t>82026</t>
        </is>
      </c>
      <c r="I252" s="176" t="inlineStr">
        <is>
          <t>Александрова Светлана Сергеевна</t>
        </is>
      </c>
      <c r="J252" s="176" t="n"/>
      <c r="K252" s="176" t="inlineStr">
        <is>
          <t>Нет</t>
        </is>
      </c>
      <c r="L252" s="176" t="n"/>
      <c r="M252" s="176" t="n"/>
      <c r="N252" s="179">
        <f>SUMIFS($E$2:$E$896,$A$2:$A$896,"осень",$I$2:$I$896,I252)</f>
        <v/>
      </c>
      <c r="O252" s="179">
        <f>SUMIFS($E$2:$E$896,$A$2:$A$896,"весна",$I$2:$I$896,I252)</f>
        <v/>
      </c>
      <c r="P252" s="180">
        <f>N252+O252</f>
        <v/>
      </c>
      <c r="Q252" s="181">
        <f>P252/$Q$1</f>
        <v/>
      </c>
      <c r="R252" s="122">
        <f>P252*0.2</f>
        <v/>
      </c>
      <c r="S252" s="122">
        <f>Q252*0.8</f>
        <v/>
      </c>
      <c r="T252" s="133" t="n">
        <v>0.65</v>
      </c>
    </row>
    <row r="253" hidden="1" ht="15.75" customHeight="1" s="2">
      <c r="A253" s="175" t="inlineStr">
        <is>
          <t>осень</t>
        </is>
      </c>
      <c r="B253" s="176" t="inlineStr">
        <is>
          <t>Основы вакуумной металлургии</t>
        </is>
      </c>
      <c r="C253" s="176" t="inlineStr">
        <is>
          <t>ПЗ</t>
        </is>
      </c>
      <c r="D253" s="176" t="inlineStr">
        <is>
          <t>Т11О-202М-22</t>
        </is>
      </c>
      <c r="E253" s="177" t="n">
        <v>24</v>
      </c>
      <c r="F253" s="176" t="inlineStr">
        <is>
          <t>16104</t>
        </is>
      </c>
      <c r="G253" s="177" t="n">
        <v>24</v>
      </c>
      <c r="H253" s="176" t="inlineStr">
        <is>
          <t>82026</t>
        </is>
      </c>
      <c r="I253" s="176" t="inlineStr">
        <is>
          <t>Александрова Светлана Сергеевна</t>
        </is>
      </c>
      <c r="J253" s="176" t="n"/>
      <c r="K253" s="176" t="inlineStr">
        <is>
          <t>Нет</t>
        </is>
      </c>
      <c r="L253" s="176" t="n"/>
      <c r="M253" s="176" t="n"/>
      <c r="N253" s="179">
        <f>SUMIFS($E$2:$E$896,$A$2:$A$896,"осень",$I$2:$I$896,I253)</f>
        <v/>
      </c>
      <c r="O253" s="179">
        <f>SUMIFS($E$2:$E$896,$A$2:$A$896,"весна",$I$2:$I$896,I253)</f>
        <v/>
      </c>
      <c r="P253" s="180">
        <f>N253+O253</f>
        <v/>
      </c>
      <c r="Q253" s="181">
        <f>P253/$Q$1</f>
        <v/>
      </c>
      <c r="R253" s="122">
        <f>P253*0.2</f>
        <v/>
      </c>
      <c r="S253" s="122">
        <f>Q253*0.8</f>
        <v/>
      </c>
      <c r="T253" s="133" t="n">
        <v>0.65</v>
      </c>
    </row>
    <row r="254" hidden="1" ht="15.75" customHeight="1" s="2">
      <c r="A254" s="175" t="inlineStr">
        <is>
          <t>осень</t>
        </is>
      </c>
      <c r="B254" s="176" t="inlineStr">
        <is>
          <t>Основы вакуумной металлургии</t>
        </is>
      </c>
      <c r="C254" s="176" t="inlineStr">
        <is>
          <t>Зачет</t>
        </is>
      </c>
      <c r="D254" s="176" t="inlineStr">
        <is>
          <t>Т11О-201М-22</t>
        </is>
      </c>
      <c r="E254" s="177" t="n">
        <v>2</v>
      </c>
      <c r="F254" s="176" t="inlineStr">
        <is>
          <t>16104</t>
        </is>
      </c>
      <c r="G254" s="178" t="n"/>
      <c r="H254" s="176" t="inlineStr">
        <is>
          <t>82026</t>
        </is>
      </c>
      <c r="I254" s="176" t="inlineStr">
        <is>
          <t>Александрова Светлана Сергеевна</t>
        </is>
      </c>
      <c r="J254" s="176" t="n"/>
      <c r="K254" s="176" t="inlineStr">
        <is>
          <t>Нет</t>
        </is>
      </c>
      <c r="L254" s="176" t="n"/>
      <c r="M254" s="176" t="n"/>
      <c r="N254" s="179">
        <f>SUMIFS($E$2:$E$896,$A$2:$A$896,"осень",$I$2:$I$896,I254)</f>
        <v/>
      </c>
      <c r="O254" s="179">
        <f>SUMIFS($E$2:$E$896,$A$2:$A$896,"весна",$I$2:$I$896,I254)</f>
        <v/>
      </c>
      <c r="P254" s="180">
        <f>N254+O254</f>
        <v/>
      </c>
      <c r="Q254" s="181">
        <f>P254/$Q$1</f>
        <v/>
      </c>
      <c r="R254" s="122">
        <f>P254*0.2</f>
        <v/>
      </c>
      <c r="S254" s="122">
        <f>Q254*0.8</f>
        <v/>
      </c>
      <c r="T254" s="133" t="n">
        <v>0.65</v>
      </c>
    </row>
    <row r="255" hidden="1" ht="15.75" customHeight="1" s="2">
      <c r="A255" s="175" t="inlineStr">
        <is>
          <t>осень</t>
        </is>
      </c>
      <c r="B255" s="176" t="inlineStr">
        <is>
          <t>Основы вакуумной металлургии</t>
        </is>
      </c>
      <c r="C255" s="176" t="inlineStr">
        <is>
          <t>Зачет</t>
        </is>
      </c>
      <c r="D255" s="176" t="inlineStr">
        <is>
          <t>Т11О-202М-22</t>
        </is>
      </c>
      <c r="E255" s="177" t="n">
        <v>1</v>
      </c>
      <c r="F255" s="176" t="inlineStr">
        <is>
          <t>16104</t>
        </is>
      </c>
      <c r="G255" s="178" t="n"/>
      <c r="H255" s="176" t="inlineStr">
        <is>
          <t>82026</t>
        </is>
      </c>
      <c r="I255" s="176" t="inlineStr">
        <is>
          <t>Александрова Светлана Сергеевна</t>
        </is>
      </c>
      <c r="J255" s="176" t="n"/>
      <c r="K255" s="176" t="inlineStr">
        <is>
          <t>Нет</t>
        </is>
      </c>
      <c r="L255" s="176" t="n"/>
      <c r="M255" s="176" t="n"/>
      <c r="N255" s="179">
        <f>SUMIFS($E$2:$E$896,$A$2:$A$896,"осень",$I$2:$I$896,I255)</f>
        <v/>
      </c>
      <c r="O255" s="179">
        <f>SUMIFS($E$2:$E$896,$A$2:$A$896,"весна",$I$2:$I$896,I255)</f>
        <v/>
      </c>
      <c r="P255" s="180">
        <f>N255+O255</f>
        <v/>
      </c>
      <c r="Q255" s="181">
        <f>P255/$Q$1</f>
        <v/>
      </c>
      <c r="R255" s="122">
        <f>P255*0.2</f>
        <v/>
      </c>
      <c r="S255" s="122">
        <f>Q255*0.8</f>
        <v/>
      </c>
      <c r="T255" s="133" t="n">
        <v>0.65</v>
      </c>
    </row>
    <row r="256" hidden="1" ht="15.75" customHeight="1" s="2">
      <c r="A256" s="175" t="inlineStr">
        <is>
          <t>осень</t>
        </is>
      </c>
      <c r="B256" s="176" t="inlineStr">
        <is>
          <t>Основы вакуумной металлургии</t>
        </is>
      </c>
      <c r="C256" s="176" t="inlineStr">
        <is>
          <t>Консультация</t>
        </is>
      </c>
      <c r="D256" s="176" t="inlineStr">
        <is>
          <t>Т11О-201М-22</t>
        </is>
      </c>
      <c r="E256" s="177" t="n">
        <v>1</v>
      </c>
      <c r="F256" s="176" t="inlineStr">
        <is>
          <t>16104</t>
        </is>
      </c>
      <c r="G256" s="178" t="n"/>
      <c r="H256" s="176" t="inlineStr">
        <is>
          <t>82026</t>
        </is>
      </c>
      <c r="I256" s="176" t="inlineStr">
        <is>
          <t>Александрова Светлана Сергеевна</t>
        </is>
      </c>
      <c r="J256" s="176" t="n"/>
      <c r="K256" s="176" t="inlineStr">
        <is>
          <t>Нет</t>
        </is>
      </c>
      <c r="L256" s="176" t="n"/>
      <c r="M256" s="176" t="n"/>
      <c r="N256" s="179">
        <f>SUMIFS($E$2:$E$896,$A$2:$A$896,"осень",$I$2:$I$896,I256)</f>
        <v/>
      </c>
      <c r="O256" s="179">
        <f>SUMIFS($E$2:$E$896,$A$2:$A$896,"весна",$I$2:$I$896,I256)</f>
        <v/>
      </c>
      <c r="P256" s="180">
        <f>N256+O256</f>
        <v/>
      </c>
      <c r="Q256" s="181">
        <f>P256/$Q$1</f>
        <v/>
      </c>
      <c r="R256" s="122">
        <f>P256*0.2</f>
        <v/>
      </c>
      <c r="S256" s="122">
        <f>Q256*0.8</f>
        <v/>
      </c>
      <c r="T256" s="133" t="n">
        <v>0.65</v>
      </c>
    </row>
    <row r="257" hidden="1" ht="15.75" customHeight="1" s="2">
      <c r="A257" s="175" t="inlineStr">
        <is>
          <t>осень</t>
        </is>
      </c>
      <c r="B257" s="176" t="inlineStr">
        <is>
          <t>Основы вакуумной металлургии</t>
        </is>
      </c>
      <c r="C257" s="176" t="inlineStr">
        <is>
          <t>Консультация</t>
        </is>
      </c>
      <c r="D257" s="176" t="inlineStr">
        <is>
          <t>Т11О-202М-22</t>
        </is>
      </c>
      <c r="E257" s="177" t="n">
        <v>1</v>
      </c>
      <c r="F257" s="176" t="inlineStr">
        <is>
          <t>16104</t>
        </is>
      </c>
      <c r="G257" s="178" t="n"/>
      <c r="H257" s="176" t="inlineStr">
        <is>
          <t>82026</t>
        </is>
      </c>
      <c r="I257" s="176" t="inlineStr">
        <is>
          <t>Александрова Светлана Сергеевна</t>
        </is>
      </c>
      <c r="J257" s="176" t="n"/>
      <c r="K257" s="176" t="inlineStr">
        <is>
          <t>Нет</t>
        </is>
      </c>
      <c r="L257" s="176" t="n"/>
      <c r="M257" s="176" t="n"/>
      <c r="N257" s="179">
        <f>SUMIFS($E$2:$E$896,$A$2:$A$896,"осень",$I$2:$I$896,I257)</f>
        <v/>
      </c>
      <c r="O257" s="179">
        <f>SUMIFS($E$2:$E$896,$A$2:$A$896,"весна",$I$2:$I$896,I257)</f>
        <v/>
      </c>
      <c r="P257" s="180">
        <f>N257+O257</f>
        <v/>
      </c>
      <c r="Q257" s="181">
        <f>P257/$Q$1</f>
        <v/>
      </c>
      <c r="R257" s="122">
        <f>P257*0.2</f>
        <v/>
      </c>
      <c r="S257" s="122">
        <f>Q257*0.8</f>
        <v/>
      </c>
      <c r="T257" s="133" t="n">
        <v>0.65</v>
      </c>
    </row>
    <row r="258" hidden="1" ht="15.75" customHeight="1" s="2">
      <c r="A258" s="175" t="inlineStr">
        <is>
          <t>осень</t>
        </is>
      </c>
      <c r="B258" s="176" t="inlineStr">
        <is>
          <t>Теплотехника и основы теплопередачи</t>
        </is>
      </c>
      <c r="C258" s="176" t="inlineStr">
        <is>
          <t>ЛК</t>
        </is>
      </c>
      <c r="D258" s="176" t="inlineStr">
        <is>
          <t>Т11О-301Б-21, Т11О-303Б-21, Т11О-305Б-21, Т11О-306Б-21, Т11О-307Б-21</t>
        </is>
      </c>
      <c r="E258" s="177" t="n">
        <v>24</v>
      </c>
      <c r="F258" s="176" t="inlineStr">
        <is>
          <t>17352</t>
        </is>
      </c>
      <c r="G258" s="177" t="n">
        <v>24</v>
      </c>
      <c r="H258" s="176" t="inlineStr">
        <is>
          <t>82086</t>
        </is>
      </c>
      <c r="I258" s="176" t="inlineStr">
        <is>
          <t>Смыков Андрей Федорович</t>
        </is>
      </c>
      <c r="J258" s="176" t="n"/>
      <c r="K258" s="176" t="inlineStr">
        <is>
          <t>Нет</t>
        </is>
      </c>
      <c r="L258" s="176" t="n"/>
      <c r="M258" s="176" t="n"/>
      <c r="N258" s="179">
        <f>SUMIFS($E$2:$E$896,$A$2:$A$896,"осень",$I$2:$I$896,I258)</f>
        <v/>
      </c>
      <c r="O258" s="179">
        <f>SUMIFS($E$2:$E$896,$A$2:$A$896,"весна",$I$2:$I$896,I258)</f>
        <v/>
      </c>
      <c r="P258" s="180">
        <f>N258+O258</f>
        <v/>
      </c>
      <c r="Q258" s="181">
        <f>P258/$Q$1</f>
        <v/>
      </c>
      <c r="R258" s="122">
        <f>P258*0.2</f>
        <v/>
      </c>
      <c r="S258" s="122">
        <f>Q258*0.8</f>
        <v/>
      </c>
      <c r="T258" s="133" t="n">
        <v>0.5</v>
      </c>
    </row>
    <row r="259" hidden="1" ht="15.75" customHeight="1" s="2">
      <c r="A259" s="175" t="inlineStr">
        <is>
          <t>осень</t>
        </is>
      </c>
      <c r="B259" s="176" t="inlineStr">
        <is>
          <t>Теплотехника и основы теплопередачи</t>
        </is>
      </c>
      <c r="C259" s="176" t="inlineStr">
        <is>
          <t>ПЗ</t>
        </is>
      </c>
      <c r="D259" s="176" t="inlineStr">
        <is>
          <t>Т11О-301Б-21</t>
        </is>
      </c>
      <c r="E259" s="177" t="n">
        <v>16</v>
      </c>
      <c r="F259" s="176" t="inlineStr">
        <is>
          <t>17352</t>
        </is>
      </c>
      <c r="G259" s="177" t="n">
        <v>16</v>
      </c>
      <c r="H259" s="176" t="inlineStr">
        <is>
          <t>82086</t>
        </is>
      </c>
      <c r="I259" s="176" t="inlineStr">
        <is>
          <t>Смыков Андрей Федорович</t>
        </is>
      </c>
      <c r="J259" s="176" t="n"/>
      <c r="K259" s="176" t="inlineStr">
        <is>
          <t>Нет</t>
        </is>
      </c>
      <c r="L259" s="176" t="n"/>
      <c r="M259" s="176" t="n"/>
      <c r="N259" s="179">
        <f>SUMIFS($E$2:$E$896,$A$2:$A$896,"осень",$I$2:$I$896,I259)</f>
        <v/>
      </c>
      <c r="O259" s="179">
        <f>SUMIFS($E$2:$E$896,$A$2:$A$896,"весна",$I$2:$I$896,I259)</f>
        <v/>
      </c>
      <c r="P259" s="180">
        <f>N259+O259</f>
        <v/>
      </c>
      <c r="Q259" s="181">
        <f>P259/$Q$1</f>
        <v/>
      </c>
      <c r="R259" s="122">
        <f>P259*0.2</f>
        <v/>
      </c>
      <c r="S259" s="122">
        <f>Q259*0.8</f>
        <v/>
      </c>
      <c r="T259" s="133" t="n">
        <v>0.5</v>
      </c>
    </row>
    <row r="260" hidden="1" ht="15.75" customHeight="1" s="2">
      <c r="A260" s="175" t="inlineStr">
        <is>
          <t>осень</t>
        </is>
      </c>
      <c r="B260" s="176" t="inlineStr">
        <is>
          <t>Теплотехника и основы теплопередачи</t>
        </is>
      </c>
      <c r="C260" s="176" t="inlineStr">
        <is>
          <t>ПЗ</t>
        </is>
      </c>
      <c r="D260" s="176" t="inlineStr">
        <is>
          <t>Т11О-303Б-21</t>
        </is>
      </c>
      <c r="E260" s="177" t="n">
        <v>16</v>
      </c>
      <c r="F260" s="176" t="inlineStr">
        <is>
          <t>17352</t>
        </is>
      </c>
      <c r="G260" s="177" t="n">
        <v>16</v>
      </c>
      <c r="H260" s="176" t="inlineStr">
        <is>
          <t>82086</t>
        </is>
      </c>
      <c r="I260" s="176" t="inlineStr">
        <is>
          <t>Смыков Андрей Федорович</t>
        </is>
      </c>
      <c r="J260" s="176" t="n"/>
      <c r="K260" s="176" t="inlineStr">
        <is>
          <t>Нет</t>
        </is>
      </c>
      <c r="L260" s="176" t="n"/>
      <c r="M260" s="176" t="n"/>
      <c r="N260" s="179">
        <f>SUMIFS($E$2:$E$896,$A$2:$A$896,"осень",$I$2:$I$896,I260)</f>
        <v/>
      </c>
      <c r="O260" s="179">
        <f>SUMIFS($E$2:$E$896,$A$2:$A$896,"весна",$I$2:$I$896,I260)</f>
        <v/>
      </c>
      <c r="P260" s="180">
        <f>N260+O260</f>
        <v/>
      </c>
      <c r="Q260" s="181">
        <f>P260/$Q$1</f>
        <v/>
      </c>
      <c r="R260" s="122">
        <f>P260*0.2</f>
        <v/>
      </c>
      <c r="S260" s="122">
        <f>Q260*0.8</f>
        <v/>
      </c>
      <c r="T260" s="133" t="n">
        <v>0.5</v>
      </c>
    </row>
    <row r="261" hidden="1" ht="15.75" customHeight="1" s="2">
      <c r="A261" s="175" t="inlineStr">
        <is>
          <t>осень</t>
        </is>
      </c>
      <c r="B261" s="176" t="inlineStr">
        <is>
          <t>Теплотехника и основы теплопередачи</t>
        </is>
      </c>
      <c r="C261" s="176" t="inlineStr">
        <is>
          <t>ПЗ</t>
        </is>
      </c>
      <c r="D261" s="176" t="inlineStr">
        <is>
          <t>Т11О-305Б-21</t>
        </is>
      </c>
      <c r="E261" s="177" t="n">
        <v>16</v>
      </c>
      <c r="F261" s="176" t="inlineStr">
        <is>
          <t>17352</t>
        </is>
      </c>
      <c r="G261" s="177" t="n">
        <v>16</v>
      </c>
      <c r="H261" s="176" t="inlineStr">
        <is>
          <t>82086</t>
        </is>
      </c>
      <c r="I261" s="176" t="inlineStr">
        <is>
          <t>Смыков Андрей Федорович</t>
        </is>
      </c>
      <c r="J261" s="176" t="n"/>
      <c r="K261" s="176" t="inlineStr">
        <is>
          <t>Нет</t>
        </is>
      </c>
      <c r="L261" s="176" t="n"/>
      <c r="M261" s="176" t="n"/>
      <c r="N261" s="179">
        <f>SUMIFS($E$2:$E$896,$A$2:$A$896,"осень",$I$2:$I$896,I261)</f>
        <v/>
      </c>
      <c r="O261" s="179">
        <f>SUMIFS($E$2:$E$896,$A$2:$A$896,"весна",$I$2:$I$896,I261)</f>
        <v/>
      </c>
      <c r="P261" s="180">
        <f>N261+O261</f>
        <v/>
      </c>
      <c r="Q261" s="181">
        <f>P261/$Q$1</f>
        <v/>
      </c>
      <c r="R261" s="122">
        <f>P261*0.2</f>
        <v/>
      </c>
      <c r="S261" s="122">
        <f>Q261*0.8</f>
        <v/>
      </c>
      <c r="T261" s="133" t="n">
        <v>0.5</v>
      </c>
    </row>
    <row r="262" hidden="1" ht="15.75" customHeight="1" s="2">
      <c r="A262" s="175" t="inlineStr">
        <is>
          <t>осень</t>
        </is>
      </c>
      <c r="B262" s="176" t="inlineStr">
        <is>
          <t>Теплотехника и основы теплопередачи</t>
        </is>
      </c>
      <c r="C262" s="176" t="inlineStr">
        <is>
          <t>ПЗ</t>
        </is>
      </c>
      <c r="D262" s="176" t="inlineStr">
        <is>
          <t>Т11О-306Б-21</t>
        </is>
      </c>
      <c r="E262" s="177" t="n">
        <v>16</v>
      </c>
      <c r="F262" s="176" t="inlineStr">
        <is>
          <t>17352</t>
        </is>
      </c>
      <c r="G262" s="177" t="n">
        <v>16</v>
      </c>
      <c r="H262" s="176" t="inlineStr">
        <is>
          <t>82086</t>
        </is>
      </c>
      <c r="I262" s="176" t="inlineStr">
        <is>
          <t>Смыков Андрей Федорович</t>
        </is>
      </c>
      <c r="J262" s="176" t="n"/>
      <c r="K262" s="176" t="inlineStr">
        <is>
          <t>Нет</t>
        </is>
      </c>
      <c r="L262" s="176" t="n"/>
      <c r="M262" s="176" t="n"/>
      <c r="N262" s="179">
        <f>SUMIFS($E$2:$E$896,$A$2:$A$896,"осень",$I$2:$I$896,I262)</f>
        <v/>
      </c>
      <c r="O262" s="179">
        <f>SUMIFS($E$2:$E$896,$A$2:$A$896,"весна",$I$2:$I$896,I262)</f>
        <v/>
      </c>
      <c r="P262" s="180">
        <f>N262+O262</f>
        <v/>
      </c>
      <c r="Q262" s="181">
        <f>P262/$Q$1</f>
        <v/>
      </c>
      <c r="R262" s="122">
        <f>P262*0.2</f>
        <v/>
      </c>
      <c r="S262" s="122">
        <f>Q262*0.8</f>
        <v/>
      </c>
      <c r="T262" s="133" t="n">
        <v>0.5</v>
      </c>
    </row>
    <row r="263" hidden="1" ht="15.75" customHeight="1" s="2">
      <c r="A263" s="175" t="inlineStr">
        <is>
          <t>осень</t>
        </is>
      </c>
      <c r="B263" s="176" t="inlineStr">
        <is>
          <t>Теплотехника и основы теплопередачи</t>
        </is>
      </c>
      <c r="C263" s="176" t="inlineStr">
        <is>
          <t>ПЗ</t>
        </is>
      </c>
      <c r="D263" s="176" t="inlineStr">
        <is>
          <t>Т11О-307Б-21</t>
        </is>
      </c>
      <c r="E263" s="177" t="n">
        <v>16</v>
      </c>
      <c r="F263" s="176" t="inlineStr">
        <is>
          <t>17352</t>
        </is>
      </c>
      <c r="G263" s="177" t="n">
        <v>16</v>
      </c>
      <c r="H263" s="176" t="inlineStr">
        <is>
          <t>82086</t>
        </is>
      </c>
      <c r="I263" s="176" t="inlineStr">
        <is>
          <t>Смыков Андрей Федорович</t>
        </is>
      </c>
      <c r="J263" s="176" t="n"/>
      <c r="K263" s="176" t="inlineStr">
        <is>
          <t>Нет</t>
        </is>
      </c>
      <c r="L263" s="176" t="n"/>
      <c r="M263" s="176" t="n"/>
      <c r="N263" s="179">
        <f>SUMIFS($E$2:$E$896,$A$2:$A$896,"осень",$I$2:$I$896,I263)</f>
        <v/>
      </c>
      <c r="O263" s="179">
        <f>SUMIFS($E$2:$E$896,$A$2:$A$896,"весна",$I$2:$I$896,I263)</f>
        <v/>
      </c>
      <c r="P263" s="180">
        <f>N263+O263</f>
        <v/>
      </c>
      <c r="Q263" s="181">
        <f>P263/$Q$1</f>
        <v/>
      </c>
      <c r="R263" s="122">
        <f>P263*0.2</f>
        <v/>
      </c>
      <c r="S263" s="122">
        <f>Q263*0.8</f>
        <v/>
      </c>
      <c r="T263" s="133" t="n">
        <v>0.5</v>
      </c>
    </row>
    <row r="264" hidden="1" ht="15.75" customHeight="1" s="2">
      <c r="A264" s="175" t="inlineStr">
        <is>
          <t>осень</t>
        </is>
      </c>
      <c r="B264" s="176" t="inlineStr">
        <is>
          <t>Теплотехника и основы теплопередачи</t>
        </is>
      </c>
      <c r="C264" s="176" t="inlineStr">
        <is>
          <t>ЛР</t>
        </is>
      </c>
      <c r="D264" s="176" t="inlineStr">
        <is>
          <t>Т11О-301Б-21</t>
        </is>
      </c>
      <c r="E264" s="177" t="n">
        <v>24</v>
      </c>
      <c r="F264" s="176" t="inlineStr">
        <is>
          <t>17352</t>
        </is>
      </c>
      <c r="G264" s="177" t="n">
        <v>24</v>
      </c>
      <c r="H264" s="176" t="inlineStr">
        <is>
          <t>82086</t>
        </is>
      </c>
      <c r="I264" s="176" t="inlineStr">
        <is>
          <t>Смыков Андрей Федорович</t>
        </is>
      </c>
      <c r="J264" s="176" t="n"/>
      <c r="K264" s="176" t="inlineStr">
        <is>
          <t>Нет</t>
        </is>
      </c>
      <c r="L264" s="176" t="n"/>
      <c r="M264" s="176" t="n"/>
      <c r="N264" s="179">
        <f>SUMIFS($E$2:$E$896,$A$2:$A$896,"осень",$I$2:$I$896,I264)</f>
        <v/>
      </c>
      <c r="O264" s="179">
        <f>SUMIFS($E$2:$E$896,$A$2:$A$896,"весна",$I$2:$I$896,I264)</f>
        <v/>
      </c>
      <c r="P264" s="180">
        <f>N264+O264</f>
        <v/>
      </c>
      <c r="Q264" s="181">
        <f>P264/$Q$1</f>
        <v/>
      </c>
      <c r="R264" s="122">
        <f>P264*0.2</f>
        <v/>
      </c>
      <c r="S264" s="122">
        <f>Q264*0.8</f>
        <v/>
      </c>
      <c r="T264" s="133" t="n">
        <v>0.5</v>
      </c>
    </row>
    <row r="265" hidden="1" ht="15.75" customHeight="1" s="2">
      <c r="A265" s="175" t="inlineStr">
        <is>
          <t>осень</t>
        </is>
      </c>
      <c r="B265" s="176" t="inlineStr">
        <is>
          <t>Теплотехника и основы теплопередачи</t>
        </is>
      </c>
      <c r="C265" s="176" t="inlineStr">
        <is>
          <t>ЛР</t>
        </is>
      </c>
      <c r="D265" s="176" t="inlineStr">
        <is>
          <t>Т11О-303Б-21</t>
        </is>
      </c>
      <c r="E265" s="177" t="n">
        <v>48</v>
      </c>
      <c r="F265" s="176" t="inlineStr">
        <is>
          <t>17352</t>
        </is>
      </c>
      <c r="G265" s="177" t="n">
        <v>24</v>
      </c>
      <c r="H265" s="176" t="inlineStr">
        <is>
          <t>82086</t>
        </is>
      </c>
      <c r="I265" s="176" t="inlineStr">
        <is>
          <t>Смыков Андрей Федорович</t>
        </is>
      </c>
      <c r="J265" s="176" t="n"/>
      <c r="K265" s="176" t="inlineStr">
        <is>
          <t>Нет</t>
        </is>
      </c>
      <c r="L265" s="176" t="n"/>
      <c r="M265" s="176" t="n"/>
      <c r="N265" s="179">
        <f>SUMIFS($E$2:$E$896,$A$2:$A$896,"осень",$I$2:$I$896,I265)</f>
        <v/>
      </c>
      <c r="O265" s="179">
        <f>SUMIFS($E$2:$E$896,$A$2:$A$896,"весна",$I$2:$I$896,I265)</f>
        <v/>
      </c>
      <c r="P265" s="180">
        <f>N265+O265</f>
        <v/>
      </c>
      <c r="Q265" s="181">
        <f>P265/$Q$1</f>
        <v/>
      </c>
      <c r="R265" s="122">
        <f>P265*0.2</f>
        <v/>
      </c>
      <c r="S265" s="122">
        <f>Q265*0.8</f>
        <v/>
      </c>
      <c r="T265" s="133" t="n">
        <v>0.5</v>
      </c>
    </row>
    <row r="266" hidden="1" ht="15.75" customHeight="1" s="2">
      <c r="A266" s="175" t="inlineStr">
        <is>
          <t>осень</t>
        </is>
      </c>
      <c r="B266" s="176" t="inlineStr">
        <is>
          <t>Теплотехника и основы теплопередачи</t>
        </is>
      </c>
      <c r="C266" s="176" t="inlineStr">
        <is>
          <t>ЛР</t>
        </is>
      </c>
      <c r="D266" s="176" t="inlineStr">
        <is>
          <t>Т11О-305Б-21</t>
        </is>
      </c>
      <c r="E266" s="177" t="n">
        <v>48</v>
      </c>
      <c r="F266" s="176" t="inlineStr">
        <is>
          <t>17352</t>
        </is>
      </c>
      <c r="G266" s="177" t="n">
        <v>24</v>
      </c>
      <c r="H266" s="176" t="inlineStr">
        <is>
          <t>82086</t>
        </is>
      </c>
      <c r="I266" s="176" t="inlineStr">
        <is>
          <t>Смыков Андрей Федорович</t>
        </is>
      </c>
      <c r="J266" s="176" t="n"/>
      <c r="K266" s="176" t="inlineStr">
        <is>
          <t>Нет</t>
        </is>
      </c>
      <c r="L266" s="176" t="n"/>
      <c r="M266" s="176" t="n"/>
      <c r="N266" s="179">
        <f>SUMIFS($E$2:$E$896,$A$2:$A$896,"осень",$I$2:$I$896,I266)</f>
        <v/>
      </c>
      <c r="O266" s="179">
        <f>SUMIFS($E$2:$E$896,$A$2:$A$896,"весна",$I$2:$I$896,I266)</f>
        <v/>
      </c>
      <c r="P266" s="180">
        <f>N266+O266</f>
        <v/>
      </c>
      <c r="Q266" s="181">
        <f>P266/$Q$1</f>
        <v/>
      </c>
      <c r="R266" s="122">
        <f>P266*0.2</f>
        <v/>
      </c>
      <c r="S266" s="122">
        <f>Q266*0.8</f>
        <v/>
      </c>
      <c r="T266" s="133" t="n">
        <v>0.5</v>
      </c>
    </row>
    <row r="267" hidden="1" ht="15.75" customHeight="1" s="2">
      <c r="A267" s="175" t="inlineStr">
        <is>
          <t>осень</t>
        </is>
      </c>
      <c r="B267" s="176" t="inlineStr">
        <is>
          <t>Теплотехника и основы теплопередачи</t>
        </is>
      </c>
      <c r="C267" s="176" t="inlineStr">
        <is>
          <t>ЛР</t>
        </is>
      </c>
      <c r="D267" s="176" t="inlineStr">
        <is>
          <t>Т11О-306Б-21</t>
        </is>
      </c>
      <c r="E267" s="177" t="n">
        <v>48</v>
      </c>
      <c r="F267" s="176" t="inlineStr">
        <is>
          <t>17352</t>
        </is>
      </c>
      <c r="G267" s="177" t="n">
        <v>24</v>
      </c>
      <c r="H267" s="176" t="inlineStr">
        <is>
          <t>82086</t>
        </is>
      </c>
      <c r="I267" s="176" t="inlineStr">
        <is>
          <t>Смыков Андрей Федорович</t>
        </is>
      </c>
      <c r="J267" s="176" t="n"/>
      <c r="K267" s="176" t="inlineStr">
        <is>
          <t>Нет</t>
        </is>
      </c>
      <c r="L267" s="176" t="n"/>
      <c r="M267" s="176" t="n"/>
      <c r="N267" s="179">
        <f>SUMIFS($E$2:$E$896,$A$2:$A$896,"осень",$I$2:$I$896,I267)</f>
        <v/>
      </c>
      <c r="O267" s="179">
        <f>SUMIFS($E$2:$E$896,$A$2:$A$896,"весна",$I$2:$I$896,I267)</f>
        <v/>
      </c>
      <c r="P267" s="180">
        <f>N267+O267</f>
        <v/>
      </c>
      <c r="Q267" s="181">
        <f>P267/$Q$1</f>
        <v/>
      </c>
      <c r="R267" s="122">
        <f>P267*0.2</f>
        <v/>
      </c>
      <c r="S267" s="122">
        <f>Q267*0.8</f>
        <v/>
      </c>
      <c r="T267" s="133" t="n">
        <v>0.5</v>
      </c>
    </row>
    <row r="268" hidden="1" ht="15.75" customHeight="1" s="2">
      <c r="A268" s="175" t="inlineStr">
        <is>
          <t>осень</t>
        </is>
      </c>
      <c r="B268" s="176" t="inlineStr">
        <is>
          <t>Теплотехника и основы теплопередачи</t>
        </is>
      </c>
      <c r="C268" s="176" t="inlineStr">
        <is>
          <t>ЛР</t>
        </is>
      </c>
      <c r="D268" s="176" t="inlineStr">
        <is>
          <t>Т11О-307Б-21</t>
        </is>
      </c>
      <c r="E268" s="177" t="n">
        <v>24</v>
      </c>
      <c r="F268" s="176" t="inlineStr">
        <is>
          <t>17352</t>
        </is>
      </c>
      <c r="G268" s="177" t="n">
        <v>24</v>
      </c>
      <c r="H268" s="176" t="inlineStr">
        <is>
          <t>82086</t>
        </is>
      </c>
      <c r="I268" s="176" t="inlineStr">
        <is>
          <t>Смыков Андрей Федорович</t>
        </is>
      </c>
      <c r="J268" s="176" t="n"/>
      <c r="K268" s="176" t="inlineStr">
        <is>
          <t>Нет</t>
        </is>
      </c>
      <c r="L268" s="176" t="n"/>
      <c r="M268" s="176" t="n"/>
      <c r="N268" s="179">
        <f>SUMIFS($E$2:$E$896,$A$2:$A$896,"осень",$I$2:$I$896,I268)</f>
        <v/>
      </c>
      <c r="O268" s="179">
        <f>SUMIFS($E$2:$E$896,$A$2:$A$896,"весна",$I$2:$I$896,I268)</f>
        <v/>
      </c>
      <c r="P268" s="180">
        <f>N268+O268</f>
        <v/>
      </c>
      <c r="Q268" s="181">
        <f>P268/$Q$1</f>
        <v/>
      </c>
      <c r="R268" s="122">
        <f>P268*0.2</f>
        <v/>
      </c>
      <c r="S268" s="122">
        <f>Q268*0.8</f>
        <v/>
      </c>
      <c r="T268" s="133" t="n">
        <v>0.5</v>
      </c>
    </row>
    <row r="269" hidden="1" ht="15.75" customHeight="1" s="2">
      <c r="A269" s="175" t="inlineStr">
        <is>
          <t>осень</t>
        </is>
      </c>
      <c r="B269" s="176" t="inlineStr">
        <is>
          <t>Теплотехника и основы теплопередачи</t>
        </is>
      </c>
      <c r="C269" s="176" t="inlineStr">
        <is>
          <t>Экзамен</t>
        </is>
      </c>
      <c r="D269" s="176" t="inlineStr">
        <is>
          <t>Т11О-301Б-21</t>
        </is>
      </c>
      <c r="E269" s="177" t="n">
        <v>5</v>
      </c>
      <c r="F269" s="176" t="inlineStr">
        <is>
          <t>17352</t>
        </is>
      </c>
      <c r="G269" s="178" t="n"/>
      <c r="H269" s="176" t="inlineStr">
        <is>
          <t>82086</t>
        </is>
      </c>
      <c r="I269" s="176" t="inlineStr">
        <is>
          <t>Смыков Андрей Федорович</t>
        </is>
      </c>
      <c r="J269" s="176" t="n"/>
      <c r="K269" s="176" t="inlineStr">
        <is>
          <t>Нет</t>
        </is>
      </c>
      <c r="L269" s="176" t="n"/>
      <c r="M269" s="176" t="n"/>
      <c r="N269" s="179">
        <f>SUMIFS($E$2:$E$896,$A$2:$A$896,"осень",$I$2:$I$896,I269)</f>
        <v/>
      </c>
      <c r="O269" s="179">
        <f>SUMIFS($E$2:$E$896,$A$2:$A$896,"весна",$I$2:$I$896,I269)</f>
        <v/>
      </c>
      <c r="P269" s="180">
        <f>N269+O269</f>
        <v/>
      </c>
      <c r="Q269" s="181">
        <f>P269/$Q$1</f>
        <v/>
      </c>
      <c r="R269" s="122">
        <f>P269*0.2</f>
        <v/>
      </c>
      <c r="S269" s="122">
        <f>Q269*0.8</f>
        <v/>
      </c>
      <c r="T269" s="133" t="n">
        <v>0.5</v>
      </c>
    </row>
    <row r="270" hidden="1" ht="15.75" customHeight="1" s="2">
      <c r="A270" s="175" t="inlineStr">
        <is>
          <t>осень</t>
        </is>
      </c>
      <c r="B270" s="176" t="inlineStr">
        <is>
          <t>Теплотехника и основы теплопередачи</t>
        </is>
      </c>
      <c r="C270" s="176" t="inlineStr">
        <is>
          <t>Экзамен</t>
        </is>
      </c>
      <c r="D270" s="176" t="inlineStr">
        <is>
          <t>Т11О-303Б-21</t>
        </is>
      </c>
      <c r="E270" s="177" t="n">
        <v>8</v>
      </c>
      <c r="F270" s="176" t="inlineStr">
        <is>
          <t>17352</t>
        </is>
      </c>
      <c r="G270" s="178" t="n"/>
      <c r="H270" s="176" t="inlineStr">
        <is>
          <t>82086</t>
        </is>
      </c>
      <c r="I270" s="176" t="inlineStr">
        <is>
          <t>Смыков Андрей Федорович</t>
        </is>
      </c>
      <c r="J270" s="176" t="n"/>
      <c r="K270" s="176" t="inlineStr">
        <is>
          <t>Нет</t>
        </is>
      </c>
      <c r="L270" s="176" t="n"/>
      <c r="M270" s="176" t="n"/>
      <c r="N270" s="179">
        <f>SUMIFS($E$2:$E$896,$A$2:$A$896,"осень",$I$2:$I$896,I270)</f>
        <v/>
      </c>
      <c r="O270" s="179">
        <f>SUMIFS($E$2:$E$896,$A$2:$A$896,"весна",$I$2:$I$896,I270)</f>
        <v/>
      </c>
      <c r="P270" s="180">
        <f>N270+O270</f>
        <v/>
      </c>
      <c r="Q270" s="181">
        <f>P270/$Q$1</f>
        <v/>
      </c>
      <c r="R270" s="122">
        <f>P270*0.2</f>
        <v/>
      </c>
      <c r="S270" s="122">
        <f>Q270*0.8</f>
        <v/>
      </c>
      <c r="T270" s="133" t="n">
        <v>0.5</v>
      </c>
    </row>
    <row r="271" hidden="1" ht="15.75" customHeight="1" s="2">
      <c r="A271" s="175" t="inlineStr">
        <is>
          <t>осень</t>
        </is>
      </c>
      <c r="B271" s="176" t="inlineStr">
        <is>
          <t>Теплотехника и основы теплопередачи</t>
        </is>
      </c>
      <c r="C271" s="176" t="inlineStr">
        <is>
          <t>Экзамен</t>
        </is>
      </c>
      <c r="D271" s="176" t="inlineStr">
        <is>
          <t>Т11О-305Б-21</t>
        </is>
      </c>
      <c r="E271" s="177" t="n">
        <v>9</v>
      </c>
      <c r="F271" s="176" t="inlineStr">
        <is>
          <t>17352</t>
        </is>
      </c>
      <c r="G271" s="178" t="n"/>
      <c r="H271" s="176" t="inlineStr">
        <is>
          <t>82086</t>
        </is>
      </c>
      <c r="I271" s="176" t="inlineStr">
        <is>
          <t>Смыков Андрей Федорович</t>
        </is>
      </c>
      <c r="J271" s="176" t="n"/>
      <c r="K271" s="176" t="inlineStr">
        <is>
          <t>Нет</t>
        </is>
      </c>
      <c r="L271" s="176" t="n"/>
      <c r="M271" s="176" t="n"/>
      <c r="N271" s="179">
        <f>SUMIFS($E$2:$E$896,$A$2:$A$896,"осень",$I$2:$I$896,I271)</f>
        <v/>
      </c>
      <c r="O271" s="179">
        <f>SUMIFS($E$2:$E$896,$A$2:$A$896,"весна",$I$2:$I$896,I271)</f>
        <v/>
      </c>
      <c r="P271" s="180">
        <f>N271+O271</f>
        <v/>
      </c>
      <c r="Q271" s="181">
        <f>P271/$Q$1</f>
        <v/>
      </c>
      <c r="R271" s="122">
        <f>P271*0.2</f>
        <v/>
      </c>
      <c r="S271" s="122">
        <f>Q271*0.8</f>
        <v/>
      </c>
      <c r="T271" s="133" t="n">
        <v>0.5</v>
      </c>
    </row>
    <row r="272" hidden="1" ht="15.75" customHeight="1" s="2">
      <c r="A272" s="175" t="inlineStr">
        <is>
          <t>осень</t>
        </is>
      </c>
      <c r="B272" s="176" t="inlineStr">
        <is>
          <t>Теплотехника и основы теплопередачи</t>
        </is>
      </c>
      <c r="C272" s="176" t="inlineStr">
        <is>
          <t>Экзамен</t>
        </is>
      </c>
      <c r="D272" s="176" t="inlineStr">
        <is>
          <t>Т11О-306Б-21</t>
        </is>
      </c>
      <c r="E272" s="177" t="n">
        <v>9</v>
      </c>
      <c r="F272" s="176" t="inlineStr">
        <is>
          <t>17352</t>
        </is>
      </c>
      <c r="G272" s="178" t="n"/>
      <c r="H272" s="176" t="inlineStr">
        <is>
          <t>82086</t>
        </is>
      </c>
      <c r="I272" s="176" t="inlineStr">
        <is>
          <t>Смыков Андрей Федорович</t>
        </is>
      </c>
      <c r="J272" s="176" t="n"/>
      <c r="K272" s="176" t="inlineStr">
        <is>
          <t>Нет</t>
        </is>
      </c>
      <c r="L272" s="176" t="n"/>
      <c r="M272" s="176" t="n"/>
      <c r="N272" s="179">
        <f>SUMIFS($E$2:$E$896,$A$2:$A$896,"осень",$I$2:$I$896,I272)</f>
        <v/>
      </c>
      <c r="O272" s="179">
        <f>SUMIFS($E$2:$E$896,$A$2:$A$896,"весна",$I$2:$I$896,I272)</f>
        <v/>
      </c>
      <c r="P272" s="180">
        <f>N272+O272</f>
        <v/>
      </c>
      <c r="Q272" s="181">
        <f>P272/$Q$1</f>
        <v/>
      </c>
      <c r="R272" s="122">
        <f>P272*0.2</f>
        <v/>
      </c>
      <c r="S272" s="122">
        <f>Q272*0.8</f>
        <v/>
      </c>
      <c r="T272" s="133" t="n">
        <v>0.5</v>
      </c>
    </row>
    <row r="273" hidden="1" ht="15.75" customHeight="1" s="2">
      <c r="A273" s="175" t="inlineStr">
        <is>
          <t>осень</t>
        </is>
      </c>
      <c r="B273" s="176" t="inlineStr">
        <is>
          <t>Теплотехника и основы теплопередачи</t>
        </is>
      </c>
      <c r="C273" s="176" t="inlineStr">
        <is>
          <t>Экзамен</t>
        </is>
      </c>
      <c r="D273" s="176" t="inlineStr">
        <is>
          <t>Т11О-307Б-21</t>
        </is>
      </c>
      <c r="E273" s="177" t="n">
        <v>7</v>
      </c>
      <c r="F273" s="176" t="inlineStr">
        <is>
          <t>17352</t>
        </is>
      </c>
      <c r="G273" s="178" t="n"/>
      <c r="H273" s="176" t="inlineStr">
        <is>
          <t>82086</t>
        </is>
      </c>
      <c r="I273" s="176" t="inlineStr">
        <is>
          <t>Смыков Андрей Федорович</t>
        </is>
      </c>
      <c r="J273" s="176" t="n"/>
      <c r="K273" s="176" t="inlineStr">
        <is>
          <t>Нет</t>
        </is>
      </c>
      <c r="L273" s="176" t="n"/>
      <c r="M273" s="176" t="n"/>
      <c r="N273" s="179">
        <f>SUMIFS($E$2:$E$896,$A$2:$A$896,"осень",$I$2:$I$896,I273)</f>
        <v/>
      </c>
      <c r="O273" s="179">
        <f>SUMIFS($E$2:$E$896,$A$2:$A$896,"весна",$I$2:$I$896,I273)</f>
        <v/>
      </c>
      <c r="P273" s="180">
        <f>N273+O273</f>
        <v/>
      </c>
      <c r="Q273" s="181">
        <f>P273/$Q$1</f>
        <v/>
      </c>
      <c r="R273" s="122">
        <f>P273*0.2</f>
        <v/>
      </c>
      <c r="S273" s="122">
        <f>Q273*0.8</f>
        <v/>
      </c>
      <c r="T273" s="133" t="n">
        <v>0.5</v>
      </c>
    </row>
    <row r="274" hidden="1" ht="15.75" customHeight="1" s="2">
      <c r="A274" s="175" t="inlineStr">
        <is>
          <t>осень</t>
        </is>
      </c>
      <c r="B274" s="176" t="inlineStr">
        <is>
          <t>Теплотехника и основы теплопередачи</t>
        </is>
      </c>
      <c r="C274" s="176" t="inlineStr">
        <is>
          <t>Консультация</t>
        </is>
      </c>
      <c r="D274" s="176" t="inlineStr">
        <is>
          <t>Т11О-301Б-21</t>
        </is>
      </c>
      <c r="E274" s="177" t="n">
        <v>3</v>
      </c>
      <c r="F274" s="176" t="inlineStr">
        <is>
          <t>17352</t>
        </is>
      </c>
      <c r="G274" s="178" t="n"/>
      <c r="H274" s="176" t="inlineStr">
        <is>
          <t>82086</t>
        </is>
      </c>
      <c r="I274" s="176" t="inlineStr">
        <is>
          <t>Смыков Андрей Федорович</t>
        </is>
      </c>
      <c r="J274" s="176" t="n"/>
      <c r="K274" s="176" t="inlineStr">
        <is>
          <t>Нет</t>
        </is>
      </c>
      <c r="L274" s="176" t="n"/>
      <c r="M274" s="176" t="n"/>
      <c r="N274" s="179">
        <f>SUMIFS($E$2:$E$896,$A$2:$A$896,"осень",$I$2:$I$896,I274)</f>
        <v/>
      </c>
      <c r="O274" s="179">
        <f>SUMIFS($E$2:$E$896,$A$2:$A$896,"весна",$I$2:$I$896,I274)</f>
        <v/>
      </c>
      <c r="P274" s="180">
        <f>N274+O274</f>
        <v/>
      </c>
      <c r="Q274" s="181">
        <f>P274/$Q$1</f>
        <v/>
      </c>
      <c r="R274" s="122">
        <f>P274*0.2</f>
        <v/>
      </c>
      <c r="S274" s="122">
        <f>Q274*0.8</f>
        <v/>
      </c>
      <c r="T274" s="133" t="n">
        <v>0.5</v>
      </c>
    </row>
    <row r="275" hidden="1" ht="15.75" customHeight="1" s="2">
      <c r="A275" s="175" t="inlineStr">
        <is>
          <t>осень</t>
        </is>
      </c>
      <c r="B275" s="176" t="inlineStr">
        <is>
          <t>Теплотехника и основы теплопередачи</t>
        </is>
      </c>
      <c r="C275" s="176" t="inlineStr">
        <is>
          <t>Консультация</t>
        </is>
      </c>
      <c r="D275" s="176" t="inlineStr">
        <is>
          <t>Т11О-303Б-21</t>
        </is>
      </c>
      <c r="E275" s="177" t="n">
        <v>3</v>
      </c>
      <c r="F275" s="176" t="inlineStr">
        <is>
          <t>17352</t>
        </is>
      </c>
      <c r="G275" s="178" t="n"/>
      <c r="H275" s="176" t="inlineStr">
        <is>
          <t>82086</t>
        </is>
      </c>
      <c r="I275" s="176" t="inlineStr">
        <is>
          <t>Смыков Андрей Федорович</t>
        </is>
      </c>
      <c r="J275" s="176" t="n"/>
      <c r="K275" s="176" t="inlineStr">
        <is>
          <t>Нет</t>
        </is>
      </c>
      <c r="L275" s="176" t="n"/>
      <c r="M275" s="176" t="n"/>
      <c r="N275" s="179">
        <f>SUMIFS($E$2:$E$896,$A$2:$A$896,"осень",$I$2:$I$896,I275)</f>
        <v/>
      </c>
      <c r="O275" s="179">
        <f>SUMIFS($E$2:$E$896,$A$2:$A$896,"весна",$I$2:$I$896,I275)</f>
        <v/>
      </c>
      <c r="P275" s="180">
        <f>N275+O275</f>
        <v/>
      </c>
      <c r="Q275" s="181">
        <f>P275/$Q$1</f>
        <v/>
      </c>
      <c r="R275" s="122">
        <f>P275*0.2</f>
        <v/>
      </c>
      <c r="S275" s="122">
        <f>Q275*0.8</f>
        <v/>
      </c>
      <c r="T275" s="133" t="n">
        <v>0.5</v>
      </c>
    </row>
    <row r="276" hidden="1" ht="15.75" customHeight="1" s="2">
      <c r="A276" s="175" t="inlineStr">
        <is>
          <t>осень</t>
        </is>
      </c>
      <c r="B276" s="176" t="inlineStr">
        <is>
          <t>Теплотехника и основы теплопередачи</t>
        </is>
      </c>
      <c r="C276" s="176" t="inlineStr">
        <is>
          <t>Консультация</t>
        </is>
      </c>
      <c r="D276" s="176" t="inlineStr">
        <is>
          <t>Т11О-305Б-21</t>
        </is>
      </c>
      <c r="E276" s="177" t="n">
        <v>3</v>
      </c>
      <c r="F276" s="176" t="inlineStr">
        <is>
          <t>17352</t>
        </is>
      </c>
      <c r="G276" s="178" t="n"/>
      <c r="H276" s="176" t="inlineStr">
        <is>
          <t>82086</t>
        </is>
      </c>
      <c r="I276" s="176" t="inlineStr">
        <is>
          <t>Смыков Андрей Федорович</t>
        </is>
      </c>
      <c r="J276" s="176" t="n"/>
      <c r="K276" s="176" t="inlineStr">
        <is>
          <t>Нет</t>
        </is>
      </c>
      <c r="L276" s="176" t="n"/>
      <c r="M276" s="176" t="n"/>
      <c r="N276" s="179">
        <f>SUMIFS($E$2:$E$896,$A$2:$A$896,"осень",$I$2:$I$896,I276)</f>
        <v/>
      </c>
      <c r="O276" s="179">
        <f>SUMIFS($E$2:$E$896,$A$2:$A$896,"весна",$I$2:$I$896,I276)</f>
        <v/>
      </c>
      <c r="P276" s="180">
        <f>N276+O276</f>
        <v/>
      </c>
      <c r="Q276" s="181">
        <f>P276/$Q$1</f>
        <v/>
      </c>
      <c r="R276" s="122">
        <f>P276*0.2</f>
        <v/>
      </c>
      <c r="S276" s="122">
        <f>Q276*0.8</f>
        <v/>
      </c>
      <c r="T276" s="133" t="n">
        <v>0.5</v>
      </c>
    </row>
    <row r="277" hidden="1" ht="15.75" customHeight="1" s="2">
      <c r="A277" s="175" t="inlineStr">
        <is>
          <t>осень</t>
        </is>
      </c>
      <c r="B277" s="176" t="inlineStr">
        <is>
          <t>Теплотехника и основы теплопередачи</t>
        </is>
      </c>
      <c r="C277" s="176" t="inlineStr">
        <is>
          <t>Консультация</t>
        </is>
      </c>
      <c r="D277" s="176" t="inlineStr">
        <is>
          <t>Т11О-306Б-21</t>
        </is>
      </c>
      <c r="E277" s="177" t="n">
        <v>3</v>
      </c>
      <c r="F277" s="176" t="inlineStr">
        <is>
          <t>17352</t>
        </is>
      </c>
      <c r="G277" s="178" t="n"/>
      <c r="H277" s="176" t="inlineStr">
        <is>
          <t>82086</t>
        </is>
      </c>
      <c r="I277" s="176" t="inlineStr">
        <is>
          <t>Смыков Андрей Федорович</t>
        </is>
      </c>
      <c r="J277" s="176" t="n"/>
      <c r="K277" s="176" t="inlineStr">
        <is>
          <t>Нет</t>
        </is>
      </c>
      <c r="L277" s="176" t="n"/>
      <c r="M277" s="176" t="n"/>
      <c r="N277" s="179">
        <f>SUMIFS($E$2:$E$896,$A$2:$A$896,"осень",$I$2:$I$896,I277)</f>
        <v/>
      </c>
      <c r="O277" s="179">
        <f>SUMIFS($E$2:$E$896,$A$2:$A$896,"весна",$I$2:$I$896,I277)</f>
        <v/>
      </c>
      <c r="P277" s="180">
        <f>N277+O277</f>
        <v/>
      </c>
      <c r="Q277" s="181">
        <f>P277/$Q$1</f>
        <v/>
      </c>
      <c r="R277" s="122">
        <f>P277*0.2</f>
        <v/>
      </c>
      <c r="S277" s="122">
        <f>Q277*0.8</f>
        <v/>
      </c>
      <c r="T277" s="133" t="n">
        <v>0.5</v>
      </c>
    </row>
    <row r="278" hidden="1" ht="15.75" customHeight="1" s="2">
      <c r="A278" s="175" t="inlineStr">
        <is>
          <t>осень</t>
        </is>
      </c>
      <c r="B278" s="176" t="inlineStr">
        <is>
          <t>Теплотехника и основы теплопередачи</t>
        </is>
      </c>
      <c r="C278" s="176" t="inlineStr">
        <is>
          <t>Консультация</t>
        </is>
      </c>
      <c r="D278" s="176" t="inlineStr">
        <is>
          <t>Т11О-307Б-21</t>
        </is>
      </c>
      <c r="E278" s="177" t="n">
        <v>3</v>
      </c>
      <c r="F278" s="176" t="inlineStr">
        <is>
          <t>17352</t>
        </is>
      </c>
      <c r="G278" s="178" t="n"/>
      <c r="H278" s="176" t="inlineStr">
        <is>
          <t>82086</t>
        </is>
      </c>
      <c r="I278" s="176" t="inlineStr">
        <is>
          <t>Смыков Андрей Федорович</t>
        </is>
      </c>
      <c r="J278" s="176" t="n"/>
      <c r="K278" s="176" t="inlineStr">
        <is>
          <t>Нет</t>
        </is>
      </c>
      <c r="L278" s="176" t="n"/>
      <c r="M278" s="176" t="n"/>
      <c r="N278" s="179">
        <f>SUMIFS($E$2:$E$896,$A$2:$A$896,"осень",$I$2:$I$896,I278)</f>
        <v/>
      </c>
      <c r="O278" s="179">
        <f>SUMIFS($E$2:$E$896,$A$2:$A$896,"весна",$I$2:$I$896,I278)</f>
        <v/>
      </c>
      <c r="P278" s="180">
        <f>N278+O278</f>
        <v/>
      </c>
      <c r="Q278" s="181">
        <f>P278/$Q$1</f>
        <v/>
      </c>
      <c r="R278" s="122">
        <f>P278*0.2</f>
        <v/>
      </c>
      <c r="S278" s="122">
        <f>Q278*0.8</f>
        <v/>
      </c>
      <c r="T278" s="133" t="n">
        <v>0.5</v>
      </c>
    </row>
    <row r="279" hidden="1" ht="15.75" customHeight="1" s="2">
      <c r="A279" s="175" t="inlineStr">
        <is>
          <t>осень</t>
        </is>
      </c>
      <c r="B279" s="176" t="inlineStr">
        <is>
          <t>Порошковая металлургия и композиционные материалы</t>
        </is>
      </c>
      <c r="C279" s="176" t="inlineStr">
        <is>
          <t>ЛК</t>
        </is>
      </c>
      <c r="D279" s="176" t="inlineStr">
        <is>
          <t>Т11О-302А-21</t>
        </is>
      </c>
      <c r="E279" s="177" t="n">
        <v>68</v>
      </c>
      <c r="F279" s="176" t="inlineStr">
        <is>
          <t>15650</t>
        </is>
      </c>
      <c r="G279" s="177" t="n">
        <v>68</v>
      </c>
      <c r="H279" s="176" t="inlineStr">
        <is>
          <t>92509</t>
        </is>
      </c>
      <c r="I279" s="176" t="inlineStr">
        <is>
          <t>Серов Михаил Михайлович</t>
        </is>
      </c>
      <c r="J279" s="176" t="n"/>
      <c r="K279" s="176" t="inlineStr">
        <is>
          <t>Нет</t>
        </is>
      </c>
      <c r="L279" s="176" t="n"/>
      <c r="M279" s="176" t="n"/>
      <c r="N279" s="179">
        <f>SUMIFS($E$2:$E$896,$A$2:$A$896,"осень",$I$2:$I$896,I279)</f>
        <v/>
      </c>
      <c r="O279" s="179">
        <f>SUMIFS($E$2:$E$896,$A$2:$A$896,"весна",$I$2:$I$896,I279)</f>
        <v/>
      </c>
      <c r="P279" s="180">
        <f>N279+O279</f>
        <v/>
      </c>
      <c r="Q279" s="181">
        <f>P279/$Q$1</f>
        <v/>
      </c>
      <c r="R279" s="122">
        <f>P279*0.2</f>
        <v/>
      </c>
      <c r="S279" s="122">
        <f>Q279*0.8</f>
        <v/>
      </c>
      <c r="T279" s="133" t="n">
        <v>0.55</v>
      </c>
    </row>
    <row r="280" hidden="1" ht="15.75" customHeight="1" s="2">
      <c r="A280" s="175" t="inlineStr">
        <is>
          <t>осень</t>
        </is>
      </c>
      <c r="B280" s="176" t="inlineStr">
        <is>
          <t>Порошковая металлургия и композиционные материалы</t>
        </is>
      </c>
      <c r="C280" s="176" t="inlineStr">
        <is>
          <t>ПЗ</t>
        </is>
      </c>
      <c r="D280" s="176" t="inlineStr">
        <is>
          <t>Т11О-302А-21</t>
        </is>
      </c>
      <c r="E280" s="177" t="n">
        <v>20</v>
      </c>
      <c r="F280" s="176" t="inlineStr">
        <is>
          <t>15650</t>
        </is>
      </c>
      <c r="G280" s="177" t="n">
        <v>20</v>
      </c>
      <c r="H280" s="176" t="inlineStr">
        <is>
          <t>92509</t>
        </is>
      </c>
      <c r="I280" s="176" t="inlineStr">
        <is>
          <t>Серов Михаил Михайлович</t>
        </is>
      </c>
      <c r="J280" s="176" t="n"/>
      <c r="K280" s="176" t="inlineStr">
        <is>
          <t>Нет</t>
        </is>
      </c>
      <c r="L280" s="176" t="n"/>
      <c r="M280" s="176" t="n"/>
      <c r="N280" s="179">
        <f>SUMIFS($E$2:$E$896,$A$2:$A$896,"осень",$I$2:$I$896,I280)</f>
        <v/>
      </c>
      <c r="O280" s="179">
        <f>SUMIFS($E$2:$E$896,$A$2:$A$896,"весна",$I$2:$I$896,I280)</f>
        <v/>
      </c>
      <c r="P280" s="180">
        <f>N280+O280</f>
        <v/>
      </c>
      <c r="Q280" s="181">
        <f>P280/$Q$1</f>
        <v/>
      </c>
      <c r="R280" s="122">
        <f>P280*0.2</f>
        <v/>
      </c>
      <c r="S280" s="122">
        <f>Q280*0.8</f>
        <v/>
      </c>
      <c r="T280" s="133" t="n">
        <v>0.55</v>
      </c>
    </row>
    <row r="281" hidden="1" ht="15.75" customHeight="1" s="2">
      <c r="A281" s="175" t="inlineStr">
        <is>
          <t>осень</t>
        </is>
      </c>
      <c r="B281" s="176" t="inlineStr">
        <is>
          <t>Порошковая металлургия и композиционные материалы</t>
        </is>
      </c>
      <c r="C281" s="176" t="inlineStr">
        <is>
          <t>Экзамен</t>
        </is>
      </c>
      <c r="D281" s="176" t="inlineStr">
        <is>
          <t>Т11О-302А-21</t>
        </is>
      </c>
      <c r="E281" s="177" t="n">
        <v>1</v>
      </c>
      <c r="F281" s="176" t="inlineStr">
        <is>
          <t>15650</t>
        </is>
      </c>
      <c r="G281" s="178" t="n"/>
      <c r="H281" s="176" t="inlineStr">
        <is>
          <t>92509</t>
        </is>
      </c>
      <c r="I281" s="176" t="inlineStr">
        <is>
          <t>Серов Михаил Михайлович</t>
        </is>
      </c>
      <c r="J281" s="176" t="n"/>
      <c r="K281" s="176" t="inlineStr">
        <is>
          <t>Нет</t>
        </is>
      </c>
      <c r="L281" s="176" t="n"/>
      <c r="M281" s="176" t="n"/>
      <c r="N281" s="179">
        <f>SUMIFS($E$2:$E$896,$A$2:$A$896,"осень",$I$2:$I$896,I281)</f>
        <v/>
      </c>
      <c r="O281" s="179">
        <f>SUMIFS($E$2:$E$896,$A$2:$A$896,"весна",$I$2:$I$896,I281)</f>
        <v/>
      </c>
      <c r="P281" s="180">
        <f>N281+O281</f>
        <v/>
      </c>
      <c r="Q281" s="181">
        <f>P281/$Q$1</f>
        <v/>
      </c>
      <c r="R281" s="122">
        <f>P281*0.2</f>
        <v/>
      </c>
      <c r="S281" s="122">
        <f>Q281*0.8</f>
        <v/>
      </c>
      <c r="T281" s="133" t="n">
        <v>0.55</v>
      </c>
    </row>
    <row r="282" hidden="1" ht="15.75" customHeight="1" s="2">
      <c r="A282" s="175" t="inlineStr">
        <is>
          <t>осень</t>
        </is>
      </c>
      <c r="B282" s="176" t="inlineStr">
        <is>
          <t>Порошковая металлургия и композиционные материалы</t>
        </is>
      </c>
      <c r="C282" s="176" t="inlineStr">
        <is>
          <t>Консультация</t>
        </is>
      </c>
      <c r="D282" s="176" t="inlineStr">
        <is>
          <t>Т11О-302А-21</t>
        </is>
      </c>
      <c r="E282" s="177" t="n">
        <v>5</v>
      </c>
      <c r="F282" s="176" t="inlineStr">
        <is>
          <t>15650</t>
        </is>
      </c>
      <c r="G282" s="178" t="n"/>
      <c r="H282" s="176" t="inlineStr">
        <is>
          <t>92509</t>
        </is>
      </c>
      <c r="I282" s="176" t="inlineStr">
        <is>
          <t>Серов Михаил Михайлович</t>
        </is>
      </c>
      <c r="J282" s="176" t="n"/>
      <c r="K282" s="176" t="inlineStr">
        <is>
          <t>Нет</t>
        </is>
      </c>
      <c r="L282" s="176" t="n"/>
      <c r="M282" s="176" t="n"/>
      <c r="N282" s="179">
        <f>SUMIFS($E$2:$E$896,$A$2:$A$896,"осень",$I$2:$I$896,I282)</f>
        <v/>
      </c>
      <c r="O282" s="179">
        <f>SUMIFS($E$2:$E$896,$A$2:$A$896,"весна",$I$2:$I$896,I282)</f>
        <v/>
      </c>
      <c r="P282" s="180">
        <f>N282+O282</f>
        <v/>
      </c>
      <c r="Q282" s="181">
        <f>P282/$Q$1</f>
        <v/>
      </c>
      <c r="R282" s="122">
        <f>P282*0.2</f>
        <v/>
      </c>
      <c r="S282" s="122">
        <f>Q282*0.8</f>
        <v/>
      </c>
      <c r="T282" s="133" t="n">
        <v>0.55</v>
      </c>
    </row>
    <row r="283" hidden="1" ht="15.75" customHeight="1" s="2">
      <c r="A283" s="175" t="inlineStr">
        <is>
          <t>осень</t>
        </is>
      </c>
      <c r="B283" s="176" t="inlineStr">
        <is>
          <t>Основы технологии и автоматизации производства продукции методами ТЛП</t>
        </is>
      </c>
      <c r="C283" s="176" t="inlineStr">
        <is>
          <t>ЛК</t>
        </is>
      </c>
      <c r="D283" s="176" t="inlineStr">
        <is>
          <t>Т11О-302Б-21</t>
        </is>
      </c>
      <c r="E283" s="177" t="n">
        <v>38</v>
      </c>
      <c r="F283" s="176" t="inlineStr">
        <is>
          <t>14861</t>
        </is>
      </c>
      <c r="G283" s="177" t="n">
        <v>38</v>
      </c>
      <c r="H283" s="176" t="inlineStr">
        <is>
          <t>82020</t>
        </is>
      </c>
      <c r="I283" s="176" t="inlineStr">
        <is>
          <t>Варфоломеев Максим Сергеевич</t>
        </is>
      </c>
      <c r="J283" s="176" t="n"/>
      <c r="K283" s="176" t="inlineStr">
        <is>
          <t>Нет</t>
        </is>
      </c>
      <c r="L283" s="176" t="n"/>
      <c r="M283" s="176" t="n"/>
      <c r="N283" s="179">
        <f>SUMIFS($E$2:$E$896,$A$2:$A$896,"осень",$I$2:$I$896,I283)</f>
        <v/>
      </c>
      <c r="O283" s="179">
        <f>SUMIFS($E$2:$E$896,$A$2:$A$896,"весна",$I$2:$I$896,I283)</f>
        <v/>
      </c>
      <c r="P283" s="180">
        <f>N283+O283</f>
        <v/>
      </c>
      <c r="Q283" s="181">
        <f>P283/$Q$1</f>
        <v/>
      </c>
      <c r="R283" s="122">
        <f>P283*0.2</f>
        <v/>
      </c>
      <c r="S283" s="122">
        <f>Q283*0.8</f>
        <v/>
      </c>
      <c r="T283" s="133" t="n">
        <v>0.7</v>
      </c>
    </row>
    <row r="284" hidden="1" ht="15.75" customHeight="1" s="2">
      <c r="A284" s="175" t="inlineStr">
        <is>
          <t>осень</t>
        </is>
      </c>
      <c r="B284" s="176" t="inlineStr">
        <is>
          <t>Основы технологии и автоматизации производства продукции методами ТЛП</t>
        </is>
      </c>
      <c r="C284" s="176" t="inlineStr">
        <is>
          <t>КР</t>
        </is>
      </c>
      <c r="D284" s="176" t="inlineStr">
        <is>
          <t>Т11О-302Б-21</t>
        </is>
      </c>
      <c r="E284" s="177" t="n">
        <v>36</v>
      </c>
      <c r="F284" s="176" t="inlineStr">
        <is>
          <t>14861</t>
        </is>
      </c>
      <c r="G284" s="178" t="n"/>
      <c r="H284" s="176" t="inlineStr">
        <is>
          <t>82020</t>
        </is>
      </c>
      <c r="I284" s="176" t="inlineStr">
        <is>
          <t>Варфоломеев Максим Сергеевич</t>
        </is>
      </c>
      <c r="J284" s="176" t="n"/>
      <c r="K284" s="176" t="inlineStr">
        <is>
          <t>Нет</t>
        </is>
      </c>
      <c r="L284" s="176" t="n"/>
      <c r="M284" s="176" t="n"/>
      <c r="N284" s="179">
        <f>SUMIFS($E$2:$E$896,$A$2:$A$896,"осень",$I$2:$I$896,I284)</f>
        <v/>
      </c>
      <c r="O284" s="179">
        <f>SUMIFS($E$2:$E$896,$A$2:$A$896,"весна",$I$2:$I$896,I284)</f>
        <v/>
      </c>
      <c r="P284" s="180">
        <f>N284+O284</f>
        <v/>
      </c>
      <c r="Q284" s="181">
        <f>P284/$Q$1</f>
        <v/>
      </c>
      <c r="R284" s="122">
        <f>P284*0.2</f>
        <v/>
      </c>
      <c r="S284" s="122">
        <f>Q284*0.8</f>
        <v/>
      </c>
      <c r="T284" s="133" t="n">
        <v>0.7</v>
      </c>
    </row>
    <row r="285" hidden="1" ht="15.75" customHeight="1" s="2">
      <c r="A285" s="175" t="inlineStr">
        <is>
          <t>осень</t>
        </is>
      </c>
      <c r="B285" s="176" t="inlineStr">
        <is>
          <t>Основы технологии и автоматизации производства продукции методами ТЛП</t>
        </is>
      </c>
      <c r="C285" s="176" t="inlineStr">
        <is>
          <t>ПЗ</t>
        </is>
      </c>
      <c r="D285" s="176" t="inlineStr">
        <is>
          <t>Т11О-302Б-21</t>
        </is>
      </c>
      <c r="E285" s="177" t="n">
        <v>28</v>
      </c>
      <c r="F285" s="176" t="inlineStr">
        <is>
          <t>14861</t>
        </is>
      </c>
      <c r="G285" s="177" t="n">
        <v>28</v>
      </c>
      <c r="H285" s="176" t="inlineStr">
        <is>
          <t>82020</t>
        </is>
      </c>
      <c r="I285" s="176" t="inlineStr">
        <is>
          <t>Варфоломеев Максим Сергеевич</t>
        </is>
      </c>
      <c r="J285" s="176" t="n"/>
      <c r="K285" s="176" t="inlineStr">
        <is>
          <t>Нет</t>
        </is>
      </c>
      <c r="L285" s="176" t="n"/>
      <c r="M285" s="176" t="n"/>
      <c r="N285" s="179">
        <f>SUMIFS($E$2:$E$896,$A$2:$A$896,"осень",$I$2:$I$896,I285)</f>
        <v/>
      </c>
      <c r="O285" s="179">
        <f>SUMIFS($E$2:$E$896,$A$2:$A$896,"весна",$I$2:$I$896,I285)</f>
        <v/>
      </c>
      <c r="P285" s="180">
        <f>N285+O285</f>
        <v/>
      </c>
      <c r="Q285" s="181">
        <f>P285/$Q$1</f>
        <v/>
      </c>
      <c r="R285" s="122">
        <f>P285*0.2</f>
        <v/>
      </c>
      <c r="S285" s="122">
        <f>Q285*0.8</f>
        <v/>
      </c>
      <c r="T285" s="133" t="n">
        <v>0.7</v>
      </c>
    </row>
    <row r="286" hidden="1" ht="15.75" customHeight="1" s="2">
      <c r="A286" s="175" t="inlineStr">
        <is>
          <t>осень</t>
        </is>
      </c>
      <c r="B286" s="176" t="inlineStr">
        <is>
          <t>Основы технологии и автоматизации производства продукции методами ТЛП</t>
        </is>
      </c>
      <c r="C286" s="176" t="inlineStr">
        <is>
          <t>Экзамен</t>
        </is>
      </c>
      <c r="D286" s="176" t="inlineStr">
        <is>
          <t>Т11О-302Б-21</t>
        </is>
      </c>
      <c r="E286" s="177" t="n">
        <v>9</v>
      </c>
      <c r="F286" s="176" t="inlineStr">
        <is>
          <t>14861</t>
        </is>
      </c>
      <c r="G286" s="178" t="n"/>
      <c r="H286" s="176" t="inlineStr">
        <is>
          <t>82020</t>
        </is>
      </c>
      <c r="I286" s="176" t="inlineStr">
        <is>
          <t>Варфоломеев Максим Сергеевич</t>
        </is>
      </c>
      <c r="J286" s="176" t="n"/>
      <c r="K286" s="176" t="inlineStr">
        <is>
          <t>Нет</t>
        </is>
      </c>
      <c r="L286" s="176" t="n"/>
      <c r="M286" s="176" t="n"/>
      <c r="N286" s="179">
        <f>SUMIFS($E$2:$E$896,$A$2:$A$896,"осень",$I$2:$I$896,I286)</f>
        <v/>
      </c>
      <c r="O286" s="179">
        <f>SUMIFS($E$2:$E$896,$A$2:$A$896,"весна",$I$2:$I$896,I286)</f>
        <v/>
      </c>
      <c r="P286" s="180">
        <f>N286+O286</f>
        <v/>
      </c>
      <c r="Q286" s="181">
        <f>P286/$Q$1</f>
        <v/>
      </c>
      <c r="R286" s="122">
        <f>P286*0.2</f>
        <v/>
      </c>
      <c r="S286" s="122">
        <f>Q286*0.8</f>
        <v/>
      </c>
      <c r="T286" s="133" t="n">
        <v>0.7</v>
      </c>
    </row>
    <row r="287" hidden="1" ht="15.75" customHeight="1" s="2">
      <c r="A287" s="175" t="inlineStr">
        <is>
          <t>осень</t>
        </is>
      </c>
      <c r="B287" s="176" t="inlineStr">
        <is>
          <t>Основы технологии и автоматизации производства продукции методами ТЛП</t>
        </is>
      </c>
      <c r="C287" s="176" t="inlineStr">
        <is>
          <t>Консультация</t>
        </is>
      </c>
      <c r="D287" s="176" t="inlineStr">
        <is>
          <t>Т11О-302Б-21</t>
        </is>
      </c>
      <c r="E287" s="177" t="n">
        <v>3</v>
      </c>
      <c r="F287" s="176" t="inlineStr">
        <is>
          <t>14861</t>
        </is>
      </c>
      <c r="G287" s="178" t="n"/>
      <c r="H287" s="176" t="inlineStr">
        <is>
          <t>82020</t>
        </is>
      </c>
      <c r="I287" s="176" t="inlineStr">
        <is>
          <t>Варфоломеев Максим Сергеевич</t>
        </is>
      </c>
      <c r="J287" s="176" t="n"/>
      <c r="K287" s="176" t="inlineStr">
        <is>
          <t>Нет</t>
        </is>
      </c>
      <c r="L287" s="176" t="n"/>
      <c r="M287" s="176" t="n"/>
      <c r="N287" s="179">
        <f>SUMIFS($E$2:$E$896,$A$2:$A$896,"осень",$I$2:$I$896,I287)</f>
        <v/>
      </c>
      <c r="O287" s="179">
        <f>SUMIFS($E$2:$E$896,$A$2:$A$896,"весна",$I$2:$I$896,I287)</f>
        <v/>
      </c>
      <c r="P287" s="180">
        <f>N287+O287</f>
        <v/>
      </c>
      <c r="Q287" s="181">
        <f>P287/$Q$1</f>
        <v/>
      </c>
      <c r="R287" s="122">
        <f>P287*0.2</f>
        <v/>
      </c>
      <c r="S287" s="122">
        <f>Q287*0.8</f>
        <v/>
      </c>
      <c r="T287" s="133" t="n">
        <v>0.7</v>
      </c>
    </row>
    <row r="288" hidden="1" ht="15.75" customHeight="1" s="2">
      <c r="A288" s="175" t="inlineStr">
        <is>
          <t>осень</t>
        </is>
      </c>
      <c r="B288" s="176" t="inlineStr">
        <is>
          <t>Основы технологии и автоматизации производства продукции методами ПМиЗП</t>
        </is>
      </c>
      <c r="C288" s="176" t="inlineStr">
        <is>
          <t>ЛК</t>
        </is>
      </c>
      <c r="D288" s="176" t="inlineStr">
        <is>
          <t>Т11О-302Б-21</t>
        </is>
      </c>
      <c r="E288" s="177" t="n">
        <v>24</v>
      </c>
      <c r="F288" s="176" t="inlineStr">
        <is>
          <t>14861</t>
        </is>
      </c>
      <c r="G288" s="177" t="n">
        <v>24</v>
      </c>
      <c r="H288" s="176" t="inlineStr">
        <is>
          <t>82066</t>
        </is>
      </c>
      <c r="I288" s="176" t="inlineStr">
        <is>
          <t>Серов Михаил Михайлович</t>
        </is>
      </c>
      <c r="J288" s="176" t="n"/>
      <c r="K288" s="176" t="inlineStr">
        <is>
          <t>Да</t>
        </is>
      </c>
      <c r="L288" s="176" t="n"/>
      <c r="M288" s="176" t="n"/>
      <c r="N288" s="179">
        <f>SUMIFS($E$2:$E$896,$A$2:$A$896,"осень",$I$2:$I$896,I288)</f>
        <v/>
      </c>
      <c r="O288" s="179">
        <f>SUMIFS($E$2:$E$896,$A$2:$A$896,"весна",$I$2:$I$896,I288)</f>
        <v/>
      </c>
      <c r="P288" s="180">
        <f>N288+O288</f>
        <v/>
      </c>
      <c r="Q288" s="181">
        <f>P288/$Q$1</f>
        <v/>
      </c>
      <c r="R288" s="122">
        <f>P288*0.2</f>
        <v/>
      </c>
      <c r="S288" s="122">
        <f>Q288*0.8</f>
        <v/>
      </c>
      <c r="T288" s="133" t="n">
        <v>0.6</v>
      </c>
    </row>
    <row r="289" hidden="1" ht="15.75" customHeight="1" s="2">
      <c r="A289" s="175" t="inlineStr">
        <is>
          <t>осень</t>
        </is>
      </c>
      <c r="B289" s="176" t="inlineStr">
        <is>
          <t>Основы технологии и автоматизации производства продукции методами ПМиЗП</t>
        </is>
      </c>
      <c r="C289" s="176" t="inlineStr">
        <is>
          <t>Зачет с оценкой</t>
        </is>
      </c>
      <c r="D289" s="176" t="inlineStr">
        <is>
          <t>Т11О-302Б-21</t>
        </is>
      </c>
      <c r="E289" s="177" t="n">
        <v>5</v>
      </c>
      <c r="F289" s="176" t="inlineStr">
        <is>
          <t>14861</t>
        </is>
      </c>
      <c r="G289" s="178" t="n"/>
      <c r="H289" s="176" t="inlineStr">
        <is>
          <t>82066</t>
        </is>
      </c>
      <c r="I289" s="176" t="inlineStr">
        <is>
          <t>Серов Михаил Михайлович</t>
        </is>
      </c>
      <c r="J289" s="176" t="n"/>
      <c r="K289" s="176" t="inlineStr">
        <is>
          <t>Да</t>
        </is>
      </c>
      <c r="L289" s="176" t="n"/>
      <c r="M289" s="176" t="n"/>
      <c r="N289" s="179">
        <f>SUMIFS($E$2:$E$896,$A$2:$A$896,"осень",$I$2:$I$896,I289)</f>
        <v/>
      </c>
      <c r="O289" s="179">
        <f>SUMIFS($E$2:$E$896,$A$2:$A$896,"весна",$I$2:$I$896,I289)</f>
        <v/>
      </c>
      <c r="P289" s="180">
        <f>N289+O289</f>
        <v/>
      </c>
      <c r="Q289" s="181">
        <f>P289/$Q$1</f>
        <v/>
      </c>
      <c r="R289" s="122">
        <f>P289*0.2</f>
        <v/>
      </c>
      <c r="S289" s="122">
        <f>Q289*0.8</f>
        <v/>
      </c>
      <c r="T289" s="133" t="n">
        <v>0.6</v>
      </c>
    </row>
    <row r="290" hidden="1" ht="15.75" customHeight="1" s="2">
      <c r="A290" s="175" t="inlineStr">
        <is>
          <t>осень</t>
        </is>
      </c>
      <c r="B290" s="176" t="inlineStr">
        <is>
          <t>Основы технологии и автоматизации производства продукции методами ПМиЗП</t>
        </is>
      </c>
      <c r="C290" s="176" t="inlineStr">
        <is>
          <t>ПЗ</t>
        </is>
      </c>
      <c r="D290" s="176" t="inlineStr">
        <is>
          <t>Т11О-302Б-21</t>
        </is>
      </c>
      <c r="E290" s="177" t="n">
        <v>8</v>
      </c>
      <c r="F290" s="176" t="inlineStr">
        <is>
          <t>14861</t>
        </is>
      </c>
      <c r="G290" s="177" t="n">
        <v>8</v>
      </c>
      <c r="H290" s="176" t="inlineStr">
        <is>
          <t>82066</t>
        </is>
      </c>
      <c r="I290" s="176" t="inlineStr">
        <is>
          <t>Серов Михаил Михайлович</t>
        </is>
      </c>
      <c r="J290" s="176" t="n"/>
      <c r="K290" s="176" t="inlineStr">
        <is>
          <t>Да</t>
        </is>
      </c>
      <c r="L290" s="176" t="n"/>
      <c r="M290" s="176" t="n"/>
      <c r="N290" s="179">
        <f>SUMIFS($E$2:$E$896,$A$2:$A$896,"осень",$I$2:$I$896,I290)</f>
        <v/>
      </c>
      <c r="O290" s="179">
        <f>SUMIFS($E$2:$E$896,$A$2:$A$896,"весна",$I$2:$I$896,I290)</f>
        <v/>
      </c>
      <c r="P290" s="180">
        <f>N290+O290</f>
        <v/>
      </c>
      <c r="Q290" s="181">
        <f>P290/$Q$1</f>
        <v/>
      </c>
      <c r="R290" s="122">
        <f>P290*0.2</f>
        <v/>
      </c>
      <c r="S290" s="122">
        <f>Q290*0.8</f>
        <v/>
      </c>
      <c r="T290" s="133" t="n">
        <v>0.6</v>
      </c>
    </row>
    <row r="291" hidden="1" ht="15.75" customHeight="1" s="2">
      <c r="A291" s="175" t="inlineStr">
        <is>
          <t>осень</t>
        </is>
      </c>
      <c r="B291" s="176" t="inlineStr">
        <is>
          <t>Основы технологии и автоматизации производства продукции методами ПМиЗП</t>
        </is>
      </c>
      <c r="C291" s="176" t="inlineStr">
        <is>
          <t>ЛР</t>
        </is>
      </c>
      <c r="D291" s="176" t="inlineStr">
        <is>
          <t>Т11О-302Б-21</t>
        </is>
      </c>
      <c r="E291" s="177" t="n">
        <v>64</v>
      </c>
      <c r="F291" s="176" t="inlineStr">
        <is>
          <t>14861</t>
        </is>
      </c>
      <c r="G291" s="177" t="n">
        <v>32</v>
      </c>
      <c r="H291" s="176" t="inlineStr">
        <is>
          <t>82066</t>
        </is>
      </c>
      <c r="I291" s="176" t="inlineStr">
        <is>
          <t>Серов Михаил Михайлович</t>
        </is>
      </c>
      <c r="J291" s="176" t="n"/>
      <c r="K291" s="176" t="inlineStr">
        <is>
          <t>Да</t>
        </is>
      </c>
      <c r="L291" s="176" t="n"/>
      <c r="M291" s="176" t="n"/>
      <c r="N291" s="179">
        <f>SUMIFS($E$2:$E$896,$A$2:$A$896,"осень",$I$2:$I$896,I291)</f>
        <v/>
      </c>
      <c r="O291" s="179">
        <f>SUMIFS($E$2:$E$896,$A$2:$A$896,"весна",$I$2:$I$896,I291)</f>
        <v/>
      </c>
      <c r="P291" s="180">
        <f>N291+O291</f>
        <v/>
      </c>
      <c r="Q291" s="181">
        <f>P291/$Q$1</f>
        <v/>
      </c>
      <c r="R291" s="122">
        <f>P291*0.2</f>
        <v/>
      </c>
      <c r="S291" s="122">
        <f>Q291*0.8</f>
        <v/>
      </c>
      <c r="T291" s="133" t="n">
        <v>0.6</v>
      </c>
    </row>
    <row r="292" hidden="1" ht="15.75" customHeight="1" s="2">
      <c r="A292" s="175" t="inlineStr">
        <is>
          <t>осень</t>
        </is>
      </c>
      <c r="B292" s="176" t="inlineStr">
        <is>
          <t>Основы технологии и автоматизации производства продукции методами ПМиЗП</t>
        </is>
      </c>
      <c r="C292" s="176" t="inlineStr">
        <is>
          <t>Консультация</t>
        </is>
      </c>
      <c r="D292" s="176" t="inlineStr">
        <is>
          <t>Т11О-302Б-21</t>
        </is>
      </c>
      <c r="E292" s="177" t="n">
        <v>1</v>
      </c>
      <c r="F292" s="176" t="inlineStr">
        <is>
          <t>14861</t>
        </is>
      </c>
      <c r="G292" s="178" t="n"/>
      <c r="H292" s="176" t="inlineStr">
        <is>
          <t>82066</t>
        </is>
      </c>
      <c r="I292" s="176" t="inlineStr">
        <is>
          <t>Серов Михаил Михайлович</t>
        </is>
      </c>
      <c r="J292" s="176" t="n"/>
      <c r="K292" s="176" t="inlineStr">
        <is>
          <t>Да</t>
        </is>
      </c>
      <c r="L292" s="176" t="n"/>
      <c r="M292" s="176" t="n"/>
      <c r="N292" s="179">
        <f>SUMIFS($E$2:$E$896,$A$2:$A$896,"осень",$I$2:$I$896,I292)</f>
        <v/>
      </c>
      <c r="O292" s="179">
        <f>SUMIFS($E$2:$E$896,$A$2:$A$896,"весна",$I$2:$I$896,I292)</f>
        <v/>
      </c>
      <c r="P292" s="180">
        <f>N292+O292</f>
        <v/>
      </c>
      <c r="Q292" s="181">
        <f>P292/$Q$1</f>
        <v/>
      </c>
      <c r="R292" s="122">
        <f>P292*0.2</f>
        <v/>
      </c>
      <c r="S292" s="122">
        <f>Q292*0.8</f>
        <v/>
      </c>
      <c r="T292" s="133" t="n">
        <v>0.6</v>
      </c>
    </row>
    <row r="293" hidden="1" ht="15.75" customHeight="1" s="2">
      <c r="A293" s="175" t="inlineStr">
        <is>
          <t>осень</t>
        </is>
      </c>
      <c r="B293" s="176" t="inlineStr">
        <is>
          <t>Финишные технологии производства продукции</t>
        </is>
      </c>
      <c r="C293" s="176" t="inlineStr">
        <is>
          <t>ЛК</t>
        </is>
      </c>
      <c r="D293" s="176" t="inlineStr">
        <is>
          <t>Т11О-302Б-21</t>
        </is>
      </c>
      <c r="E293" s="177" t="n">
        <v>20</v>
      </c>
      <c r="F293" s="176" t="inlineStr">
        <is>
          <t>14861</t>
        </is>
      </c>
      <c r="G293" s="177" t="n">
        <v>20</v>
      </c>
      <c r="H293" s="176" t="inlineStr">
        <is>
          <t>81729</t>
        </is>
      </c>
      <c r="I293" s="176" t="inlineStr">
        <is>
          <t>Соколов Алексей Викторович</t>
        </is>
      </c>
      <c r="J293" s="176" t="n"/>
      <c r="K293" s="176" t="inlineStr">
        <is>
          <t>Нет</t>
        </is>
      </c>
      <c r="L293" s="176" t="n"/>
      <c r="M293" s="176" t="n"/>
      <c r="N293" s="179">
        <f>SUMIFS($E$2:$E$896,$A$2:$A$896,"осень",$I$2:$I$896,I293)</f>
        <v/>
      </c>
      <c r="O293" s="179">
        <f>SUMIFS($E$2:$E$896,$A$2:$A$896,"весна",$I$2:$I$896,I293)</f>
        <v/>
      </c>
      <c r="P293" s="180">
        <f>N293+O293</f>
        <v/>
      </c>
      <c r="Q293" s="181">
        <f>P293/$Q$1</f>
        <v/>
      </c>
      <c r="R293" s="122">
        <f>P293*0.2</f>
        <v/>
      </c>
      <c r="S293" s="122">
        <f>Q293*0.8</f>
        <v/>
      </c>
      <c r="T293" s="133" t="n">
        <v>0.55</v>
      </c>
    </row>
    <row r="294" hidden="1" ht="15.75" customHeight="1" s="2">
      <c r="A294" s="175" t="inlineStr">
        <is>
          <t>осень</t>
        </is>
      </c>
      <c r="B294" s="176" t="inlineStr">
        <is>
          <t>Финишные технологии производства продукции</t>
        </is>
      </c>
      <c r="C294" s="176" t="inlineStr">
        <is>
          <t>Зачет с оценкой</t>
        </is>
      </c>
      <c r="D294" s="176" t="inlineStr">
        <is>
          <t>Т11О-302Б-21</t>
        </is>
      </c>
      <c r="E294" s="177" t="n">
        <v>5</v>
      </c>
      <c r="F294" s="176" t="inlineStr">
        <is>
          <t>14861</t>
        </is>
      </c>
      <c r="G294" s="178" t="n"/>
      <c r="H294" s="176" t="inlineStr">
        <is>
          <t>81729</t>
        </is>
      </c>
      <c r="I294" s="176" t="inlineStr">
        <is>
          <t>Соколов Алексей Викторович</t>
        </is>
      </c>
      <c r="J294" s="176" t="n"/>
      <c r="K294" s="176" t="inlineStr">
        <is>
          <t>Нет</t>
        </is>
      </c>
      <c r="L294" s="176" t="n"/>
      <c r="M294" s="176" t="n"/>
      <c r="N294" s="179">
        <f>SUMIFS($E$2:$E$896,$A$2:$A$896,"осень",$I$2:$I$896,I294)</f>
        <v/>
      </c>
      <c r="O294" s="179">
        <f>SUMIFS($E$2:$E$896,$A$2:$A$896,"весна",$I$2:$I$896,I294)</f>
        <v/>
      </c>
      <c r="P294" s="180">
        <f>N294+O294</f>
        <v/>
      </c>
      <c r="Q294" s="181">
        <f>P294/$Q$1</f>
        <v/>
      </c>
      <c r="R294" s="122">
        <f>P294*0.2</f>
        <v/>
      </c>
      <c r="S294" s="122">
        <f>Q294*0.8</f>
        <v/>
      </c>
      <c r="T294" s="133" t="n">
        <v>0.55</v>
      </c>
    </row>
    <row r="295" hidden="1" ht="15.75" customHeight="1" s="2">
      <c r="A295" s="175" t="inlineStr">
        <is>
          <t>осень</t>
        </is>
      </c>
      <c r="B295" s="176" t="inlineStr">
        <is>
          <t>Финишные технологии производства продукции</t>
        </is>
      </c>
      <c r="C295" s="176" t="inlineStr">
        <is>
          <t>ПЗ</t>
        </is>
      </c>
      <c r="D295" s="176" t="inlineStr">
        <is>
          <t>Т11О-302Б-21</t>
        </is>
      </c>
      <c r="E295" s="177" t="n">
        <v>12</v>
      </c>
      <c r="F295" s="176" t="inlineStr">
        <is>
          <t>14861</t>
        </is>
      </c>
      <c r="G295" s="177" t="n">
        <v>12</v>
      </c>
      <c r="H295" s="176" t="inlineStr">
        <is>
          <t>81729</t>
        </is>
      </c>
      <c r="I295" s="176" t="inlineStr">
        <is>
          <t>Соколов Алексей Викторович</t>
        </is>
      </c>
      <c r="J295" s="176" t="n"/>
      <c r="K295" s="176" t="inlineStr">
        <is>
          <t>Нет</t>
        </is>
      </c>
      <c r="L295" s="176" t="n"/>
      <c r="M295" s="176" t="n"/>
      <c r="N295" s="179">
        <f>SUMIFS($E$2:$E$896,$A$2:$A$896,"осень",$I$2:$I$896,I295)</f>
        <v/>
      </c>
      <c r="O295" s="179">
        <f>SUMIFS($E$2:$E$896,$A$2:$A$896,"весна",$I$2:$I$896,I295)</f>
        <v/>
      </c>
      <c r="P295" s="180">
        <f>N295+O295</f>
        <v/>
      </c>
      <c r="Q295" s="181">
        <f>P295/$Q$1</f>
        <v/>
      </c>
      <c r="R295" s="122">
        <f>P295*0.2</f>
        <v/>
      </c>
      <c r="S295" s="122">
        <f>Q295*0.8</f>
        <v/>
      </c>
      <c r="T295" s="133" t="n">
        <v>0.55</v>
      </c>
    </row>
    <row r="296" hidden="1" ht="15.75" customHeight="1" s="2">
      <c r="A296" s="175" t="inlineStr">
        <is>
          <t>осень</t>
        </is>
      </c>
      <c r="B296" s="176" t="inlineStr">
        <is>
          <t>Финишные технологии производства продукции</t>
        </is>
      </c>
      <c r="C296" s="176" t="inlineStr">
        <is>
          <t>ЛР</t>
        </is>
      </c>
      <c r="D296" s="176" t="inlineStr">
        <is>
          <t>Т11О-302Б-21</t>
        </is>
      </c>
      <c r="E296" s="177" t="n">
        <v>16</v>
      </c>
      <c r="F296" s="176" t="inlineStr">
        <is>
          <t>14861</t>
        </is>
      </c>
      <c r="G296" s="177" t="n">
        <v>8</v>
      </c>
      <c r="H296" s="176" t="inlineStr">
        <is>
          <t>81729</t>
        </is>
      </c>
      <c r="I296" s="176" t="inlineStr">
        <is>
          <t>Соколов Алексей Викторович</t>
        </is>
      </c>
      <c r="J296" s="176" t="n"/>
      <c r="K296" s="176" t="inlineStr">
        <is>
          <t>Нет</t>
        </is>
      </c>
      <c r="L296" s="176" t="n"/>
      <c r="M296" s="176" t="n"/>
      <c r="N296" s="179">
        <f>SUMIFS($E$2:$E$896,$A$2:$A$896,"осень",$I$2:$I$896,I296)</f>
        <v/>
      </c>
      <c r="O296" s="179">
        <f>SUMIFS($E$2:$E$896,$A$2:$A$896,"весна",$I$2:$I$896,I296)</f>
        <v/>
      </c>
      <c r="P296" s="180">
        <f>N296+O296</f>
        <v/>
      </c>
      <c r="Q296" s="181">
        <f>P296/$Q$1</f>
        <v/>
      </c>
      <c r="R296" s="122">
        <f>P296*0.2</f>
        <v/>
      </c>
      <c r="S296" s="122">
        <f>Q296*0.8</f>
        <v/>
      </c>
      <c r="T296" s="133" t="n">
        <v>0.55</v>
      </c>
    </row>
    <row r="297" hidden="1" ht="15.75" customHeight="1" s="2">
      <c r="A297" s="175" t="inlineStr">
        <is>
          <t>осень</t>
        </is>
      </c>
      <c r="B297" s="176" t="inlineStr">
        <is>
          <t>Финишные технологии производства продукции</t>
        </is>
      </c>
      <c r="C297" s="176" t="inlineStr">
        <is>
          <t>Консультация</t>
        </is>
      </c>
      <c r="D297" s="176" t="inlineStr">
        <is>
          <t>Т11О-302Б-21</t>
        </is>
      </c>
      <c r="E297" s="177" t="n">
        <v>1</v>
      </c>
      <c r="F297" s="176" t="inlineStr">
        <is>
          <t>14861</t>
        </is>
      </c>
      <c r="G297" s="178" t="n"/>
      <c r="H297" s="176" t="inlineStr">
        <is>
          <t>81729</t>
        </is>
      </c>
      <c r="I297" s="176" t="inlineStr">
        <is>
          <t>Соколов Алексей Викторович</t>
        </is>
      </c>
      <c r="J297" s="176" t="n"/>
      <c r="K297" s="176" t="inlineStr">
        <is>
          <t>Нет</t>
        </is>
      </c>
      <c r="L297" s="176" t="n"/>
      <c r="M297" s="176" t="n"/>
      <c r="N297" s="179">
        <f>SUMIFS($E$2:$E$896,$A$2:$A$896,"осень",$I$2:$I$896,I297)</f>
        <v/>
      </c>
      <c r="O297" s="179">
        <f>SUMIFS($E$2:$E$896,$A$2:$A$896,"весна",$I$2:$I$896,I297)</f>
        <v/>
      </c>
      <c r="P297" s="180">
        <f>N297+O297</f>
        <v/>
      </c>
      <c r="Q297" s="181">
        <f>P297/$Q$1</f>
        <v/>
      </c>
      <c r="R297" s="122">
        <f>P297*0.2</f>
        <v/>
      </c>
      <c r="S297" s="122">
        <f>Q297*0.8</f>
        <v/>
      </c>
      <c r="T297" s="133" t="n">
        <v>0.55</v>
      </c>
    </row>
    <row r="298" hidden="1" ht="15.75" customHeight="1" s="2">
      <c r="A298" s="175" t="inlineStr">
        <is>
          <t>осень</t>
        </is>
      </c>
      <c r="B298" s="176" t="inlineStr">
        <is>
          <t>Искусственный интеллект в технологиях материалов</t>
        </is>
      </c>
      <c r="C298" s="176" t="inlineStr">
        <is>
          <t>ЛК</t>
        </is>
      </c>
      <c r="D298" s="176" t="inlineStr">
        <is>
          <t>Т11О-301Б-21, Т11О-302Б-21, Т11О-303Б-21, Т11О-304Б-21, Т11О-305Б-21, Т11О-306Б-21, Т11О-307Б-21</t>
        </is>
      </c>
      <c r="E298" s="177" t="n">
        <v>30</v>
      </c>
      <c r="F298" s="176" t="inlineStr">
        <is>
          <t>17351</t>
        </is>
      </c>
      <c r="G298" s="177" t="n">
        <v>30</v>
      </c>
      <c r="H298" s="176" t="inlineStr">
        <is>
          <t>81728</t>
        </is>
      </c>
      <c r="I298" s="176" t="inlineStr">
        <is>
          <t>Галкин Виктор Иванович</t>
        </is>
      </c>
      <c r="J298" s="176" t="n"/>
      <c r="K298" s="176" t="inlineStr">
        <is>
          <t>Да</t>
        </is>
      </c>
      <c r="L298" s="176" t="n"/>
      <c r="M298" s="176" t="n"/>
      <c r="N298" s="179">
        <f>SUMIFS($E$2:$E$896,$A$2:$A$896,"осень",$I$2:$I$896,I298)</f>
        <v/>
      </c>
      <c r="O298" s="179">
        <f>SUMIFS($E$2:$E$896,$A$2:$A$896,"весна",$I$2:$I$896,I298)</f>
        <v/>
      </c>
      <c r="P298" s="180">
        <f>N298+O298</f>
        <v/>
      </c>
      <c r="Q298" s="181">
        <f>P298/$Q$1</f>
        <v/>
      </c>
      <c r="R298" s="122">
        <f>P298*0.2</f>
        <v/>
      </c>
      <c r="S298" s="122">
        <f>Q298*0.8</f>
        <v/>
      </c>
      <c r="T298" s="133" t="n">
        <v>0.75</v>
      </c>
    </row>
    <row r="299" hidden="1" ht="15.75" customHeight="1" s="2">
      <c r="A299" s="175" t="inlineStr">
        <is>
          <t>осень</t>
        </is>
      </c>
      <c r="B299" s="176" t="inlineStr">
        <is>
          <t>Искусственный интеллект в технологиях материалов</t>
        </is>
      </c>
      <c r="C299" s="176" t="inlineStr">
        <is>
          <t>Зачет с оценкой</t>
        </is>
      </c>
      <c r="D299" s="176" t="inlineStr">
        <is>
          <t>Т11О-301Б-21</t>
        </is>
      </c>
      <c r="E299" s="177" t="n">
        <v>3</v>
      </c>
      <c r="F299" s="176" t="inlineStr">
        <is>
          <t>17351</t>
        </is>
      </c>
      <c r="G299" s="178" t="n"/>
      <c r="H299" s="176" t="inlineStr">
        <is>
          <t>81728</t>
        </is>
      </c>
      <c r="I299" s="176" t="inlineStr">
        <is>
          <t>Галкин Виктор Иванович</t>
        </is>
      </c>
      <c r="J299" s="176" t="n"/>
      <c r="K299" s="176" t="inlineStr">
        <is>
          <t>Да</t>
        </is>
      </c>
      <c r="L299" s="176" t="n"/>
      <c r="M299" s="176" t="n"/>
      <c r="N299" s="179">
        <f>SUMIFS($E$2:$E$896,$A$2:$A$896,"осень",$I$2:$I$896,I299)</f>
        <v/>
      </c>
      <c r="O299" s="179">
        <f>SUMIFS($E$2:$E$896,$A$2:$A$896,"весна",$I$2:$I$896,I299)</f>
        <v/>
      </c>
      <c r="P299" s="180">
        <f>N299+O299</f>
        <v/>
      </c>
      <c r="Q299" s="181">
        <f>P299/$Q$1</f>
        <v/>
      </c>
      <c r="R299" s="122">
        <f>P299*0.2</f>
        <v/>
      </c>
      <c r="S299" s="122">
        <f>Q299*0.8</f>
        <v/>
      </c>
      <c r="T299" s="133" t="n">
        <v>0.75</v>
      </c>
    </row>
    <row r="300" hidden="1" ht="15.75" customHeight="1" s="2">
      <c r="A300" s="175" t="inlineStr">
        <is>
          <t>осень</t>
        </is>
      </c>
      <c r="B300" s="176" t="inlineStr">
        <is>
          <t>Искусственный интеллект в технологиях материалов</t>
        </is>
      </c>
      <c r="C300" s="176" t="inlineStr">
        <is>
          <t>Зачет с оценкой</t>
        </is>
      </c>
      <c r="D300" s="176" t="inlineStr">
        <is>
          <t>Т11О-302Б-21</t>
        </is>
      </c>
      <c r="E300" s="177" t="n">
        <v>4</v>
      </c>
      <c r="F300" s="176" t="inlineStr">
        <is>
          <t>17351</t>
        </is>
      </c>
      <c r="G300" s="178" t="n"/>
      <c r="H300" s="176" t="inlineStr">
        <is>
          <t>81728</t>
        </is>
      </c>
      <c r="I300" s="176" t="inlineStr">
        <is>
          <t>Галкин Виктор Иванович</t>
        </is>
      </c>
      <c r="J300" s="176" t="n"/>
      <c r="K300" s="176" t="inlineStr">
        <is>
          <t>Да</t>
        </is>
      </c>
      <c r="L300" s="176" t="n"/>
      <c r="M300" s="176" t="n"/>
      <c r="N300" s="179">
        <f>SUMIFS($E$2:$E$896,$A$2:$A$896,"осень",$I$2:$I$896,I300)</f>
        <v/>
      </c>
      <c r="O300" s="179">
        <f>SUMIFS($E$2:$E$896,$A$2:$A$896,"весна",$I$2:$I$896,I300)</f>
        <v/>
      </c>
      <c r="P300" s="180">
        <f>N300+O300</f>
        <v/>
      </c>
      <c r="Q300" s="181">
        <f>P300/$Q$1</f>
        <v/>
      </c>
      <c r="R300" s="122">
        <f>P300*0.2</f>
        <v/>
      </c>
      <c r="S300" s="122">
        <f>Q300*0.8</f>
        <v/>
      </c>
      <c r="T300" s="133" t="n">
        <v>0.75</v>
      </c>
    </row>
    <row r="301" ht="15.75" customHeight="1" s="2">
      <c r="A301" s="175" t="inlineStr">
        <is>
          <t>осень</t>
        </is>
      </c>
      <c r="B301" s="188" t="inlineStr">
        <is>
          <t>Искусственный интеллект в технологиях материалов</t>
        </is>
      </c>
      <c r="C301" s="188" t="inlineStr">
        <is>
          <t>Зачет с оценкой</t>
        </is>
      </c>
      <c r="D301" s="188" t="inlineStr">
        <is>
          <t>Т11О-302Б-21</t>
        </is>
      </c>
      <c r="E301" s="189" t="n">
        <v>1</v>
      </c>
      <c r="F301" s="188" t="inlineStr">
        <is>
          <t>17351</t>
        </is>
      </c>
      <c r="G301" s="190" t="n"/>
      <c r="H301" s="188" t="n"/>
      <c r="I301" s="188" t="inlineStr">
        <is>
          <t>Александрова Светлана Сергеевна</t>
        </is>
      </c>
      <c r="J301" s="176" t="n"/>
      <c r="K301" s="176" t="inlineStr">
        <is>
          <t>Нет</t>
        </is>
      </c>
      <c r="L301" s="176" t="n"/>
      <c r="M301" s="176" t="n"/>
      <c r="N301" s="179">
        <f>SUMIFS($E$2:$E$896,$A$2:$A$896,"осень",$I$2:$I$896,I301)</f>
        <v/>
      </c>
      <c r="O301" s="179">
        <f>SUMIFS($E$2:$E$896,$A$2:$A$896,"весна",$I$2:$I$896,I301)</f>
        <v/>
      </c>
      <c r="P301" s="180">
        <f>N301+O301</f>
        <v/>
      </c>
      <c r="Q301" s="181">
        <f>P301/$Q$1</f>
        <v/>
      </c>
      <c r="R301" s="122">
        <f>P301*0.2</f>
        <v/>
      </c>
      <c r="S301" s="122">
        <f>Q301*0.8</f>
        <v/>
      </c>
      <c r="T301" s="133" t="n">
        <v>0.65</v>
      </c>
    </row>
    <row r="302" hidden="1" ht="15.75" customHeight="1" s="2">
      <c r="A302" s="175" t="inlineStr">
        <is>
          <t>осень</t>
        </is>
      </c>
      <c r="B302" s="176" t="inlineStr">
        <is>
          <t>Искусственный интеллект в технологиях материалов</t>
        </is>
      </c>
      <c r="C302" s="176" t="inlineStr">
        <is>
          <t>Зачет с оценкой</t>
        </is>
      </c>
      <c r="D302" s="176" t="inlineStr">
        <is>
          <t>Т11О-303Б-21</t>
        </is>
      </c>
      <c r="E302" s="177" t="n">
        <v>4</v>
      </c>
      <c r="F302" s="176" t="inlineStr">
        <is>
          <t>17351</t>
        </is>
      </c>
      <c r="G302" s="178" t="n"/>
      <c r="H302" s="176" t="inlineStr">
        <is>
          <t>81728</t>
        </is>
      </c>
      <c r="I302" s="176" t="inlineStr">
        <is>
          <t>Галкин Виктор Иванович</t>
        </is>
      </c>
      <c r="J302" s="176" t="n"/>
      <c r="K302" s="176" t="inlineStr">
        <is>
          <t>Да</t>
        </is>
      </c>
      <c r="L302" s="176" t="n"/>
      <c r="M302" s="176" t="n"/>
      <c r="N302" s="179">
        <f>SUMIFS($E$2:$E$896,$A$2:$A$896,"осень",$I$2:$I$896,I302)</f>
        <v/>
      </c>
      <c r="O302" s="179">
        <f>SUMIFS($E$2:$E$896,$A$2:$A$896,"весна",$I$2:$I$896,I302)</f>
        <v/>
      </c>
      <c r="P302" s="180">
        <f>N302+O302</f>
        <v/>
      </c>
      <c r="Q302" s="181">
        <f>P302/$Q$1</f>
        <v/>
      </c>
      <c r="R302" s="122">
        <f>P302*0.2</f>
        <v/>
      </c>
      <c r="S302" s="122">
        <f>Q302*0.8</f>
        <v/>
      </c>
      <c r="T302" s="133" t="n">
        <v>0.75</v>
      </c>
    </row>
    <row r="303" ht="15.75" customHeight="1" s="2">
      <c r="A303" s="175" t="inlineStr">
        <is>
          <t>осень</t>
        </is>
      </c>
      <c r="B303" s="188" t="inlineStr">
        <is>
          <t>Искусственный интеллект в технологиях материалов</t>
        </is>
      </c>
      <c r="C303" s="188" t="inlineStr">
        <is>
          <t>Зачет с оценкой</t>
        </is>
      </c>
      <c r="D303" s="188" t="inlineStr">
        <is>
          <t>Т11О-303Б-21</t>
        </is>
      </c>
      <c r="E303" s="189" t="n">
        <v>1</v>
      </c>
      <c r="F303" s="188" t="inlineStr">
        <is>
          <t>17351</t>
        </is>
      </c>
      <c r="G303" s="190" t="n"/>
      <c r="H303" s="188" t="n"/>
      <c r="I303" s="188" t="inlineStr">
        <is>
          <t>Александрова Светлана Сергеевна</t>
        </is>
      </c>
      <c r="J303" s="176" t="n"/>
      <c r="K303" s="176" t="inlineStr">
        <is>
          <t>Нет</t>
        </is>
      </c>
      <c r="L303" s="176" t="n"/>
      <c r="M303" s="176" t="n"/>
      <c r="N303" s="179">
        <f>SUMIFS($E$2:$E$896,$A$2:$A$896,"осень",$I$2:$I$896,I303)</f>
        <v/>
      </c>
      <c r="O303" s="179">
        <f>SUMIFS($E$2:$E$896,$A$2:$A$896,"весна",$I$2:$I$896,I303)</f>
        <v/>
      </c>
      <c r="P303" s="180">
        <f>N303+O303</f>
        <v/>
      </c>
      <c r="Q303" s="181">
        <f>P303/$Q$1</f>
        <v/>
      </c>
      <c r="R303" s="122">
        <f>P303*0.2</f>
        <v/>
      </c>
      <c r="S303" s="122">
        <f>Q303*0.8</f>
        <v/>
      </c>
      <c r="T303" s="133" t="n">
        <v>0.65</v>
      </c>
    </row>
    <row r="304" hidden="1" ht="15.75" customHeight="1" s="2">
      <c r="A304" s="175" t="inlineStr">
        <is>
          <t>осень</t>
        </is>
      </c>
      <c r="B304" s="176" t="inlineStr">
        <is>
          <t>Искусственный интеллект в технологиях материалов</t>
        </is>
      </c>
      <c r="C304" s="176" t="inlineStr">
        <is>
          <t>Зачет с оценкой</t>
        </is>
      </c>
      <c r="D304" s="176" t="inlineStr">
        <is>
          <t>Т11О-304Б-21</t>
        </is>
      </c>
      <c r="E304" s="177" t="n">
        <v>4</v>
      </c>
      <c r="F304" s="176" t="inlineStr">
        <is>
          <t>17351</t>
        </is>
      </c>
      <c r="G304" s="178" t="n"/>
      <c r="H304" s="176" t="inlineStr">
        <is>
          <t>81728</t>
        </is>
      </c>
      <c r="I304" s="176" t="inlineStr">
        <is>
          <t>Галкин Виктор Иванович</t>
        </is>
      </c>
      <c r="J304" s="176" t="n"/>
      <c r="K304" s="176" t="inlineStr">
        <is>
          <t>Да</t>
        </is>
      </c>
      <c r="L304" s="176" t="n"/>
      <c r="M304" s="176" t="n"/>
      <c r="N304" s="179">
        <f>SUMIFS($E$2:$E$896,$A$2:$A$896,"осень",$I$2:$I$896,I304)</f>
        <v/>
      </c>
      <c r="O304" s="179">
        <f>SUMIFS($E$2:$E$896,$A$2:$A$896,"весна",$I$2:$I$896,I304)</f>
        <v/>
      </c>
      <c r="P304" s="180">
        <f>N304+O304</f>
        <v/>
      </c>
      <c r="Q304" s="181">
        <f>P304/$Q$1</f>
        <v/>
      </c>
      <c r="R304" s="122">
        <f>P304*0.2</f>
        <v/>
      </c>
      <c r="S304" s="122">
        <f>Q304*0.8</f>
        <v/>
      </c>
      <c r="T304" s="133" t="n">
        <v>0.75</v>
      </c>
    </row>
    <row r="305" hidden="1" ht="15.75" customHeight="1" s="2">
      <c r="A305" s="175" t="inlineStr">
        <is>
          <t>осень</t>
        </is>
      </c>
      <c r="B305" s="176" t="inlineStr">
        <is>
          <t>Искусственный интеллект в технологиях материалов</t>
        </is>
      </c>
      <c r="C305" s="176" t="inlineStr">
        <is>
          <t>Зачет с оценкой</t>
        </is>
      </c>
      <c r="D305" s="176" t="inlineStr">
        <is>
          <t>Т11О-305Б-21</t>
        </is>
      </c>
      <c r="E305" s="177" t="n">
        <v>4</v>
      </c>
      <c r="F305" s="176" t="inlineStr">
        <is>
          <t>17351</t>
        </is>
      </c>
      <c r="G305" s="178" t="n"/>
      <c r="H305" s="176" t="inlineStr">
        <is>
          <t>81728</t>
        </is>
      </c>
      <c r="I305" s="176" t="inlineStr">
        <is>
          <t>Галкин Виктор Иванович</t>
        </is>
      </c>
      <c r="J305" s="176" t="n"/>
      <c r="K305" s="176" t="inlineStr">
        <is>
          <t>Да</t>
        </is>
      </c>
      <c r="L305" s="176" t="n"/>
      <c r="M305" s="176" t="n"/>
      <c r="N305" s="179">
        <f>SUMIFS($E$2:$E$896,$A$2:$A$896,"осень",$I$2:$I$896,I305)</f>
        <v/>
      </c>
      <c r="O305" s="179">
        <f>SUMIFS($E$2:$E$896,$A$2:$A$896,"весна",$I$2:$I$896,I305)</f>
        <v/>
      </c>
      <c r="P305" s="180">
        <f>N305+O305</f>
        <v/>
      </c>
      <c r="Q305" s="181">
        <f>P305/$Q$1</f>
        <v/>
      </c>
      <c r="R305" s="122">
        <f>P305*0.2</f>
        <v/>
      </c>
      <c r="S305" s="122">
        <f>Q305*0.8</f>
        <v/>
      </c>
      <c r="T305" s="133" t="n">
        <v>0.75</v>
      </c>
    </row>
    <row r="306" hidden="1" ht="15.75" customHeight="1" s="2">
      <c r="A306" s="175" t="inlineStr">
        <is>
          <t>осень</t>
        </is>
      </c>
      <c r="B306" s="176" t="inlineStr">
        <is>
          <t>Искусственный интеллект в технологиях материалов</t>
        </is>
      </c>
      <c r="C306" s="176" t="inlineStr">
        <is>
          <t>Зачет с оценкой</t>
        </is>
      </c>
      <c r="D306" s="176" t="inlineStr">
        <is>
          <t>Т11О-305Б-21</t>
        </is>
      </c>
      <c r="E306" s="177" t="n">
        <v>1</v>
      </c>
      <c r="F306" s="176" t="inlineStr">
        <is>
          <t>17351</t>
        </is>
      </c>
      <c r="G306" s="178" t="n"/>
      <c r="H306" s="176" t="inlineStr">
        <is>
          <t>81728</t>
        </is>
      </c>
      <c r="I306" s="176" t="inlineStr">
        <is>
          <t>Галкин Виктор Иванович</t>
        </is>
      </c>
      <c r="J306" s="176" t="n"/>
      <c r="K306" s="176" t="inlineStr">
        <is>
          <t>Да</t>
        </is>
      </c>
      <c r="L306" s="176" t="n"/>
      <c r="M306" s="176" t="n"/>
      <c r="N306" s="179">
        <f>SUMIFS($E$2:$E$896,$A$2:$A$896,"осень",$I$2:$I$896,I306)</f>
        <v/>
      </c>
      <c r="O306" s="179">
        <f>SUMIFS($E$2:$E$896,$A$2:$A$896,"весна",$I$2:$I$896,I306)</f>
        <v/>
      </c>
      <c r="P306" s="180">
        <f>N306+O306</f>
        <v/>
      </c>
      <c r="Q306" s="181">
        <f>P306/$Q$1</f>
        <v/>
      </c>
      <c r="R306" s="122">
        <f>P306*0.2</f>
        <v/>
      </c>
      <c r="S306" s="122">
        <f>Q306*0.8</f>
        <v/>
      </c>
      <c r="T306" s="133" t="n">
        <v>0.75</v>
      </c>
    </row>
    <row r="307" hidden="1" ht="15.75" customHeight="1" s="2">
      <c r="A307" s="175" t="inlineStr">
        <is>
          <t>осень</t>
        </is>
      </c>
      <c r="B307" s="176" t="inlineStr">
        <is>
          <t>Искусственный интеллект в технологиях материалов</t>
        </is>
      </c>
      <c r="C307" s="176" t="inlineStr">
        <is>
          <t>Зачет с оценкой</t>
        </is>
      </c>
      <c r="D307" s="176" t="inlineStr">
        <is>
          <t>Т11О-306Б-21</t>
        </is>
      </c>
      <c r="E307" s="177" t="n">
        <v>4</v>
      </c>
      <c r="F307" s="176" t="inlineStr">
        <is>
          <t>17351</t>
        </is>
      </c>
      <c r="G307" s="178" t="n"/>
      <c r="H307" s="176" t="inlineStr">
        <is>
          <t>81728</t>
        </is>
      </c>
      <c r="I307" s="176" t="inlineStr">
        <is>
          <t>Галкин Виктор Иванович</t>
        </is>
      </c>
      <c r="J307" s="176" t="n"/>
      <c r="K307" s="176" t="inlineStr">
        <is>
          <t>Да</t>
        </is>
      </c>
      <c r="L307" s="176" t="n"/>
      <c r="M307" s="176" t="n"/>
      <c r="N307" s="179">
        <f>SUMIFS($E$2:$E$896,$A$2:$A$896,"осень",$I$2:$I$896,I307)</f>
        <v/>
      </c>
      <c r="O307" s="179">
        <f>SUMIFS($E$2:$E$896,$A$2:$A$896,"весна",$I$2:$I$896,I307)</f>
        <v/>
      </c>
      <c r="P307" s="180">
        <f>N307+O307</f>
        <v/>
      </c>
      <c r="Q307" s="181">
        <f>P307/$Q$1</f>
        <v/>
      </c>
      <c r="R307" s="122">
        <f>P307*0.2</f>
        <v/>
      </c>
      <c r="S307" s="122">
        <f>Q307*0.8</f>
        <v/>
      </c>
      <c r="T307" s="133" t="n">
        <v>0.75</v>
      </c>
    </row>
    <row r="308" ht="15.75" customHeight="1" s="2">
      <c r="A308" s="175" t="inlineStr">
        <is>
          <t>осень</t>
        </is>
      </c>
      <c r="B308" s="188" t="inlineStr">
        <is>
          <t>Искусственный интеллект в технологиях материалов</t>
        </is>
      </c>
      <c r="C308" s="188" t="inlineStr">
        <is>
          <t>Зачет с оценкой</t>
        </is>
      </c>
      <c r="D308" s="188" t="inlineStr">
        <is>
          <t>Т11О-306Б-21</t>
        </is>
      </c>
      <c r="E308" s="189" t="n">
        <v>1</v>
      </c>
      <c r="F308" s="188" t="inlineStr">
        <is>
          <t>17351</t>
        </is>
      </c>
      <c r="G308" s="190" t="n"/>
      <c r="H308" s="188" t="n"/>
      <c r="I308" s="188" t="inlineStr">
        <is>
          <t>Александрова Светлана Сергеевна</t>
        </is>
      </c>
      <c r="J308" s="176" t="n"/>
      <c r="K308" s="176" t="inlineStr">
        <is>
          <t>Нет</t>
        </is>
      </c>
      <c r="L308" s="176" t="n"/>
      <c r="M308" s="176" t="n"/>
      <c r="N308" s="179">
        <f>SUMIFS($E$2:$E$896,$A$2:$A$896,"осень",$I$2:$I$896,I308)</f>
        <v/>
      </c>
      <c r="O308" s="179">
        <f>SUMIFS($E$2:$E$896,$A$2:$A$896,"весна",$I$2:$I$896,I308)</f>
        <v/>
      </c>
      <c r="P308" s="180">
        <f>N308+O308</f>
        <v/>
      </c>
      <c r="Q308" s="181">
        <f>P308/$Q$1</f>
        <v/>
      </c>
      <c r="R308" s="122">
        <f>P308*0.2</f>
        <v/>
      </c>
      <c r="S308" s="122">
        <f>Q308*0.8</f>
        <v/>
      </c>
      <c r="T308" s="133" t="n">
        <v>0.65</v>
      </c>
    </row>
    <row r="309" hidden="1" ht="15.75" customHeight="1" s="2">
      <c r="A309" s="175" t="inlineStr">
        <is>
          <t>осень</t>
        </is>
      </c>
      <c r="B309" s="176" t="inlineStr">
        <is>
          <t>Искусственный интеллект в технологиях материалов</t>
        </is>
      </c>
      <c r="C309" s="176" t="inlineStr">
        <is>
          <t>Зачет с оценкой</t>
        </is>
      </c>
      <c r="D309" s="176" t="inlineStr">
        <is>
          <t>Т11О-307Б-21</t>
        </is>
      </c>
      <c r="E309" s="177" t="n">
        <v>4</v>
      </c>
      <c r="F309" s="176" t="inlineStr">
        <is>
          <t>17351</t>
        </is>
      </c>
      <c r="G309" s="178" t="n"/>
      <c r="H309" s="176" t="inlineStr">
        <is>
          <t>81728</t>
        </is>
      </c>
      <c r="I309" s="176" t="inlineStr">
        <is>
          <t>Галкин Виктор Иванович</t>
        </is>
      </c>
      <c r="J309" s="176" t="n"/>
      <c r="K309" s="176" t="inlineStr">
        <is>
          <t>Да</t>
        </is>
      </c>
      <c r="L309" s="176" t="n"/>
      <c r="M309" s="176" t="n"/>
      <c r="N309" s="179">
        <f>SUMIFS($E$2:$E$896,$A$2:$A$896,"осень",$I$2:$I$896,I309)</f>
        <v/>
      </c>
      <c r="O309" s="179">
        <f>SUMIFS($E$2:$E$896,$A$2:$A$896,"весна",$I$2:$I$896,I309)</f>
        <v/>
      </c>
      <c r="P309" s="180">
        <f>N309+O309</f>
        <v/>
      </c>
      <c r="Q309" s="181">
        <f>P309/$Q$1</f>
        <v/>
      </c>
      <c r="R309" s="122">
        <f>P309*0.2</f>
        <v/>
      </c>
      <c r="S309" s="122">
        <f>Q309*0.8</f>
        <v/>
      </c>
      <c r="T309" s="133" t="n">
        <v>0.75</v>
      </c>
    </row>
    <row r="310" hidden="1" ht="15.75" customHeight="1" s="2">
      <c r="A310" s="175" t="inlineStr">
        <is>
          <t>осень</t>
        </is>
      </c>
      <c r="B310" s="182" t="inlineStr">
        <is>
          <t>Искусственный интеллект в технологиях материалов</t>
        </is>
      </c>
      <c r="C310" s="182" t="inlineStr">
        <is>
          <t>ПЗ</t>
        </is>
      </c>
      <c r="D310" s="182" t="inlineStr">
        <is>
          <t>Т11О-301Б-21</t>
        </is>
      </c>
      <c r="E310" s="183" t="n">
        <v>4</v>
      </c>
      <c r="F310" s="182" t="inlineStr">
        <is>
          <t>17351</t>
        </is>
      </c>
      <c r="G310" s="183" t="n">
        <v>8</v>
      </c>
      <c r="H310" s="182" t="inlineStr">
        <is>
          <t>82086</t>
        </is>
      </c>
      <c r="I310" s="182" t="inlineStr">
        <is>
          <t>Петров Игорь Алексеевич</t>
        </is>
      </c>
      <c r="J310" s="176" t="n"/>
      <c r="K310" s="176" t="inlineStr">
        <is>
          <t>Нет</t>
        </is>
      </c>
      <c r="L310" s="176" t="n"/>
      <c r="M310" s="176" t="n"/>
      <c r="N310" s="179">
        <f>SUMIFS($E$2:$E$896,$A$2:$A$896,"осень",$I$2:$I$896,I310)</f>
        <v/>
      </c>
      <c r="O310" s="179">
        <f>SUMIFS($E$2:$E$896,$A$2:$A$896,"весна",$I$2:$I$896,I310)</f>
        <v/>
      </c>
      <c r="P310" s="180">
        <f>N310+O310</f>
        <v/>
      </c>
      <c r="Q310" s="181">
        <f>P310/$Q$1</f>
        <v/>
      </c>
      <c r="R310" s="122">
        <f>P310*0.2</f>
        <v/>
      </c>
      <c r="S310" s="122">
        <f>Q310*0.8</f>
        <v/>
      </c>
      <c r="T310" s="133" t="n">
        <v>0.35</v>
      </c>
    </row>
    <row r="311" hidden="1" ht="15.75" customHeight="1" s="2">
      <c r="A311" s="175" t="inlineStr">
        <is>
          <t>осень</t>
        </is>
      </c>
      <c r="B311" s="176" t="inlineStr">
        <is>
          <t>Искусственный интеллект в технологиях материалов</t>
        </is>
      </c>
      <c r="C311" s="176" t="inlineStr">
        <is>
          <t>ПЗ</t>
        </is>
      </c>
      <c r="D311" s="176" t="inlineStr">
        <is>
          <t>Т11О-301Б-21</t>
        </is>
      </c>
      <c r="E311" s="177" t="n">
        <v>4</v>
      </c>
      <c r="F311" s="176" t="inlineStr">
        <is>
          <t>17351</t>
        </is>
      </c>
      <c r="G311" s="177" t="n">
        <v>8</v>
      </c>
      <c r="H311" s="176" t="inlineStr">
        <is>
          <t>92509</t>
        </is>
      </c>
      <c r="I311" s="176" t="inlineStr">
        <is>
          <t>Пашков Игорь Николаевич</t>
        </is>
      </c>
      <c r="J311" s="176" t="n"/>
      <c r="K311" s="176" t="inlineStr">
        <is>
          <t>Нет</t>
        </is>
      </c>
      <c r="L311" s="176" t="n"/>
      <c r="M311" s="176" t="n"/>
      <c r="N311" s="179">
        <f>SUMIFS($E$2:$E$896,$A$2:$A$896,"осень",$I$2:$I$896,I311)</f>
        <v/>
      </c>
      <c r="O311" s="179">
        <f>SUMIFS($E$2:$E$896,$A$2:$A$896,"весна",$I$2:$I$896,I311)</f>
        <v/>
      </c>
      <c r="P311" s="180">
        <f>N311+O311</f>
        <v/>
      </c>
      <c r="Q311" s="181">
        <f>P311/$Q$1</f>
        <v/>
      </c>
      <c r="R311" s="122">
        <f>P311*0.2</f>
        <v/>
      </c>
      <c r="S311" s="122">
        <f>Q311*0.8</f>
        <v/>
      </c>
      <c r="T311" s="133" t="n">
        <v>0.55</v>
      </c>
    </row>
    <row r="312" hidden="1" ht="15.75" customHeight="1" s="2">
      <c r="A312" s="175" t="inlineStr">
        <is>
          <t>осень</t>
        </is>
      </c>
      <c r="B312" s="176" t="inlineStr">
        <is>
          <t>Искусственный интеллект в технологиях материалов</t>
        </is>
      </c>
      <c r="C312" s="176" t="inlineStr">
        <is>
          <t>ПЗ</t>
        </is>
      </c>
      <c r="D312" s="176" t="inlineStr">
        <is>
          <t>Т11О-302Б-21</t>
        </is>
      </c>
      <c r="E312" s="177" t="n">
        <v>4</v>
      </c>
      <c r="F312" s="176" t="inlineStr">
        <is>
          <t>17351</t>
        </is>
      </c>
      <c r="G312" s="177" t="n">
        <v>8</v>
      </c>
      <c r="H312" s="176" t="inlineStr">
        <is>
          <t>92509</t>
        </is>
      </c>
      <c r="I312" s="176" t="inlineStr">
        <is>
          <t>Пашков Игорь Николаевич</t>
        </is>
      </c>
      <c r="J312" s="176" t="n"/>
      <c r="K312" s="176" t="inlineStr">
        <is>
          <t>Нет</t>
        </is>
      </c>
      <c r="L312" s="176" t="n"/>
      <c r="M312" s="176" t="n"/>
      <c r="N312" s="179">
        <f>SUMIFS($E$2:$E$896,$A$2:$A$896,"осень",$I$2:$I$896,I312)</f>
        <v/>
      </c>
      <c r="O312" s="179">
        <f>SUMIFS($E$2:$E$896,$A$2:$A$896,"весна",$I$2:$I$896,I312)</f>
        <v/>
      </c>
      <c r="P312" s="180">
        <f>N312+O312</f>
        <v/>
      </c>
      <c r="Q312" s="181">
        <f>P312/$Q$1</f>
        <v/>
      </c>
      <c r="R312" s="122">
        <f>P312*0.2</f>
        <v/>
      </c>
      <c r="S312" s="122">
        <f>Q312*0.8</f>
        <v/>
      </c>
      <c r="T312" s="133" t="n">
        <v>0.55</v>
      </c>
    </row>
    <row r="313" hidden="1" ht="15.75" customHeight="1" s="2">
      <c r="A313" s="175" t="inlineStr">
        <is>
          <t>осень</t>
        </is>
      </c>
      <c r="B313" s="182" t="inlineStr">
        <is>
          <t>Искусственный интеллект в технологиях материалов</t>
        </is>
      </c>
      <c r="C313" s="182" t="inlineStr">
        <is>
          <t>ПЗ</t>
        </is>
      </c>
      <c r="D313" s="182" t="inlineStr">
        <is>
          <t>Т11О-302Б-21</t>
        </is>
      </c>
      <c r="E313" s="183" t="n">
        <v>4</v>
      </c>
      <c r="F313" s="182" t="inlineStr">
        <is>
          <t>17351</t>
        </is>
      </c>
      <c r="G313" s="183" t="n">
        <v>8</v>
      </c>
      <c r="H313" s="182" t="inlineStr">
        <is>
          <t>82086</t>
        </is>
      </c>
      <c r="I313" s="182" t="inlineStr">
        <is>
          <t>Петров Игорь Алексеевич</t>
        </is>
      </c>
      <c r="J313" s="176" t="n"/>
      <c r="K313" s="176" t="inlineStr">
        <is>
          <t>Нет</t>
        </is>
      </c>
      <c r="L313" s="176" t="n"/>
      <c r="M313" s="176" t="n"/>
      <c r="N313" s="179">
        <f>SUMIFS($E$2:$E$896,$A$2:$A$896,"осень",$I$2:$I$896,I313)</f>
        <v/>
      </c>
      <c r="O313" s="179">
        <f>SUMIFS($E$2:$E$896,$A$2:$A$896,"весна",$I$2:$I$896,I313)</f>
        <v/>
      </c>
      <c r="P313" s="180">
        <f>N313+O313</f>
        <v/>
      </c>
      <c r="Q313" s="181">
        <f>P313/$Q$1</f>
        <v/>
      </c>
      <c r="R313" s="122">
        <f>P313*0.2</f>
        <v/>
      </c>
      <c r="S313" s="122">
        <f>Q313*0.8</f>
        <v/>
      </c>
      <c r="T313" s="133" t="n">
        <v>0.35</v>
      </c>
    </row>
    <row r="314" hidden="1" ht="15.75" customHeight="1" s="2">
      <c r="A314" s="175" t="inlineStr">
        <is>
          <t>осень</t>
        </is>
      </c>
      <c r="B314" s="182" t="inlineStr">
        <is>
          <t>Искусственный интеллект в технологиях материалов</t>
        </is>
      </c>
      <c r="C314" s="182" t="inlineStr">
        <is>
          <t>ПЗ</t>
        </is>
      </c>
      <c r="D314" s="182" t="inlineStr">
        <is>
          <t>Т11О-303Б-21</t>
        </is>
      </c>
      <c r="E314" s="183" t="n">
        <v>4</v>
      </c>
      <c r="F314" s="182" t="inlineStr">
        <is>
          <t>17351</t>
        </is>
      </c>
      <c r="G314" s="183" t="n">
        <v>8</v>
      </c>
      <c r="H314" s="182" t="inlineStr">
        <is>
          <t>82086</t>
        </is>
      </c>
      <c r="I314" s="182" t="inlineStr">
        <is>
          <t>Петров Игорь Алексеевич</t>
        </is>
      </c>
      <c r="J314" s="176" t="n"/>
      <c r="K314" s="176" t="inlineStr">
        <is>
          <t>Нет</t>
        </is>
      </c>
      <c r="L314" s="176" t="n"/>
      <c r="M314" s="176" t="n"/>
      <c r="N314" s="179">
        <f>SUMIFS($E$2:$E$896,$A$2:$A$896,"осень",$I$2:$I$896,I314)</f>
        <v/>
      </c>
      <c r="O314" s="179">
        <f>SUMIFS($E$2:$E$896,$A$2:$A$896,"весна",$I$2:$I$896,I314)</f>
        <v/>
      </c>
      <c r="P314" s="180">
        <f>N314+O314</f>
        <v/>
      </c>
      <c r="Q314" s="181">
        <f>P314/$Q$1</f>
        <v/>
      </c>
      <c r="R314" s="122">
        <f>P314*0.2</f>
        <v/>
      </c>
      <c r="S314" s="122">
        <f>Q314*0.8</f>
        <v/>
      </c>
      <c r="T314" s="133" t="n">
        <v>0.35</v>
      </c>
    </row>
    <row r="315" hidden="1" ht="15.75" customHeight="1" s="2">
      <c r="A315" s="175" t="inlineStr">
        <is>
          <t>осень</t>
        </is>
      </c>
      <c r="B315" s="176" t="inlineStr">
        <is>
          <t>Искусственный интеллект в технологиях материалов</t>
        </is>
      </c>
      <c r="C315" s="176" t="inlineStr">
        <is>
          <t>ПЗ</t>
        </is>
      </c>
      <c r="D315" s="176" t="inlineStr">
        <is>
          <t>Т11О-303Б-21</t>
        </is>
      </c>
      <c r="E315" s="177" t="n">
        <v>4</v>
      </c>
      <c r="F315" s="176" t="inlineStr">
        <is>
          <t>17351</t>
        </is>
      </c>
      <c r="G315" s="177" t="n">
        <v>8</v>
      </c>
      <c r="H315" s="176" t="inlineStr">
        <is>
          <t>92509</t>
        </is>
      </c>
      <c r="I315" s="176" t="inlineStr">
        <is>
          <t>Пашков Игорь Николаевич</t>
        </is>
      </c>
      <c r="J315" s="176" t="n"/>
      <c r="K315" s="176" t="inlineStr">
        <is>
          <t>Нет</t>
        </is>
      </c>
      <c r="L315" s="176" t="n"/>
      <c r="M315" s="176" t="n"/>
      <c r="N315" s="179">
        <f>SUMIFS($E$2:$E$896,$A$2:$A$896,"осень",$I$2:$I$896,I315)</f>
        <v/>
      </c>
      <c r="O315" s="179">
        <f>SUMIFS($E$2:$E$896,$A$2:$A$896,"весна",$I$2:$I$896,I315)</f>
        <v/>
      </c>
      <c r="P315" s="180">
        <f>N315+O315</f>
        <v/>
      </c>
      <c r="Q315" s="181">
        <f>P315/$Q$1</f>
        <v/>
      </c>
      <c r="R315" s="122">
        <f>P315*0.2</f>
        <v/>
      </c>
      <c r="S315" s="122">
        <f>Q315*0.8</f>
        <v/>
      </c>
      <c r="T315" s="133" t="n">
        <v>0.55</v>
      </c>
    </row>
    <row r="316" hidden="1" ht="15.75" customHeight="1" s="2">
      <c r="A316" s="175" t="inlineStr">
        <is>
          <t>осень</t>
        </is>
      </c>
      <c r="B316" s="176" t="inlineStr">
        <is>
          <t>Искусственный интеллект в технологиях материалов</t>
        </is>
      </c>
      <c r="C316" s="176" t="inlineStr">
        <is>
          <t>ПЗ</t>
        </is>
      </c>
      <c r="D316" s="176" t="inlineStr">
        <is>
          <t>Т11О-304Б-21</t>
        </is>
      </c>
      <c r="E316" s="177" t="n">
        <v>4</v>
      </c>
      <c r="F316" s="176" t="inlineStr">
        <is>
          <t>17351</t>
        </is>
      </c>
      <c r="G316" s="177" t="n">
        <v>8</v>
      </c>
      <c r="H316" s="176" t="inlineStr">
        <is>
          <t>92509</t>
        </is>
      </c>
      <c r="I316" s="176" t="inlineStr">
        <is>
          <t>Пашков Игорь Николаевич</t>
        </is>
      </c>
      <c r="J316" s="176" t="n"/>
      <c r="K316" s="176" t="inlineStr">
        <is>
          <t>Нет</t>
        </is>
      </c>
      <c r="L316" s="176" t="n"/>
      <c r="M316" s="176" t="n"/>
      <c r="N316" s="179">
        <f>SUMIFS($E$2:$E$896,$A$2:$A$896,"осень",$I$2:$I$896,I316)</f>
        <v/>
      </c>
      <c r="O316" s="179">
        <f>SUMIFS($E$2:$E$896,$A$2:$A$896,"весна",$I$2:$I$896,I316)</f>
        <v/>
      </c>
      <c r="P316" s="180">
        <f>N316+O316</f>
        <v/>
      </c>
      <c r="Q316" s="181">
        <f>P316/$Q$1</f>
        <v/>
      </c>
      <c r="R316" s="122">
        <f>P316*0.2</f>
        <v/>
      </c>
      <c r="S316" s="122">
        <f>Q316*0.8</f>
        <v/>
      </c>
      <c r="T316" s="133" t="n">
        <v>0.55</v>
      </c>
    </row>
    <row r="317" hidden="1" ht="15.75" customHeight="1" s="2">
      <c r="A317" s="175" t="inlineStr">
        <is>
          <t>осень</t>
        </is>
      </c>
      <c r="B317" s="182" t="inlineStr">
        <is>
          <t>Искусственный интеллект в технологиях материалов</t>
        </is>
      </c>
      <c r="C317" s="182" t="inlineStr">
        <is>
          <t>ПЗ</t>
        </is>
      </c>
      <c r="D317" s="182" t="inlineStr">
        <is>
          <t>Т11О-304Б-21</t>
        </is>
      </c>
      <c r="E317" s="183" t="n">
        <v>4</v>
      </c>
      <c r="F317" s="182" t="inlineStr">
        <is>
          <t>17351</t>
        </is>
      </c>
      <c r="G317" s="183" t="n">
        <v>8</v>
      </c>
      <c r="H317" s="182" t="inlineStr">
        <is>
          <t>82086</t>
        </is>
      </c>
      <c r="I317" s="182" t="inlineStr">
        <is>
          <t>Петров Игорь Алексеевич</t>
        </is>
      </c>
      <c r="J317" s="176" t="n"/>
      <c r="K317" s="176" t="inlineStr">
        <is>
          <t>Нет</t>
        </is>
      </c>
      <c r="L317" s="176" t="n"/>
      <c r="M317" s="176" t="n"/>
      <c r="N317" s="179">
        <f>SUMIFS($E$2:$E$896,$A$2:$A$896,"осень",$I$2:$I$896,I317)</f>
        <v/>
      </c>
      <c r="O317" s="179">
        <f>SUMIFS($E$2:$E$896,$A$2:$A$896,"весна",$I$2:$I$896,I317)</f>
        <v/>
      </c>
      <c r="P317" s="180">
        <f>N317+O317</f>
        <v/>
      </c>
      <c r="Q317" s="181">
        <f>P317/$Q$1</f>
        <v/>
      </c>
      <c r="R317" s="122">
        <f>P317*0.2</f>
        <v/>
      </c>
      <c r="S317" s="122">
        <f>Q317*0.8</f>
        <v/>
      </c>
      <c r="T317" s="133" t="n">
        <v>0.35</v>
      </c>
    </row>
    <row r="318" hidden="1" ht="15.75" customHeight="1" s="2">
      <c r="A318" s="175" t="inlineStr">
        <is>
          <t>осень</t>
        </is>
      </c>
      <c r="B318" s="176" t="inlineStr">
        <is>
          <t>Искусственный интеллект в технологиях материалов</t>
        </is>
      </c>
      <c r="C318" s="176" t="inlineStr">
        <is>
          <t>ПЗ</t>
        </is>
      </c>
      <c r="D318" s="176" t="inlineStr">
        <is>
          <t>Т11О-305Б-21</t>
        </is>
      </c>
      <c r="E318" s="177" t="n">
        <v>4</v>
      </c>
      <c r="F318" s="176" t="inlineStr">
        <is>
          <t>17351</t>
        </is>
      </c>
      <c r="G318" s="177" t="n">
        <v>8</v>
      </c>
      <c r="H318" s="176" t="inlineStr">
        <is>
          <t>92509</t>
        </is>
      </c>
      <c r="I318" s="176" t="inlineStr">
        <is>
          <t>Пашков Игорь Николаевич</t>
        </is>
      </c>
      <c r="J318" s="176" t="n"/>
      <c r="K318" s="176" t="inlineStr">
        <is>
          <t>Нет</t>
        </is>
      </c>
      <c r="L318" s="176" t="n"/>
      <c r="M318" s="176" t="n"/>
      <c r="N318" s="179">
        <f>SUMIFS($E$2:$E$896,$A$2:$A$896,"осень",$I$2:$I$896,I318)</f>
        <v/>
      </c>
      <c r="O318" s="179">
        <f>SUMIFS($E$2:$E$896,$A$2:$A$896,"весна",$I$2:$I$896,I318)</f>
        <v/>
      </c>
      <c r="P318" s="180">
        <f>N318+O318</f>
        <v/>
      </c>
      <c r="Q318" s="181">
        <f>P318/$Q$1</f>
        <v/>
      </c>
      <c r="R318" s="122">
        <f>P318*0.2</f>
        <v/>
      </c>
      <c r="S318" s="122">
        <f>Q318*0.8</f>
        <v/>
      </c>
      <c r="T318" s="133" t="n">
        <v>0.55</v>
      </c>
    </row>
    <row r="319" hidden="1" ht="15.75" customHeight="1" s="2">
      <c r="A319" s="175" t="inlineStr">
        <is>
          <t>осень</t>
        </is>
      </c>
      <c r="B319" s="182" t="inlineStr">
        <is>
          <t>Искусственный интеллект в технологиях материалов</t>
        </is>
      </c>
      <c r="C319" s="182" t="inlineStr">
        <is>
          <t>ПЗ</t>
        </is>
      </c>
      <c r="D319" s="182" t="inlineStr">
        <is>
          <t>Т11О-305Б-21</t>
        </is>
      </c>
      <c r="E319" s="183" t="n">
        <v>4</v>
      </c>
      <c r="F319" s="182" t="inlineStr">
        <is>
          <t>17351</t>
        </is>
      </c>
      <c r="G319" s="183" t="n">
        <v>8</v>
      </c>
      <c r="H319" s="182" t="inlineStr">
        <is>
          <t>82086</t>
        </is>
      </c>
      <c r="I319" s="182" t="inlineStr">
        <is>
          <t>Петров Игорь Алексеевич</t>
        </is>
      </c>
      <c r="J319" s="176" t="n"/>
      <c r="K319" s="176" t="inlineStr">
        <is>
          <t>Нет</t>
        </is>
      </c>
      <c r="L319" s="176" t="n"/>
      <c r="M319" s="176" t="n"/>
      <c r="N319" s="179">
        <f>SUMIFS($E$2:$E$896,$A$2:$A$896,"осень",$I$2:$I$896,I319)</f>
        <v/>
      </c>
      <c r="O319" s="179">
        <f>SUMIFS($E$2:$E$896,$A$2:$A$896,"весна",$I$2:$I$896,I319)</f>
        <v/>
      </c>
      <c r="P319" s="180">
        <f>N319+O319</f>
        <v/>
      </c>
      <c r="Q319" s="181">
        <f>P319/$Q$1</f>
        <v/>
      </c>
      <c r="R319" s="122">
        <f>P319*0.2</f>
        <v/>
      </c>
      <c r="S319" s="122">
        <f>Q319*0.8</f>
        <v/>
      </c>
      <c r="T319" s="133" t="n">
        <v>0.35</v>
      </c>
    </row>
    <row r="320" hidden="1" ht="15.75" customHeight="1" s="2">
      <c r="A320" s="175" t="inlineStr">
        <is>
          <t>осень</t>
        </is>
      </c>
      <c r="B320" s="182" t="inlineStr">
        <is>
          <t>Искусственный интеллект в технологиях материалов</t>
        </is>
      </c>
      <c r="C320" s="182" t="inlineStr">
        <is>
          <t>ПЗ</t>
        </is>
      </c>
      <c r="D320" s="182" t="inlineStr">
        <is>
          <t>Т11О-306Б-21</t>
        </is>
      </c>
      <c r="E320" s="183" t="n">
        <v>4</v>
      </c>
      <c r="F320" s="182" t="inlineStr">
        <is>
          <t>17351</t>
        </is>
      </c>
      <c r="G320" s="183" t="n">
        <v>8</v>
      </c>
      <c r="H320" s="182" t="inlineStr">
        <is>
          <t>82086</t>
        </is>
      </c>
      <c r="I320" s="182" t="inlineStr">
        <is>
          <t>Петров Игорь Алексеевич</t>
        </is>
      </c>
      <c r="J320" s="176" t="n"/>
      <c r="K320" s="176" t="inlineStr">
        <is>
          <t>Нет</t>
        </is>
      </c>
      <c r="L320" s="176" t="n"/>
      <c r="M320" s="176" t="n"/>
      <c r="N320" s="179">
        <f>SUMIFS($E$2:$E$896,$A$2:$A$896,"осень",$I$2:$I$896,I320)</f>
        <v/>
      </c>
      <c r="O320" s="179">
        <f>SUMIFS($E$2:$E$896,$A$2:$A$896,"весна",$I$2:$I$896,I320)</f>
        <v/>
      </c>
      <c r="P320" s="180">
        <f>N320+O320</f>
        <v/>
      </c>
      <c r="Q320" s="181">
        <f>P320/$Q$1</f>
        <v/>
      </c>
      <c r="R320" s="122">
        <f>P320*0.2</f>
        <v/>
      </c>
      <c r="S320" s="122">
        <f>Q320*0.8</f>
        <v/>
      </c>
      <c r="T320" s="133" t="n">
        <v>0.35</v>
      </c>
    </row>
    <row r="321" hidden="1" ht="15.75" customHeight="1" s="2">
      <c r="A321" s="175" t="inlineStr">
        <is>
          <t>осень</t>
        </is>
      </c>
      <c r="B321" s="176" t="inlineStr">
        <is>
          <t>Искусственный интеллект в технологиях материалов</t>
        </is>
      </c>
      <c r="C321" s="176" t="inlineStr">
        <is>
          <t>ПЗ</t>
        </is>
      </c>
      <c r="D321" s="176" t="inlineStr">
        <is>
          <t>Т11О-306Б-21</t>
        </is>
      </c>
      <c r="E321" s="177" t="n">
        <v>4</v>
      </c>
      <c r="F321" s="176" t="inlineStr">
        <is>
          <t>17351</t>
        </is>
      </c>
      <c r="G321" s="177" t="n">
        <v>8</v>
      </c>
      <c r="H321" s="176" t="inlineStr">
        <is>
          <t>92509</t>
        </is>
      </c>
      <c r="I321" s="176" t="inlineStr">
        <is>
          <t>Пашков Игорь Николаевич</t>
        </is>
      </c>
      <c r="J321" s="176" t="n"/>
      <c r="K321" s="176" t="inlineStr">
        <is>
          <t>Нет</t>
        </is>
      </c>
      <c r="L321" s="176" t="n"/>
      <c r="M321" s="176" t="n"/>
      <c r="N321" s="179">
        <f>SUMIFS($E$2:$E$896,$A$2:$A$896,"осень",$I$2:$I$896,I321)</f>
        <v/>
      </c>
      <c r="O321" s="179">
        <f>SUMIFS($E$2:$E$896,$A$2:$A$896,"весна",$I$2:$I$896,I321)</f>
        <v/>
      </c>
      <c r="P321" s="180">
        <f>N321+O321</f>
        <v/>
      </c>
      <c r="Q321" s="181">
        <f>P321/$Q$1</f>
        <v/>
      </c>
      <c r="R321" s="122">
        <f>P321*0.2</f>
        <v/>
      </c>
      <c r="S321" s="122">
        <f>Q321*0.8</f>
        <v/>
      </c>
      <c r="T321" s="133" t="n">
        <v>0.55</v>
      </c>
    </row>
    <row r="322" hidden="1" ht="15.75" customHeight="1" s="2">
      <c r="A322" s="175" t="inlineStr">
        <is>
          <t>осень</t>
        </is>
      </c>
      <c r="B322" s="176" t="inlineStr">
        <is>
          <t>Искусственный интеллект в технологиях материалов</t>
        </is>
      </c>
      <c r="C322" s="176" t="inlineStr">
        <is>
          <t>ПЗ</t>
        </is>
      </c>
      <c r="D322" s="176" t="inlineStr">
        <is>
          <t>Т11О-307Б-21</t>
        </is>
      </c>
      <c r="E322" s="177" t="n">
        <v>4</v>
      </c>
      <c r="F322" s="176" t="inlineStr">
        <is>
          <t>17351</t>
        </is>
      </c>
      <c r="G322" s="177" t="n">
        <v>8</v>
      </c>
      <c r="H322" s="176" t="inlineStr">
        <is>
          <t>92509</t>
        </is>
      </c>
      <c r="I322" s="176" t="inlineStr">
        <is>
          <t>Пашков Игорь Николаевич</t>
        </is>
      </c>
      <c r="J322" s="176" t="n"/>
      <c r="K322" s="176" t="inlineStr">
        <is>
          <t>Нет</t>
        </is>
      </c>
      <c r="L322" s="176" t="n"/>
      <c r="M322" s="176" t="n"/>
      <c r="N322" s="179">
        <f>SUMIFS($E$2:$E$896,$A$2:$A$896,"осень",$I$2:$I$896,I322)</f>
        <v/>
      </c>
      <c r="O322" s="179">
        <f>SUMIFS($E$2:$E$896,$A$2:$A$896,"весна",$I$2:$I$896,I322)</f>
        <v/>
      </c>
      <c r="P322" s="180">
        <f>N322+O322</f>
        <v/>
      </c>
      <c r="Q322" s="181">
        <f>P322/$Q$1</f>
        <v/>
      </c>
      <c r="R322" s="122">
        <f>P322*0.2</f>
        <v/>
      </c>
      <c r="S322" s="122">
        <f>Q322*0.8</f>
        <v/>
      </c>
      <c r="T322" s="133" t="n">
        <v>0.55</v>
      </c>
    </row>
    <row r="323" hidden="1" ht="15.75" customHeight="1" s="2">
      <c r="A323" s="175" t="inlineStr">
        <is>
          <t>осень</t>
        </is>
      </c>
      <c r="B323" s="182" t="inlineStr">
        <is>
          <t>Искусственный интеллект в технологиях материалов</t>
        </is>
      </c>
      <c r="C323" s="182" t="inlineStr">
        <is>
          <t>ПЗ</t>
        </is>
      </c>
      <c r="D323" s="182" t="inlineStr">
        <is>
          <t>Т11О-307Б-21</t>
        </is>
      </c>
      <c r="E323" s="183" t="n">
        <v>4</v>
      </c>
      <c r="F323" s="182" t="inlineStr">
        <is>
          <t>17351</t>
        </is>
      </c>
      <c r="G323" s="183" t="n">
        <v>8</v>
      </c>
      <c r="H323" s="182" t="inlineStr">
        <is>
          <t>82086</t>
        </is>
      </c>
      <c r="I323" s="182" t="inlineStr">
        <is>
          <t>Петров Игорь Алексеевич</t>
        </is>
      </c>
      <c r="J323" s="176" t="n"/>
      <c r="K323" s="176" t="inlineStr">
        <is>
          <t>Нет</t>
        </is>
      </c>
      <c r="L323" s="176" t="n"/>
      <c r="M323" s="176" t="n"/>
      <c r="N323" s="179">
        <f>SUMIFS($E$2:$E$896,$A$2:$A$896,"осень",$I$2:$I$896,I323)</f>
        <v/>
      </c>
      <c r="O323" s="179">
        <f>SUMIFS($E$2:$E$896,$A$2:$A$896,"весна",$I$2:$I$896,I323)</f>
        <v/>
      </c>
      <c r="P323" s="180">
        <f>N323+O323</f>
        <v/>
      </c>
      <c r="Q323" s="181">
        <f>P323/$Q$1</f>
        <v/>
      </c>
      <c r="R323" s="122">
        <f>P323*0.2</f>
        <v/>
      </c>
      <c r="S323" s="122">
        <f>Q323*0.8</f>
        <v/>
      </c>
      <c r="T323" s="133" t="n">
        <v>0.35</v>
      </c>
    </row>
    <row r="324" hidden="1" ht="15.75" customHeight="1" s="2">
      <c r="A324" s="175" t="inlineStr">
        <is>
          <t>осень</t>
        </is>
      </c>
      <c r="B324" s="176" t="inlineStr">
        <is>
          <t>Искусственный интеллект в технологиях материалов</t>
        </is>
      </c>
      <c r="C324" s="176" t="inlineStr">
        <is>
          <t>ЛР</t>
        </is>
      </c>
      <c r="D324" s="176" t="inlineStr">
        <is>
          <t>Т11О-301Б-21</t>
        </is>
      </c>
      <c r="E324" s="177" t="n">
        <v>4</v>
      </c>
      <c r="F324" s="176" t="inlineStr">
        <is>
          <t>17351</t>
        </is>
      </c>
      <c r="G324" s="177" t="n">
        <v>12</v>
      </c>
      <c r="H324" s="176" t="inlineStr">
        <is>
          <t>81728</t>
        </is>
      </c>
      <c r="I324" s="176" t="inlineStr">
        <is>
          <t>Галкин Виктор Иванович</t>
        </is>
      </c>
      <c r="J324" s="176" t="n"/>
      <c r="K324" s="176" t="inlineStr">
        <is>
          <t>Да</t>
        </is>
      </c>
      <c r="L324" s="176" t="n"/>
      <c r="M324" s="176" t="n"/>
      <c r="N324" s="179">
        <f>SUMIFS($E$2:$E$896,$A$2:$A$896,"осень",$I$2:$I$896,I324)</f>
        <v/>
      </c>
      <c r="O324" s="179">
        <f>SUMIFS($E$2:$E$896,$A$2:$A$896,"весна",$I$2:$I$896,I324)</f>
        <v/>
      </c>
      <c r="P324" s="180">
        <f>N324+O324</f>
        <v/>
      </c>
      <c r="Q324" s="181">
        <f>P324/$Q$1</f>
        <v/>
      </c>
      <c r="R324" s="122">
        <f>P324*0.2</f>
        <v/>
      </c>
      <c r="S324" s="122">
        <f>Q324*0.8</f>
        <v/>
      </c>
      <c r="T324" s="133" t="n">
        <v>0.75</v>
      </c>
    </row>
    <row r="325" hidden="1" ht="15.75" customHeight="1" s="2">
      <c r="A325" s="175" t="inlineStr">
        <is>
          <t>осень</t>
        </is>
      </c>
      <c r="B325" s="176" t="inlineStr">
        <is>
          <t>Искусственный интеллект в технологиях материалов</t>
        </is>
      </c>
      <c r="C325" s="176" t="inlineStr">
        <is>
          <t>ЛР</t>
        </is>
      </c>
      <c r="D325" s="176" t="inlineStr">
        <is>
          <t>Т11О-301Б-21</t>
        </is>
      </c>
      <c r="E325" s="177" t="n">
        <v>4</v>
      </c>
      <c r="F325" s="176" t="inlineStr">
        <is>
          <t>17351</t>
        </is>
      </c>
      <c r="G325" s="177" t="n">
        <v>12</v>
      </c>
      <c r="H325" s="176" t="inlineStr">
        <is>
          <t>82066</t>
        </is>
      </c>
      <c r="I325" s="176" t="inlineStr">
        <is>
          <t>Серов Михаил Михайлович</t>
        </is>
      </c>
      <c r="J325" s="176" t="n"/>
      <c r="K325" s="176" t="inlineStr">
        <is>
          <t>Да</t>
        </is>
      </c>
      <c r="L325" s="176" t="n"/>
      <c r="M325" s="176" t="n"/>
      <c r="N325" s="179">
        <f>SUMIFS($E$2:$E$896,$A$2:$A$896,"осень",$I$2:$I$896,I325)</f>
        <v/>
      </c>
      <c r="O325" s="179">
        <f>SUMIFS($E$2:$E$896,$A$2:$A$896,"весна",$I$2:$I$896,I325)</f>
        <v/>
      </c>
      <c r="P325" s="180">
        <f>N325+O325</f>
        <v/>
      </c>
      <c r="Q325" s="181">
        <f>P325/$Q$1</f>
        <v/>
      </c>
      <c r="R325" s="122">
        <f>P325*0.2</f>
        <v/>
      </c>
      <c r="S325" s="122">
        <f>Q325*0.8</f>
        <v/>
      </c>
      <c r="T325" s="133" t="n">
        <v>0.6</v>
      </c>
    </row>
    <row r="326" hidden="1" ht="15.75" customHeight="1" s="2">
      <c r="A326" s="175" t="inlineStr">
        <is>
          <t>осень</t>
        </is>
      </c>
      <c r="B326" s="176" t="inlineStr">
        <is>
          <t>Искусственный интеллект в технологиях материалов</t>
        </is>
      </c>
      <c r="C326" s="176" t="inlineStr">
        <is>
          <t>ЛР</t>
        </is>
      </c>
      <c r="D326" s="176" t="inlineStr">
        <is>
          <t>Т11О-301Б-21</t>
        </is>
      </c>
      <c r="E326" s="177" t="n">
        <v>4</v>
      </c>
      <c r="F326" s="176" t="inlineStr">
        <is>
          <t>17351</t>
        </is>
      </c>
      <c r="G326" s="177" t="n">
        <v>12</v>
      </c>
      <c r="H326" s="176" t="inlineStr">
        <is>
          <t>81721</t>
        </is>
      </c>
      <c r="I326" s="176" t="inlineStr">
        <is>
          <t>Преображенский Евгений Владимирович</t>
        </is>
      </c>
      <c r="J326" s="176" t="n"/>
      <c r="K326" s="176" t="inlineStr">
        <is>
          <t>Нет</t>
        </is>
      </c>
      <c r="L326" s="176" t="n"/>
      <c r="M326" s="176" t="n"/>
      <c r="N326" s="179">
        <f>SUMIFS($E$2:$E$896,$A$2:$A$896,"осень",$I$2:$I$896,I326)</f>
        <v/>
      </c>
      <c r="O326" s="179">
        <f>SUMIFS($E$2:$E$896,$A$2:$A$896,"весна",$I$2:$I$896,I326)</f>
        <v/>
      </c>
      <c r="P326" s="180">
        <f>N326+O326</f>
        <v/>
      </c>
      <c r="Q326" s="181">
        <f>P326/$Q$1</f>
        <v/>
      </c>
      <c r="R326" s="122">
        <f>P326*0.2</f>
        <v/>
      </c>
      <c r="S326" s="122">
        <f>Q326*0.8</f>
        <v/>
      </c>
      <c r="T326" s="133" t="n">
        <v>0.25</v>
      </c>
    </row>
    <row r="327" hidden="1" ht="15.75" customHeight="1" s="2">
      <c r="A327" s="175" t="inlineStr">
        <is>
          <t>осень</t>
        </is>
      </c>
      <c r="B327" s="176" t="inlineStr">
        <is>
          <t>Искусственный интеллект в технологиях материалов</t>
        </is>
      </c>
      <c r="C327" s="176" t="inlineStr">
        <is>
          <t>ЛР</t>
        </is>
      </c>
      <c r="D327" s="176" t="inlineStr">
        <is>
          <t>Т11О-302Б-21</t>
        </is>
      </c>
      <c r="E327" s="177" t="n">
        <v>8</v>
      </c>
      <c r="F327" s="176" t="inlineStr">
        <is>
          <t>17351</t>
        </is>
      </c>
      <c r="G327" s="177" t="n">
        <v>12</v>
      </c>
      <c r="H327" s="176" t="inlineStr">
        <is>
          <t>81721</t>
        </is>
      </c>
      <c r="I327" s="176" t="inlineStr">
        <is>
          <t>Преображенский Евгений Владимирович</t>
        </is>
      </c>
      <c r="J327" s="176" t="n"/>
      <c r="K327" s="176" t="inlineStr">
        <is>
          <t>Нет</t>
        </is>
      </c>
      <c r="L327" s="176" t="n"/>
      <c r="M327" s="176" t="n"/>
      <c r="N327" s="179">
        <f>SUMIFS($E$2:$E$896,$A$2:$A$896,"осень",$I$2:$I$896,I327)</f>
        <v/>
      </c>
      <c r="O327" s="179">
        <f>SUMIFS($E$2:$E$896,$A$2:$A$896,"весна",$I$2:$I$896,I327)</f>
        <v/>
      </c>
      <c r="P327" s="180">
        <f>N327+O327</f>
        <v/>
      </c>
      <c r="Q327" s="181">
        <f>P327/$Q$1</f>
        <v/>
      </c>
      <c r="R327" s="122">
        <f>P327*0.2</f>
        <v/>
      </c>
      <c r="S327" s="122">
        <f>Q327*0.8</f>
        <v/>
      </c>
      <c r="T327" s="133" t="n">
        <v>0.25</v>
      </c>
    </row>
    <row r="328" hidden="1" ht="15.75" customHeight="1" s="2">
      <c r="A328" s="175" t="inlineStr">
        <is>
          <t>осень</t>
        </is>
      </c>
      <c r="B328" s="176" t="inlineStr">
        <is>
          <t>Искусственный интеллект в технологиях материалов</t>
        </is>
      </c>
      <c r="C328" s="176" t="inlineStr">
        <is>
          <t>ЛР</t>
        </is>
      </c>
      <c r="D328" s="176" t="inlineStr">
        <is>
          <t>Т11О-302Б-21</t>
        </is>
      </c>
      <c r="E328" s="177" t="n">
        <v>8</v>
      </c>
      <c r="F328" s="176" t="inlineStr">
        <is>
          <t>17351</t>
        </is>
      </c>
      <c r="G328" s="177" t="n">
        <v>12</v>
      </c>
      <c r="H328" s="176" t="inlineStr">
        <is>
          <t>82066</t>
        </is>
      </c>
      <c r="I328" s="176" t="inlineStr">
        <is>
          <t>Серов Михаил Михайлович</t>
        </is>
      </c>
      <c r="J328" s="176" t="n"/>
      <c r="K328" s="176" t="inlineStr">
        <is>
          <t>Да</t>
        </is>
      </c>
      <c r="L328" s="176" t="n"/>
      <c r="M328" s="176" t="n"/>
      <c r="N328" s="179">
        <f>SUMIFS($E$2:$E$896,$A$2:$A$896,"осень",$I$2:$I$896,I328)</f>
        <v/>
      </c>
      <c r="O328" s="179">
        <f>SUMIFS($E$2:$E$896,$A$2:$A$896,"весна",$I$2:$I$896,I328)</f>
        <v/>
      </c>
      <c r="P328" s="180">
        <f>N328+O328</f>
        <v/>
      </c>
      <c r="Q328" s="181">
        <f>P328/$Q$1</f>
        <v/>
      </c>
      <c r="R328" s="122">
        <f>P328*0.2</f>
        <v/>
      </c>
      <c r="S328" s="122">
        <f>Q328*0.8</f>
        <v/>
      </c>
      <c r="T328" s="133" t="n">
        <v>0.6</v>
      </c>
    </row>
    <row r="329" hidden="1" ht="15.75" customHeight="1" s="2">
      <c r="A329" s="175" t="inlineStr">
        <is>
          <t>осень</t>
        </is>
      </c>
      <c r="B329" s="176" t="inlineStr">
        <is>
          <t>Искусственный интеллект в технологиях материалов</t>
        </is>
      </c>
      <c r="C329" s="176" t="inlineStr">
        <is>
          <t>ЛР</t>
        </is>
      </c>
      <c r="D329" s="176" t="inlineStr">
        <is>
          <t>Т11О-302Б-21</t>
        </is>
      </c>
      <c r="E329" s="177" t="n">
        <v>8</v>
      </c>
      <c r="F329" s="176" t="inlineStr">
        <is>
          <t>17351</t>
        </is>
      </c>
      <c r="G329" s="177" t="n">
        <v>12</v>
      </c>
      <c r="H329" s="176" t="inlineStr">
        <is>
          <t>81728</t>
        </is>
      </c>
      <c r="I329" s="176" t="inlineStr">
        <is>
          <t>Галкин Виктор Иванович</t>
        </is>
      </c>
      <c r="J329" s="176" t="n"/>
      <c r="K329" s="176" t="inlineStr">
        <is>
          <t>Да</t>
        </is>
      </c>
      <c r="L329" s="176" t="n"/>
      <c r="M329" s="176" t="n"/>
      <c r="N329" s="179">
        <f>SUMIFS($E$2:$E$896,$A$2:$A$896,"осень",$I$2:$I$896,I329)</f>
        <v/>
      </c>
      <c r="O329" s="179">
        <f>SUMIFS($E$2:$E$896,$A$2:$A$896,"весна",$I$2:$I$896,I329)</f>
        <v/>
      </c>
      <c r="P329" s="180">
        <f>N329+O329</f>
        <v/>
      </c>
      <c r="Q329" s="181">
        <f>P329/$Q$1</f>
        <v/>
      </c>
      <c r="R329" s="122">
        <f>P329*0.2</f>
        <v/>
      </c>
      <c r="S329" s="122">
        <f>Q329*0.8</f>
        <v/>
      </c>
      <c r="T329" s="133" t="n">
        <v>0.75</v>
      </c>
    </row>
    <row r="330" hidden="1" ht="15.75" customHeight="1" s="2">
      <c r="A330" s="175" t="inlineStr">
        <is>
          <t>осень</t>
        </is>
      </c>
      <c r="B330" s="176" t="inlineStr">
        <is>
          <t>Искусственный интеллект в технологиях материалов</t>
        </is>
      </c>
      <c r="C330" s="176" t="inlineStr">
        <is>
          <t>ЛР</t>
        </is>
      </c>
      <c r="D330" s="176" t="inlineStr">
        <is>
          <t>Т11О-303Б-21</t>
        </is>
      </c>
      <c r="E330" s="177" t="n">
        <v>8</v>
      </c>
      <c r="F330" s="176" t="inlineStr">
        <is>
          <t>17351</t>
        </is>
      </c>
      <c r="G330" s="177" t="n">
        <v>12</v>
      </c>
      <c r="H330" s="176" t="inlineStr">
        <is>
          <t>81728</t>
        </is>
      </c>
      <c r="I330" s="176" t="inlineStr">
        <is>
          <t>Галкин Виктор Иванович</t>
        </is>
      </c>
      <c r="J330" s="176" t="n"/>
      <c r="K330" s="176" t="inlineStr">
        <is>
          <t>Да</t>
        </is>
      </c>
      <c r="L330" s="176" t="n"/>
      <c r="M330" s="176" t="n"/>
      <c r="N330" s="179">
        <f>SUMIFS($E$2:$E$896,$A$2:$A$896,"осень",$I$2:$I$896,I330)</f>
        <v/>
      </c>
      <c r="O330" s="179">
        <f>SUMIFS($E$2:$E$896,$A$2:$A$896,"весна",$I$2:$I$896,I330)</f>
        <v/>
      </c>
      <c r="P330" s="180">
        <f>N330+O330</f>
        <v/>
      </c>
      <c r="Q330" s="181">
        <f>P330/$Q$1</f>
        <v/>
      </c>
      <c r="R330" s="122">
        <f>P330*0.2</f>
        <v/>
      </c>
      <c r="S330" s="122">
        <f>Q330*0.8</f>
        <v/>
      </c>
      <c r="T330" s="133" t="n">
        <v>0.75</v>
      </c>
    </row>
    <row r="331" hidden="1" ht="15.75" customHeight="1" s="2">
      <c r="A331" s="175" t="inlineStr">
        <is>
          <t>осень</t>
        </is>
      </c>
      <c r="B331" s="176" t="inlineStr">
        <is>
          <t>Искусственный интеллект в технологиях материалов</t>
        </is>
      </c>
      <c r="C331" s="176" t="inlineStr">
        <is>
          <t>ЛР</t>
        </is>
      </c>
      <c r="D331" s="176" t="inlineStr">
        <is>
          <t>Т11О-303Б-21</t>
        </is>
      </c>
      <c r="E331" s="177" t="n">
        <v>8</v>
      </c>
      <c r="F331" s="176" t="inlineStr">
        <is>
          <t>17351</t>
        </is>
      </c>
      <c r="G331" s="177" t="n">
        <v>12</v>
      </c>
      <c r="H331" s="176" t="inlineStr">
        <is>
          <t>82066</t>
        </is>
      </c>
      <c r="I331" s="176" t="inlineStr">
        <is>
          <t>Серов Михаил Михайлович</t>
        </is>
      </c>
      <c r="J331" s="176" t="n"/>
      <c r="K331" s="176" t="inlineStr">
        <is>
          <t>Да</t>
        </is>
      </c>
      <c r="L331" s="176" t="n"/>
      <c r="M331" s="176" t="n"/>
      <c r="N331" s="179">
        <f>SUMIFS($E$2:$E$896,$A$2:$A$896,"осень",$I$2:$I$896,I331)</f>
        <v/>
      </c>
      <c r="O331" s="179">
        <f>SUMIFS($E$2:$E$896,$A$2:$A$896,"весна",$I$2:$I$896,I331)</f>
        <v/>
      </c>
      <c r="P331" s="180">
        <f>N331+O331</f>
        <v/>
      </c>
      <c r="Q331" s="181">
        <f>P331/$Q$1</f>
        <v/>
      </c>
      <c r="R331" s="122">
        <f>P331*0.2</f>
        <v/>
      </c>
      <c r="S331" s="122">
        <f>Q331*0.8</f>
        <v/>
      </c>
      <c r="T331" s="133" t="n">
        <v>0.6</v>
      </c>
    </row>
    <row r="332" hidden="1" ht="15.75" customHeight="1" s="2">
      <c r="A332" s="175" t="inlineStr">
        <is>
          <t>осень</t>
        </is>
      </c>
      <c r="B332" s="176" t="inlineStr">
        <is>
          <t>Искусственный интеллект в технологиях материалов</t>
        </is>
      </c>
      <c r="C332" s="176" t="inlineStr">
        <is>
          <t>ЛР</t>
        </is>
      </c>
      <c r="D332" s="176" t="inlineStr">
        <is>
          <t>Т11О-303Б-21</t>
        </is>
      </c>
      <c r="E332" s="177" t="n">
        <v>8</v>
      </c>
      <c r="F332" s="176" t="inlineStr">
        <is>
          <t>17351</t>
        </is>
      </c>
      <c r="G332" s="177" t="n">
        <v>12</v>
      </c>
      <c r="H332" s="176" t="inlineStr">
        <is>
          <t>81721</t>
        </is>
      </c>
      <c r="I332" s="176" t="inlineStr">
        <is>
          <t>Преображенский Евгений Владимирович</t>
        </is>
      </c>
      <c r="J332" s="176" t="n"/>
      <c r="K332" s="176" t="inlineStr">
        <is>
          <t>Нет</t>
        </is>
      </c>
      <c r="L332" s="176" t="n"/>
      <c r="M332" s="176" t="n"/>
      <c r="N332" s="179">
        <f>SUMIFS($E$2:$E$896,$A$2:$A$896,"осень",$I$2:$I$896,I332)</f>
        <v/>
      </c>
      <c r="O332" s="179">
        <f>SUMIFS($E$2:$E$896,$A$2:$A$896,"весна",$I$2:$I$896,I332)</f>
        <v/>
      </c>
      <c r="P332" s="180">
        <f>N332+O332</f>
        <v/>
      </c>
      <c r="Q332" s="181">
        <f>P332/$Q$1</f>
        <v/>
      </c>
      <c r="R332" s="122">
        <f>P332*0.2</f>
        <v/>
      </c>
      <c r="S332" s="122">
        <f>Q332*0.8</f>
        <v/>
      </c>
      <c r="T332" s="133" t="n">
        <v>0.25</v>
      </c>
    </row>
    <row r="333" hidden="1" ht="15.75" customHeight="1" s="2">
      <c r="A333" s="175" t="inlineStr">
        <is>
          <t>осень</t>
        </is>
      </c>
      <c r="B333" s="176" t="inlineStr">
        <is>
          <t>Искусственный интеллект в технологиях материалов</t>
        </is>
      </c>
      <c r="C333" s="176" t="inlineStr">
        <is>
          <t>ЛР</t>
        </is>
      </c>
      <c r="D333" s="176" t="inlineStr">
        <is>
          <t>Т11О-304Б-21</t>
        </is>
      </c>
      <c r="E333" s="177" t="n">
        <v>4</v>
      </c>
      <c r="F333" s="176" t="inlineStr">
        <is>
          <t>17351</t>
        </is>
      </c>
      <c r="G333" s="177" t="n">
        <v>12</v>
      </c>
      <c r="H333" s="176" t="inlineStr">
        <is>
          <t>81721</t>
        </is>
      </c>
      <c r="I333" s="176" t="inlineStr">
        <is>
          <t>Преображенский Евгений Владимирович</t>
        </is>
      </c>
      <c r="J333" s="176" t="n"/>
      <c r="K333" s="176" t="inlineStr">
        <is>
          <t>Нет</t>
        </is>
      </c>
      <c r="L333" s="176" t="n"/>
      <c r="M333" s="176" t="n"/>
      <c r="N333" s="179">
        <f>SUMIFS($E$2:$E$896,$A$2:$A$896,"осень",$I$2:$I$896,I333)</f>
        <v/>
      </c>
      <c r="O333" s="179">
        <f>SUMIFS($E$2:$E$896,$A$2:$A$896,"весна",$I$2:$I$896,I333)</f>
        <v/>
      </c>
      <c r="P333" s="180">
        <f>N333+O333</f>
        <v/>
      </c>
      <c r="Q333" s="181">
        <f>P333/$Q$1</f>
        <v/>
      </c>
      <c r="R333" s="122">
        <f>P333*0.2</f>
        <v/>
      </c>
      <c r="S333" s="122">
        <f>Q333*0.8</f>
        <v/>
      </c>
      <c r="T333" s="133" t="n">
        <v>0.25</v>
      </c>
    </row>
    <row r="334" hidden="1" ht="15.75" customHeight="1" s="2">
      <c r="A334" s="175" t="inlineStr">
        <is>
          <t>осень</t>
        </is>
      </c>
      <c r="B334" s="176" t="inlineStr">
        <is>
          <t>Искусственный интеллект в технологиях материалов</t>
        </is>
      </c>
      <c r="C334" s="176" t="inlineStr">
        <is>
          <t>ЛР</t>
        </is>
      </c>
      <c r="D334" s="176" t="inlineStr">
        <is>
          <t>Т11О-304Б-21</t>
        </is>
      </c>
      <c r="E334" s="177" t="n">
        <v>4</v>
      </c>
      <c r="F334" s="176" t="inlineStr">
        <is>
          <t>17351</t>
        </is>
      </c>
      <c r="G334" s="177" t="n">
        <v>12</v>
      </c>
      <c r="H334" s="176" t="inlineStr">
        <is>
          <t>82066</t>
        </is>
      </c>
      <c r="I334" s="176" t="inlineStr">
        <is>
          <t>Серов Михаил Михайлович</t>
        </is>
      </c>
      <c r="J334" s="176" t="n"/>
      <c r="K334" s="176" t="inlineStr">
        <is>
          <t>Да</t>
        </is>
      </c>
      <c r="L334" s="176" t="n"/>
      <c r="M334" s="176" t="n"/>
      <c r="N334" s="179">
        <f>SUMIFS($E$2:$E$896,$A$2:$A$896,"осень",$I$2:$I$896,I334)</f>
        <v/>
      </c>
      <c r="O334" s="179">
        <f>SUMIFS($E$2:$E$896,$A$2:$A$896,"весна",$I$2:$I$896,I334)</f>
        <v/>
      </c>
      <c r="P334" s="180">
        <f>N334+O334</f>
        <v/>
      </c>
      <c r="Q334" s="181">
        <f>P334/$Q$1</f>
        <v/>
      </c>
      <c r="R334" s="122">
        <f>P334*0.2</f>
        <v/>
      </c>
      <c r="S334" s="122">
        <f>Q334*0.8</f>
        <v/>
      </c>
      <c r="T334" s="133" t="n">
        <v>0.6</v>
      </c>
    </row>
    <row r="335" hidden="1" ht="15.75" customHeight="1" s="2">
      <c r="A335" s="175" t="inlineStr">
        <is>
          <t>осень</t>
        </is>
      </c>
      <c r="B335" s="176" t="inlineStr">
        <is>
          <t>Искусственный интеллект в технологиях материалов</t>
        </is>
      </c>
      <c r="C335" s="176" t="inlineStr">
        <is>
          <t>ЛР</t>
        </is>
      </c>
      <c r="D335" s="176" t="inlineStr">
        <is>
          <t>Т11О-304Б-21</t>
        </is>
      </c>
      <c r="E335" s="177" t="n">
        <v>4</v>
      </c>
      <c r="F335" s="176" t="inlineStr">
        <is>
          <t>17351</t>
        </is>
      </c>
      <c r="G335" s="177" t="n">
        <v>12</v>
      </c>
      <c r="H335" s="176" t="inlineStr">
        <is>
          <t>81728</t>
        </is>
      </c>
      <c r="I335" s="176" t="inlineStr">
        <is>
          <t>Галкин Виктор Иванович</t>
        </is>
      </c>
      <c r="J335" s="176" t="n"/>
      <c r="K335" s="176" t="inlineStr">
        <is>
          <t>Да</t>
        </is>
      </c>
      <c r="L335" s="176" t="n"/>
      <c r="M335" s="176" t="n"/>
      <c r="N335" s="179">
        <f>SUMIFS($E$2:$E$896,$A$2:$A$896,"осень",$I$2:$I$896,I335)</f>
        <v/>
      </c>
      <c r="O335" s="179">
        <f>SUMIFS($E$2:$E$896,$A$2:$A$896,"весна",$I$2:$I$896,I335)</f>
        <v/>
      </c>
      <c r="P335" s="180">
        <f>N335+O335</f>
        <v/>
      </c>
      <c r="Q335" s="181">
        <f>P335/$Q$1</f>
        <v/>
      </c>
      <c r="R335" s="122">
        <f>P335*0.2</f>
        <v/>
      </c>
      <c r="S335" s="122">
        <f>Q335*0.8</f>
        <v/>
      </c>
      <c r="T335" s="133" t="n">
        <v>0.75</v>
      </c>
    </row>
    <row r="336" hidden="1" ht="15.75" customHeight="1" s="2">
      <c r="A336" s="175" t="inlineStr">
        <is>
          <t>осень</t>
        </is>
      </c>
      <c r="B336" s="176" t="inlineStr">
        <is>
          <t>Искусственный интеллект в технологиях материалов</t>
        </is>
      </c>
      <c r="C336" s="176" t="inlineStr">
        <is>
          <t>ЛР</t>
        </is>
      </c>
      <c r="D336" s="176" t="inlineStr">
        <is>
          <t>Т11О-305Б-21</t>
        </is>
      </c>
      <c r="E336" s="177" t="n">
        <v>8</v>
      </c>
      <c r="F336" s="176" t="inlineStr">
        <is>
          <t>17351</t>
        </is>
      </c>
      <c r="G336" s="177" t="n">
        <v>12</v>
      </c>
      <c r="H336" s="176" t="inlineStr">
        <is>
          <t>81728</t>
        </is>
      </c>
      <c r="I336" s="176" t="inlineStr">
        <is>
          <t>Галкин Виктор Иванович</t>
        </is>
      </c>
      <c r="J336" s="176" t="n"/>
      <c r="K336" s="176" t="inlineStr">
        <is>
          <t>Да</t>
        </is>
      </c>
      <c r="L336" s="176" t="n"/>
      <c r="M336" s="176" t="n"/>
      <c r="N336" s="179">
        <f>SUMIFS($E$2:$E$896,$A$2:$A$896,"осень",$I$2:$I$896,I336)</f>
        <v/>
      </c>
      <c r="O336" s="179">
        <f>SUMIFS($E$2:$E$896,$A$2:$A$896,"весна",$I$2:$I$896,I336)</f>
        <v/>
      </c>
      <c r="P336" s="180">
        <f>N336+O336</f>
        <v/>
      </c>
      <c r="Q336" s="181">
        <f>P336/$Q$1</f>
        <v/>
      </c>
      <c r="R336" s="122">
        <f>P336*0.2</f>
        <v/>
      </c>
      <c r="S336" s="122">
        <f>Q336*0.8</f>
        <v/>
      </c>
      <c r="T336" s="133" t="n">
        <v>0.75</v>
      </c>
    </row>
    <row r="337" hidden="1" ht="15.75" customHeight="1" s="2">
      <c r="A337" s="175" t="inlineStr">
        <is>
          <t>осень</t>
        </is>
      </c>
      <c r="B337" s="176" t="inlineStr">
        <is>
          <t>Искусственный интеллект в технологиях материалов</t>
        </is>
      </c>
      <c r="C337" s="176" t="inlineStr">
        <is>
          <t>ЛР</t>
        </is>
      </c>
      <c r="D337" s="176" t="inlineStr">
        <is>
          <t>Т11О-305Б-21</t>
        </is>
      </c>
      <c r="E337" s="177" t="n">
        <v>8</v>
      </c>
      <c r="F337" s="176" t="inlineStr">
        <is>
          <t>17351</t>
        </is>
      </c>
      <c r="G337" s="177" t="n">
        <v>12</v>
      </c>
      <c r="H337" s="176" t="inlineStr">
        <is>
          <t>82066</t>
        </is>
      </c>
      <c r="I337" s="176" t="inlineStr">
        <is>
          <t>Серов Михаил Михайлович</t>
        </is>
      </c>
      <c r="J337" s="176" t="n"/>
      <c r="K337" s="176" t="inlineStr">
        <is>
          <t>Да</t>
        </is>
      </c>
      <c r="L337" s="176" t="n"/>
      <c r="M337" s="176" t="n"/>
      <c r="N337" s="179">
        <f>SUMIFS($E$2:$E$896,$A$2:$A$896,"осень",$I$2:$I$896,I337)</f>
        <v/>
      </c>
      <c r="O337" s="179">
        <f>SUMIFS($E$2:$E$896,$A$2:$A$896,"весна",$I$2:$I$896,I337)</f>
        <v/>
      </c>
      <c r="P337" s="180">
        <f>N337+O337</f>
        <v/>
      </c>
      <c r="Q337" s="181">
        <f>P337/$Q$1</f>
        <v/>
      </c>
      <c r="R337" s="122">
        <f>P337*0.2</f>
        <v/>
      </c>
      <c r="S337" s="122">
        <f>Q337*0.8</f>
        <v/>
      </c>
      <c r="T337" s="133" t="n">
        <v>0.6</v>
      </c>
    </row>
    <row r="338" hidden="1" ht="15.75" customHeight="1" s="2">
      <c r="A338" s="175" t="inlineStr">
        <is>
          <t>осень</t>
        </is>
      </c>
      <c r="B338" s="176" t="inlineStr">
        <is>
          <t>Искусственный интеллект в технологиях материалов</t>
        </is>
      </c>
      <c r="C338" s="176" t="inlineStr">
        <is>
          <t>ЛР</t>
        </is>
      </c>
      <c r="D338" s="176" t="inlineStr">
        <is>
          <t>Т11О-305Б-21</t>
        </is>
      </c>
      <c r="E338" s="177" t="n">
        <v>8</v>
      </c>
      <c r="F338" s="176" t="inlineStr">
        <is>
          <t>17351</t>
        </is>
      </c>
      <c r="G338" s="177" t="n">
        <v>12</v>
      </c>
      <c r="H338" s="176" t="inlineStr">
        <is>
          <t>81721</t>
        </is>
      </c>
      <c r="I338" s="176" t="inlineStr">
        <is>
          <t>Преображенский Евгений Владимирович</t>
        </is>
      </c>
      <c r="J338" s="176" t="n"/>
      <c r="K338" s="176" t="inlineStr">
        <is>
          <t>Нет</t>
        </is>
      </c>
      <c r="L338" s="176" t="n"/>
      <c r="M338" s="176" t="n"/>
      <c r="N338" s="179">
        <f>SUMIFS($E$2:$E$896,$A$2:$A$896,"осень",$I$2:$I$896,I338)</f>
        <v/>
      </c>
      <c r="O338" s="179">
        <f>SUMIFS($E$2:$E$896,$A$2:$A$896,"весна",$I$2:$I$896,I338)</f>
        <v/>
      </c>
      <c r="P338" s="180">
        <f>N338+O338</f>
        <v/>
      </c>
      <c r="Q338" s="181">
        <f>P338/$Q$1</f>
        <v/>
      </c>
      <c r="R338" s="122">
        <f>P338*0.2</f>
        <v/>
      </c>
      <c r="S338" s="122">
        <f>Q338*0.8</f>
        <v/>
      </c>
      <c r="T338" s="133" t="n">
        <v>0.25</v>
      </c>
    </row>
    <row r="339" hidden="1" ht="15.75" customHeight="1" s="2">
      <c r="A339" s="175" t="inlineStr">
        <is>
          <t>осень</t>
        </is>
      </c>
      <c r="B339" s="176" t="inlineStr">
        <is>
          <t>Искусственный интеллект в технологиях материалов</t>
        </is>
      </c>
      <c r="C339" s="176" t="inlineStr">
        <is>
          <t>ЛР</t>
        </is>
      </c>
      <c r="D339" s="176" t="inlineStr">
        <is>
          <t>Т11О-306Б-21</t>
        </is>
      </c>
      <c r="E339" s="177" t="n">
        <v>8</v>
      </c>
      <c r="F339" s="176" t="inlineStr">
        <is>
          <t>17351</t>
        </is>
      </c>
      <c r="G339" s="177" t="n">
        <v>12</v>
      </c>
      <c r="H339" s="176" t="inlineStr">
        <is>
          <t>81721</t>
        </is>
      </c>
      <c r="I339" s="176" t="inlineStr">
        <is>
          <t>Преображенский Евгений Владимирович</t>
        </is>
      </c>
      <c r="J339" s="176" t="n"/>
      <c r="K339" s="176" t="inlineStr">
        <is>
          <t>Нет</t>
        </is>
      </c>
      <c r="L339" s="176" t="n"/>
      <c r="M339" s="176" t="n"/>
      <c r="N339" s="179">
        <f>SUMIFS($E$2:$E$896,$A$2:$A$896,"осень",$I$2:$I$896,I339)</f>
        <v/>
      </c>
      <c r="O339" s="179">
        <f>SUMIFS($E$2:$E$896,$A$2:$A$896,"весна",$I$2:$I$896,I339)</f>
        <v/>
      </c>
      <c r="P339" s="180">
        <f>N339+O339</f>
        <v/>
      </c>
      <c r="Q339" s="181">
        <f>P339/$Q$1</f>
        <v/>
      </c>
      <c r="R339" s="122">
        <f>P339*0.2</f>
        <v/>
      </c>
      <c r="S339" s="122">
        <f>Q339*0.8</f>
        <v/>
      </c>
      <c r="T339" s="133" t="n">
        <v>0.25</v>
      </c>
    </row>
    <row r="340" hidden="1" ht="15.75" customHeight="1" s="2">
      <c r="A340" s="175" t="inlineStr">
        <is>
          <t>осень</t>
        </is>
      </c>
      <c r="B340" s="176" t="inlineStr">
        <is>
          <t>Искусственный интеллект в технологиях материалов</t>
        </is>
      </c>
      <c r="C340" s="176" t="inlineStr">
        <is>
          <t>ЛР</t>
        </is>
      </c>
      <c r="D340" s="176" t="inlineStr">
        <is>
          <t>Т11О-306Б-21</t>
        </is>
      </c>
      <c r="E340" s="177" t="n">
        <v>8</v>
      </c>
      <c r="F340" s="176" t="inlineStr">
        <is>
          <t>17351</t>
        </is>
      </c>
      <c r="G340" s="177" t="n">
        <v>12</v>
      </c>
      <c r="H340" s="176" t="inlineStr">
        <is>
          <t>82066</t>
        </is>
      </c>
      <c r="I340" s="176" t="inlineStr">
        <is>
          <t>Серов Михаил Михайлович</t>
        </is>
      </c>
      <c r="J340" s="176" t="n"/>
      <c r="K340" s="176" t="inlineStr">
        <is>
          <t>Да</t>
        </is>
      </c>
      <c r="L340" s="176" t="n"/>
      <c r="M340" s="176" t="n"/>
      <c r="N340" s="179">
        <f>SUMIFS($E$2:$E$896,$A$2:$A$896,"осень",$I$2:$I$896,I340)</f>
        <v/>
      </c>
      <c r="O340" s="179">
        <f>SUMIFS($E$2:$E$896,$A$2:$A$896,"весна",$I$2:$I$896,I340)</f>
        <v/>
      </c>
      <c r="P340" s="180">
        <f>N340+O340</f>
        <v/>
      </c>
      <c r="Q340" s="181">
        <f>P340/$Q$1</f>
        <v/>
      </c>
      <c r="R340" s="122">
        <f>P340*0.2</f>
        <v/>
      </c>
      <c r="S340" s="122">
        <f>Q340*0.8</f>
        <v/>
      </c>
      <c r="T340" s="133" t="n">
        <v>0.6</v>
      </c>
    </row>
    <row r="341" hidden="1" ht="15.75" customHeight="1" s="2">
      <c r="A341" s="175" t="inlineStr">
        <is>
          <t>осень</t>
        </is>
      </c>
      <c r="B341" s="176" t="inlineStr">
        <is>
          <t>Искусственный интеллект в технологиях материалов</t>
        </is>
      </c>
      <c r="C341" s="176" t="inlineStr">
        <is>
          <t>ЛР</t>
        </is>
      </c>
      <c r="D341" s="176" t="inlineStr">
        <is>
          <t>Т11О-306Б-21</t>
        </is>
      </c>
      <c r="E341" s="177" t="n">
        <v>8</v>
      </c>
      <c r="F341" s="176" t="inlineStr">
        <is>
          <t>17351</t>
        </is>
      </c>
      <c r="G341" s="177" t="n">
        <v>12</v>
      </c>
      <c r="H341" s="176" t="inlineStr">
        <is>
          <t>81728</t>
        </is>
      </c>
      <c r="I341" s="176" t="inlineStr">
        <is>
          <t>Галкин Виктор Иванович</t>
        </is>
      </c>
      <c r="J341" s="176" t="n"/>
      <c r="K341" s="176" t="inlineStr">
        <is>
          <t>Да</t>
        </is>
      </c>
      <c r="L341" s="176" t="n"/>
      <c r="M341" s="176" t="n"/>
      <c r="N341" s="179">
        <f>SUMIFS($E$2:$E$896,$A$2:$A$896,"осень",$I$2:$I$896,I341)</f>
        <v/>
      </c>
      <c r="O341" s="179">
        <f>SUMIFS($E$2:$E$896,$A$2:$A$896,"весна",$I$2:$I$896,I341)</f>
        <v/>
      </c>
      <c r="P341" s="180">
        <f>N341+O341</f>
        <v/>
      </c>
      <c r="Q341" s="181">
        <f>P341/$Q$1</f>
        <v/>
      </c>
      <c r="R341" s="122">
        <f>P341*0.2</f>
        <v/>
      </c>
      <c r="S341" s="122">
        <f>Q341*0.8</f>
        <v/>
      </c>
      <c r="T341" s="133" t="n">
        <v>0.75</v>
      </c>
    </row>
    <row r="342" hidden="1" ht="15.75" customHeight="1" s="2">
      <c r="A342" s="175" t="inlineStr">
        <is>
          <t>осень</t>
        </is>
      </c>
      <c r="B342" s="176" t="inlineStr">
        <is>
          <t>Искусственный интеллект в технологиях материалов</t>
        </is>
      </c>
      <c r="C342" s="176" t="inlineStr">
        <is>
          <t>ЛР</t>
        </is>
      </c>
      <c r="D342" s="176" t="inlineStr">
        <is>
          <t>Т11О-307Б-21</t>
        </is>
      </c>
      <c r="E342" s="177" t="n">
        <v>4</v>
      </c>
      <c r="F342" s="176" t="inlineStr">
        <is>
          <t>17351</t>
        </is>
      </c>
      <c r="G342" s="177" t="n">
        <v>12</v>
      </c>
      <c r="H342" s="176" t="inlineStr">
        <is>
          <t>81728</t>
        </is>
      </c>
      <c r="I342" s="176" t="inlineStr">
        <is>
          <t>Галкин Виктор Иванович</t>
        </is>
      </c>
      <c r="J342" s="176" t="n"/>
      <c r="K342" s="176" t="inlineStr">
        <is>
          <t>Да</t>
        </is>
      </c>
      <c r="L342" s="176" t="n"/>
      <c r="M342" s="176" t="n"/>
      <c r="N342" s="179">
        <f>SUMIFS($E$2:$E$896,$A$2:$A$896,"осень",$I$2:$I$896,I342)</f>
        <v/>
      </c>
      <c r="O342" s="179">
        <f>SUMIFS($E$2:$E$896,$A$2:$A$896,"весна",$I$2:$I$896,I342)</f>
        <v/>
      </c>
      <c r="P342" s="180">
        <f>N342+O342</f>
        <v/>
      </c>
      <c r="Q342" s="181">
        <f>P342/$Q$1</f>
        <v/>
      </c>
      <c r="R342" s="122">
        <f>P342*0.2</f>
        <v/>
      </c>
      <c r="S342" s="122">
        <f>Q342*0.8</f>
        <v/>
      </c>
      <c r="T342" s="133" t="n">
        <v>0.75</v>
      </c>
    </row>
    <row r="343" hidden="1" ht="15.75" customHeight="1" s="2">
      <c r="A343" s="175" t="inlineStr">
        <is>
          <t>осень</t>
        </is>
      </c>
      <c r="B343" s="176" t="inlineStr">
        <is>
          <t>Искусственный интеллект в технологиях материалов</t>
        </is>
      </c>
      <c r="C343" s="176" t="inlineStr">
        <is>
          <t>ЛР</t>
        </is>
      </c>
      <c r="D343" s="176" t="inlineStr">
        <is>
          <t>Т11О-307Б-21</t>
        </is>
      </c>
      <c r="E343" s="177" t="n">
        <v>4</v>
      </c>
      <c r="F343" s="176" t="inlineStr">
        <is>
          <t>17351</t>
        </is>
      </c>
      <c r="G343" s="177" t="n">
        <v>12</v>
      </c>
      <c r="H343" s="176" t="inlineStr">
        <is>
          <t>82066</t>
        </is>
      </c>
      <c r="I343" s="176" t="inlineStr">
        <is>
          <t>Серов Михаил Михайлович</t>
        </is>
      </c>
      <c r="J343" s="176" t="n"/>
      <c r="K343" s="176" t="inlineStr">
        <is>
          <t>Да</t>
        </is>
      </c>
      <c r="L343" s="176" t="n"/>
      <c r="M343" s="176" t="n"/>
      <c r="N343" s="179">
        <f>SUMIFS($E$2:$E$896,$A$2:$A$896,"осень",$I$2:$I$896,I343)</f>
        <v/>
      </c>
      <c r="O343" s="179">
        <f>SUMIFS($E$2:$E$896,$A$2:$A$896,"весна",$I$2:$I$896,I343)</f>
        <v/>
      </c>
      <c r="P343" s="180">
        <f>N343+O343</f>
        <v/>
      </c>
      <c r="Q343" s="181">
        <f>P343/$Q$1</f>
        <v/>
      </c>
      <c r="R343" s="122">
        <f>P343*0.2</f>
        <v/>
      </c>
      <c r="S343" s="122">
        <f>Q343*0.8</f>
        <v/>
      </c>
      <c r="T343" s="133" t="n">
        <v>0.6</v>
      </c>
    </row>
    <row r="344" hidden="1" ht="15.75" customHeight="1" s="2">
      <c r="A344" s="175" t="inlineStr">
        <is>
          <t>осень</t>
        </is>
      </c>
      <c r="B344" s="176" t="inlineStr">
        <is>
          <t>Искусственный интеллект в технологиях материалов</t>
        </is>
      </c>
      <c r="C344" s="176" t="inlineStr">
        <is>
          <t>ЛР</t>
        </is>
      </c>
      <c r="D344" s="176" t="inlineStr">
        <is>
          <t>Т11О-307Б-21</t>
        </is>
      </c>
      <c r="E344" s="177" t="n">
        <v>4</v>
      </c>
      <c r="F344" s="176" t="inlineStr">
        <is>
          <t>17351</t>
        </is>
      </c>
      <c r="G344" s="177" t="n">
        <v>12</v>
      </c>
      <c r="H344" s="176" t="inlineStr">
        <is>
          <t>81721</t>
        </is>
      </c>
      <c r="I344" s="176" t="inlineStr">
        <is>
          <t>Преображенский Евгений Владимирович</t>
        </is>
      </c>
      <c r="J344" s="176" t="n"/>
      <c r="K344" s="176" t="inlineStr">
        <is>
          <t>Нет</t>
        </is>
      </c>
      <c r="L344" s="176" t="n"/>
      <c r="M344" s="176" t="n"/>
      <c r="N344" s="179">
        <f>SUMIFS($E$2:$E$896,$A$2:$A$896,"осень",$I$2:$I$896,I344)</f>
        <v/>
      </c>
      <c r="O344" s="179">
        <f>SUMIFS($E$2:$E$896,$A$2:$A$896,"весна",$I$2:$I$896,I344)</f>
        <v/>
      </c>
      <c r="P344" s="180">
        <f>N344+O344</f>
        <v/>
      </c>
      <c r="Q344" s="181">
        <f>P344/$Q$1</f>
        <v/>
      </c>
      <c r="R344" s="122">
        <f>P344*0.2</f>
        <v/>
      </c>
      <c r="S344" s="122">
        <f>Q344*0.8</f>
        <v/>
      </c>
      <c r="T344" s="133" t="n">
        <v>0.25</v>
      </c>
    </row>
    <row r="345" hidden="1" ht="15.75" customHeight="1" s="2">
      <c r="A345" s="175" t="inlineStr">
        <is>
          <t>осень</t>
        </is>
      </c>
      <c r="B345" s="176" t="inlineStr">
        <is>
          <t>Искусственный интеллект в технологиях материалов</t>
        </is>
      </c>
      <c r="C345" s="176" t="inlineStr">
        <is>
          <t>Консультация</t>
        </is>
      </c>
      <c r="D345" s="176" t="inlineStr">
        <is>
          <t>Т11О-301Б-21</t>
        </is>
      </c>
      <c r="E345" s="177" t="n">
        <v>2</v>
      </c>
      <c r="F345" s="176" t="inlineStr">
        <is>
          <t>17351</t>
        </is>
      </c>
      <c r="G345" s="178" t="n"/>
      <c r="H345" s="176" t="inlineStr">
        <is>
          <t>81728</t>
        </is>
      </c>
      <c r="I345" s="176" t="inlineStr">
        <is>
          <t>Галкин Виктор Иванович</t>
        </is>
      </c>
      <c r="J345" s="176" t="n"/>
      <c r="K345" s="176" t="inlineStr">
        <is>
          <t>Да</t>
        </is>
      </c>
      <c r="L345" s="176" t="n"/>
      <c r="M345" s="176" t="n"/>
      <c r="N345" s="179">
        <f>SUMIFS($E$2:$E$896,$A$2:$A$896,"осень",$I$2:$I$896,I345)</f>
        <v/>
      </c>
      <c r="O345" s="179">
        <f>SUMIFS($E$2:$E$896,$A$2:$A$896,"весна",$I$2:$I$896,I345)</f>
        <v/>
      </c>
      <c r="P345" s="180">
        <f>N345+O345</f>
        <v/>
      </c>
      <c r="Q345" s="181">
        <f>P345/$Q$1</f>
        <v/>
      </c>
      <c r="R345" s="122">
        <f>P345*0.2</f>
        <v/>
      </c>
      <c r="S345" s="122">
        <f>Q345*0.8</f>
        <v/>
      </c>
      <c r="T345" s="133" t="n">
        <v>0.75</v>
      </c>
    </row>
    <row r="346" hidden="1" ht="15.75" customHeight="1" s="2">
      <c r="A346" s="175" t="inlineStr">
        <is>
          <t>осень</t>
        </is>
      </c>
      <c r="B346" s="176" t="inlineStr">
        <is>
          <t>Искусственный интеллект в технологиях материалов</t>
        </is>
      </c>
      <c r="C346" s="176" t="inlineStr">
        <is>
          <t>Консультация</t>
        </is>
      </c>
      <c r="D346" s="176" t="inlineStr">
        <is>
          <t>Т11О-302Б-21</t>
        </is>
      </c>
      <c r="E346" s="177" t="n">
        <v>2</v>
      </c>
      <c r="F346" s="176" t="inlineStr">
        <is>
          <t>17351</t>
        </is>
      </c>
      <c r="G346" s="178" t="n"/>
      <c r="H346" s="176" t="inlineStr">
        <is>
          <t>81728</t>
        </is>
      </c>
      <c r="I346" s="176" t="inlineStr">
        <is>
          <t>Галкин Виктор Иванович</t>
        </is>
      </c>
      <c r="J346" s="176" t="n"/>
      <c r="K346" s="176" t="inlineStr">
        <is>
          <t>Да</t>
        </is>
      </c>
      <c r="L346" s="176" t="n"/>
      <c r="M346" s="176" t="n"/>
      <c r="N346" s="179">
        <f>SUMIFS($E$2:$E$896,$A$2:$A$896,"осень",$I$2:$I$896,I346)</f>
        <v/>
      </c>
      <c r="O346" s="179">
        <f>SUMIFS($E$2:$E$896,$A$2:$A$896,"весна",$I$2:$I$896,I346)</f>
        <v/>
      </c>
      <c r="P346" s="180">
        <f>N346+O346</f>
        <v/>
      </c>
      <c r="Q346" s="181">
        <f>P346/$Q$1</f>
        <v/>
      </c>
      <c r="R346" s="122">
        <f>P346*0.2</f>
        <v/>
      </c>
      <c r="S346" s="122">
        <f>Q346*0.8</f>
        <v/>
      </c>
      <c r="T346" s="133" t="n">
        <v>0.75</v>
      </c>
    </row>
    <row r="347" hidden="1" ht="15.75" customHeight="1" s="2">
      <c r="A347" s="175" t="inlineStr">
        <is>
          <t>осень</t>
        </is>
      </c>
      <c r="B347" s="176" t="inlineStr">
        <is>
          <t>Искусственный интеллект в технологиях материалов</t>
        </is>
      </c>
      <c r="C347" s="176" t="inlineStr">
        <is>
          <t>Консультация</t>
        </is>
      </c>
      <c r="D347" s="176" t="inlineStr">
        <is>
          <t>Т11О-303Б-21</t>
        </is>
      </c>
      <c r="E347" s="177" t="n">
        <v>2</v>
      </c>
      <c r="F347" s="176" t="inlineStr">
        <is>
          <t>17351</t>
        </is>
      </c>
      <c r="G347" s="178" t="n"/>
      <c r="H347" s="176" t="inlineStr">
        <is>
          <t>81728</t>
        </is>
      </c>
      <c r="I347" s="176" t="inlineStr">
        <is>
          <t>Галкин Виктор Иванович</t>
        </is>
      </c>
      <c r="J347" s="176" t="n"/>
      <c r="K347" s="176" t="inlineStr">
        <is>
          <t>Да</t>
        </is>
      </c>
      <c r="L347" s="176" t="n"/>
      <c r="M347" s="176" t="n"/>
      <c r="N347" s="179">
        <f>SUMIFS($E$2:$E$896,$A$2:$A$896,"осень",$I$2:$I$896,I347)</f>
        <v/>
      </c>
      <c r="O347" s="179">
        <f>SUMIFS($E$2:$E$896,$A$2:$A$896,"весна",$I$2:$I$896,I347)</f>
        <v/>
      </c>
      <c r="P347" s="180">
        <f>N347+O347</f>
        <v/>
      </c>
      <c r="Q347" s="181">
        <f>P347/$Q$1</f>
        <v/>
      </c>
      <c r="R347" s="122">
        <f>P347*0.2</f>
        <v/>
      </c>
      <c r="S347" s="122">
        <f>Q347*0.8</f>
        <v/>
      </c>
      <c r="T347" s="133" t="n">
        <v>0.75</v>
      </c>
    </row>
    <row r="348" hidden="1" ht="15.75" customHeight="1" s="2">
      <c r="A348" s="175" t="inlineStr">
        <is>
          <t>осень</t>
        </is>
      </c>
      <c r="B348" s="176" t="inlineStr">
        <is>
          <t>Искусственный интеллект в технологиях материалов</t>
        </is>
      </c>
      <c r="C348" s="176" t="inlineStr">
        <is>
          <t>Консультация</t>
        </is>
      </c>
      <c r="D348" s="176" t="inlineStr">
        <is>
          <t>Т11О-304Б-21</t>
        </is>
      </c>
      <c r="E348" s="177" t="n">
        <v>2</v>
      </c>
      <c r="F348" s="176" t="inlineStr">
        <is>
          <t>17351</t>
        </is>
      </c>
      <c r="G348" s="178" t="n"/>
      <c r="H348" s="176" t="inlineStr">
        <is>
          <t>81728</t>
        </is>
      </c>
      <c r="I348" s="176" t="inlineStr">
        <is>
          <t>Галкин Виктор Иванович</t>
        </is>
      </c>
      <c r="J348" s="176" t="n"/>
      <c r="K348" s="176" t="inlineStr">
        <is>
          <t>Да</t>
        </is>
      </c>
      <c r="L348" s="176" t="n"/>
      <c r="M348" s="176" t="n"/>
      <c r="N348" s="179">
        <f>SUMIFS($E$2:$E$896,$A$2:$A$896,"осень",$I$2:$I$896,I348)</f>
        <v/>
      </c>
      <c r="O348" s="179">
        <f>SUMIFS($E$2:$E$896,$A$2:$A$896,"весна",$I$2:$I$896,I348)</f>
        <v/>
      </c>
      <c r="P348" s="180">
        <f>N348+O348</f>
        <v/>
      </c>
      <c r="Q348" s="181">
        <f>P348/$Q$1</f>
        <v/>
      </c>
      <c r="R348" s="122">
        <f>P348*0.2</f>
        <v/>
      </c>
      <c r="S348" s="122">
        <f>Q348*0.8</f>
        <v/>
      </c>
      <c r="T348" s="133" t="n">
        <v>0.75</v>
      </c>
    </row>
    <row r="349" hidden="1" ht="15.75" customHeight="1" s="2">
      <c r="A349" s="175" t="inlineStr">
        <is>
          <t>осень</t>
        </is>
      </c>
      <c r="B349" s="176" t="inlineStr">
        <is>
          <t>Искусственный интеллект в технологиях материалов</t>
        </is>
      </c>
      <c r="C349" s="176" t="inlineStr">
        <is>
          <t>Консультация</t>
        </is>
      </c>
      <c r="D349" s="176" t="inlineStr">
        <is>
          <t>Т11О-305Б-21</t>
        </is>
      </c>
      <c r="E349" s="177" t="n">
        <v>2</v>
      </c>
      <c r="F349" s="176" t="inlineStr">
        <is>
          <t>17351</t>
        </is>
      </c>
      <c r="G349" s="178" t="n"/>
      <c r="H349" s="176" t="inlineStr">
        <is>
          <t>81728</t>
        </is>
      </c>
      <c r="I349" s="176" t="inlineStr">
        <is>
          <t>Галкин Виктор Иванович</t>
        </is>
      </c>
      <c r="J349" s="176" t="n"/>
      <c r="K349" s="176" t="inlineStr">
        <is>
          <t>Да</t>
        </is>
      </c>
      <c r="L349" s="176" t="n"/>
      <c r="M349" s="176" t="n"/>
      <c r="N349" s="179">
        <f>SUMIFS($E$2:$E$896,$A$2:$A$896,"осень",$I$2:$I$896,I349)</f>
        <v/>
      </c>
      <c r="O349" s="179">
        <f>SUMIFS($E$2:$E$896,$A$2:$A$896,"весна",$I$2:$I$896,I349)</f>
        <v/>
      </c>
      <c r="P349" s="180">
        <f>N349+O349</f>
        <v/>
      </c>
      <c r="Q349" s="181">
        <f>P349/$Q$1</f>
        <v/>
      </c>
      <c r="R349" s="122">
        <f>P349*0.2</f>
        <v/>
      </c>
      <c r="S349" s="122">
        <f>Q349*0.8</f>
        <v/>
      </c>
      <c r="T349" s="133" t="n">
        <v>0.75</v>
      </c>
    </row>
    <row r="350" hidden="1" ht="15.75" customHeight="1" s="2">
      <c r="A350" s="175" t="inlineStr">
        <is>
          <t>осень</t>
        </is>
      </c>
      <c r="B350" s="176" t="inlineStr">
        <is>
          <t>Искусственный интеллект в технологиях материалов</t>
        </is>
      </c>
      <c r="C350" s="176" t="inlineStr">
        <is>
          <t>Консультация</t>
        </is>
      </c>
      <c r="D350" s="176" t="inlineStr">
        <is>
          <t>Т11О-306Б-21</t>
        </is>
      </c>
      <c r="E350" s="177" t="n">
        <v>2</v>
      </c>
      <c r="F350" s="176" t="inlineStr">
        <is>
          <t>17351</t>
        </is>
      </c>
      <c r="G350" s="178" t="n"/>
      <c r="H350" s="176" t="inlineStr">
        <is>
          <t>81728</t>
        </is>
      </c>
      <c r="I350" s="176" t="inlineStr">
        <is>
          <t>Галкин Виктор Иванович</t>
        </is>
      </c>
      <c r="J350" s="176" t="n"/>
      <c r="K350" s="176" t="inlineStr">
        <is>
          <t>Да</t>
        </is>
      </c>
      <c r="L350" s="176" t="n"/>
      <c r="M350" s="176" t="n"/>
      <c r="N350" s="179">
        <f>SUMIFS($E$2:$E$896,$A$2:$A$896,"осень",$I$2:$I$896,I350)</f>
        <v/>
      </c>
      <c r="O350" s="179">
        <f>SUMIFS($E$2:$E$896,$A$2:$A$896,"весна",$I$2:$I$896,I350)</f>
        <v/>
      </c>
      <c r="P350" s="180">
        <f>N350+O350</f>
        <v/>
      </c>
      <c r="Q350" s="181">
        <f>P350/$Q$1</f>
        <v/>
      </c>
      <c r="R350" s="122">
        <f>P350*0.2</f>
        <v/>
      </c>
      <c r="S350" s="122">
        <f>Q350*0.8</f>
        <v/>
      </c>
      <c r="T350" s="133" t="n">
        <v>0.75</v>
      </c>
    </row>
    <row r="351" hidden="1" ht="15.75" customHeight="1" s="2">
      <c r="A351" s="175" t="inlineStr">
        <is>
          <t>осень</t>
        </is>
      </c>
      <c r="B351" s="176" t="inlineStr">
        <is>
          <t>Искусственный интеллект в технологиях материалов</t>
        </is>
      </c>
      <c r="C351" s="176" t="inlineStr">
        <is>
          <t>Консультация</t>
        </is>
      </c>
      <c r="D351" s="176" t="inlineStr">
        <is>
          <t>Т11О-307Б-21</t>
        </is>
      </c>
      <c r="E351" s="177" t="n">
        <v>2</v>
      </c>
      <c r="F351" s="176" t="inlineStr">
        <is>
          <t>17351</t>
        </is>
      </c>
      <c r="G351" s="178" t="n"/>
      <c r="H351" s="176" t="inlineStr">
        <is>
          <t>81728</t>
        </is>
      </c>
      <c r="I351" s="176" t="inlineStr">
        <is>
          <t>Галкин Виктор Иванович</t>
        </is>
      </c>
      <c r="J351" s="176" t="n"/>
      <c r="K351" s="176" t="inlineStr">
        <is>
          <t>Да</t>
        </is>
      </c>
      <c r="L351" s="176" t="n"/>
      <c r="M351" s="176" t="n"/>
      <c r="N351" s="179">
        <f>SUMIFS($E$2:$E$896,$A$2:$A$896,"осень",$I$2:$I$896,I351)</f>
        <v/>
      </c>
      <c r="O351" s="179">
        <f>SUMIFS($E$2:$E$896,$A$2:$A$896,"весна",$I$2:$I$896,I351)</f>
        <v/>
      </c>
      <c r="P351" s="180">
        <f>N351+O351</f>
        <v/>
      </c>
      <c r="Q351" s="181">
        <f>P351/$Q$1</f>
        <v/>
      </c>
      <c r="R351" s="122">
        <f>P351*0.2</f>
        <v/>
      </c>
      <c r="S351" s="122">
        <f>Q351*0.8</f>
        <v/>
      </c>
      <c r="T351" s="133" t="n">
        <v>0.75</v>
      </c>
    </row>
    <row r="352" hidden="1" ht="15.75" customHeight="1" s="2">
      <c r="A352" s="175" t="inlineStr">
        <is>
          <t>осень</t>
        </is>
      </c>
      <c r="B352" s="176" t="inlineStr">
        <is>
          <t>Информатика</t>
        </is>
      </c>
      <c r="C352" s="176" t="inlineStr">
        <is>
          <t>ЛК</t>
        </is>
      </c>
      <c r="D352" s="176" t="inlineStr">
        <is>
          <t>Т11О-101Б-23</t>
        </is>
      </c>
      <c r="E352" s="177" t="n">
        <v>16</v>
      </c>
      <c r="F352" s="176" t="inlineStr">
        <is>
          <t>14668</t>
        </is>
      </c>
      <c r="G352" s="177" t="n">
        <v>16</v>
      </c>
      <c r="H352" s="176" t="inlineStr">
        <is>
          <t>82026</t>
        </is>
      </c>
      <c r="I352" s="176" t="inlineStr">
        <is>
          <t>Палтиевич Андрей Романович</t>
        </is>
      </c>
      <c r="J352" s="176" t="n"/>
      <c r="K352" s="176" t="inlineStr">
        <is>
          <t>Нет</t>
        </is>
      </c>
      <c r="L352" s="176" t="n"/>
      <c r="M352" s="176" t="n"/>
      <c r="N352" s="179">
        <f>SUMIFS($E$2:$E$896,$A$2:$A$896,"осень",$I$2:$I$896,I352)</f>
        <v/>
      </c>
      <c r="O352" s="179">
        <f>SUMIFS($E$2:$E$896,$A$2:$A$896,"весна",$I$2:$I$896,I352)</f>
        <v/>
      </c>
      <c r="P352" s="180">
        <f>N352+O352</f>
        <v/>
      </c>
      <c r="Q352" s="181">
        <f>P352/$Q$1</f>
        <v/>
      </c>
      <c r="R352" s="122">
        <f>P352*0.2</f>
        <v/>
      </c>
      <c r="S352" s="122">
        <f>Q352*0.8</f>
        <v/>
      </c>
      <c r="T352" s="133" t="n">
        <v>0.65</v>
      </c>
    </row>
    <row r="353" hidden="1" ht="15.75" customHeight="1" s="2">
      <c r="A353" s="175" t="inlineStr">
        <is>
          <t>осень</t>
        </is>
      </c>
      <c r="B353" s="176" t="inlineStr">
        <is>
          <t>Информатика</t>
        </is>
      </c>
      <c r="C353" s="176" t="inlineStr">
        <is>
          <t>ЛК</t>
        </is>
      </c>
      <c r="D353" s="176" t="inlineStr">
        <is>
          <t>Т11О-104Б-23</t>
        </is>
      </c>
      <c r="E353" s="177" t="n">
        <v>24</v>
      </c>
      <c r="F353" s="176" t="inlineStr">
        <is>
          <t>18010</t>
        </is>
      </c>
      <c r="G353" s="177" t="n">
        <v>24</v>
      </c>
      <c r="H353" s="176" t="inlineStr">
        <is>
          <t>81720</t>
        </is>
      </c>
      <c r="I353" s="176" t="inlineStr">
        <is>
          <t>Палтиевич Андрей Романович</t>
        </is>
      </c>
      <c r="J353" s="176" t="n"/>
      <c r="K353" s="176" t="inlineStr">
        <is>
          <t>Нет</t>
        </is>
      </c>
      <c r="L353" s="176" t="n"/>
      <c r="M353" s="176" t="n"/>
      <c r="N353" s="179">
        <f>SUMIFS($E$2:$E$896,$A$2:$A$896,"осень",$I$2:$I$896,I353)</f>
        <v/>
      </c>
      <c r="O353" s="179">
        <f>SUMIFS($E$2:$E$896,$A$2:$A$896,"весна",$I$2:$I$896,I353)</f>
        <v/>
      </c>
      <c r="P353" s="180">
        <f>N353+O353</f>
        <v/>
      </c>
      <c r="Q353" s="181">
        <f>P353/$Q$1</f>
        <v/>
      </c>
      <c r="R353" s="122">
        <f>P353*0.2</f>
        <v/>
      </c>
      <c r="S353" s="122">
        <f>Q353*0.8</f>
        <v/>
      </c>
      <c r="T353" s="133" t="n">
        <v>0.65</v>
      </c>
    </row>
    <row r="354" hidden="1" ht="15.75" customHeight="1" s="2">
      <c r="A354" s="175" t="inlineStr">
        <is>
          <t>осень</t>
        </is>
      </c>
      <c r="B354" s="176" t="inlineStr">
        <is>
          <t>Информатика</t>
        </is>
      </c>
      <c r="C354" s="176" t="inlineStr">
        <is>
          <t>Зачет с оценкой</t>
        </is>
      </c>
      <c r="D354" s="176" t="inlineStr">
        <is>
          <t>Т11О-104Б-23</t>
        </is>
      </c>
      <c r="E354" s="177" t="n">
        <v>6</v>
      </c>
      <c r="F354" s="176" t="inlineStr">
        <is>
          <t>18010</t>
        </is>
      </c>
      <c r="G354" s="178" t="n"/>
      <c r="H354" s="176" t="inlineStr">
        <is>
          <t>81720</t>
        </is>
      </c>
      <c r="I354" s="176" t="inlineStr">
        <is>
          <t>Палтиевич Андрей Романович</t>
        </is>
      </c>
      <c r="J354" s="176" t="n"/>
      <c r="K354" s="176" t="inlineStr">
        <is>
          <t>Нет</t>
        </is>
      </c>
      <c r="L354" s="176" t="n"/>
      <c r="M354" s="176" t="n"/>
      <c r="N354" s="179">
        <f>SUMIFS($E$2:$E$896,$A$2:$A$896,"осень",$I$2:$I$896,I354)</f>
        <v/>
      </c>
      <c r="O354" s="179">
        <f>SUMIFS($E$2:$E$896,$A$2:$A$896,"весна",$I$2:$I$896,I354)</f>
        <v/>
      </c>
      <c r="P354" s="180">
        <f>N354+O354</f>
        <v/>
      </c>
      <c r="Q354" s="181">
        <f>P354/$Q$1</f>
        <v/>
      </c>
      <c r="R354" s="122">
        <f>P354*0.2</f>
        <v/>
      </c>
      <c r="S354" s="122">
        <f>Q354*0.8</f>
        <v/>
      </c>
      <c r="T354" s="133" t="n">
        <v>0.65</v>
      </c>
    </row>
    <row r="355" hidden="1" ht="15.75" customHeight="1" s="2">
      <c r="A355" s="175" t="inlineStr">
        <is>
          <t>осень</t>
        </is>
      </c>
      <c r="B355" s="176" t="inlineStr">
        <is>
          <t>Информатика</t>
        </is>
      </c>
      <c r="C355" s="176" t="inlineStr">
        <is>
          <t>ПЗ</t>
        </is>
      </c>
      <c r="D355" s="176" t="inlineStr">
        <is>
          <t>Т11О-101Б-23</t>
        </is>
      </c>
      <c r="E355" s="177" t="n">
        <v>38</v>
      </c>
      <c r="F355" s="176" t="inlineStr">
        <is>
          <t>14668</t>
        </is>
      </c>
      <c r="G355" s="177" t="n">
        <v>38</v>
      </c>
      <c r="H355" s="176" t="inlineStr">
        <is>
          <t>82026</t>
        </is>
      </c>
      <c r="I355" s="176" t="inlineStr">
        <is>
          <t>Александрова Светлана Сергеевна</t>
        </is>
      </c>
      <c r="J355" s="176" t="n"/>
      <c r="K355" s="176" t="inlineStr">
        <is>
          <t>Нет</t>
        </is>
      </c>
      <c r="L355" s="176" t="n"/>
      <c r="M355" s="176" t="n"/>
      <c r="N355" s="179">
        <f>SUMIFS($E$2:$E$896,$A$2:$A$896,"осень",$I$2:$I$896,I355)</f>
        <v/>
      </c>
      <c r="O355" s="179">
        <f>SUMIFS($E$2:$E$896,$A$2:$A$896,"весна",$I$2:$I$896,I355)</f>
        <v/>
      </c>
      <c r="P355" s="180">
        <f>N355+O355</f>
        <v/>
      </c>
      <c r="Q355" s="181">
        <f>P355/$Q$1</f>
        <v/>
      </c>
      <c r="R355" s="122">
        <f>P355*0.2</f>
        <v/>
      </c>
      <c r="S355" s="122">
        <f>Q355*0.8</f>
        <v/>
      </c>
      <c r="T355" s="133" t="n">
        <v>0.65</v>
      </c>
    </row>
    <row r="356" hidden="1" ht="15.75" customHeight="1" s="2">
      <c r="A356" s="175" t="inlineStr">
        <is>
          <t>осень</t>
        </is>
      </c>
      <c r="B356" s="176" t="inlineStr">
        <is>
          <t>Информатика</t>
        </is>
      </c>
      <c r="C356" s="176" t="inlineStr">
        <is>
          <t>ПЗ</t>
        </is>
      </c>
      <c r="D356" s="176" t="inlineStr">
        <is>
          <t>Т11О-104Б-23</t>
        </is>
      </c>
      <c r="E356" s="177" t="n">
        <v>32</v>
      </c>
      <c r="F356" s="176" t="inlineStr">
        <is>
          <t>18010</t>
        </is>
      </c>
      <c r="G356" s="177" t="n">
        <v>32</v>
      </c>
      <c r="H356" s="176" t="inlineStr">
        <is>
          <t>81720</t>
        </is>
      </c>
      <c r="I356" s="176" t="inlineStr">
        <is>
          <t>Палтиевич Андрей Романович</t>
        </is>
      </c>
      <c r="J356" s="176" t="n"/>
      <c r="K356" s="176" t="inlineStr">
        <is>
          <t>Нет</t>
        </is>
      </c>
      <c r="L356" s="176" t="n"/>
      <c r="M356" s="176" t="n"/>
      <c r="N356" s="179">
        <f>SUMIFS($E$2:$E$896,$A$2:$A$896,"осень",$I$2:$I$896,I356)</f>
        <v/>
      </c>
      <c r="O356" s="179">
        <f>SUMIFS($E$2:$E$896,$A$2:$A$896,"весна",$I$2:$I$896,I356)</f>
        <v/>
      </c>
      <c r="P356" s="180">
        <f>N356+O356</f>
        <v/>
      </c>
      <c r="Q356" s="181">
        <f>P356/$Q$1</f>
        <v/>
      </c>
      <c r="R356" s="122">
        <f>P356*0.2</f>
        <v/>
      </c>
      <c r="S356" s="122">
        <f>Q356*0.8</f>
        <v/>
      </c>
      <c r="T356" s="133" t="n">
        <v>0.65</v>
      </c>
    </row>
    <row r="357" hidden="1" ht="15.75" customHeight="1" s="2">
      <c r="A357" s="175" t="inlineStr">
        <is>
          <t>осень</t>
        </is>
      </c>
      <c r="B357" s="176" t="inlineStr">
        <is>
          <t>Информатика</t>
        </is>
      </c>
      <c r="C357" s="176" t="inlineStr">
        <is>
          <t>ЛР</t>
        </is>
      </c>
      <c r="D357" s="176" t="inlineStr">
        <is>
          <t>Т11О-104Б-23</t>
        </is>
      </c>
      <c r="E357" s="177" t="n">
        <v>24</v>
      </c>
      <c r="F357" s="176" t="inlineStr">
        <is>
          <t>18010</t>
        </is>
      </c>
      <c r="G357" s="177" t="n">
        <v>12</v>
      </c>
      <c r="H357" s="176" t="inlineStr">
        <is>
          <t>81720</t>
        </is>
      </c>
      <c r="I357" s="176" t="inlineStr">
        <is>
          <t>Палтиевич Андрей Романович</t>
        </is>
      </c>
      <c r="J357" s="176" t="n"/>
      <c r="K357" s="176" t="inlineStr">
        <is>
          <t>Нет</t>
        </is>
      </c>
      <c r="L357" s="176" t="n"/>
      <c r="M357" s="176" t="n"/>
      <c r="N357" s="179">
        <f>SUMIFS($E$2:$E$896,$A$2:$A$896,"осень",$I$2:$I$896,I357)</f>
        <v/>
      </c>
      <c r="O357" s="179">
        <f>SUMIFS($E$2:$E$896,$A$2:$A$896,"весна",$I$2:$I$896,I357)</f>
        <v/>
      </c>
      <c r="P357" s="180">
        <f>N357+O357</f>
        <v/>
      </c>
      <c r="Q357" s="181">
        <f>P357/$Q$1</f>
        <v/>
      </c>
      <c r="R357" s="122">
        <f>P357*0.2</f>
        <v/>
      </c>
      <c r="S357" s="122">
        <f>Q357*0.8</f>
        <v/>
      </c>
      <c r="T357" s="133" t="n">
        <v>0.65</v>
      </c>
    </row>
    <row r="358" hidden="1" ht="15.75" customHeight="1" s="2">
      <c r="A358" s="175" t="inlineStr">
        <is>
          <t>осень</t>
        </is>
      </c>
      <c r="B358" s="176" t="inlineStr">
        <is>
          <t>Информатика</t>
        </is>
      </c>
      <c r="C358" s="176" t="inlineStr">
        <is>
          <t>Экзамен</t>
        </is>
      </c>
      <c r="D358" s="176" t="inlineStr">
        <is>
          <t>Т11О-101Б-23</t>
        </is>
      </c>
      <c r="E358" s="177" t="n">
        <v>10</v>
      </c>
      <c r="F358" s="176" t="inlineStr">
        <is>
          <t>14668</t>
        </is>
      </c>
      <c r="G358" s="178" t="n"/>
      <c r="H358" s="176" t="inlineStr">
        <is>
          <t>82026</t>
        </is>
      </c>
      <c r="I358" s="176" t="inlineStr">
        <is>
          <t>Александрова Светлана Сергеевна</t>
        </is>
      </c>
      <c r="J358" s="176" t="n"/>
      <c r="K358" s="176" t="inlineStr">
        <is>
          <t>Нет</t>
        </is>
      </c>
      <c r="L358" s="176" t="n"/>
      <c r="M358" s="176" t="n"/>
      <c r="N358" s="179">
        <f>SUMIFS($E$2:$E$896,$A$2:$A$896,"осень",$I$2:$I$896,I358)</f>
        <v/>
      </c>
      <c r="O358" s="179">
        <f>SUMIFS($E$2:$E$896,$A$2:$A$896,"весна",$I$2:$I$896,I358)</f>
        <v/>
      </c>
      <c r="P358" s="180">
        <f>N358+O358</f>
        <v/>
      </c>
      <c r="Q358" s="181">
        <f>P358/$Q$1</f>
        <v/>
      </c>
      <c r="R358" s="122">
        <f>P358*0.2</f>
        <v/>
      </c>
      <c r="S358" s="122">
        <f>Q358*0.8</f>
        <v/>
      </c>
      <c r="T358" s="133" t="n">
        <v>0.65</v>
      </c>
    </row>
    <row r="359" hidden="1" ht="15.75" customHeight="1" s="2">
      <c r="A359" s="175" t="inlineStr">
        <is>
          <t>осень</t>
        </is>
      </c>
      <c r="B359" s="176" t="inlineStr">
        <is>
          <t>Информатика</t>
        </is>
      </c>
      <c r="C359" s="176" t="inlineStr">
        <is>
          <t>Консультация</t>
        </is>
      </c>
      <c r="D359" s="176" t="inlineStr">
        <is>
          <t>Т11О-101Б-23</t>
        </is>
      </c>
      <c r="E359" s="177" t="n">
        <v>2</v>
      </c>
      <c r="F359" s="176" t="inlineStr">
        <is>
          <t>14668</t>
        </is>
      </c>
      <c r="G359" s="178" t="n"/>
      <c r="H359" s="176" t="inlineStr">
        <is>
          <t>82026</t>
        </is>
      </c>
      <c r="I359" s="176" t="inlineStr">
        <is>
          <t>Александрова Светлана Сергеевна</t>
        </is>
      </c>
      <c r="J359" s="176" t="n"/>
      <c r="K359" s="176" t="inlineStr">
        <is>
          <t>Нет</t>
        </is>
      </c>
      <c r="L359" s="176" t="n"/>
      <c r="M359" s="176" t="n"/>
      <c r="N359" s="179">
        <f>SUMIFS($E$2:$E$896,$A$2:$A$896,"осень",$I$2:$I$896,I359)</f>
        <v/>
      </c>
      <c r="O359" s="179">
        <f>SUMIFS($E$2:$E$896,$A$2:$A$896,"весна",$I$2:$I$896,I359)</f>
        <v/>
      </c>
      <c r="P359" s="180">
        <f>N359+O359</f>
        <v/>
      </c>
      <c r="Q359" s="181">
        <f>P359/$Q$1</f>
        <v/>
      </c>
      <c r="R359" s="122">
        <f>P359*0.2</f>
        <v/>
      </c>
      <c r="S359" s="122">
        <f>Q359*0.8</f>
        <v/>
      </c>
      <c r="T359" s="133" t="n">
        <v>0.65</v>
      </c>
    </row>
    <row r="360" hidden="1" ht="15.75" customHeight="1" s="2">
      <c r="A360" s="175" t="inlineStr">
        <is>
          <t>осень</t>
        </is>
      </c>
      <c r="B360" s="176" t="inlineStr">
        <is>
          <t>Информатика</t>
        </is>
      </c>
      <c r="C360" s="176" t="inlineStr">
        <is>
          <t>Консультация</t>
        </is>
      </c>
      <c r="D360" s="176" t="inlineStr">
        <is>
          <t>Т11О-104Б-23</t>
        </is>
      </c>
      <c r="E360" s="177" t="n">
        <v>1</v>
      </c>
      <c r="F360" s="176" t="inlineStr">
        <is>
          <t>18010</t>
        </is>
      </c>
      <c r="G360" s="178" t="n"/>
      <c r="H360" s="176" t="inlineStr">
        <is>
          <t>81720</t>
        </is>
      </c>
      <c r="I360" s="176" t="inlineStr">
        <is>
          <t>Палтиевич Андрей Романович</t>
        </is>
      </c>
      <c r="J360" s="176" t="n"/>
      <c r="K360" s="176" t="inlineStr">
        <is>
          <t>Нет</t>
        </is>
      </c>
      <c r="L360" s="176" t="n"/>
      <c r="M360" s="176" t="n"/>
      <c r="N360" s="179">
        <f>SUMIFS($E$2:$E$896,$A$2:$A$896,"осень",$I$2:$I$896,I360)</f>
        <v/>
      </c>
      <c r="O360" s="179">
        <f>SUMIFS($E$2:$E$896,$A$2:$A$896,"весна",$I$2:$I$896,I360)</f>
        <v/>
      </c>
      <c r="P360" s="180">
        <f>N360+O360</f>
        <v/>
      </c>
      <c r="Q360" s="181">
        <f>P360/$Q$1</f>
        <v/>
      </c>
      <c r="R360" s="122">
        <f>P360*0.2</f>
        <v/>
      </c>
      <c r="S360" s="122">
        <f>Q360*0.8</f>
        <v/>
      </c>
      <c r="T360" s="133" t="n">
        <v>0.65</v>
      </c>
    </row>
    <row r="361" hidden="1" ht="15.75" customHeight="1" s="2">
      <c r="A361" s="175" t="inlineStr">
        <is>
          <t>осень</t>
        </is>
      </c>
      <c r="B361" s="176" t="inlineStr">
        <is>
          <t>Введение в специальность</t>
        </is>
      </c>
      <c r="C361" s="176" t="inlineStr">
        <is>
          <t>ЛК</t>
        </is>
      </c>
      <c r="D361" s="176" t="inlineStr">
        <is>
          <t>Т11О-104Б-23</t>
        </is>
      </c>
      <c r="E361" s="177" t="n">
        <v>18</v>
      </c>
      <c r="F361" s="176" t="inlineStr">
        <is>
          <t>18010</t>
        </is>
      </c>
      <c r="G361" s="177" t="n">
        <v>18</v>
      </c>
      <c r="H361" s="176" t="inlineStr">
        <is>
          <t>81724</t>
        </is>
      </c>
      <c r="I361" s="176" t="inlineStr">
        <is>
          <t>Галкин Евгений Владимирович</t>
        </is>
      </c>
      <c r="J361" s="176" t="n"/>
      <c r="K361" s="176" t="inlineStr">
        <is>
          <t>Нет</t>
        </is>
      </c>
      <c r="L361" s="176" t="n"/>
      <c r="M361" s="176" t="n"/>
      <c r="N361" s="179">
        <f>SUMIFS($E$2:$E$896,$A$2:$A$896,"осень",$I$2:$I$896,I361)</f>
        <v/>
      </c>
      <c r="O361" s="179">
        <f>SUMIFS($E$2:$E$896,$A$2:$A$896,"весна",$I$2:$I$896,I361)</f>
        <v/>
      </c>
      <c r="P361" s="180">
        <f>N361+O361</f>
        <v/>
      </c>
      <c r="Q361" s="181">
        <f>P361/$Q$1</f>
        <v/>
      </c>
      <c r="R361" s="122">
        <f>P361*0.2</f>
        <v/>
      </c>
      <c r="S361" s="122">
        <f>Q361*0.8</f>
        <v/>
      </c>
      <c r="T361" s="133" t="n">
        <v>0.8</v>
      </c>
    </row>
    <row r="362" hidden="1" ht="15.75" customHeight="1" s="2">
      <c r="A362" s="175" t="inlineStr">
        <is>
          <t>осень</t>
        </is>
      </c>
      <c r="B362" s="176" t="inlineStr">
        <is>
          <t>Введение в специальность</t>
        </is>
      </c>
      <c r="C362" s="176" t="inlineStr">
        <is>
          <t>ЛР</t>
        </is>
      </c>
      <c r="D362" s="176" t="inlineStr">
        <is>
          <t>Т11О-104Б-23</t>
        </is>
      </c>
      <c r="E362" s="177" t="n">
        <v>32</v>
      </c>
      <c r="F362" s="176" t="inlineStr">
        <is>
          <t>18010</t>
        </is>
      </c>
      <c r="G362" s="177" t="n">
        <v>16</v>
      </c>
      <c r="H362" s="176" t="inlineStr">
        <is>
          <t>81724</t>
        </is>
      </c>
      <c r="I362" s="176" t="inlineStr">
        <is>
          <t>Галкин Евгений Владимирович</t>
        </is>
      </c>
      <c r="J362" s="176" t="n"/>
      <c r="K362" s="176" t="inlineStr">
        <is>
          <t>Нет</t>
        </is>
      </c>
      <c r="L362" s="176" t="n"/>
      <c r="M362" s="176" t="n"/>
      <c r="N362" s="179">
        <f>SUMIFS($E$2:$E$896,$A$2:$A$896,"осень",$I$2:$I$896,I362)</f>
        <v/>
      </c>
      <c r="O362" s="179">
        <f>SUMIFS($E$2:$E$896,$A$2:$A$896,"весна",$I$2:$I$896,I362)</f>
        <v/>
      </c>
      <c r="P362" s="180">
        <f>N362+O362</f>
        <v/>
      </c>
      <c r="Q362" s="181">
        <f>P362/$Q$1</f>
        <v/>
      </c>
      <c r="R362" s="122">
        <f>P362*0.2</f>
        <v/>
      </c>
      <c r="S362" s="122">
        <f>Q362*0.8</f>
        <v/>
      </c>
      <c r="T362" s="133" t="n">
        <v>0.8</v>
      </c>
    </row>
    <row r="363" hidden="1" ht="15.75" customHeight="1" s="2">
      <c r="A363" s="175" t="inlineStr">
        <is>
          <t>осень</t>
        </is>
      </c>
      <c r="B363" s="176" t="inlineStr">
        <is>
          <t>Введение в специальность</t>
        </is>
      </c>
      <c r="C363" s="176" t="inlineStr">
        <is>
          <t>Зачет</t>
        </is>
      </c>
      <c r="D363" s="176" t="inlineStr">
        <is>
          <t>Т11О-104Б-23</t>
        </is>
      </c>
      <c r="E363" s="177" t="n">
        <v>4</v>
      </c>
      <c r="F363" s="176" t="inlineStr">
        <is>
          <t>18010</t>
        </is>
      </c>
      <c r="G363" s="178" t="n"/>
      <c r="H363" s="176" t="inlineStr">
        <is>
          <t>81724</t>
        </is>
      </c>
      <c r="I363" s="176" t="inlineStr">
        <is>
          <t>Галкин Евгений Владимирович</t>
        </is>
      </c>
      <c r="J363" s="176" t="n"/>
      <c r="K363" s="176" t="inlineStr">
        <is>
          <t>Нет</t>
        </is>
      </c>
      <c r="L363" s="176" t="n"/>
      <c r="M363" s="176" t="n"/>
      <c r="N363" s="179">
        <f>SUMIFS($E$2:$E$896,$A$2:$A$896,"осень",$I$2:$I$896,I363)</f>
        <v/>
      </c>
      <c r="O363" s="179">
        <f>SUMIFS($E$2:$E$896,$A$2:$A$896,"весна",$I$2:$I$896,I363)</f>
        <v/>
      </c>
      <c r="P363" s="180">
        <f>N363+O363</f>
        <v/>
      </c>
      <c r="Q363" s="181">
        <f>P363/$Q$1</f>
        <v/>
      </c>
      <c r="R363" s="122">
        <f>P363*0.2</f>
        <v/>
      </c>
      <c r="S363" s="122">
        <f>Q363*0.8</f>
        <v/>
      </c>
      <c r="T363" s="133" t="n">
        <v>0.8</v>
      </c>
    </row>
    <row r="364" hidden="1" ht="15.75" customHeight="1" s="2">
      <c r="A364" s="175" t="inlineStr">
        <is>
          <t>осень</t>
        </is>
      </c>
      <c r="B364" s="176" t="inlineStr">
        <is>
          <t>Введение в специальность</t>
        </is>
      </c>
      <c r="C364" s="176" t="inlineStr">
        <is>
          <t>Консультация</t>
        </is>
      </c>
      <c r="D364" s="176" t="inlineStr">
        <is>
          <t>Т11О-104Б-23</t>
        </is>
      </c>
      <c r="E364" s="177" t="n">
        <v>1</v>
      </c>
      <c r="F364" s="176" t="inlineStr">
        <is>
          <t>18010</t>
        </is>
      </c>
      <c r="G364" s="178" t="n"/>
      <c r="H364" s="176" t="inlineStr">
        <is>
          <t>81724</t>
        </is>
      </c>
      <c r="I364" s="176" t="inlineStr">
        <is>
          <t>Галкин Евгений Владимирович</t>
        </is>
      </c>
      <c r="J364" s="176" t="n"/>
      <c r="K364" s="176" t="inlineStr">
        <is>
          <t>Нет</t>
        </is>
      </c>
      <c r="L364" s="176" t="n"/>
      <c r="M364" s="176" t="n"/>
      <c r="N364" s="179">
        <f>SUMIFS($E$2:$E$896,$A$2:$A$896,"осень",$I$2:$I$896,I364)</f>
        <v/>
      </c>
      <c r="O364" s="179">
        <f>SUMIFS($E$2:$E$896,$A$2:$A$896,"весна",$I$2:$I$896,I364)</f>
        <v/>
      </c>
      <c r="P364" s="180">
        <f>N364+O364</f>
        <v/>
      </c>
      <c r="Q364" s="181">
        <f>P364/$Q$1</f>
        <v/>
      </c>
      <c r="R364" s="122">
        <f>P364*0.2</f>
        <v/>
      </c>
      <c r="S364" s="122">
        <f>Q364*0.8</f>
        <v/>
      </c>
      <c r="T364" s="133" t="n">
        <v>0.8</v>
      </c>
    </row>
    <row r="365" hidden="1" ht="15.75" customHeight="1" s="2">
      <c r="A365" s="175" t="inlineStr">
        <is>
          <t>осень</t>
        </is>
      </c>
      <c r="B365" s="176" t="inlineStr">
        <is>
          <t>Современное состояние и тенденции развития технологических процессов литейного производства</t>
        </is>
      </c>
      <c r="C365" s="176" t="inlineStr">
        <is>
          <t>ЛК</t>
        </is>
      </c>
      <c r="D365" s="176" t="inlineStr">
        <is>
          <t>Т11О-205А-22</t>
        </is>
      </c>
      <c r="E365" s="177" t="n">
        <v>30</v>
      </c>
      <c r="F365" s="176" t="inlineStr">
        <is>
          <t>16787</t>
        </is>
      </c>
      <c r="G365" s="177" t="n">
        <v>30</v>
      </c>
      <c r="H365" s="176" t="inlineStr">
        <is>
          <t>81891</t>
        </is>
      </c>
      <c r="I365" s="176" t="inlineStr">
        <is>
          <t>Ряховский Александр Павлович</t>
        </is>
      </c>
      <c r="J365" s="176" t="n"/>
      <c r="K365" s="176" t="inlineStr">
        <is>
          <t>Да</t>
        </is>
      </c>
      <c r="L365" s="176" t="n"/>
      <c r="M365" s="176" t="n"/>
      <c r="N365" s="179">
        <f>SUMIFS($E$2:$E$896,$A$2:$A$896,"осень",$I$2:$I$896,I365)</f>
        <v/>
      </c>
      <c r="O365" s="179">
        <f>SUMIFS($E$2:$E$896,$A$2:$A$896,"весна",$I$2:$I$896,I365)</f>
        <v/>
      </c>
      <c r="P365" s="180">
        <f>N365+O365</f>
        <v/>
      </c>
      <c r="Q365" s="181">
        <f>P365/$Q$1</f>
        <v/>
      </c>
      <c r="R365" s="122">
        <f>P365*0.2</f>
        <v/>
      </c>
      <c r="S365" s="122">
        <f>Q365*0.8</f>
        <v/>
      </c>
      <c r="T365" s="133" t="n">
        <v>0.5</v>
      </c>
    </row>
    <row r="366" hidden="1" ht="15.75" customHeight="1" s="2">
      <c r="A366" s="175" t="inlineStr">
        <is>
          <t>осень</t>
        </is>
      </c>
      <c r="B366" s="176" t="inlineStr">
        <is>
          <t>Современное состояние и тенденции развития технологических процессов литейного производства</t>
        </is>
      </c>
      <c r="C366" s="176" t="inlineStr">
        <is>
          <t>ПЗ</t>
        </is>
      </c>
      <c r="D366" s="176" t="inlineStr">
        <is>
          <t>Т11О-205А-22</t>
        </is>
      </c>
      <c r="E366" s="177" t="n">
        <v>24</v>
      </c>
      <c r="F366" s="176" t="inlineStr">
        <is>
          <t>16787</t>
        </is>
      </c>
      <c r="G366" s="177" t="n">
        <v>24</v>
      </c>
      <c r="H366" s="176" t="inlineStr">
        <is>
          <t>81891</t>
        </is>
      </c>
      <c r="I366" s="176" t="inlineStr">
        <is>
          <t>Ряховский Александр Павлович</t>
        </is>
      </c>
      <c r="J366" s="176" t="n"/>
      <c r="K366" s="176" t="inlineStr">
        <is>
          <t>Да</t>
        </is>
      </c>
      <c r="L366" s="176" t="n"/>
      <c r="M366" s="176" t="n"/>
      <c r="N366" s="179">
        <f>SUMIFS($E$2:$E$896,$A$2:$A$896,"осень",$I$2:$I$896,I366)</f>
        <v/>
      </c>
      <c r="O366" s="179">
        <f>SUMIFS($E$2:$E$896,$A$2:$A$896,"весна",$I$2:$I$896,I366)</f>
        <v/>
      </c>
      <c r="P366" s="180">
        <f>N366+O366</f>
        <v/>
      </c>
      <c r="Q366" s="181">
        <f>P366/$Q$1</f>
        <v/>
      </c>
      <c r="R366" s="122">
        <f>P366*0.2</f>
        <v/>
      </c>
      <c r="S366" s="122">
        <f>Q366*0.8</f>
        <v/>
      </c>
      <c r="T366" s="133" t="n">
        <v>0.5</v>
      </c>
    </row>
    <row r="367" hidden="1" ht="15.75" customHeight="1" s="2">
      <c r="A367" s="175" t="inlineStr">
        <is>
          <t>осень</t>
        </is>
      </c>
      <c r="B367" s="176" t="inlineStr">
        <is>
          <t>Современное состояние и тенденции развития технологических процессов литейного производства</t>
        </is>
      </c>
      <c r="C367" s="176" t="inlineStr">
        <is>
          <t>Консультация</t>
        </is>
      </c>
      <c r="D367" s="176" t="inlineStr">
        <is>
          <t>Т11О-205А-22</t>
        </is>
      </c>
      <c r="E367" s="177" t="n">
        <v>2</v>
      </c>
      <c r="F367" s="176" t="inlineStr">
        <is>
          <t>16787</t>
        </is>
      </c>
      <c r="G367" s="178" t="n"/>
      <c r="H367" s="176" t="inlineStr">
        <is>
          <t>81891</t>
        </is>
      </c>
      <c r="I367" s="176" t="inlineStr">
        <is>
          <t>Ряховский Александр Павлович</t>
        </is>
      </c>
      <c r="J367" s="176" t="n"/>
      <c r="K367" s="176" t="inlineStr">
        <is>
          <t>Да</t>
        </is>
      </c>
      <c r="L367" s="176" t="n"/>
      <c r="M367" s="176" t="n"/>
      <c r="N367" s="179">
        <f>SUMIFS($E$2:$E$896,$A$2:$A$896,"осень",$I$2:$I$896,I367)</f>
        <v/>
      </c>
      <c r="O367" s="179">
        <f>SUMIFS($E$2:$E$896,$A$2:$A$896,"весна",$I$2:$I$896,I367)</f>
        <v/>
      </c>
      <c r="P367" s="180">
        <f>N367+O367</f>
        <v/>
      </c>
      <c r="Q367" s="181">
        <f>P367/$Q$1</f>
        <v/>
      </c>
      <c r="R367" s="122">
        <f>P367*0.2</f>
        <v/>
      </c>
      <c r="S367" s="122">
        <f>Q367*0.8</f>
        <v/>
      </c>
      <c r="T367" s="133" t="n">
        <v>0.5</v>
      </c>
    </row>
    <row r="368" hidden="1" ht="15.75" customHeight="1" s="2">
      <c r="A368" s="175" t="inlineStr">
        <is>
          <t>осень</t>
        </is>
      </c>
      <c r="B368" s="176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68" s="176" t="inlineStr">
        <is>
          <t>ЛК</t>
        </is>
      </c>
      <c r="D368" s="176" t="inlineStr">
        <is>
          <t>Т11О-206А-22</t>
        </is>
      </c>
      <c r="E368" s="177" t="n">
        <v>30</v>
      </c>
      <c r="F368" s="176" t="inlineStr">
        <is>
          <t>16788</t>
        </is>
      </c>
      <c r="G368" s="177" t="n">
        <v>30</v>
      </c>
      <c r="H368" s="176" t="inlineStr">
        <is>
          <t>81728</t>
        </is>
      </c>
      <c r="I368" s="176" t="inlineStr">
        <is>
          <t>Галкин Виктор Иванович</t>
        </is>
      </c>
      <c r="J368" s="176" t="n"/>
      <c r="K368" s="176" t="inlineStr">
        <is>
          <t>Да</t>
        </is>
      </c>
      <c r="L368" s="176" t="n"/>
      <c r="M368" s="176" t="n"/>
      <c r="N368" s="179">
        <f>SUMIFS($E$2:$E$896,$A$2:$A$896,"осень",$I$2:$I$896,I368)</f>
        <v/>
      </c>
      <c r="O368" s="179">
        <f>SUMIFS($E$2:$E$896,$A$2:$A$896,"весна",$I$2:$I$896,I368)</f>
        <v/>
      </c>
      <c r="P368" s="180">
        <f>N368+O368</f>
        <v/>
      </c>
      <c r="Q368" s="181">
        <f>P368/$Q$1</f>
        <v/>
      </c>
      <c r="R368" s="122">
        <f>P368*0.2</f>
        <v/>
      </c>
      <c r="S368" s="122">
        <f>Q368*0.8</f>
        <v/>
      </c>
      <c r="T368" s="133" t="n">
        <v>0.75</v>
      </c>
    </row>
    <row r="369" hidden="1" ht="15.75" customHeight="1" s="2">
      <c r="A369" s="175" t="inlineStr">
        <is>
          <t>осень</t>
        </is>
      </c>
      <c r="B369" s="176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69" s="176" t="inlineStr">
        <is>
          <t>ПЗ</t>
        </is>
      </c>
      <c r="D369" s="176" t="inlineStr">
        <is>
          <t>Т11О-206А-22</t>
        </is>
      </c>
      <c r="E369" s="177" t="n">
        <v>24</v>
      </c>
      <c r="F369" s="176" t="inlineStr">
        <is>
          <t>16788</t>
        </is>
      </c>
      <c r="G369" s="177" t="n">
        <v>24</v>
      </c>
      <c r="H369" s="176" t="inlineStr">
        <is>
          <t>81728</t>
        </is>
      </c>
      <c r="I369" s="176" t="inlineStr">
        <is>
          <t>Галкин Виктор Иванович</t>
        </is>
      </c>
      <c r="J369" s="176" t="n"/>
      <c r="K369" s="176" t="inlineStr">
        <is>
          <t>Да</t>
        </is>
      </c>
      <c r="L369" s="176" t="n"/>
      <c r="M369" s="176" t="n"/>
      <c r="N369" s="179">
        <f>SUMIFS($E$2:$E$896,$A$2:$A$896,"осень",$I$2:$I$896,I369)</f>
        <v/>
      </c>
      <c r="O369" s="179">
        <f>SUMIFS($E$2:$E$896,$A$2:$A$896,"весна",$I$2:$I$896,I369)</f>
        <v/>
      </c>
      <c r="P369" s="180">
        <f>N369+O369</f>
        <v/>
      </c>
      <c r="Q369" s="181">
        <f>P369/$Q$1</f>
        <v/>
      </c>
      <c r="R369" s="122">
        <f>P369*0.2</f>
        <v/>
      </c>
      <c r="S369" s="122">
        <f>Q369*0.8</f>
        <v/>
      </c>
      <c r="T369" s="133" t="n">
        <v>0.75</v>
      </c>
    </row>
    <row r="370" hidden="1" ht="15.75" customHeight="1" s="2">
      <c r="A370" s="175" t="inlineStr">
        <is>
          <t>осень</t>
        </is>
      </c>
      <c r="B370" s="176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370" s="176" t="inlineStr">
        <is>
          <t>Консультация</t>
        </is>
      </c>
      <c r="D370" s="176" t="inlineStr">
        <is>
          <t>Т11О-206А-22</t>
        </is>
      </c>
      <c r="E370" s="177" t="n">
        <v>2</v>
      </c>
      <c r="F370" s="176" t="inlineStr">
        <is>
          <t>16788</t>
        </is>
      </c>
      <c r="G370" s="178" t="n"/>
      <c r="H370" s="176" t="inlineStr">
        <is>
          <t>81728</t>
        </is>
      </c>
      <c r="I370" s="176" t="inlineStr">
        <is>
          <t>Галкин Виктор Иванович</t>
        </is>
      </c>
      <c r="J370" s="176" t="n"/>
      <c r="K370" s="176" t="inlineStr">
        <is>
          <t>Да</t>
        </is>
      </c>
      <c r="L370" s="176" t="n"/>
      <c r="M370" s="176" t="n"/>
      <c r="N370" s="179">
        <f>SUMIFS($E$2:$E$896,$A$2:$A$896,"осень",$I$2:$I$896,I370)</f>
        <v/>
      </c>
      <c r="O370" s="179">
        <f>SUMIFS($E$2:$E$896,$A$2:$A$896,"весна",$I$2:$I$896,I370)</f>
        <v/>
      </c>
      <c r="P370" s="180">
        <f>N370+O370</f>
        <v/>
      </c>
      <c r="Q370" s="181">
        <f>P370/$Q$1</f>
        <v/>
      </c>
      <c r="R370" s="122">
        <f>P370*0.2</f>
        <v/>
      </c>
      <c r="S370" s="122">
        <f>Q370*0.8</f>
        <v/>
      </c>
      <c r="T370" s="133" t="n">
        <v>0.75</v>
      </c>
    </row>
    <row r="371" hidden="1" ht="15.75" customHeight="1" s="2">
      <c r="A371" s="175" t="inlineStr">
        <is>
          <t>осень</t>
        </is>
      </c>
      <c r="B371" s="176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1" s="176" t="inlineStr">
        <is>
          <t>ЛК</t>
        </is>
      </c>
      <c r="D371" s="176" t="inlineStr">
        <is>
          <t>Т11О-207А-22</t>
        </is>
      </c>
      <c r="E371" s="177" t="n">
        <v>30</v>
      </c>
      <c r="F371" s="176" t="inlineStr">
        <is>
          <t>16789</t>
        </is>
      </c>
      <c r="G371" s="177" t="n">
        <v>30</v>
      </c>
      <c r="H371" s="176" t="inlineStr">
        <is>
          <t>82060</t>
        </is>
      </c>
      <c r="I371" s="176" t="inlineStr">
        <is>
          <t>Лозован Александр Александрович</t>
        </is>
      </c>
      <c r="J371" s="176" t="n"/>
      <c r="K371" s="176" t="inlineStr">
        <is>
          <t>Да</t>
        </is>
      </c>
      <c r="L371" s="176" t="n"/>
      <c r="M371" s="176" t="n"/>
      <c r="N371" s="179">
        <f>SUMIFS($E$2:$E$896,$A$2:$A$896,"осень",$I$2:$I$896,I371)</f>
        <v/>
      </c>
      <c r="O371" s="179">
        <f>SUMIFS($E$2:$E$896,$A$2:$A$896,"весна",$I$2:$I$896,I371)</f>
        <v/>
      </c>
      <c r="P371" s="180">
        <f>N371+O371</f>
        <v/>
      </c>
      <c r="Q371" s="181">
        <f>P371/$Q$1</f>
        <v/>
      </c>
      <c r="R371" s="122">
        <f>P371*0.2</f>
        <v/>
      </c>
      <c r="S371" s="122">
        <f>Q371*0.8</f>
        <v/>
      </c>
      <c r="T371" s="133" t="n">
        <v>0.55</v>
      </c>
    </row>
    <row r="372" hidden="1" ht="15.75" customHeight="1" s="2">
      <c r="A372" s="175" t="inlineStr">
        <is>
          <t>осень</t>
        </is>
      </c>
      <c r="B372" s="176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2" s="176" t="inlineStr">
        <is>
          <t>ПЗ</t>
        </is>
      </c>
      <c r="D372" s="176" t="inlineStr">
        <is>
          <t>Т11О-207А-22</t>
        </is>
      </c>
      <c r="E372" s="177" t="n">
        <v>24</v>
      </c>
      <c r="F372" s="176" t="inlineStr">
        <is>
          <t>16789</t>
        </is>
      </c>
      <c r="G372" s="177" t="n">
        <v>24</v>
      </c>
      <c r="H372" s="176" t="inlineStr">
        <is>
          <t>82060</t>
        </is>
      </c>
      <c r="I372" s="176" t="inlineStr">
        <is>
          <t>Лозован Александр Александрович</t>
        </is>
      </c>
      <c r="J372" s="176" t="n"/>
      <c r="K372" s="176" t="inlineStr">
        <is>
          <t>Да</t>
        </is>
      </c>
      <c r="L372" s="176" t="n"/>
      <c r="M372" s="176" t="n"/>
      <c r="N372" s="179">
        <f>SUMIFS($E$2:$E$896,$A$2:$A$896,"осень",$I$2:$I$896,I372)</f>
        <v/>
      </c>
      <c r="O372" s="179">
        <f>SUMIFS($E$2:$E$896,$A$2:$A$896,"весна",$I$2:$I$896,I372)</f>
        <v/>
      </c>
      <c r="P372" s="180">
        <f>N372+O372</f>
        <v/>
      </c>
      <c r="Q372" s="181">
        <f>P372/$Q$1</f>
        <v/>
      </c>
      <c r="R372" s="122">
        <f>P372*0.2</f>
        <v/>
      </c>
      <c r="S372" s="122">
        <f>Q372*0.8</f>
        <v/>
      </c>
      <c r="T372" s="133" t="n">
        <v>0.55</v>
      </c>
    </row>
    <row r="373" hidden="1" ht="15.75" customHeight="1" s="2">
      <c r="A373" s="175" t="inlineStr">
        <is>
          <t>осень</t>
        </is>
      </c>
      <c r="B373" s="176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373" s="176" t="inlineStr">
        <is>
          <t>Консультация</t>
        </is>
      </c>
      <c r="D373" s="176" t="inlineStr">
        <is>
          <t>Т11О-207А-22</t>
        </is>
      </c>
      <c r="E373" s="177" t="n">
        <v>2</v>
      </c>
      <c r="F373" s="176" t="inlineStr">
        <is>
          <t>16789</t>
        </is>
      </c>
      <c r="G373" s="178" t="n"/>
      <c r="H373" s="176" t="inlineStr">
        <is>
          <t>82060</t>
        </is>
      </c>
      <c r="I373" s="176" t="inlineStr">
        <is>
          <t>Лозован Александр Александрович</t>
        </is>
      </c>
      <c r="J373" s="176" t="n"/>
      <c r="K373" s="176" t="inlineStr">
        <is>
          <t>Да</t>
        </is>
      </c>
      <c r="L373" s="176" t="n"/>
      <c r="M373" s="176" t="n"/>
      <c r="N373" s="179">
        <f>SUMIFS($E$2:$E$896,$A$2:$A$896,"осень",$I$2:$I$896,I373)</f>
        <v/>
      </c>
      <c r="O373" s="179">
        <f>SUMIFS($E$2:$E$896,$A$2:$A$896,"весна",$I$2:$I$896,I373)</f>
        <v/>
      </c>
      <c r="P373" s="180">
        <f>N373+O373</f>
        <v/>
      </c>
      <c r="Q373" s="181">
        <f>P373/$Q$1</f>
        <v/>
      </c>
      <c r="R373" s="122">
        <f>P373*0.2</f>
        <v/>
      </c>
      <c r="S373" s="122">
        <f>Q373*0.8</f>
        <v/>
      </c>
      <c r="T373" s="133" t="n">
        <v>0.55</v>
      </c>
    </row>
    <row r="374" hidden="1" ht="15.75" customHeight="1" s="2">
      <c r="A374" s="175" t="inlineStr">
        <is>
          <t>осень</t>
        </is>
      </c>
      <c r="B374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4" s="176" t="inlineStr">
        <is>
          <t>ЛК</t>
        </is>
      </c>
      <c r="D374" s="176" t="inlineStr">
        <is>
          <t>Т11О-203А-22</t>
        </is>
      </c>
      <c r="E374" s="177" t="n">
        <v>15</v>
      </c>
      <c r="F374" s="176" t="inlineStr">
        <is>
          <t>16786</t>
        </is>
      </c>
      <c r="G374" s="177" t="n">
        <v>30</v>
      </c>
      <c r="H374" s="176" t="inlineStr">
        <is>
          <t>92509</t>
        </is>
      </c>
      <c r="I374" s="176" t="inlineStr">
        <is>
          <t>Пашков Игорь Николаевич</t>
        </is>
      </c>
      <c r="J374" s="176" t="n"/>
      <c r="K374" s="176" t="inlineStr">
        <is>
          <t>Нет</t>
        </is>
      </c>
      <c r="L374" s="176" t="n"/>
      <c r="M374" s="176" t="inlineStr">
        <is>
          <t>Гаджиев Магомед Ражабович</t>
        </is>
      </c>
      <c r="N374" s="179">
        <f>SUMIFS($E$2:$E$896,$A$2:$A$896,"осень",$I$2:$I$896,I374)</f>
        <v/>
      </c>
      <c r="O374" s="179">
        <f>SUMIFS($E$2:$E$896,$A$2:$A$896,"весна",$I$2:$I$896,I374)</f>
        <v/>
      </c>
      <c r="P374" s="180">
        <f>N374+O374</f>
        <v/>
      </c>
      <c r="Q374" s="181">
        <f>P374/$Q$1</f>
        <v/>
      </c>
      <c r="R374" s="122">
        <f>P374*0.2</f>
        <v/>
      </c>
      <c r="S374" s="122">
        <f>Q374*0.8</f>
        <v/>
      </c>
      <c r="T374" s="133" t="n">
        <v>0.55</v>
      </c>
    </row>
    <row r="375" hidden="1" ht="15.75" customHeight="1" s="2">
      <c r="A375" s="175" t="inlineStr">
        <is>
          <t>осень</t>
        </is>
      </c>
      <c r="B375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5" s="176" t="inlineStr">
        <is>
          <t>ЛК</t>
        </is>
      </c>
      <c r="D375" s="176" t="inlineStr">
        <is>
          <t>Т11О-203А-22</t>
        </is>
      </c>
      <c r="E375" s="177" t="n">
        <v>15</v>
      </c>
      <c r="F375" s="176" t="inlineStr">
        <is>
          <t>16786</t>
        </is>
      </c>
      <c r="G375" s="177" t="n">
        <v>30</v>
      </c>
      <c r="H375" s="176" t="inlineStr">
        <is>
          <t>81958</t>
        </is>
      </c>
      <c r="I375" s="176" t="inlineStr">
        <is>
          <t>Бецофен Сергей Яковлевич</t>
        </is>
      </c>
      <c r="J375" s="176" t="n"/>
      <c r="K375" s="176" t="inlineStr">
        <is>
          <t>Да</t>
        </is>
      </c>
      <c r="L375" s="176" t="n"/>
      <c r="M375" s="176" t="inlineStr">
        <is>
          <t>Максименко Екатерина Игоревна</t>
        </is>
      </c>
      <c r="N375" s="179">
        <f>SUMIFS($E$2:$E$896,$A$2:$A$896,"осень",$I$2:$I$896,I375)</f>
        <v/>
      </c>
      <c r="O375" s="179">
        <f>SUMIFS($E$2:$E$896,$A$2:$A$896,"весна",$I$2:$I$896,I375)</f>
        <v/>
      </c>
      <c r="P375" s="180">
        <f>N375+O375</f>
        <v/>
      </c>
      <c r="Q375" s="181">
        <f>P375/$Q$1</f>
        <v/>
      </c>
      <c r="R375" s="122">
        <f>P375*0.2</f>
        <v/>
      </c>
      <c r="S375" s="122">
        <f>Q375*0.8</f>
        <v/>
      </c>
      <c r="T375" s="133" t="n">
        <v>0.3</v>
      </c>
    </row>
    <row r="376" hidden="1" ht="15.75" customHeight="1" s="2">
      <c r="A376" s="175" t="inlineStr">
        <is>
          <t>осень</t>
        </is>
      </c>
      <c r="B376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6" s="176" t="inlineStr">
        <is>
          <t>Зачет с оценкой</t>
        </is>
      </c>
      <c r="D376" s="176" t="inlineStr">
        <is>
          <t>Т11О-203А-22</t>
        </is>
      </c>
      <c r="E376" s="177" t="n">
        <v>1</v>
      </c>
      <c r="F376" s="176" t="inlineStr">
        <is>
          <t>16786</t>
        </is>
      </c>
      <c r="G376" s="178" t="n"/>
      <c r="H376" s="176" t="inlineStr">
        <is>
          <t>81958</t>
        </is>
      </c>
      <c r="I376" s="176" t="inlineStr">
        <is>
          <t>Бецофен Сергей Яковлевич</t>
        </is>
      </c>
      <c r="J376" s="176" t="n"/>
      <c r="K376" s="176" t="inlineStr">
        <is>
          <t>Да</t>
        </is>
      </c>
      <c r="L376" s="176" t="n"/>
      <c r="M376" s="176" t="n"/>
      <c r="N376" s="179">
        <f>SUMIFS($E$2:$E$896,$A$2:$A$896,"осень",$I$2:$I$896,I376)</f>
        <v/>
      </c>
      <c r="O376" s="179">
        <f>SUMIFS($E$2:$E$896,$A$2:$A$896,"весна",$I$2:$I$896,I376)</f>
        <v/>
      </c>
      <c r="P376" s="180">
        <f>N376+O376</f>
        <v/>
      </c>
      <c r="Q376" s="181">
        <f>P376/$Q$1</f>
        <v/>
      </c>
      <c r="R376" s="122">
        <f>P376*0.2</f>
        <v/>
      </c>
      <c r="S376" s="122">
        <f>Q376*0.8</f>
        <v/>
      </c>
      <c r="T376" s="133" t="n">
        <v>0.3</v>
      </c>
    </row>
    <row r="377" hidden="1" ht="15.75" customHeight="1" s="2">
      <c r="A377" s="175" t="inlineStr">
        <is>
          <t>осень</t>
        </is>
      </c>
      <c r="B377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7" s="176" t="inlineStr">
        <is>
          <t>ПЗ</t>
        </is>
      </c>
      <c r="D377" s="176" t="inlineStr">
        <is>
          <t>Т11О-203А-22</t>
        </is>
      </c>
      <c r="E377" s="177" t="n">
        <v>12</v>
      </c>
      <c r="F377" s="176" t="inlineStr">
        <is>
          <t>16786</t>
        </is>
      </c>
      <c r="G377" s="177" t="n">
        <v>24</v>
      </c>
      <c r="H377" s="176" t="inlineStr">
        <is>
          <t>92509</t>
        </is>
      </c>
      <c r="I377" s="176" t="inlineStr">
        <is>
          <t>Пашков Игорь Николаевич</t>
        </is>
      </c>
      <c r="J377" s="176" t="n"/>
      <c r="K377" s="176" t="inlineStr">
        <is>
          <t>Нет</t>
        </is>
      </c>
      <c r="L377" s="176" t="n"/>
      <c r="M377" s="176" t="n"/>
      <c r="N377" s="179">
        <f>SUMIFS($E$2:$E$896,$A$2:$A$896,"осень",$I$2:$I$896,I377)</f>
        <v/>
      </c>
      <c r="O377" s="179">
        <f>SUMIFS($E$2:$E$896,$A$2:$A$896,"весна",$I$2:$I$896,I377)</f>
        <v/>
      </c>
      <c r="P377" s="180">
        <f>N377+O377</f>
        <v/>
      </c>
      <c r="Q377" s="181">
        <f>P377/$Q$1</f>
        <v/>
      </c>
      <c r="R377" s="122">
        <f>P377*0.2</f>
        <v/>
      </c>
      <c r="S377" s="122">
        <f>Q377*0.8</f>
        <v/>
      </c>
      <c r="T377" s="133" t="n">
        <v>0.55</v>
      </c>
    </row>
    <row r="378" hidden="1" ht="15.75" customHeight="1" s="2">
      <c r="A378" s="175" t="inlineStr">
        <is>
          <t>осень</t>
        </is>
      </c>
      <c r="B378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8" s="176" t="inlineStr">
        <is>
          <t>ПЗ</t>
        </is>
      </c>
      <c r="D378" s="176" t="inlineStr">
        <is>
          <t>Т11О-203А-22</t>
        </is>
      </c>
      <c r="E378" s="177" t="n">
        <v>12</v>
      </c>
      <c r="F378" s="176" t="inlineStr">
        <is>
          <t>16786</t>
        </is>
      </c>
      <c r="G378" s="177" t="n">
        <v>24</v>
      </c>
      <c r="H378" s="176" t="inlineStr">
        <is>
          <t>81958</t>
        </is>
      </c>
      <c r="I378" s="176" t="inlineStr">
        <is>
          <t>Бецофен Сергей Яковлевич</t>
        </is>
      </c>
      <c r="J378" s="176" t="n"/>
      <c r="K378" s="176" t="inlineStr">
        <is>
          <t>Да</t>
        </is>
      </c>
      <c r="L378" s="176" t="n"/>
      <c r="M378" s="176" t="n"/>
      <c r="N378" s="179">
        <f>SUMIFS($E$2:$E$896,$A$2:$A$896,"осень",$I$2:$I$896,I378)</f>
        <v/>
      </c>
      <c r="O378" s="179">
        <f>SUMIFS($E$2:$E$896,$A$2:$A$896,"весна",$I$2:$I$896,I378)</f>
        <v/>
      </c>
      <c r="P378" s="180">
        <f>N378+O378</f>
        <v/>
      </c>
      <c r="Q378" s="181">
        <f>P378/$Q$1</f>
        <v/>
      </c>
      <c r="R378" s="122">
        <f>P378*0.2</f>
        <v/>
      </c>
      <c r="S378" s="122">
        <f>Q378*0.8</f>
        <v/>
      </c>
      <c r="T378" s="133" t="n">
        <v>0.3</v>
      </c>
    </row>
    <row r="379" hidden="1" ht="15.75" customHeight="1" s="2">
      <c r="A379" s="175" t="inlineStr">
        <is>
          <t>осень</t>
        </is>
      </c>
      <c r="B379" s="17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379" s="176" t="inlineStr">
        <is>
          <t>Консультация</t>
        </is>
      </c>
      <c r="D379" s="176" t="inlineStr">
        <is>
          <t>Т11О-203А-22</t>
        </is>
      </c>
      <c r="E379" s="177" t="n">
        <v>2</v>
      </c>
      <c r="F379" s="176" t="inlineStr">
        <is>
          <t>16786</t>
        </is>
      </c>
      <c r="G379" s="178" t="n"/>
      <c r="H379" s="176" t="inlineStr">
        <is>
          <t>92509</t>
        </is>
      </c>
      <c r="I379" s="176" t="inlineStr">
        <is>
          <t>Пашков Игорь Николаевич</t>
        </is>
      </c>
      <c r="J379" s="176" t="n"/>
      <c r="K379" s="176" t="inlineStr">
        <is>
          <t>Нет</t>
        </is>
      </c>
      <c r="L379" s="176" t="n"/>
      <c r="M379" s="176" t="n"/>
      <c r="N379" s="179">
        <f>SUMIFS($E$2:$E$896,$A$2:$A$896,"осень",$I$2:$I$896,I379)</f>
        <v/>
      </c>
      <c r="O379" s="179">
        <f>SUMIFS($E$2:$E$896,$A$2:$A$896,"весна",$I$2:$I$896,I379)</f>
        <v/>
      </c>
      <c r="P379" s="180">
        <f>N379+O379</f>
        <v/>
      </c>
      <c r="Q379" s="181">
        <f>P379/$Q$1</f>
        <v/>
      </c>
      <c r="R379" s="122">
        <f>P379*0.2</f>
        <v/>
      </c>
      <c r="S379" s="122">
        <f>Q379*0.8</f>
        <v/>
      </c>
      <c r="T379" s="133" t="n">
        <v>0.55</v>
      </c>
    </row>
    <row r="380" hidden="1" ht="15.75" customHeight="1" s="2">
      <c r="A380" s="175" t="inlineStr">
        <is>
          <t>осень</t>
        </is>
      </c>
      <c r="B380" s="176" t="inlineStr">
        <is>
          <t>Жидкофазные технологии соединения материалов</t>
        </is>
      </c>
      <c r="C380" s="176" t="inlineStr">
        <is>
          <t>ЛК</t>
        </is>
      </c>
      <c r="D380" s="176" t="inlineStr">
        <is>
          <t>Т11О-101М-23</t>
        </is>
      </c>
      <c r="E380" s="177" t="n">
        <v>24</v>
      </c>
      <c r="F380" s="176" t="inlineStr">
        <is>
          <t>18008</t>
        </is>
      </c>
      <c r="G380" s="177" t="n">
        <v>24</v>
      </c>
      <c r="H380" s="176" t="inlineStr">
        <is>
          <t>92509</t>
        </is>
      </c>
      <c r="I380" s="176" t="inlineStr">
        <is>
          <t>Пашков Игорь Николаевич</t>
        </is>
      </c>
      <c r="J380" s="176" t="n"/>
      <c r="K380" s="176" t="inlineStr">
        <is>
          <t>Нет</t>
        </is>
      </c>
      <c r="L380" s="176" t="n"/>
      <c r="M380" s="176" t="n"/>
      <c r="N380" s="179">
        <f>SUMIFS($E$2:$E$896,$A$2:$A$896,"осень",$I$2:$I$896,I380)</f>
        <v/>
      </c>
      <c r="O380" s="179">
        <f>SUMIFS($E$2:$E$896,$A$2:$A$896,"весна",$I$2:$I$896,I380)</f>
        <v/>
      </c>
      <c r="P380" s="180">
        <f>N380+O380</f>
        <v/>
      </c>
      <c r="Q380" s="181">
        <f>P380/$Q$1</f>
        <v/>
      </c>
      <c r="R380" s="122">
        <f>P380*0.2</f>
        <v/>
      </c>
      <c r="S380" s="122">
        <f>Q380*0.8</f>
        <v/>
      </c>
      <c r="T380" s="133" t="n">
        <v>0.55</v>
      </c>
    </row>
    <row r="381" hidden="1" ht="15.75" customHeight="1" s="2">
      <c r="A381" s="175" t="inlineStr">
        <is>
          <t>осень</t>
        </is>
      </c>
      <c r="B381" s="176" t="inlineStr">
        <is>
          <t>Жидкофазные технологии соединения материалов</t>
        </is>
      </c>
      <c r="C381" s="176" t="inlineStr">
        <is>
          <t>Зачет с оценкой</t>
        </is>
      </c>
      <c r="D381" s="176" t="inlineStr">
        <is>
          <t>Т11О-101М-23</t>
        </is>
      </c>
      <c r="E381" s="177" t="n">
        <v>3</v>
      </c>
      <c r="F381" s="176" t="inlineStr">
        <is>
          <t>18008</t>
        </is>
      </c>
      <c r="G381" s="178" t="n"/>
      <c r="H381" s="176" t="inlineStr">
        <is>
          <t>92509</t>
        </is>
      </c>
      <c r="I381" s="176" t="inlineStr">
        <is>
          <t>Пашков Игорь Николаевич</t>
        </is>
      </c>
      <c r="J381" s="176" t="n"/>
      <c r="K381" s="176" t="inlineStr">
        <is>
          <t>Нет</t>
        </is>
      </c>
      <c r="L381" s="176" t="n"/>
      <c r="M381" s="176" t="n"/>
      <c r="N381" s="179">
        <f>SUMIFS($E$2:$E$896,$A$2:$A$896,"осень",$I$2:$I$896,I381)</f>
        <v/>
      </c>
      <c r="O381" s="179">
        <f>SUMIFS($E$2:$E$896,$A$2:$A$896,"весна",$I$2:$I$896,I381)</f>
        <v/>
      </c>
      <c r="P381" s="180">
        <f>N381+O381</f>
        <v/>
      </c>
      <c r="Q381" s="181">
        <f>P381/$Q$1</f>
        <v/>
      </c>
      <c r="R381" s="122">
        <f>P381*0.2</f>
        <v/>
      </c>
      <c r="S381" s="122">
        <f>Q381*0.8</f>
        <v/>
      </c>
      <c r="T381" s="133" t="n">
        <v>0.55</v>
      </c>
    </row>
    <row r="382" ht="15.75" customHeight="1" s="2">
      <c r="A382" s="175" t="inlineStr">
        <is>
          <t>осень</t>
        </is>
      </c>
      <c r="B382" s="176" t="inlineStr">
        <is>
          <t>Жидкофазные технологии соединения материалов</t>
        </is>
      </c>
      <c r="C382" s="176" t="inlineStr">
        <is>
          <t>Зачет с оценкой</t>
        </is>
      </c>
      <c r="D382" s="176" t="inlineStr">
        <is>
          <t>Т11О-101М-23</t>
        </is>
      </c>
      <c r="E382" s="177" t="n">
        <v>1</v>
      </c>
      <c r="F382" s="176" t="inlineStr">
        <is>
          <t>18008</t>
        </is>
      </c>
      <c r="G382" s="178" t="n"/>
      <c r="H382" s="176" t="n"/>
      <c r="I382" s="176" t="inlineStr">
        <is>
          <t>э-резерв</t>
        </is>
      </c>
      <c r="J382" s="176" t="n"/>
      <c r="K382" s="176" t="inlineStr">
        <is>
          <t>Нет</t>
        </is>
      </c>
      <c r="L382" s="176" t="n"/>
      <c r="M382" s="176" t="n"/>
      <c r="N382" s="179">
        <f>SUMIFS($E$2:$E$896,$A$2:$A$896,"осень",$I$2:$I$896,I382)</f>
        <v/>
      </c>
      <c r="O382" s="179">
        <f>SUMIFS($E$2:$E$896,$A$2:$A$896,"весна",$I$2:$I$896,I382)</f>
        <v/>
      </c>
      <c r="P382" s="180">
        <f>N382+O382</f>
        <v/>
      </c>
      <c r="Q382" s="181">
        <f>P382/$Q$1</f>
        <v/>
      </c>
      <c r="R382" s="122">
        <f>P382*0.2</f>
        <v/>
      </c>
      <c r="S382" s="122">
        <f>Q382*0.8</f>
        <v/>
      </c>
      <c r="T382" s="133" t="n">
        <v>0</v>
      </c>
    </row>
    <row r="383" hidden="1" ht="15.75" customHeight="1" s="2">
      <c r="A383" s="175" t="inlineStr">
        <is>
          <t>осень</t>
        </is>
      </c>
      <c r="B383" s="176" t="inlineStr">
        <is>
          <t>Жидкофазные технологии соединения материалов</t>
        </is>
      </c>
      <c r="C383" s="176" t="inlineStr">
        <is>
          <t>ПЗ</t>
        </is>
      </c>
      <c r="D383" s="176" t="inlineStr">
        <is>
          <t>Т11О-101М-23</t>
        </is>
      </c>
      <c r="E383" s="177" t="n">
        <v>48</v>
      </c>
      <c r="F383" s="176" t="inlineStr">
        <is>
          <t>18008</t>
        </is>
      </c>
      <c r="G383" s="177" t="n">
        <v>48</v>
      </c>
      <c r="H383" s="176" t="inlineStr">
        <is>
          <t>92509</t>
        </is>
      </c>
      <c r="I383" s="176" t="inlineStr">
        <is>
          <t>Пашков Игорь Николаевич</t>
        </is>
      </c>
      <c r="J383" s="176" t="n"/>
      <c r="K383" s="176" t="inlineStr">
        <is>
          <t>Нет</t>
        </is>
      </c>
      <c r="L383" s="176" t="n"/>
      <c r="M383" s="176" t="n"/>
      <c r="N383" s="179">
        <f>SUMIFS($E$2:$E$896,$A$2:$A$896,"осень",$I$2:$I$896,I383)</f>
        <v/>
      </c>
      <c r="O383" s="179">
        <f>SUMIFS($E$2:$E$896,$A$2:$A$896,"весна",$I$2:$I$896,I383)</f>
        <v/>
      </c>
      <c r="P383" s="180">
        <f>N383+O383</f>
        <v/>
      </c>
      <c r="Q383" s="181">
        <f>P383/$Q$1</f>
        <v/>
      </c>
      <c r="R383" s="122">
        <f>P383*0.2</f>
        <v/>
      </c>
      <c r="S383" s="122">
        <f>Q383*0.8</f>
        <v/>
      </c>
      <c r="T383" s="133" t="n">
        <v>0.55</v>
      </c>
    </row>
    <row r="384" hidden="1" ht="15.75" customHeight="1" s="2">
      <c r="A384" s="175" t="inlineStr">
        <is>
          <t>осень</t>
        </is>
      </c>
      <c r="B384" s="176" t="inlineStr">
        <is>
          <t>Жидкофазные технологии соединения материалов</t>
        </is>
      </c>
      <c r="C384" s="176" t="inlineStr">
        <is>
          <t>Консультация</t>
        </is>
      </c>
      <c r="D384" s="176" t="inlineStr">
        <is>
          <t>Т11О-101М-23</t>
        </is>
      </c>
      <c r="E384" s="177" t="n">
        <v>1</v>
      </c>
      <c r="F384" s="176" t="inlineStr">
        <is>
          <t>18008</t>
        </is>
      </c>
      <c r="G384" s="178" t="n"/>
      <c r="H384" s="176" t="inlineStr">
        <is>
          <t>92509</t>
        </is>
      </c>
      <c r="I384" s="176" t="inlineStr">
        <is>
          <t>Пашков Игорь Николаевич</t>
        </is>
      </c>
      <c r="J384" s="176" t="n"/>
      <c r="K384" s="176" t="inlineStr">
        <is>
          <t>Нет</t>
        </is>
      </c>
      <c r="L384" s="176" t="n"/>
      <c r="M384" s="176" t="n"/>
      <c r="N384" s="179">
        <f>SUMIFS($E$2:$E$896,$A$2:$A$896,"осень",$I$2:$I$896,I384)</f>
        <v/>
      </c>
      <c r="O384" s="179">
        <f>SUMIFS($E$2:$E$896,$A$2:$A$896,"весна",$I$2:$I$896,I384)</f>
        <v/>
      </c>
      <c r="P384" s="180">
        <f>N384+O384</f>
        <v/>
      </c>
      <c r="Q384" s="181">
        <f>P384/$Q$1</f>
        <v/>
      </c>
      <c r="R384" s="122">
        <f>P384*0.2</f>
        <v/>
      </c>
      <c r="S384" s="122">
        <f>Q384*0.8</f>
        <v/>
      </c>
      <c r="T384" s="133" t="n">
        <v>0.55</v>
      </c>
    </row>
    <row r="385" hidden="1" ht="15.75" customHeight="1" s="2">
      <c r="A385" s="175" t="inlineStr">
        <is>
          <t>осень</t>
        </is>
      </c>
      <c r="B385" s="176" t="inlineStr">
        <is>
          <t>Введение в авиационную и ракетно-космическую технику</t>
        </is>
      </c>
      <c r="C385" s="176" t="inlineStr">
        <is>
          <t>ЛК</t>
        </is>
      </c>
      <c r="D385" s="176" t="inlineStr">
        <is>
          <t>Т11О-104Б-23</t>
        </is>
      </c>
      <c r="E385" s="177" t="n">
        <v>18</v>
      </c>
      <c r="F385" s="176" t="inlineStr">
        <is>
          <t>18010</t>
        </is>
      </c>
      <c r="G385" s="177" t="n">
        <v>18</v>
      </c>
      <c r="H385" s="176" t="inlineStr">
        <is>
          <t>81720</t>
        </is>
      </c>
      <c r="I385" s="176" t="inlineStr">
        <is>
          <t>Палтиевич Андрей Романович</t>
        </is>
      </c>
      <c r="J385" s="176" t="n"/>
      <c r="K385" s="176" t="inlineStr">
        <is>
          <t>Нет</t>
        </is>
      </c>
      <c r="L385" s="176" t="n"/>
      <c r="M385" s="176" t="n"/>
      <c r="N385" s="179">
        <f>SUMIFS($E$2:$E$896,$A$2:$A$896,"осень",$I$2:$I$896,I385)</f>
        <v/>
      </c>
      <c r="O385" s="179">
        <f>SUMIFS($E$2:$E$896,$A$2:$A$896,"весна",$I$2:$I$896,I385)</f>
        <v/>
      </c>
      <c r="P385" s="180">
        <f>N385+O385</f>
        <v/>
      </c>
      <c r="Q385" s="181">
        <f>P385/$Q$1</f>
        <v/>
      </c>
      <c r="R385" s="122">
        <f>P385*0.2</f>
        <v/>
      </c>
      <c r="S385" s="122">
        <f>Q385*0.8</f>
        <v/>
      </c>
      <c r="T385" s="133" t="n">
        <v>0.65</v>
      </c>
    </row>
    <row r="386" hidden="1" ht="15.75" customHeight="1" s="2">
      <c r="A386" s="175" t="inlineStr">
        <is>
          <t>осень</t>
        </is>
      </c>
      <c r="B386" s="176" t="inlineStr">
        <is>
          <t>Введение в авиационную и ракетно-космическую технику</t>
        </is>
      </c>
      <c r="C386" s="176" t="inlineStr">
        <is>
          <t>Зачет с оценкой</t>
        </is>
      </c>
      <c r="D386" s="176" t="inlineStr">
        <is>
          <t>Т11О-104Б-23</t>
        </is>
      </c>
      <c r="E386" s="177" t="n">
        <v>4</v>
      </c>
      <c r="F386" s="176" t="inlineStr">
        <is>
          <t>18010</t>
        </is>
      </c>
      <c r="G386" s="178" t="n"/>
      <c r="H386" s="176" t="inlineStr">
        <is>
          <t>81720</t>
        </is>
      </c>
      <c r="I386" s="176" t="inlineStr">
        <is>
          <t>Палтиевич Андрей Романович</t>
        </is>
      </c>
      <c r="J386" s="176" t="n"/>
      <c r="K386" s="176" t="inlineStr">
        <is>
          <t>Нет</t>
        </is>
      </c>
      <c r="L386" s="176" t="n"/>
      <c r="M386" s="176" t="n"/>
      <c r="N386" s="179">
        <f>SUMIFS($E$2:$E$896,$A$2:$A$896,"осень",$I$2:$I$896,I386)</f>
        <v/>
      </c>
      <c r="O386" s="179">
        <f>SUMIFS($E$2:$E$896,$A$2:$A$896,"весна",$I$2:$I$896,I386)</f>
        <v/>
      </c>
      <c r="P386" s="180">
        <f>N386+O386</f>
        <v/>
      </c>
      <c r="Q386" s="181">
        <f>P386/$Q$1</f>
        <v/>
      </c>
      <c r="R386" s="122">
        <f>P386*0.2</f>
        <v/>
      </c>
      <c r="S386" s="122">
        <f>Q386*0.8</f>
        <v/>
      </c>
      <c r="T386" s="133" t="n">
        <v>0.65</v>
      </c>
    </row>
    <row r="387" ht="15.75" customHeight="1" s="2">
      <c r="A387" s="175" t="inlineStr">
        <is>
          <t>осень</t>
        </is>
      </c>
      <c r="B387" s="176" t="inlineStr">
        <is>
          <t>Введение в авиационную и ракетно-космическую технику</t>
        </is>
      </c>
      <c r="C387" s="176" t="inlineStr">
        <is>
          <t>Зачет с оценкой</t>
        </is>
      </c>
      <c r="D387" s="176" t="inlineStr">
        <is>
          <t>Т11О-104Б-23</t>
        </is>
      </c>
      <c r="E387" s="177" t="n">
        <v>2</v>
      </c>
      <c r="F387" s="176" t="inlineStr">
        <is>
          <t>18010</t>
        </is>
      </c>
      <c r="G387" s="178" t="n"/>
      <c r="H387" s="176" t="n"/>
      <c r="I387" s="176" t="inlineStr">
        <is>
          <t>э-резерв</t>
        </is>
      </c>
      <c r="J387" s="176" t="n"/>
      <c r="K387" s="176" t="inlineStr">
        <is>
          <t>Нет</t>
        </is>
      </c>
      <c r="L387" s="176" t="n"/>
      <c r="M387" s="176" t="n"/>
      <c r="N387" s="179">
        <f>SUMIFS($E$2:$E$896,$A$2:$A$896,"осень",$I$2:$I$896,I387)</f>
        <v/>
      </c>
      <c r="O387" s="179">
        <f>SUMIFS($E$2:$E$896,$A$2:$A$896,"весна",$I$2:$I$896,I387)</f>
        <v/>
      </c>
      <c r="P387" s="180">
        <f>N387+O387</f>
        <v/>
      </c>
      <c r="Q387" s="181">
        <f>P387/$Q$1</f>
        <v/>
      </c>
      <c r="R387" s="122">
        <f>P387*0.2</f>
        <v/>
      </c>
      <c r="S387" s="122">
        <f>Q387*0.8</f>
        <v/>
      </c>
      <c r="T387" s="133" t="n">
        <v>0</v>
      </c>
    </row>
    <row r="388" hidden="1" ht="15.75" customHeight="1" s="2">
      <c r="A388" s="175" t="inlineStr">
        <is>
          <t>осень</t>
        </is>
      </c>
      <c r="B388" s="176" t="inlineStr">
        <is>
          <t>Введение в авиационную и ракетно-космическую технику</t>
        </is>
      </c>
      <c r="C388" s="176" t="inlineStr">
        <is>
          <t>ПЗ</t>
        </is>
      </c>
      <c r="D388" s="176" t="inlineStr">
        <is>
          <t>Т11О-104Б-23</t>
        </is>
      </c>
      <c r="E388" s="177" t="n">
        <v>16</v>
      </c>
      <c r="F388" s="176" t="inlineStr">
        <is>
          <t>18010</t>
        </is>
      </c>
      <c r="G388" s="177" t="n">
        <v>16</v>
      </c>
      <c r="H388" s="176" t="inlineStr">
        <is>
          <t>81720</t>
        </is>
      </c>
      <c r="I388" s="176" t="inlineStr">
        <is>
          <t>Палтиевич Андрей Романович</t>
        </is>
      </c>
      <c r="J388" s="176" t="n"/>
      <c r="K388" s="176" t="inlineStr">
        <is>
          <t>Нет</t>
        </is>
      </c>
      <c r="L388" s="176" t="n"/>
      <c r="M388" s="176" t="n"/>
      <c r="N388" s="179">
        <f>SUMIFS($E$2:$E$896,$A$2:$A$896,"осень",$I$2:$I$896,I388)</f>
        <v/>
      </c>
      <c r="O388" s="179">
        <f>SUMIFS($E$2:$E$896,$A$2:$A$896,"весна",$I$2:$I$896,I388)</f>
        <v/>
      </c>
      <c r="P388" s="180">
        <f>N388+O388</f>
        <v/>
      </c>
      <c r="Q388" s="181">
        <f>P388/$Q$1</f>
        <v/>
      </c>
      <c r="R388" s="122">
        <f>P388*0.2</f>
        <v/>
      </c>
      <c r="S388" s="122">
        <f>Q388*0.8</f>
        <v/>
      </c>
      <c r="T388" s="133" t="n">
        <v>0.65</v>
      </c>
    </row>
    <row r="389" hidden="1" ht="15.75" customHeight="1" s="2">
      <c r="A389" s="175" t="inlineStr">
        <is>
          <t>осень</t>
        </is>
      </c>
      <c r="B389" s="176" t="inlineStr">
        <is>
          <t>Введение в авиационную и ракетно-космическую технику</t>
        </is>
      </c>
      <c r="C389" s="176" t="inlineStr">
        <is>
          <t>Консультация</t>
        </is>
      </c>
      <c r="D389" s="176" t="inlineStr">
        <is>
          <t>Т11О-104Б-23</t>
        </is>
      </c>
      <c r="E389" s="177" t="n">
        <v>1</v>
      </c>
      <c r="F389" s="176" t="inlineStr">
        <is>
          <t>18010</t>
        </is>
      </c>
      <c r="G389" s="178" t="n"/>
      <c r="H389" s="176" t="inlineStr">
        <is>
          <t>81720</t>
        </is>
      </c>
      <c r="I389" s="176" t="inlineStr">
        <is>
          <t>Палтиевич Андрей Романович</t>
        </is>
      </c>
      <c r="J389" s="176" t="n"/>
      <c r="K389" s="176" t="inlineStr">
        <is>
          <t>Нет</t>
        </is>
      </c>
      <c r="L389" s="176" t="n"/>
      <c r="M389" s="176" t="n"/>
      <c r="N389" s="179">
        <f>SUMIFS($E$2:$E$896,$A$2:$A$896,"осень",$I$2:$I$896,I389)</f>
        <v/>
      </c>
      <c r="O389" s="179">
        <f>SUMIFS($E$2:$E$896,$A$2:$A$896,"весна",$I$2:$I$896,I389)</f>
        <v/>
      </c>
      <c r="P389" s="180">
        <f>N389+O389</f>
        <v/>
      </c>
      <c r="Q389" s="181">
        <f>P389/$Q$1</f>
        <v/>
      </c>
      <c r="R389" s="122">
        <f>P389*0.2</f>
        <v/>
      </c>
      <c r="S389" s="122">
        <f>Q389*0.8</f>
        <v/>
      </c>
      <c r="T389" s="133" t="n">
        <v>0.65</v>
      </c>
    </row>
    <row r="390" hidden="1" ht="15.75" customHeight="1" s="2">
      <c r="A390" s="175" t="inlineStr">
        <is>
          <t>осень</t>
        </is>
      </c>
      <c r="B390" s="176" t="inlineStr">
        <is>
          <t>Теория автоматического управления</t>
        </is>
      </c>
      <c r="C390" s="176" t="inlineStr">
        <is>
          <t>ЛК</t>
        </is>
      </c>
      <c r="D390" s="176" t="inlineStr">
        <is>
          <t>Т11О-302Б-21</t>
        </is>
      </c>
      <c r="E390" s="177" t="n">
        <v>18</v>
      </c>
      <c r="F390" s="176" t="inlineStr">
        <is>
          <t>14861</t>
        </is>
      </c>
      <c r="G390" s="177" t="n">
        <v>18</v>
      </c>
      <c r="H390" s="176" t="inlineStr">
        <is>
          <t>81721</t>
        </is>
      </c>
      <c r="I390" s="176" t="inlineStr">
        <is>
          <t>Преображенский Евгений Владимирович</t>
        </is>
      </c>
      <c r="J390" s="176" t="n"/>
      <c r="K390" s="176" t="inlineStr">
        <is>
          <t>Нет</t>
        </is>
      </c>
      <c r="L390" s="176" t="n"/>
      <c r="M390" s="176" t="n"/>
      <c r="N390" s="179">
        <f>SUMIFS($E$2:$E$896,$A$2:$A$896,"осень",$I$2:$I$896,I390)</f>
        <v/>
      </c>
      <c r="O390" s="179">
        <f>SUMIFS($E$2:$E$896,$A$2:$A$896,"весна",$I$2:$I$896,I390)</f>
        <v/>
      </c>
      <c r="P390" s="180">
        <f>N390+O390</f>
        <v/>
      </c>
      <c r="Q390" s="181">
        <f>P390/$Q$1</f>
        <v/>
      </c>
      <c r="R390" s="122">
        <f>P390*0.2</f>
        <v/>
      </c>
      <c r="S390" s="122">
        <f>Q390*0.8</f>
        <v/>
      </c>
      <c r="T390" s="133" t="n">
        <v>0.25</v>
      </c>
    </row>
    <row r="391" hidden="1" ht="15.75" customHeight="1" s="2">
      <c r="A391" s="175" t="inlineStr">
        <is>
          <t>осень</t>
        </is>
      </c>
      <c r="B391" s="176" t="inlineStr">
        <is>
          <t>Теория автоматического управления</t>
        </is>
      </c>
      <c r="C391" s="176" t="inlineStr">
        <is>
          <t>ПЗ</t>
        </is>
      </c>
      <c r="D391" s="176" t="inlineStr">
        <is>
          <t>Т11О-302Б-21</t>
        </is>
      </c>
      <c r="E391" s="177" t="n">
        <v>16</v>
      </c>
      <c r="F391" s="176" t="inlineStr">
        <is>
          <t>14861</t>
        </is>
      </c>
      <c r="G391" s="177" t="n">
        <v>16</v>
      </c>
      <c r="H391" s="176" t="inlineStr">
        <is>
          <t>81721</t>
        </is>
      </c>
      <c r="I391" s="176" t="inlineStr">
        <is>
          <t>Преображенский Евгений Владимирович</t>
        </is>
      </c>
      <c r="J391" s="176" t="n"/>
      <c r="K391" s="176" t="inlineStr">
        <is>
          <t>Нет</t>
        </is>
      </c>
      <c r="L391" s="176" t="n"/>
      <c r="M391" s="176" t="n"/>
      <c r="N391" s="179">
        <f>SUMIFS($E$2:$E$896,$A$2:$A$896,"осень",$I$2:$I$896,I391)</f>
        <v/>
      </c>
      <c r="O391" s="179">
        <f>SUMIFS($E$2:$E$896,$A$2:$A$896,"весна",$I$2:$I$896,I391)</f>
        <v/>
      </c>
      <c r="P391" s="180">
        <f>N391+O391</f>
        <v/>
      </c>
      <c r="Q391" s="181">
        <f>P391/$Q$1</f>
        <v/>
      </c>
      <c r="R391" s="122">
        <f>P391*0.2</f>
        <v/>
      </c>
      <c r="S391" s="122">
        <f>Q391*0.8</f>
        <v/>
      </c>
      <c r="T391" s="133" t="n">
        <v>0.25</v>
      </c>
    </row>
    <row r="392" hidden="1" ht="15.75" customHeight="1" s="2">
      <c r="A392" s="175" t="inlineStr">
        <is>
          <t>осень</t>
        </is>
      </c>
      <c r="B392" s="176" t="inlineStr">
        <is>
          <t>Теория автоматического управления</t>
        </is>
      </c>
      <c r="C392" s="176" t="inlineStr">
        <is>
          <t>Экзамен</t>
        </is>
      </c>
      <c r="D392" s="176" t="inlineStr">
        <is>
          <t>Т11О-302Б-21</t>
        </is>
      </c>
      <c r="E392" s="177" t="n">
        <v>6</v>
      </c>
      <c r="F392" s="176" t="inlineStr">
        <is>
          <t>14861</t>
        </is>
      </c>
      <c r="G392" s="178" t="n"/>
      <c r="H392" s="176" t="inlineStr">
        <is>
          <t>81721</t>
        </is>
      </c>
      <c r="I392" s="176" t="inlineStr">
        <is>
          <t>Преображенский Евгений Владимирович</t>
        </is>
      </c>
      <c r="J392" s="176" t="n"/>
      <c r="K392" s="176" t="inlineStr">
        <is>
          <t>Нет</t>
        </is>
      </c>
      <c r="L392" s="176" t="n"/>
      <c r="M392" s="176" t="n"/>
      <c r="N392" s="179">
        <f>SUMIFS($E$2:$E$896,$A$2:$A$896,"осень",$I$2:$I$896,I392)</f>
        <v/>
      </c>
      <c r="O392" s="179">
        <f>SUMIFS($E$2:$E$896,$A$2:$A$896,"весна",$I$2:$I$896,I392)</f>
        <v/>
      </c>
      <c r="P392" s="180">
        <f>N392+O392</f>
        <v/>
      </c>
      <c r="Q392" s="181">
        <f>P392/$Q$1</f>
        <v/>
      </c>
      <c r="R392" s="122">
        <f>P392*0.2</f>
        <v/>
      </c>
      <c r="S392" s="122">
        <f>Q392*0.8</f>
        <v/>
      </c>
      <c r="T392" s="133" t="n">
        <v>0.25</v>
      </c>
    </row>
    <row r="393" hidden="1" ht="15.75" customHeight="1" s="2">
      <c r="A393" s="175" t="inlineStr">
        <is>
          <t>осень</t>
        </is>
      </c>
      <c r="B393" s="188" t="inlineStr">
        <is>
          <t>Теория автоматического управления</t>
        </is>
      </c>
      <c r="C393" s="188" t="inlineStr">
        <is>
          <t>Экзамен</t>
        </is>
      </c>
      <c r="D393" s="188" t="inlineStr">
        <is>
          <t>Т11О-302Б-21</t>
        </is>
      </c>
      <c r="E393" s="189" t="n">
        <v>3</v>
      </c>
      <c r="F393" s="188" t="inlineStr">
        <is>
          <t>14861</t>
        </is>
      </c>
      <c r="G393" s="190" t="n"/>
      <c r="H393" s="188" t="n"/>
      <c r="I393" s="188" t="inlineStr">
        <is>
          <t>Преображенский Евгений Владимирович</t>
        </is>
      </c>
      <c r="J393" s="176" t="n"/>
      <c r="K393" s="176" t="inlineStr">
        <is>
          <t>Нет</t>
        </is>
      </c>
      <c r="L393" s="176" t="n"/>
      <c r="M393" s="176" t="n"/>
      <c r="N393" s="179">
        <f>SUMIFS($E$2:$E$896,$A$2:$A$896,"осень",$I$2:$I$896,I393)</f>
        <v/>
      </c>
      <c r="O393" s="179">
        <f>SUMIFS($E$2:$E$896,$A$2:$A$896,"весна",$I$2:$I$896,I393)</f>
        <v/>
      </c>
      <c r="P393" s="180">
        <f>N393+O393</f>
        <v/>
      </c>
      <c r="Q393" s="181">
        <f>P393/$Q$1</f>
        <v/>
      </c>
      <c r="R393" s="122">
        <f>P393*0.2</f>
        <v/>
      </c>
      <c r="S393" s="122">
        <f>Q393*0.8</f>
        <v/>
      </c>
      <c r="T393" s="133" t="n">
        <v>0.65</v>
      </c>
    </row>
    <row r="394" hidden="1" ht="15.75" customHeight="1" s="2">
      <c r="A394" s="175" t="inlineStr">
        <is>
          <t>осень</t>
        </is>
      </c>
      <c r="B394" s="176" t="inlineStr">
        <is>
          <t>Теория автоматического управления</t>
        </is>
      </c>
      <c r="C394" s="176" t="inlineStr">
        <is>
          <t>Консультация</t>
        </is>
      </c>
      <c r="D394" s="176" t="inlineStr">
        <is>
          <t>Т11О-302Б-21</t>
        </is>
      </c>
      <c r="E394" s="177" t="n">
        <v>2</v>
      </c>
      <c r="F394" s="176" t="inlineStr">
        <is>
          <t>14861</t>
        </is>
      </c>
      <c r="G394" s="178" t="n"/>
      <c r="H394" s="176" t="inlineStr">
        <is>
          <t>81721</t>
        </is>
      </c>
      <c r="I394" s="176" t="inlineStr">
        <is>
          <t>Преображенский Евгений Владимирович</t>
        </is>
      </c>
      <c r="J394" s="176" t="n"/>
      <c r="K394" s="176" t="inlineStr">
        <is>
          <t>Нет</t>
        </is>
      </c>
      <c r="L394" s="176" t="n"/>
      <c r="M394" s="176" t="n"/>
      <c r="N394" s="179">
        <f>SUMIFS($E$2:$E$896,$A$2:$A$896,"осень",$I$2:$I$896,I394)</f>
        <v/>
      </c>
      <c r="O394" s="179">
        <f>SUMIFS($E$2:$E$896,$A$2:$A$896,"весна",$I$2:$I$896,I394)</f>
        <v/>
      </c>
      <c r="P394" s="180">
        <f>N394+O394</f>
        <v/>
      </c>
      <c r="Q394" s="181">
        <f>P394/$Q$1</f>
        <v/>
      </c>
      <c r="R394" s="122">
        <f>P394*0.2</f>
        <v/>
      </c>
      <c r="S394" s="122">
        <f>Q394*0.8</f>
        <v/>
      </c>
      <c r="T394" s="133" t="n">
        <v>0.25</v>
      </c>
    </row>
    <row r="395" hidden="1" ht="15.75" customHeight="1" s="2">
      <c r="A395" s="175" t="inlineStr">
        <is>
          <t>осень</t>
        </is>
      </c>
      <c r="B395" s="176" t="inlineStr">
        <is>
          <t>Методология научных исследований</t>
        </is>
      </c>
      <c r="C395" s="176" t="inlineStr">
        <is>
          <t>ЛК</t>
        </is>
      </c>
      <c r="D395" s="176" t="inlineStr">
        <is>
          <t>Т11О-201М-22, Т11О-202М-22</t>
        </is>
      </c>
      <c r="E395" s="177" t="n">
        <v>12</v>
      </c>
      <c r="F395" s="176" t="inlineStr">
        <is>
          <t>16104</t>
        </is>
      </c>
      <c r="G395" s="177" t="n">
        <v>12</v>
      </c>
      <c r="H395" s="176" t="inlineStr">
        <is>
          <t>81958</t>
        </is>
      </c>
      <c r="I395" s="176" t="inlineStr">
        <is>
          <t>Бобрышев Борис Леонидович</t>
        </is>
      </c>
      <c r="J395" s="176" t="n"/>
      <c r="K395" s="176" t="inlineStr">
        <is>
          <t>Да</t>
        </is>
      </c>
      <c r="L395" s="176" t="n"/>
      <c r="M395" s="176" t="n"/>
      <c r="N395" s="179">
        <f>SUMIFS($E$2:$E$896,$A$2:$A$896,"осень",$I$2:$I$896,I395)</f>
        <v/>
      </c>
      <c r="O395" s="179">
        <f>SUMIFS($E$2:$E$896,$A$2:$A$896,"весна",$I$2:$I$896,I395)</f>
        <v/>
      </c>
      <c r="P395" s="180">
        <f>N395+O395</f>
        <v/>
      </c>
      <c r="Q395" s="181">
        <f>P395/$Q$1</f>
        <v/>
      </c>
      <c r="R395" s="122">
        <f>P395*0.2</f>
        <v/>
      </c>
      <c r="S395" s="122">
        <f>Q395*0.8</f>
        <v/>
      </c>
      <c r="T395" s="133" t="n">
        <v>0.3</v>
      </c>
    </row>
    <row r="396" ht="15.75" customHeight="1" s="2">
      <c r="A396" s="175" t="inlineStr">
        <is>
          <t>осень</t>
        </is>
      </c>
      <c r="B396" s="176" t="inlineStr">
        <is>
          <t>Методология научных исследований</t>
        </is>
      </c>
      <c r="C396" s="176" t="inlineStr">
        <is>
          <t>Зачет с оценкой</t>
        </is>
      </c>
      <c r="D396" s="176" t="inlineStr">
        <is>
          <t>Т11О-201М-22</t>
        </is>
      </c>
      <c r="E396" s="177" t="n">
        <v>1</v>
      </c>
      <c r="F396" s="176" t="inlineStr">
        <is>
          <t>16104</t>
        </is>
      </c>
      <c r="G396" s="178" t="n"/>
      <c r="H396" s="176" t="n"/>
      <c r="I396" s="176" t="inlineStr">
        <is>
          <t>э-резерв</t>
        </is>
      </c>
      <c r="J396" s="176" t="n"/>
      <c r="K396" s="176" t="inlineStr">
        <is>
          <t>Нет</t>
        </is>
      </c>
      <c r="L396" s="176" t="n"/>
      <c r="M396" s="176" t="n"/>
      <c r="N396" s="179">
        <f>SUMIFS($E$2:$E$896,$A$2:$A$896,"осень",$I$2:$I$896,I396)</f>
        <v/>
      </c>
      <c r="O396" s="179">
        <f>SUMIFS($E$2:$E$896,$A$2:$A$896,"весна",$I$2:$I$896,I396)</f>
        <v/>
      </c>
      <c r="P396" s="180">
        <f>N396+O396</f>
        <v/>
      </c>
      <c r="Q396" s="181">
        <f>P396/$Q$1</f>
        <v/>
      </c>
      <c r="R396" s="122">
        <f>P396*0.2</f>
        <v/>
      </c>
      <c r="S396" s="122">
        <f>Q396*0.8</f>
        <v/>
      </c>
      <c r="T396" s="133" t="n">
        <v>0</v>
      </c>
    </row>
    <row r="397" hidden="1" ht="15.75" customHeight="1" s="2">
      <c r="A397" s="175" t="inlineStr">
        <is>
          <t>осень</t>
        </is>
      </c>
      <c r="B397" s="176" t="inlineStr">
        <is>
          <t>Методология научных исследований</t>
        </is>
      </c>
      <c r="C397" s="176" t="inlineStr">
        <is>
          <t>Зачет с оценкой</t>
        </is>
      </c>
      <c r="D397" s="176" t="inlineStr">
        <is>
          <t>Т11О-201М-22</t>
        </is>
      </c>
      <c r="E397" s="177" t="n">
        <v>3</v>
      </c>
      <c r="F397" s="176" t="inlineStr">
        <is>
          <t>16104</t>
        </is>
      </c>
      <c r="G397" s="178" t="n"/>
      <c r="H397" s="176" t="inlineStr">
        <is>
          <t>81958</t>
        </is>
      </c>
      <c r="I397" s="176" t="inlineStr">
        <is>
          <t>Бецофен Сергей Яковлевич</t>
        </is>
      </c>
      <c r="J397" s="176" t="n"/>
      <c r="K397" s="176" t="inlineStr">
        <is>
          <t>Да</t>
        </is>
      </c>
      <c r="L397" s="176" t="n"/>
      <c r="M397" s="176" t="n"/>
      <c r="N397" s="179">
        <f>SUMIFS($E$2:$E$896,$A$2:$A$896,"осень",$I$2:$I$896,I397)</f>
        <v/>
      </c>
      <c r="O397" s="179">
        <f>SUMIFS($E$2:$E$896,$A$2:$A$896,"весна",$I$2:$I$896,I397)</f>
        <v/>
      </c>
      <c r="P397" s="180">
        <f>N397+O397</f>
        <v/>
      </c>
      <c r="Q397" s="181">
        <f>P397/$Q$1</f>
        <v/>
      </c>
      <c r="R397" s="122">
        <f>P397*0.2</f>
        <v/>
      </c>
      <c r="S397" s="122">
        <f>Q397*0.8</f>
        <v/>
      </c>
      <c r="T397" s="133" t="n">
        <v>0.3</v>
      </c>
    </row>
    <row r="398" hidden="1" ht="15.75" customHeight="1" s="2">
      <c r="A398" s="175" t="inlineStr">
        <is>
          <t>осень</t>
        </is>
      </c>
      <c r="B398" s="176" t="inlineStr">
        <is>
          <t>Методология научных исследований</t>
        </is>
      </c>
      <c r="C398" s="176" t="inlineStr">
        <is>
          <t>Зачет с оценкой</t>
        </is>
      </c>
      <c r="D398" s="176" t="inlineStr">
        <is>
          <t>Т11О-202М-22</t>
        </is>
      </c>
      <c r="E398" s="177" t="n">
        <v>2</v>
      </c>
      <c r="F398" s="176" t="inlineStr">
        <is>
          <t>16104</t>
        </is>
      </c>
      <c r="G398" s="178" t="n"/>
      <c r="H398" s="176" t="inlineStr">
        <is>
          <t>81958</t>
        </is>
      </c>
      <c r="I398" s="176" t="inlineStr">
        <is>
          <t>Бецофен Сергей Яковлевич</t>
        </is>
      </c>
      <c r="J398" s="176" t="n"/>
      <c r="K398" s="176" t="inlineStr">
        <is>
          <t>Да</t>
        </is>
      </c>
      <c r="L398" s="176" t="n"/>
      <c r="M398" s="176" t="n"/>
      <c r="N398" s="179">
        <f>SUMIFS($E$2:$E$896,$A$2:$A$896,"осень",$I$2:$I$896,I398)</f>
        <v/>
      </c>
      <c r="O398" s="179">
        <f>SUMIFS($E$2:$E$896,$A$2:$A$896,"весна",$I$2:$I$896,I398)</f>
        <v/>
      </c>
      <c r="P398" s="180">
        <f>N398+O398</f>
        <v/>
      </c>
      <c r="Q398" s="181">
        <f>P398/$Q$1</f>
        <v/>
      </c>
      <c r="R398" s="122">
        <f>P398*0.2</f>
        <v/>
      </c>
      <c r="S398" s="122">
        <f>Q398*0.8</f>
        <v/>
      </c>
      <c r="T398" s="133" t="n">
        <v>0.3</v>
      </c>
    </row>
    <row r="399" hidden="1" ht="15.75" customHeight="1" s="2">
      <c r="A399" s="175" t="inlineStr">
        <is>
          <t>осень</t>
        </is>
      </c>
      <c r="B399" s="176" t="inlineStr">
        <is>
          <t>Методология научных исследований</t>
        </is>
      </c>
      <c r="C399" s="176" t="inlineStr">
        <is>
          <t>ПЗ</t>
        </is>
      </c>
      <c r="D399" s="176" t="inlineStr">
        <is>
          <t>Т11О-201М-22</t>
        </is>
      </c>
      <c r="E399" s="177" t="n">
        <v>24</v>
      </c>
      <c r="F399" s="176" t="inlineStr">
        <is>
          <t>16104</t>
        </is>
      </c>
      <c r="G399" s="177" t="n">
        <v>24</v>
      </c>
      <c r="H399" s="176" t="inlineStr">
        <is>
          <t>81958</t>
        </is>
      </c>
      <c r="I399" s="176" t="inlineStr">
        <is>
          <t>Бецофен Сергей Яковлевич</t>
        </is>
      </c>
      <c r="J399" s="176" t="n"/>
      <c r="K399" s="176" t="inlineStr">
        <is>
          <t>Да</t>
        </is>
      </c>
      <c r="L399" s="176" t="n"/>
      <c r="M399" s="176" t="n"/>
      <c r="N399" s="179">
        <f>SUMIFS($E$2:$E$896,$A$2:$A$896,"осень",$I$2:$I$896,I399)</f>
        <v/>
      </c>
      <c r="O399" s="179">
        <f>SUMIFS($E$2:$E$896,$A$2:$A$896,"весна",$I$2:$I$896,I399)</f>
        <v/>
      </c>
      <c r="P399" s="180">
        <f>N399+O399</f>
        <v/>
      </c>
      <c r="Q399" s="181">
        <f>P399/$Q$1</f>
        <v/>
      </c>
      <c r="R399" s="122">
        <f>P399*0.2</f>
        <v/>
      </c>
      <c r="S399" s="122">
        <f>Q399*0.8</f>
        <v/>
      </c>
      <c r="T399" s="133" t="n">
        <v>0.3</v>
      </c>
    </row>
    <row r="400" hidden="1" ht="15.75" customHeight="1" s="2">
      <c r="A400" s="175" t="inlineStr">
        <is>
          <t>осень</t>
        </is>
      </c>
      <c r="B400" s="176" t="inlineStr">
        <is>
          <t>Методология научных исследований</t>
        </is>
      </c>
      <c r="C400" s="176" t="inlineStr">
        <is>
          <t>ПЗ</t>
        </is>
      </c>
      <c r="D400" s="176" t="inlineStr">
        <is>
          <t>Т11О-202М-22</t>
        </is>
      </c>
      <c r="E400" s="177" t="n">
        <v>24</v>
      </c>
      <c r="F400" s="176" t="inlineStr">
        <is>
          <t>16104</t>
        </is>
      </c>
      <c r="G400" s="177" t="n">
        <v>24</v>
      </c>
      <c r="H400" s="176" t="inlineStr">
        <is>
          <t>81958</t>
        </is>
      </c>
      <c r="I400" s="176" t="inlineStr">
        <is>
          <t>Бецофен Сергей Яковлевич</t>
        </is>
      </c>
      <c r="J400" s="176" t="n"/>
      <c r="K400" s="176" t="inlineStr">
        <is>
          <t>Да</t>
        </is>
      </c>
      <c r="L400" s="176" t="n"/>
      <c r="M400" s="176" t="n"/>
      <c r="N400" s="179">
        <f>SUMIFS($E$2:$E$896,$A$2:$A$896,"осень",$I$2:$I$896,I400)</f>
        <v/>
      </c>
      <c r="O400" s="179">
        <f>SUMIFS($E$2:$E$896,$A$2:$A$896,"весна",$I$2:$I$896,I400)</f>
        <v/>
      </c>
      <c r="P400" s="180">
        <f>N400+O400</f>
        <v/>
      </c>
      <c r="Q400" s="181">
        <f>P400/$Q$1</f>
        <v/>
      </c>
      <c r="R400" s="122">
        <f>P400*0.2</f>
        <v/>
      </c>
      <c r="S400" s="122">
        <f>Q400*0.8</f>
        <v/>
      </c>
      <c r="T400" s="133" t="n">
        <v>0.3</v>
      </c>
    </row>
    <row r="401" hidden="1" ht="15.75" customHeight="1" s="2">
      <c r="A401" s="175" t="inlineStr">
        <is>
          <t>осень</t>
        </is>
      </c>
      <c r="B401" s="176" t="inlineStr">
        <is>
          <t>Методология научных исследований</t>
        </is>
      </c>
      <c r="C401" s="176" t="inlineStr">
        <is>
          <t>Консультация</t>
        </is>
      </c>
      <c r="D401" s="176" t="inlineStr">
        <is>
          <t>Т11О-201М-22</t>
        </is>
      </c>
      <c r="E401" s="177" t="n">
        <v>1</v>
      </c>
      <c r="F401" s="176" t="inlineStr">
        <is>
          <t>16104</t>
        </is>
      </c>
      <c r="G401" s="178" t="n"/>
      <c r="H401" s="176" t="inlineStr">
        <is>
          <t>81958</t>
        </is>
      </c>
      <c r="I401" s="176" t="inlineStr">
        <is>
          <t>Бобрышев Борис Леонидович</t>
        </is>
      </c>
      <c r="J401" s="176" t="n"/>
      <c r="K401" s="176" t="inlineStr">
        <is>
          <t>Да</t>
        </is>
      </c>
      <c r="L401" s="176" t="n"/>
      <c r="M401" s="176" t="n"/>
      <c r="N401" s="179">
        <f>SUMIFS($E$2:$E$896,$A$2:$A$896,"осень",$I$2:$I$896,I401)</f>
        <v/>
      </c>
      <c r="O401" s="179">
        <f>SUMIFS($E$2:$E$896,$A$2:$A$896,"весна",$I$2:$I$896,I401)</f>
        <v/>
      </c>
      <c r="P401" s="180">
        <f>N401+O401</f>
        <v/>
      </c>
      <c r="Q401" s="181">
        <f>P401/$Q$1</f>
        <v/>
      </c>
      <c r="R401" s="122">
        <f>P401*0.2</f>
        <v/>
      </c>
      <c r="S401" s="122">
        <f>Q401*0.8</f>
        <v/>
      </c>
      <c r="T401" s="133" t="n">
        <v>0.3</v>
      </c>
    </row>
    <row r="402" hidden="1" ht="15.75" customHeight="1" s="2">
      <c r="A402" s="175" t="inlineStr">
        <is>
          <t>осень</t>
        </is>
      </c>
      <c r="B402" s="176" t="inlineStr">
        <is>
          <t>Методология научных исследований</t>
        </is>
      </c>
      <c r="C402" s="176" t="inlineStr">
        <is>
          <t>Консультация</t>
        </is>
      </c>
      <c r="D402" s="176" t="inlineStr">
        <is>
          <t>Т11О-202М-22</t>
        </is>
      </c>
      <c r="E402" s="177" t="n">
        <v>1</v>
      </c>
      <c r="F402" s="176" t="inlineStr">
        <is>
          <t>16104</t>
        </is>
      </c>
      <c r="G402" s="178" t="n"/>
      <c r="H402" s="176" t="inlineStr">
        <is>
          <t>81958</t>
        </is>
      </c>
      <c r="I402" s="176" t="inlineStr">
        <is>
          <t>Бобрышев Борис Леонидович</t>
        </is>
      </c>
      <c r="J402" s="176" t="n"/>
      <c r="K402" s="176" t="inlineStr">
        <is>
          <t>Да</t>
        </is>
      </c>
      <c r="L402" s="176" t="n"/>
      <c r="M402" s="176" t="n"/>
      <c r="N402" s="179">
        <f>SUMIFS($E$2:$E$896,$A$2:$A$896,"осень",$I$2:$I$896,I402)</f>
        <v/>
      </c>
      <c r="O402" s="179">
        <f>SUMIFS($E$2:$E$896,$A$2:$A$896,"весна",$I$2:$I$896,I402)</f>
        <v/>
      </c>
      <c r="P402" s="180">
        <f>N402+O402</f>
        <v/>
      </c>
      <c r="Q402" s="181">
        <f>P402/$Q$1</f>
        <v/>
      </c>
      <c r="R402" s="122">
        <f>P402*0.2</f>
        <v/>
      </c>
      <c r="S402" s="122">
        <f>Q402*0.8</f>
        <v/>
      </c>
      <c r="T402" s="133" t="n">
        <v>0.3</v>
      </c>
    </row>
    <row r="403" hidden="1" ht="15.75" customHeight="1" s="2">
      <c r="A403" s="175" t="inlineStr">
        <is>
          <t>осень</t>
        </is>
      </c>
      <c r="B403" s="176" t="inlineStr">
        <is>
          <t>Практика аспиранта</t>
        </is>
      </c>
      <c r="C403" s="176" t="inlineStr">
        <is>
          <t>Практика</t>
        </is>
      </c>
      <c r="D403" s="176" t="inlineStr">
        <is>
          <t>Т11О-203А-22</t>
        </is>
      </c>
      <c r="E403" s="177" t="n">
        <v>10</v>
      </c>
      <c r="F403" s="176" t="n"/>
      <c r="G403" s="178" t="n"/>
      <c r="H403" s="176" t="inlineStr">
        <is>
          <t>92509</t>
        </is>
      </c>
      <c r="I403" s="176" t="inlineStr">
        <is>
          <t>Пашков Игорь Николаевич</t>
        </is>
      </c>
      <c r="J403" s="176" t="n"/>
      <c r="K403" s="176" t="inlineStr">
        <is>
          <t>Нет</t>
        </is>
      </c>
      <c r="L403" s="176" t="n"/>
      <c r="M403" s="176" t="inlineStr">
        <is>
          <t>Гаджиев Магомед Ражабович</t>
        </is>
      </c>
      <c r="N403" s="179">
        <f>SUMIFS($E$2:$E$896,$A$2:$A$896,"осень",$I$2:$I$896,I403)</f>
        <v/>
      </c>
      <c r="O403" s="179">
        <f>SUMIFS($E$2:$E$896,$A$2:$A$896,"весна",$I$2:$I$896,I403)</f>
        <v/>
      </c>
      <c r="P403" s="180">
        <f>N403+O403</f>
        <v/>
      </c>
      <c r="Q403" s="181">
        <f>P403/$Q$1</f>
        <v/>
      </c>
      <c r="R403" s="122">
        <f>P403*0.2</f>
        <v/>
      </c>
      <c r="S403" s="122">
        <f>Q403*0.8</f>
        <v/>
      </c>
      <c r="T403" s="133" t="n">
        <v>0.55</v>
      </c>
    </row>
    <row r="404" hidden="1" ht="15.75" customHeight="1" s="2">
      <c r="A404" s="175" t="inlineStr">
        <is>
          <t>осень</t>
        </is>
      </c>
      <c r="B404" s="176" t="inlineStr">
        <is>
          <t>Практика аспиранта</t>
        </is>
      </c>
      <c r="C404" s="176" t="inlineStr">
        <is>
          <t>Практика</t>
        </is>
      </c>
      <c r="D404" s="176" t="inlineStr">
        <is>
          <t>Т11О-203А-22</t>
        </is>
      </c>
      <c r="E404" s="177" t="n">
        <v>10</v>
      </c>
      <c r="F404" s="176" t="n"/>
      <c r="G404" s="178" t="n"/>
      <c r="H404" s="176" t="inlineStr">
        <is>
          <t>81958</t>
        </is>
      </c>
      <c r="I404" s="176" t="inlineStr">
        <is>
          <t>Бецофен Сергей Яковлевич</t>
        </is>
      </c>
      <c r="J404" s="176" t="n"/>
      <c r="K404" s="176" t="inlineStr">
        <is>
          <t>Да</t>
        </is>
      </c>
      <c r="L404" s="176" t="n"/>
      <c r="M404" s="176" t="inlineStr">
        <is>
          <t>Максименко Екатерина Игоревна</t>
        </is>
      </c>
      <c r="N404" s="179">
        <f>SUMIFS($E$2:$E$896,$A$2:$A$896,"осень",$I$2:$I$896,I404)</f>
        <v/>
      </c>
      <c r="O404" s="179">
        <f>SUMIFS($E$2:$E$896,$A$2:$A$896,"весна",$I$2:$I$896,I404)</f>
        <v/>
      </c>
      <c r="P404" s="180">
        <f>N404+O404</f>
        <v/>
      </c>
      <c r="Q404" s="181">
        <f>P404/$Q$1</f>
        <v/>
      </c>
      <c r="R404" s="122">
        <f>P404*0.2</f>
        <v/>
      </c>
      <c r="S404" s="122">
        <f>Q404*0.8</f>
        <v/>
      </c>
      <c r="T404" s="133" t="n">
        <v>0.3</v>
      </c>
    </row>
    <row r="405" hidden="1" ht="15.75" customHeight="1" s="2">
      <c r="A405" s="175" t="inlineStr">
        <is>
          <t>осень</t>
        </is>
      </c>
      <c r="B405" s="176" t="inlineStr">
        <is>
          <t>Практика аспиранта</t>
        </is>
      </c>
      <c r="C405" s="176" t="inlineStr">
        <is>
          <t>Практика</t>
        </is>
      </c>
      <c r="D405" s="176" t="inlineStr">
        <is>
          <t>Т11О-205А-22</t>
        </is>
      </c>
      <c r="E405" s="177" t="n">
        <v>20</v>
      </c>
      <c r="F405" s="176" t="n"/>
      <c r="G405" s="178" t="n"/>
      <c r="H405" s="176" t="inlineStr">
        <is>
          <t>81891</t>
        </is>
      </c>
      <c r="I405" s="176" t="inlineStr">
        <is>
          <t>Ряховский Александр Павлович</t>
        </is>
      </c>
      <c r="J405" s="176" t="n"/>
      <c r="K405" s="176" t="inlineStr">
        <is>
          <t>Да</t>
        </is>
      </c>
      <c r="L405" s="176" t="n"/>
      <c r="M405" s="176" t="inlineStr">
        <is>
          <t>Федорцов Руслан Сергеевич</t>
        </is>
      </c>
      <c r="N405" s="179">
        <f>SUMIFS($E$2:$E$896,$A$2:$A$896,"осень",$I$2:$I$896,I405)</f>
        <v/>
      </c>
      <c r="O405" s="179">
        <f>SUMIFS($E$2:$E$896,$A$2:$A$896,"весна",$I$2:$I$896,I405)</f>
        <v/>
      </c>
      <c r="P405" s="180">
        <f>N405+O405</f>
        <v/>
      </c>
      <c r="Q405" s="181">
        <f>P405/$Q$1</f>
        <v/>
      </c>
      <c r="R405" s="122">
        <f>P405*0.2</f>
        <v/>
      </c>
      <c r="S405" s="122">
        <f>Q405*0.8</f>
        <v/>
      </c>
      <c r="T405" s="133" t="n">
        <v>0.5</v>
      </c>
    </row>
    <row r="406" hidden="1" ht="15.75" customHeight="1" s="2">
      <c r="A406" s="175" t="inlineStr">
        <is>
          <t>осень</t>
        </is>
      </c>
      <c r="B406" s="176" t="inlineStr">
        <is>
          <t>Практика аспиранта</t>
        </is>
      </c>
      <c r="C406" s="176" t="inlineStr">
        <is>
          <t>Практика</t>
        </is>
      </c>
      <c r="D406" s="176" t="inlineStr">
        <is>
          <t>Т11О-206А-22</t>
        </is>
      </c>
      <c r="E406" s="177" t="n">
        <v>20</v>
      </c>
      <c r="F406" s="176" t="n"/>
      <c r="G406" s="178" t="n"/>
      <c r="H406" s="176" t="inlineStr">
        <is>
          <t>81728</t>
        </is>
      </c>
      <c r="I406" s="176" t="inlineStr">
        <is>
          <t>Галкин Виктор Иванович</t>
        </is>
      </c>
      <c r="J406" s="176" t="n"/>
      <c r="K406" s="176" t="inlineStr">
        <is>
          <t>Да</t>
        </is>
      </c>
      <c r="L406" s="176" t="n"/>
      <c r="M406" s="176" t="inlineStr">
        <is>
          <t>Батталов Тагир Хикимьянович</t>
        </is>
      </c>
      <c r="N406" s="179">
        <f>SUMIFS($E$2:$E$896,$A$2:$A$896,"осень",$I$2:$I$896,I406)</f>
        <v/>
      </c>
      <c r="O406" s="179">
        <f>SUMIFS($E$2:$E$896,$A$2:$A$896,"весна",$I$2:$I$896,I406)</f>
        <v/>
      </c>
      <c r="P406" s="180">
        <f>N406+O406</f>
        <v/>
      </c>
      <c r="Q406" s="181">
        <f>P406/$Q$1</f>
        <v/>
      </c>
      <c r="R406" s="122">
        <f>P406*0.2</f>
        <v/>
      </c>
      <c r="S406" s="122">
        <f>Q406*0.8</f>
        <v/>
      </c>
      <c r="T406" s="133" t="n">
        <v>0.75</v>
      </c>
    </row>
    <row r="407" hidden="1" ht="15.75" customHeight="1" s="2">
      <c r="A407" s="175" t="inlineStr">
        <is>
          <t>осень</t>
        </is>
      </c>
      <c r="B407" s="176" t="inlineStr">
        <is>
          <t>Практика аспиранта</t>
        </is>
      </c>
      <c r="C407" s="176" t="inlineStr">
        <is>
          <t>Практика</t>
        </is>
      </c>
      <c r="D407" s="176" t="inlineStr">
        <is>
          <t>Т11О-207А-22</t>
        </is>
      </c>
      <c r="E407" s="177" t="n">
        <v>20</v>
      </c>
      <c r="F407" s="176" t="n"/>
      <c r="G407" s="178" t="n"/>
      <c r="H407" s="176" t="inlineStr">
        <is>
          <t>82060</t>
        </is>
      </c>
      <c r="I407" s="176" t="inlineStr">
        <is>
          <t>Лозован Александр Александрович</t>
        </is>
      </c>
      <c r="J407" s="176" t="n"/>
      <c r="K407" s="176" t="inlineStr">
        <is>
          <t>Да</t>
        </is>
      </c>
      <c r="L407" s="176" t="n"/>
      <c r="M407" s="176" t="inlineStr">
        <is>
          <t>Рыбаков Егор Михайлович</t>
        </is>
      </c>
      <c r="N407" s="179">
        <f>SUMIFS($E$2:$E$896,$A$2:$A$896,"осень",$I$2:$I$896,I407)</f>
        <v/>
      </c>
      <c r="O407" s="179">
        <f>SUMIFS($E$2:$E$896,$A$2:$A$896,"весна",$I$2:$I$896,I407)</f>
        <v/>
      </c>
      <c r="P407" s="180">
        <f>N407+O407</f>
        <v/>
      </c>
      <c r="Q407" s="181">
        <f>P407/$Q$1</f>
        <v/>
      </c>
      <c r="R407" s="122">
        <f>P407*0.2</f>
        <v/>
      </c>
      <c r="S407" s="122">
        <f>Q407*0.8</f>
        <v/>
      </c>
      <c r="T407" s="133" t="n">
        <v>0.55</v>
      </c>
    </row>
    <row r="408" hidden="1" ht="15.75" customHeight="1" s="2">
      <c r="A408" s="175" t="inlineStr">
        <is>
          <t>осень</t>
        </is>
      </c>
      <c r="B408" s="176" t="inlineStr">
        <is>
          <t>Производственная практика</t>
        </is>
      </c>
      <c r="C408" s="176" t="inlineStr">
        <is>
          <t>Преддипломная практика</t>
        </is>
      </c>
      <c r="D408" s="176" t="inlineStr">
        <is>
          <t>Т11О-201М-22</t>
        </is>
      </c>
      <c r="E408" s="177" t="n">
        <v>13</v>
      </c>
      <c r="F408" s="176" t="n"/>
      <c r="G408" s="178" t="n"/>
      <c r="H408" s="176" t="inlineStr">
        <is>
          <t>81891</t>
        </is>
      </c>
      <c r="I408" s="176" t="inlineStr">
        <is>
          <t>Ряховский Александр Павлович</t>
        </is>
      </c>
      <c r="J408" s="176" t="n"/>
      <c r="K408" s="176" t="inlineStr">
        <is>
          <t>Да</t>
        </is>
      </c>
      <c r="L408" s="176" t="n"/>
      <c r="M408" s="176" t="n"/>
      <c r="N408" s="179">
        <f>SUMIFS($E$2:$E$896,$A$2:$A$896,"осень",$I$2:$I$896,I408)</f>
        <v/>
      </c>
      <c r="O408" s="179">
        <f>SUMIFS($E$2:$E$896,$A$2:$A$896,"весна",$I$2:$I$896,I408)</f>
        <v/>
      </c>
      <c r="P408" s="180">
        <f>N408+O408</f>
        <v/>
      </c>
      <c r="Q408" s="181">
        <f>P408/$Q$1</f>
        <v/>
      </c>
      <c r="R408" s="122">
        <f>P408*0.2</f>
        <v/>
      </c>
      <c r="S408" s="122">
        <f>Q408*0.8</f>
        <v/>
      </c>
      <c r="T408" s="133" t="n">
        <v>0.5</v>
      </c>
    </row>
    <row r="409" hidden="1" ht="15.75" customHeight="1" s="2">
      <c r="A409" s="175" t="inlineStr">
        <is>
          <t>осень</t>
        </is>
      </c>
      <c r="B409" s="176" t="inlineStr">
        <is>
          <t>Производственная практика</t>
        </is>
      </c>
      <c r="C409" s="176" t="inlineStr">
        <is>
          <t>Преддипломная практика</t>
        </is>
      </c>
      <c r="D409" s="176" t="inlineStr">
        <is>
          <t>Т11О-202М-22</t>
        </is>
      </c>
      <c r="E409" s="177" t="n">
        <v>8</v>
      </c>
      <c r="F409" s="176" t="n"/>
      <c r="G409" s="178" t="n"/>
      <c r="H409" s="176" t="inlineStr">
        <is>
          <t>81891</t>
        </is>
      </c>
      <c r="I409" s="176" t="inlineStr">
        <is>
          <t>Ряховский Александр Павлович</t>
        </is>
      </c>
      <c r="J409" s="176" t="n"/>
      <c r="K409" s="176" t="inlineStr">
        <is>
          <t>Да</t>
        </is>
      </c>
      <c r="L409" s="176" t="n"/>
      <c r="M409" s="176" t="n"/>
      <c r="N409" s="179">
        <f>SUMIFS($E$2:$E$896,$A$2:$A$896,"осень",$I$2:$I$896,I409)</f>
        <v/>
      </c>
      <c r="O409" s="179">
        <f>SUMIFS($E$2:$E$896,$A$2:$A$896,"весна",$I$2:$I$896,I409)</f>
        <v/>
      </c>
      <c r="P409" s="180">
        <f>N409+O409</f>
        <v/>
      </c>
      <c r="Q409" s="181">
        <f>P409/$Q$1</f>
        <v/>
      </c>
      <c r="R409" s="122">
        <f>P409*0.2</f>
        <v/>
      </c>
      <c r="S409" s="122">
        <f>Q409*0.8</f>
        <v/>
      </c>
      <c r="T409" s="133" t="n">
        <v>0.5</v>
      </c>
    </row>
    <row r="410" hidden="1" ht="15.75" customHeight="1" s="2">
      <c r="A410" s="175" t="inlineStr">
        <is>
          <t>осень</t>
        </is>
      </c>
      <c r="B410" s="176" t="inlineStr">
        <is>
          <t>Педагогическая практика</t>
        </is>
      </c>
      <c r="C410" s="176" t="inlineStr">
        <is>
          <t>Преддипломная практика</t>
        </is>
      </c>
      <c r="D410" s="176" t="inlineStr">
        <is>
          <t>Т11О-201М-22</t>
        </is>
      </c>
      <c r="E410" s="177" t="n">
        <v>13</v>
      </c>
      <c r="F410" s="176" t="n"/>
      <c r="G410" s="178" t="n"/>
      <c r="H410" s="176" t="n"/>
      <c r="I410" s="176" t="inlineStr">
        <is>
          <t>Александрова Светлана Сергеевна</t>
        </is>
      </c>
      <c r="J410" s="176" t="n"/>
      <c r="K410" s="176" t="inlineStr">
        <is>
          <t>Да</t>
        </is>
      </c>
      <c r="L410" s="176" t="n"/>
      <c r="M410" s="176" t="n"/>
      <c r="N410" s="179">
        <f>SUMIFS($E$2:$E$896,$A$2:$A$896,"осень",$I$2:$I$896,I410)</f>
        <v/>
      </c>
      <c r="O410" s="179">
        <f>SUMIFS($E$2:$E$896,$A$2:$A$896,"весна",$I$2:$I$896,I410)</f>
        <v/>
      </c>
      <c r="P410" s="180">
        <f>N410+O410</f>
        <v/>
      </c>
      <c r="Q410" s="181">
        <f>P410/$Q$1</f>
        <v/>
      </c>
      <c r="R410" s="122">
        <f>P410*0.2</f>
        <v/>
      </c>
      <c r="S410" s="122">
        <f>Q410*0.8</f>
        <v/>
      </c>
      <c r="T410" s="133" t="n">
        <v>0.65</v>
      </c>
    </row>
    <row r="411" hidden="1" ht="15.75" customHeight="1" s="2">
      <c r="A411" s="175" t="inlineStr">
        <is>
          <t>осень</t>
        </is>
      </c>
      <c r="B411" s="176" t="inlineStr">
        <is>
          <t>Педагогическая практика</t>
        </is>
      </c>
      <c r="C411" s="176" t="inlineStr">
        <is>
          <t>Преддипломная практика</t>
        </is>
      </c>
      <c r="D411" s="176" t="inlineStr">
        <is>
          <t>Т11О-202М-22</t>
        </is>
      </c>
      <c r="E411" s="177" t="n">
        <v>8</v>
      </c>
      <c r="F411" s="176" t="n"/>
      <c r="G411" s="178" t="n"/>
      <c r="H411" s="176" t="n"/>
      <c r="I411" s="176" t="inlineStr">
        <is>
          <t>Александрова Светлана Сергеевна</t>
        </is>
      </c>
      <c r="J411" s="176" t="n"/>
      <c r="K411" s="176" t="inlineStr">
        <is>
          <t>Да</t>
        </is>
      </c>
      <c r="L411" s="176" t="n"/>
      <c r="M411" s="176" t="n"/>
      <c r="N411" s="179">
        <f>SUMIFS($E$2:$E$896,$A$2:$A$896,"осень",$I$2:$I$896,I411)</f>
        <v/>
      </c>
      <c r="O411" s="179">
        <f>SUMIFS($E$2:$E$896,$A$2:$A$896,"весна",$I$2:$I$896,I411)</f>
        <v/>
      </c>
      <c r="P411" s="180">
        <f>N411+O411</f>
        <v/>
      </c>
      <c r="Q411" s="181">
        <f>P411/$Q$1</f>
        <v/>
      </c>
      <c r="R411" s="122">
        <f>P411*0.2</f>
        <v/>
      </c>
      <c r="S411" s="122">
        <f>Q411*0.8</f>
        <v/>
      </c>
      <c r="T411" s="133" t="n">
        <v>0.65</v>
      </c>
    </row>
    <row r="412" hidden="1" ht="15.75" customHeight="1" s="2">
      <c r="A412" s="175" t="inlineStr">
        <is>
          <t>осень</t>
        </is>
      </c>
      <c r="B412" s="176" t="inlineStr">
        <is>
          <t>Руководство магистрами</t>
        </is>
      </c>
      <c r="C412" s="176" t="inlineStr">
        <is>
          <t>Руководство магистрами</t>
        </is>
      </c>
      <c r="D412" s="176" t="inlineStr">
        <is>
          <t>Т11О-201М-22</t>
        </is>
      </c>
      <c r="E412" s="177" t="n">
        <v>15</v>
      </c>
      <c r="F412" s="176" t="n"/>
      <c r="G412" s="178" t="n"/>
      <c r="H412" s="176" t="inlineStr">
        <is>
          <t>81728</t>
        </is>
      </c>
      <c r="I412" s="176" t="inlineStr">
        <is>
          <t>Галкин Виктор Иванович</t>
        </is>
      </c>
      <c r="J412" s="176" t="n"/>
      <c r="K412" s="176" t="inlineStr">
        <is>
          <t>Да</t>
        </is>
      </c>
      <c r="L412" s="176" t="n"/>
      <c r="M412" s="176" t="inlineStr">
        <is>
          <t>Александров Антон Васильевич</t>
        </is>
      </c>
      <c r="N412" s="179">
        <f>SUMIFS($E$2:$E$896,$A$2:$A$896,"осень",$I$2:$I$896,I412)</f>
        <v/>
      </c>
      <c r="O412" s="179">
        <f>SUMIFS($E$2:$E$896,$A$2:$A$896,"весна",$I$2:$I$896,I412)</f>
        <v/>
      </c>
      <c r="P412" s="180">
        <f>N412+O412</f>
        <v/>
      </c>
      <c r="Q412" s="181">
        <f>P412/$Q$1</f>
        <v/>
      </c>
      <c r="R412" s="122">
        <f>P412*0.2</f>
        <v/>
      </c>
      <c r="S412" s="122">
        <f>Q412*0.8</f>
        <v/>
      </c>
      <c r="T412" s="133" t="n">
        <v>0.75</v>
      </c>
    </row>
    <row r="413" hidden="1" ht="15.75" customHeight="1" s="2">
      <c r="A413" s="175" t="inlineStr">
        <is>
          <t>осень</t>
        </is>
      </c>
      <c r="B413" s="176" t="inlineStr">
        <is>
          <t>Руководство магистрами</t>
        </is>
      </c>
      <c r="C413" s="176" t="inlineStr">
        <is>
          <t>Руководство магистрами</t>
        </is>
      </c>
      <c r="D413" s="176" t="inlineStr">
        <is>
          <t>Т11О-201М-22</t>
        </is>
      </c>
      <c r="E413" s="177" t="n">
        <v>30</v>
      </c>
      <c r="F413" s="176" t="n"/>
      <c r="G413" s="178" t="n"/>
      <c r="H413" s="176" t="inlineStr">
        <is>
          <t>81732</t>
        </is>
      </c>
      <c r="I413" s="176" t="inlineStr">
        <is>
          <t>Петров Анатолий Павлович</t>
        </is>
      </c>
      <c r="J413" s="176" t="n"/>
      <c r="K413" s="176" t="inlineStr">
        <is>
          <t>Да</t>
        </is>
      </c>
      <c r="L413" s="176" t="n"/>
      <c r="M413" s="176" t="inlineStr">
        <is>
          <t>Барабанкова Дарья Александровна, Чалый Никита Олегович</t>
        </is>
      </c>
      <c r="N413" s="179">
        <f>SUMIFS($E$2:$E$896,$A$2:$A$896,"осень",$I$2:$I$896,I413)</f>
        <v/>
      </c>
      <c r="O413" s="179">
        <f>SUMIFS($E$2:$E$896,$A$2:$A$896,"весна",$I$2:$I$896,I413)</f>
        <v/>
      </c>
      <c r="P413" s="180">
        <f>N413+O413</f>
        <v/>
      </c>
      <c r="Q413" s="181">
        <f>P413/$Q$1</f>
        <v/>
      </c>
      <c r="R413" s="122">
        <f>P413*0.2</f>
        <v/>
      </c>
      <c r="S413" s="122">
        <f>Q413*0.8</f>
        <v/>
      </c>
      <c r="T413" s="133" t="n">
        <v>0.25</v>
      </c>
    </row>
    <row r="414" hidden="1" ht="15.75" customHeight="1" s="2">
      <c r="A414" s="175" t="inlineStr">
        <is>
          <t>осень</t>
        </is>
      </c>
      <c r="B414" s="176" t="inlineStr">
        <is>
          <t>Руководство магистрами</t>
        </is>
      </c>
      <c r="C414" s="176" t="inlineStr">
        <is>
          <t>Руководство магистрами</t>
        </is>
      </c>
      <c r="D414" s="176" t="inlineStr">
        <is>
          <t>Т11О-201М-22</t>
        </is>
      </c>
      <c r="E414" s="177" t="n">
        <v>15</v>
      </c>
      <c r="F414" s="176" t="n"/>
      <c r="G414" s="178" t="n"/>
      <c r="H414" s="176" t="inlineStr">
        <is>
          <t>81731</t>
        </is>
      </c>
      <c r="I414" s="176" t="inlineStr">
        <is>
          <t>Беспалов Александр Владимирович</t>
        </is>
      </c>
      <c r="J414" s="176" t="n"/>
      <c r="K414" s="176" t="inlineStr">
        <is>
          <t>Нет</t>
        </is>
      </c>
      <c r="L414" s="176" t="n"/>
      <c r="M414" s="176" t="inlineStr">
        <is>
          <t>Голубев Константин Михайлович</t>
        </is>
      </c>
      <c r="N414" s="179">
        <f>SUMIFS($E$2:$E$896,$A$2:$A$896,"осень",$I$2:$I$896,I414)</f>
        <v/>
      </c>
      <c r="O414" s="179">
        <f>SUMIFS($E$2:$E$896,$A$2:$A$896,"весна",$I$2:$I$896,I414)</f>
        <v/>
      </c>
      <c r="P414" s="180">
        <f>N414+O414</f>
        <v/>
      </c>
      <c r="Q414" s="181">
        <f>P414/$Q$1</f>
        <v/>
      </c>
      <c r="R414" s="122">
        <f>P414*0.2</f>
        <v/>
      </c>
      <c r="S414" s="122">
        <f>Q414*0.8</f>
        <v/>
      </c>
      <c r="T414" s="133" t="n">
        <v>0.15</v>
      </c>
    </row>
    <row r="415" hidden="1" ht="15.75" customHeight="1" s="2">
      <c r="A415" s="175" t="inlineStr">
        <is>
          <t>осень</t>
        </is>
      </c>
      <c r="B415" s="176" t="inlineStr">
        <is>
          <t>Руководство магистрами</t>
        </is>
      </c>
      <c r="C415" s="176" t="inlineStr">
        <is>
          <t>Руководство магистрами</t>
        </is>
      </c>
      <c r="D415" s="176" t="inlineStr">
        <is>
          <t>Т11О-201М-22</t>
        </is>
      </c>
      <c r="E415" s="177" t="n">
        <v>30</v>
      </c>
      <c r="F415" s="176" t="n"/>
      <c r="G415" s="178" t="n"/>
      <c r="H415" s="176" t="inlineStr">
        <is>
          <t>82056</t>
        </is>
      </c>
      <c r="I415" s="176" t="inlineStr">
        <is>
          <t>Никитина Елена Владимировна</t>
        </is>
      </c>
      <c r="J415" s="176" t="n"/>
      <c r="K415" s="176" t="inlineStr">
        <is>
          <t>Да</t>
        </is>
      </c>
      <c r="L415" s="176" t="n"/>
      <c r="M415" s="176" t="inlineStr">
        <is>
          <t>Диесперов Сергей Николаевич</t>
        </is>
      </c>
      <c r="N415" s="179">
        <f>SUMIFS($E$2:$E$896,$A$2:$A$896,"осень",$I$2:$I$896,I415)</f>
        <v/>
      </c>
      <c r="O415" s="179">
        <f>SUMIFS($E$2:$E$896,$A$2:$A$896,"весна",$I$2:$I$896,I415)</f>
        <v/>
      </c>
      <c r="P415" s="180">
        <f>N415+O415</f>
        <v/>
      </c>
      <c r="Q415" s="181">
        <f>P415/$Q$1</f>
        <v/>
      </c>
      <c r="R415" s="122">
        <f>P415*0.2</f>
        <v/>
      </c>
      <c r="S415" s="122">
        <f>Q415*0.8</f>
        <v/>
      </c>
      <c r="T415" s="133" t="n">
        <v>0.5</v>
      </c>
    </row>
    <row r="416" hidden="1" ht="15.75" customHeight="1" s="2">
      <c r="A416" s="175" t="inlineStr">
        <is>
          <t>осень</t>
        </is>
      </c>
      <c r="B416" s="176" t="inlineStr">
        <is>
          <t>Руководство магистрами</t>
        </is>
      </c>
      <c r="C416" s="176" t="inlineStr">
        <is>
          <t>Руководство магистрами</t>
        </is>
      </c>
      <c r="D416" s="176" t="inlineStr">
        <is>
          <t>Т11О-201М-22</t>
        </is>
      </c>
      <c r="E416" s="177" t="n">
        <v>15</v>
      </c>
      <c r="F416" s="176" t="n"/>
      <c r="G416" s="178" t="n"/>
      <c r="H416" s="176" t="inlineStr">
        <is>
          <t>92509</t>
        </is>
      </c>
      <c r="I416" s="176" t="inlineStr">
        <is>
          <t>Пашков Игорь Николаевич</t>
        </is>
      </c>
      <c r="J416" s="176" t="n"/>
      <c r="K416" s="176" t="inlineStr">
        <is>
          <t>Нет</t>
        </is>
      </c>
      <c r="L416" s="176" t="n"/>
      <c r="M416" s="176" t="inlineStr">
        <is>
          <t>Редьков Евгений Алексеевич</t>
        </is>
      </c>
      <c r="N416" s="179">
        <f>SUMIFS($E$2:$E$896,$A$2:$A$896,"осень",$I$2:$I$896,I416)</f>
        <v/>
      </c>
      <c r="O416" s="179">
        <f>SUMIFS($E$2:$E$896,$A$2:$A$896,"весна",$I$2:$I$896,I416)</f>
        <v/>
      </c>
      <c r="P416" s="180">
        <f>N416+O416</f>
        <v/>
      </c>
      <c r="Q416" s="181">
        <f>P416/$Q$1</f>
        <v/>
      </c>
      <c r="R416" s="122">
        <f>P416*0.2</f>
        <v/>
      </c>
      <c r="S416" s="122">
        <f>Q416*0.8</f>
        <v/>
      </c>
      <c r="T416" s="133" t="n">
        <v>0.55</v>
      </c>
    </row>
    <row r="417" hidden="1" ht="15.75" customHeight="1" s="2">
      <c r="A417" s="175" t="inlineStr">
        <is>
          <t>осень</t>
        </is>
      </c>
      <c r="B417" s="176" t="inlineStr">
        <is>
          <t>Руководство магистрами</t>
        </is>
      </c>
      <c r="C417" s="176" t="inlineStr">
        <is>
          <t>Руководство магистрами</t>
        </is>
      </c>
      <c r="D417" s="176" t="inlineStr">
        <is>
          <t>Т11О-201М-22</t>
        </is>
      </c>
      <c r="E417" s="177" t="n">
        <v>15</v>
      </c>
      <c r="F417" s="176" t="n"/>
      <c r="G417" s="178" t="n"/>
      <c r="H417" s="176" t="inlineStr">
        <is>
          <t>89090</t>
        </is>
      </c>
      <c r="I417" s="176" t="inlineStr">
        <is>
          <t>Степанов Владимир Валерьевич</t>
        </is>
      </c>
      <c r="J417" s="176" t="n"/>
      <c r="K417" s="176" t="inlineStr">
        <is>
          <t>Нет</t>
        </is>
      </c>
      <c r="L417" s="176" t="n"/>
      <c r="M417" s="176" t="inlineStr">
        <is>
          <t>Чугункин Никита Игоревич</t>
        </is>
      </c>
      <c r="N417" s="179">
        <f>SUMIFS($E$2:$E$896,$A$2:$A$896,"осень",$I$2:$I$896,I417)</f>
        <v/>
      </c>
      <c r="O417" s="179">
        <f>SUMIFS($E$2:$E$896,$A$2:$A$896,"весна",$I$2:$I$896,I417)</f>
        <v/>
      </c>
      <c r="P417" s="180">
        <f>N417+O417</f>
        <v/>
      </c>
      <c r="Q417" s="181">
        <f>P417/$Q$1</f>
        <v/>
      </c>
      <c r="R417" s="122">
        <f>P417*0.2</f>
        <v/>
      </c>
      <c r="S417" s="122">
        <f>Q417*0.8</f>
        <v/>
      </c>
      <c r="T417" s="133" t="n">
        <v>0.4</v>
      </c>
    </row>
    <row r="418" hidden="1" ht="15.75" customHeight="1" s="2">
      <c r="A418" s="175" t="inlineStr">
        <is>
          <t>осень</t>
        </is>
      </c>
      <c r="B418" s="176" t="inlineStr">
        <is>
          <t>Руководство магистрами</t>
        </is>
      </c>
      <c r="C418" s="176" t="inlineStr">
        <is>
          <t>Руководство магистрами</t>
        </is>
      </c>
      <c r="D418" s="176" t="inlineStr">
        <is>
          <t>Т11О-201М-22</t>
        </is>
      </c>
      <c r="E418" s="177" t="n">
        <v>15</v>
      </c>
      <c r="F418" s="176" t="n"/>
      <c r="G418" s="178" t="n"/>
      <c r="H418" s="176" t="inlineStr">
        <is>
          <t>81720</t>
        </is>
      </c>
      <c r="I418" s="176" t="inlineStr">
        <is>
          <t>Палтиевич Андрей Романович</t>
        </is>
      </c>
      <c r="J418" s="176" t="n"/>
      <c r="K418" s="176" t="inlineStr">
        <is>
          <t>Нет</t>
        </is>
      </c>
      <c r="L418" s="176" t="n"/>
      <c r="M418" s="176" t="inlineStr">
        <is>
          <t>Булатов Асадбек Улугбек угли</t>
        </is>
      </c>
      <c r="N418" s="179">
        <f>SUMIFS($E$2:$E$896,$A$2:$A$896,"осень",$I$2:$I$896,I418)</f>
        <v/>
      </c>
      <c r="O418" s="179">
        <f>SUMIFS($E$2:$E$896,$A$2:$A$896,"весна",$I$2:$I$896,I418)</f>
        <v/>
      </c>
      <c r="P418" s="180">
        <f>N418+O418</f>
        <v/>
      </c>
      <c r="Q418" s="181">
        <f>P418/$Q$1</f>
        <v/>
      </c>
      <c r="R418" s="122">
        <f>P418*0.2</f>
        <v/>
      </c>
      <c r="S418" s="122">
        <f>Q418*0.8</f>
        <v/>
      </c>
      <c r="T418" s="133" t="n">
        <v>0.65</v>
      </c>
    </row>
    <row r="419" hidden="1" ht="15.75" customHeight="1" s="2">
      <c r="A419" s="191" t="inlineStr">
        <is>
          <t>осень</t>
        </is>
      </c>
      <c r="B419" s="182" t="inlineStr">
        <is>
          <t>Руководство магистрами</t>
        </is>
      </c>
      <c r="C419" s="182" t="inlineStr">
        <is>
          <t>Руководство магистрами</t>
        </is>
      </c>
      <c r="D419" s="182" t="inlineStr">
        <is>
          <t>Т11О-201М-22</t>
        </is>
      </c>
      <c r="E419" s="183" t="n">
        <v>15</v>
      </c>
      <c r="F419" s="182" t="n"/>
      <c r="G419" s="187" t="n"/>
      <c r="H419" s="182" t="inlineStr">
        <is>
          <t>0000065837</t>
        </is>
      </c>
      <c r="I419" s="182" t="inlineStr">
        <is>
          <t>Александрова Светлана Сергеевна</t>
        </is>
      </c>
      <c r="J419" s="176" t="n"/>
      <c r="K419" s="176" t="inlineStr">
        <is>
          <t>Нет</t>
        </is>
      </c>
      <c r="L419" s="176" t="n"/>
      <c r="M419" s="192" t="inlineStr">
        <is>
          <t>Лепешкин Георгий Игоревич, Мардеев Эмиль Ренатович, Прунский Дмитрий Евгеньевич</t>
        </is>
      </c>
      <c r="N419" s="179">
        <f>SUMIFS($E$2:$E$896,$A$2:$A$896,"осень",$I$2:$I$896,I419)</f>
        <v/>
      </c>
      <c r="O419" s="179">
        <f>SUMIFS($E$2:$E$896,$A$2:$A$896,"весна",$I$2:$I$896,I419)</f>
        <v/>
      </c>
      <c r="P419" s="180">
        <f>N419+O419</f>
        <v/>
      </c>
      <c r="Q419" s="181">
        <f>P419/$Q$1</f>
        <v/>
      </c>
      <c r="R419" s="122">
        <f>P419*0.2</f>
        <v/>
      </c>
      <c r="S419" s="122">
        <f>Q419*0.8</f>
        <v/>
      </c>
      <c r="T419" s="133" t="n">
        <v>0.65</v>
      </c>
    </row>
    <row r="420" hidden="1" ht="15.75" customHeight="1" s="2">
      <c r="A420" s="175" t="inlineStr">
        <is>
          <t>осень</t>
        </is>
      </c>
      <c r="B420" s="182" t="inlineStr">
        <is>
          <t>Руководство магистрами</t>
        </is>
      </c>
      <c r="C420" s="182" t="inlineStr">
        <is>
          <t>Руководство магистрами</t>
        </is>
      </c>
      <c r="D420" s="182" t="inlineStr">
        <is>
          <t>Т11О-201М-22</t>
        </is>
      </c>
      <c r="E420" s="183" t="n">
        <v>30</v>
      </c>
      <c r="F420" s="182" t="n"/>
      <c r="G420" s="187" t="n"/>
      <c r="H420" s="182" t="inlineStr">
        <is>
          <t>0000065837</t>
        </is>
      </c>
      <c r="I420" s="182" t="inlineStr">
        <is>
          <t>Рипецкий Андрей Владимирович</t>
        </is>
      </c>
      <c r="J420" s="176" t="n"/>
      <c r="K420" s="176" t="inlineStr">
        <is>
          <t>Нет</t>
        </is>
      </c>
      <c r="L420" s="176" t="n"/>
      <c r="M420" s="176" t="inlineStr">
        <is>
          <t>Лепешкин Георгий Игоревич, Мардеев Эмиль Ренатович, Прунский Дмитрий Евгеньевич</t>
        </is>
      </c>
      <c r="N420" s="179">
        <f>SUMIFS($E$2:$E$896,$A$2:$A$896,"осень",$I$2:$I$896,I420)</f>
        <v/>
      </c>
      <c r="O420" s="179">
        <f>SUMIFS($E$2:$E$896,$A$2:$A$896,"весна",$I$2:$I$896,I420)</f>
        <v/>
      </c>
      <c r="P420" s="180">
        <f>N420+O420</f>
        <v/>
      </c>
      <c r="Q420" s="181">
        <f>P420/$Q$1</f>
        <v/>
      </c>
      <c r="R420" s="122">
        <f>P420*0.2</f>
        <v/>
      </c>
      <c r="S420" s="122">
        <f>Q420*0.8</f>
        <v/>
      </c>
      <c r="T420" s="133" t="n">
        <v>0</v>
      </c>
    </row>
    <row r="421" hidden="1" ht="15.75" customHeight="1" s="2">
      <c r="A421" s="175" t="inlineStr">
        <is>
          <t>осень</t>
        </is>
      </c>
      <c r="B421" s="176" t="inlineStr">
        <is>
          <t>Руководство магистрами</t>
        </is>
      </c>
      <c r="C421" s="176" t="inlineStr">
        <is>
          <t>Руководство магистрами</t>
        </is>
      </c>
      <c r="D421" s="176" t="inlineStr">
        <is>
          <t>Т11О-202М-22</t>
        </is>
      </c>
      <c r="E421" s="177" t="n">
        <v>15</v>
      </c>
      <c r="F421" s="176" t="n"/>
      <c r="G421" s="178" t="n"/>
      <c r="H421" s="176" t="inlineStr">
        <is>
          <t>81891</t>
        </is>
      </c>
      <c r="I421" s="176" t="inlineStr">
        <is>
          <t>Ряховский Александр Павлович</t>
        </is>
      </c>
      <c r="J421" s="176" t="n"/>
      <c r="K421" s="176" t="inlineStr">
        <is>
          <t>Да</t>
        </is>
      </c>
      <c r="L421" s="176" t="n"/>
      <c r="M421" s="176" t="inlineStr">
        <is>
          <t>Акулов Михаил Андреевич</t>
        </is>
      </c>
      <c r="N421" s="179">
        <f>SUMIFS($E$2:$E$896,$A$2:$A$896,"осень",$I$2:$I$896,I421)</f>
        <v/>
      </c>
      <c r="O421" s="179">
        <f>SUMIFS($E$2:$E$896,$A$2:$A$896,"весна",$I$2:$I$896,I421)</f>
        <v/>
      </c>
      <c r="P421" s="180">
        <f>N421+O421</f>
        <v/>
      </c>
      <c r="Q421" s="181">
        <f>P421/$Q$1</f>
        <v/>
      </c>
      <c r="R421" s="122">
        <f>P421*0.2</f>
        <v/>
      </c>
      <c r="S421" s="122">
        <f>Q421*0.8</f>
        <v/>
      </c>
      <c r="T421" s="133" t="n">
        <v>0.5</v>
      </c>
    </row>
    <row r="422" hidden="1" ht="15.75" customHeight="1" s="2">
      <c r="A422" s="175" t="inlineStr">
        <is>
          <t>осень</t>
        </is>
      </c>
      <c r="B422" s="176" t="inlineStr">
        <is>
          <t>Руководство магистрами</t>
        </is>
      </c>
      <c r="C422" s="176" t="inlineStr">
        <is>
          <t>Руководство магистрами</t>
        </is>
      </c>
      <c r="D422" s="176" t="inlineStr">
        <is>
          <t>Т11О-202М-22</t>
        </is>
      </c>
      <c r="E422" s="177" t="n">
        <v>15</v>
      </c>
      <c r="F422" s="176" t="n"/>
      <c r="G422" s="178" t="n"/>
      <c r="H422" s="176" t="inlineStr">
        <is>
          <t>82086</t>
        </is>
      </c>
      <c r="I422" s="176" t="inlineStr">
        <is>
          <t>Смыков Андрей Федорович</t>
        </is>
      </c>
      <c r="J422" s="176" t="n"/>
      <c r="K422" s="176" t="inlineStr">
        <is>
          <t>Нет</t>
        </is>
      </c>
      <c r="L422" s="176" t="n"/>
      <c r="M422" s="176" t="inlineStr">
        <is>
          <t>Вилонов Андрей Сергеевич</t>
        </is>
      </c>
      <c r="N422" s="179">
        <f>SUMIFS($E$2:$E$896,$A$2:$A$896,"осень",$I$2:$I$896,I422)</f>
        <v/>
      </c>
      <c r="O422" s="179">
        <f>SUMIFS($E$2:$E$896,$A$2:$A$896,"весна",$I$2:$I$896,I422)</f>
        <v/>
      </c>
      <c r="P422" s="180">
        <f>N422+O422</f>
        <v/>
      </c>
      <c r="Q422" s="181">
        <f>P422/$Q$1</f>
        <v/>
      </c>
      <c r="R422" s="122">
        <f>P422*0.2</f>
        <v/>
      </c>
      <c r="S422" s="122">
        <f>Q422*0.8</f>
        <v/>
      </c>
      <c r="T422" s="133" t="n">
        <v>0.5</v>
      </c>
    </row>
    <row r="423" hidden="1" ht="15.75" customHeight="1" s="2">
      <c r="A423" s="175" t="inlineStr">
        <is>
          <t>осень</t>
        </is>
      </c>
      <c r="B423" s="176" t="inlineStr">
        <is>
          <t>Руководство магистрами</t>
        </is>
      </c>
      <c r="C423" s="176" t="inlineStr">
        <is>
          <t>Руководство магистрами</t>
        </is>
      </c>
      <c r="D423" s="176" t="inlineStr">
        <is>
          <t>Т11О-202М-22</t>
        </is>
      </c>
      <c r="E423" s="177" t="n">
        <v>15</v>
      </c>
      <c r="F423" s="176" t="n"/>
      <c r="G423" s="178" t="n"/>
      <c r="H423" s="176" t="inlineStr">
        <is>
          <t>82027</t>
        </is>
      </c>
      <c r="I423" s="176" t="inlineStr">
        <is>
          <t>Петров Игорь Алексеевич</t>
        </is>
      </c>
      <c r="J423" s="176" t="n"/>
      <c r="K423" s="176" t="inlineStr">
        <is>
          <t>Нет</t>
        </is>
      </c>
      <c r="L423" s="176" t="n"/>
      <c r="M423" s="176" t="inlineStr">
        <is>
          <t>Майоров Дмитрий Игоревич</t>
        </is>
      </c>
      <c r="N423" s="179">
        <f>SUMIFS($E$2:$E$896,$A$2:$A$896,"осень",$I$2:$I$896,I423)</f>
        <v/>
      </c>
      <c r="O423" s="179">
        <f>SUMIFS($E$2:$E$896,$A$2:$A$896,"весна",$I$2:$I$896,I423)</f>
        <v/>
      </c>
      <c r="P423" s="180">
        <f>N423+O423</f>
        <v/>
      </c>
      <c r="Q423" s="181">
        <f>P423/$Q$1</f>
        <v/>
      </c>
      <c r="R423" s="122">
        <f>P423*0.2</f>
        <v/>
      </c>
      <c r="S423" s="122">
        <f>Q423*0.8</f>
        <v/>
      </c>
      <c r="T423" s="133" t="n">
        <v>0.35</v>
      </c>
    </row>
    <row r="424" hidden="1" ht="15.75" customHeight="1" s="2">
      <c r="A424" s="175" t="inlineStr">
        <is>
          <t>осень</t>
        </is>
      </c>
      <c r="B424" s="176" t="inlineStr">
        <is>
          <t>Руководство магистрами</t>
        </is>
      </c>
      <c r="C424" s="176" t="inlineStr">
        <is>
          <t>Руководство магистрами</t>
        </is>
      </c>
      <c r="D424" s="176" t="inlineStr">
        <is>
          <t>Т11О-202М-22</t>
        </is>
      </c>
      <c r="E424" s="177" t="n">
        <v>15</v>
      </c>
      <c r="F424" s="176" t="n"/>
      <c r="G424" s="178" t="n"/>
      <c r="H424" s="176" t="inlineStr">
        <is>
          <t>82018</t>
        </is>
      </c>
      <c r="I424" s="176" t="inlineStr">
        <is>
          <t>Бережной Дмитрий Васильевич</t>
        </is>
      </c>
      <c r="J424" s="176" t="n"/>
      <c r="K424" s="176" t="inlineStr">
        <is>
          <t>Нет</t>
        </is>
      </c>
      <c r="L424" s="176" t="n"/>
      <c r="M424" s="176" t="inlineStr">
        <is>
          <t>Мамаева Дарья Генадьевна</t>
        </is>
      </c>
      <c r="N424" s="179">
        <f>SUMIFS($E$2:$E$896,$A$2:$A$896,"осень",$I$2:$I$896,I424)</f>
        <v/>
      </c>
      <c r="O424" s="179">
        <f>SUMIFS($E$2:$E$896,$A$2:$A$896,"весна",$I$2:$I$896,I424)</f>
        <v/>
      </c>
      <c r="P424" s="180">
        <f>N424+O424</f>
        <v/>
      </c>
      <c r="Q424" s="181">
        <f>P424/$Q$1</f>
        <v/>
      </c>
      <c r="R424" s="122">
        <f>P424*0.2</f>
        <v/>
      </c>
      <c r="S424" s="122">
        <f>Q424*0.8</f>
        <v/>
      </c>
      <c r="T424" s="185" t="n">
        <v>0.5</v>
      </c>
    </row>
    <row r="425" hidden="1" ht="15.75" customHeight="1" s="2">
      <c r="A425" s="175" t="inlineStr">
        <is>
          <t>осень</t>
        </is>
      </c>
      <c r="B425" s="176" t="inlineStr">
        <is>
          <t>Руководство магистрами</t>
        </is>
      </c>
      <c r="C425" s="176" t="inlineStr">
        <is>
          <t>Руководство магистрами</t>
        </is>
      </c>
      <c r="D425" s="176" t="inlineStr">
        <is>
          <t>Т11О-202М-22</t>
        </is>
      </c>
      <c r="E425" s="177" t="n">
        <v>15</v>
      </c>
      <c r="F425" s="176" t="n"/>
      <c r="G425" s="178" t="n"/>
      <c r="H425" s="176" t="inlineStr">
        <is>
          <t>82020</t>
        </is>
      </c>
      <c r="I425" s="176" t="inlineStr">
        <is>
          <t>Варфоломеев Максим Сергеевич</t>
        </is>
      </c>
      <c r="J425" s="176" t="n"/>
      <c r="K425" s="176" t="inlineStr">
        <is>
          <t>Нет</t>
        </is>
      </c>
      <c r="L425" s="176" t="n"/>
      <c r="M425" s="176" t="inlineStr">
        <is>
          <t>Овчинников Алексей Денисович</t>
        </is>
      </c>
      <c r="N425" s="179">
        <f>SUMIFS($E$2:$E$896,$A$2:$A$896,"осень",$I$2:$I$896,I425)</f>
        <v/>
      </c>
      <c r="O425" s="179">
        <f>SUMIFS($E$2:$E$896,$A$2:$A$896,"весна",$I$2:$I$896,I425)</f>
        <v/>
      </c>
      <c r="P425" s="180">
        <f>N425+O425</f>
        <v/>
      </c>
      <c r="Q425" s="181">
        <f>P425/$Q$1</f>
        <v/>
      </c>
      <c r="R425" s="122">
        <f>P425*0.2</f>
        <v/>
      </c>
      <c r="S425" s="122">
        <f>Q425*0.8</f>
        <v/>
      </c>
      <c r="T425" s="133" t="n">
        <v>0.7</v>
      </c>
    </row>
    <row r="426" hidden="1" ht="15.75" customHeight="1" s="2">
      <c r="A426" s="175" t="inlineStr">
        <is>
          <t>осень</t>
        </is>
      </c>
      <c r="B426" s="176" t="inlineStr">
        <is>
          <t>Руководство магистрами</t>
        </is>
      </c>
      <c r="C426" s="176" t="inlineStr">
        <is>
          <t>Руководство магистрами</t>
        </is>
      </c>
      <c r="D426" s="176" t="inlineStr">
        <is>
          <t>Т11О-202М-22</t>
        </is>
      </c>
      <c r="E426" s="177" t="n">
        <v>15</v>
      </c>
      <c r="F426" s="176" t="n"/>
      <c r="G426" s="178" t="n"/>
      <c r="H426" s="176" t="inlineStr">
        <is>
          <t>82066</t>
        </is>
      </c>
      <c r="I426" s="176" t="inlineStr">
        <is>
          <t>Серов Михаил Михайлович</t>
        </is>
      </c>
      <c r="J426" s="176" t="n"/>
      <c r="K426" s="176" t="inlineStr">
        <is>
          <t>Да</t>
        </is>
      </c>
      <c r="L426" s="176" t="n"/>
      <c r="M426" s="176" t="inlineStr">
        <is>
          <t>Скрыпченко Егор Николаевич</t>
        </is>
      </c>
      <c r="N426" s="179">
        <f>SUMIFS($E$2:$E$896,$A$2:$A$896,"осень",$I$2:$I$896,I426)</f>
        <v/>
      </c>
      <c r="O426" s="179">
        <f>SUMIFS($E$2:$E$896,$A$2:$A$896,"весна",$I$2:$I$896,I426)</f>
        <v/>
      </c>
      <c r="P426" s="180">
        <f>N426+O426</f>
        <v/>
      </c>
      <c r="Q426" s="181">
        <f>P426/$Q$1</f>
        <v/>
      </c>
      <c r="R426" s="122">
        <f>P426*0.2</f>
        <v/>
      </c>
      <c r="S426" s="122">
        <f>Q426*0.8</f>
        <v/>
      </c>
      <c r="T426" s="133" t="n">
        <v>0.6</v>
      </c>
    </row>
    <row r="427" hidden="1" ht="15.75" customHeight="1" s="2">
      <c r="A427" s="175" t="inlineStr">
        <is>
          <t>осень</t>
        </is>
      </c>
      <c r="B427" s="176" t="inlineStr">
        <is>
          <t>Руководство магистрами</t>
        </is>
      </c>
      <c r="C427" s="176" t="inlineStr">
        <is>
          <t>Руководство магистрами</t>
        </is>
      </c>
      <c r="D427" s="176" t="inlineStr">
        <is>
          <t>Т11О-202М-22</t>
        </is>
      </c>
      <c r="E427" s="177" t="n">
        <v>15</v>
      </c>
      <c r="F427" s="176" t="n"/>
      <c r="G427" s="178" t="n"/>
      <c r="H427" s="176" t="inlineStr">
        <is>
          <t>94221</t>
        </is>
      </c>
      <c r="I427" s="176" t="inlineStr">
        <is>
          <t>Шляпцева Анастасия Дмитриевна</t>
        </is>
      </c>
      <c r="J427" s="176" t="n"/>
      <c r="K427" s="176" t="inlineStr">
        <is>
          <t>Нет</t>
        </is>
      </c>
      <c r="L427" s="176" t="n"/>
      <c r="M427" s="176" t="inlineStr">
        <is>
          <t>Солдатов Павел Александрович</t>
        </is>
      </c>
      <c r="N427" s="179">
        <f>SUMIFS($E$2:$E$896,$A$2:$A$896,"осень",$I$2:$I$896,I427)</f>
        <v/>
      </c>
      <c r="O427" s="179">
        <f>SUMIFS($E$2:$E$896,$A$2:$A$896,"весна",$I$2:$I$896,I427)</f>
        <v/>
      </c>
      <c r="P427" s="180">
        <f>N427+O427</f>
        <v/>
      </c>
      <c r="Q427" s="181">
        <f>P427/$Q$1</f>
        <v/>
      </c>
      <c r="R427" s="122">
        <f>P427*0.2</f>
        <v/>
      </c>
      <c r="S427" s="122">
        <f>Q427*0.8</f>
        <v/>
      </c>
      <c r="T427" s="133" t="n">
        <v>0.45</v>
      </c>
    </row>
    <row r="428" hidden="1" ht="15.75" customHeight="1" s="2">
      <c r="A428" s="175" t="inlineStr">
        <is>
          <t>осень</t>
        </is>
      </c>
      <c r="B428" s="193" t="inlineStr">
        <is>
          <t>Руководство магистрами</t>
        </is>
      </c>
      <c r="C428" s="176" t="inlineStr">
        <is>
          <t>Руководство магистрами</t>
        </is>
      </c>
      <c r="D428" s="176" t="inlineStr">
        <is>
          <t>Т11О-101М-23</t>
        </is>
      </c>
      <c r="E428" s="177" t="n">
        <v>15</v>
      </c>
      <c r="F428" s="176" t="n"/>
      <c r="G428" s="178" t="n"/>
      <c r="H428" s="176" t="n"/>
      <c r="I428" s="176" t="inlineStr">
        <is>
          <t>Моисеев Виктор Сергеевич</t>
        </is>
      </c>
      <c r="J428" s="176" t="n"/>
      <c r="K428" s="176" t="inlineStr">
        <is>
          <t>Нет</t>
        </is>
      </c>
      <c r="L428" s="176" t="n"/>
      <c r="M428" s="176" t="inlineStr">
        <is>
          <t>Журавлев</t>
        </is>
      </c>
      <c r="N428" s="179">
        <f>SUMIFS($E$2:$E$896,$A$2:$A$896,"осень",$I$2:$I$896,I428)</f>
        <v/>
      </c>
      <c r="O428" s="179">
        <f>SUMIFS($E$2:$E$896,$A$2:$A$896,"весна",$I$2:$I$896,I428)</f>
        <v/>
      </c>
      <c r="P428" s="180">
        <f>N428+O428</f>
        <v/>
      </c>
      <c r="Q428" s="181">
        <f>P428/$Q$1</f>
        <v/>
      </c>
      <c r="R428" s="122">
        <f>P428*0.2</f>
        <v/>
      </c>
      <c r="S428" s="122">
        <f>Q428*0.8</f>
        <v/>
      </c>
      <c r="T428" s="133" t="n">
        <v>0.2</v>
      </c>
    </row>
    <row r="429" hidden="1" ht="15.75" customHeight="1" s="2">
      <c r="A429" s="175" t="inlineStr">
        <is>
          <t>осень</t>
        </is>
      </c>
      <c r="B429" s="193" t="inlineStr">
        <is>
          <t>Руководство магистрами</t>
        </is>
      </c>
      <c r="C429" s="176" t="inlineStr">
        <is>
          <t>Руководство магистрами</t>
        </is>
      </c>
      <c r="D429" s="176" t="inlineStr">
        <is>
          <t>Т11О-101М-23</t>
        </is>
      </c>
      <c r="E429" s="177" t="n">
        <v>15</v>
      </c>
      <c r="F429" s="176" t="n"/>
      <c r="G429" s="178" t="n"/>
      <c r="H429" s="176" t="n"/>
      <c r="I429" s="176" t="inlineStr">
        <is>
          <t>Лозован Александр Александрович</t>
        </is>
      </c>
      <c r="J429" s="176" t="n"/>
      <c r="K429" s="176" t="inlineStr">
        <is>
          <t>Нет</t>
        </is>
      </c>
      <c r="L429" s="176" t="n"/>
      <c r="M429" s="176" t="inlineStr">
        <is>
          <t>Пачковский</t>
        </is>
      </c>
      <c r="N429" s="179">
        <f>SUMIFS($E$2:$E$896,$A$2:$A$896,"осень",$I$2:$I$896,I429)</f>
        <v/>
      </c>
      <c r="O429" s="179">
        <f>SUMIFS($E$2:$E$896,$A$2:$A$896,"весна",$I$2:$I$896,I429)</f>
        <v/>
      </c>
      <c r="P429" s="180">
        <f>N429+O429</f>
        <v/>
      </c>
      <c r="Q429" s="181">
        <f>P429/$Q$1</f>
        <v/>
      </c>
      <c r="R429" s="122">
        <f>P429*0.2</f>
        <v/>
      </c>
      <c r="S429" s="122">
        <f>Q429*0.8</f>
        <v/>
      </c>
      <c r="T429" s="133" t="n">
        <v>0.55</v>
      </c>
    </row>
    <row r="430" hidden="1" ht="15.75" customHeight="1" s="2">
      <c r="A430" s="175" t="inlineStr">
        <is>
          <t>осень</t>
        </is>
      </c>
      <c r="B430" s="193" t="inlineStr">
        <is>
          <t>Руководство магистрами</t>
        </is>
      </c>
      <c r="C430" s="176" t="inlineStr">
        <is>
          <t>Руководство магистрами</t>
        </is>
      </c>
      <c r="D430" s="176" t="inlineStr">
        <is>
          <t>Т11О-101М-23</t>
        </is>
      </c>
      <c r="E430" s="177" t="n">
        <v>15</v>
      </c>
      <c r="F430" s="176" t="n"/>
      <c r="G430" s="178" t="n"/>
      <c r="H430" s="176" t="n"/>
      <c r="I430" s="176" t="inlineStr">
        <is>
          <t>Варфоломеев Максим Сергеевич</t>
        </is>
      </c>
      <c r="J430" s="176" t="n"/>
      <c r="K430" s="176" t="inlineStr">
        <is>
          <t>Нет</t>
        </is>
      </c>
      <c r="L430" s="176" t="n"/>
      <c r="M430" s="176" t="inlineStr">
        <is>
          <t>Рябова</t>
        </is>
      </c>
      <c r="N430" s="179">
        <f>SUMIFS($E$2:$E$896,$A$2:$A$896,"осень",$I$2:$I$896,I430)</f>
        <v/>
      </c>
      <c r="O430" s="179">
        <f>SUMIFS($E$2:$E$896,$A$2:$A$896,"весна",$I$2:$I$896,I430)</f>
        <v/>
      </c>
      <c r="P430" s="180">
        <f>N430+O430</f>
        <v/>
      </c>
      <c r="Q430" s="181">
        <f>P430/$Q$1</f>
        <v/>
      </c>
      <c r="R430" s="122">
        <f>P430*0.2</f>
        <v/>
      </c>
      <c r="S430" s="122">
        <f>Q430*0.8</f>
        <v/>
      </c>
      <c r="T430" s="133" t="n">
        <v>0.7</v>
      </c>
    </row>
    <row r="431" hidden="1" ht="15.75" customHeight="1" s="2">
      <c r="A431" s="175" t="inlineStr">
        <is>
          <t>осень</t>
        </is>
      </c>
      <c r="B431" s="193" t="inlineStr">
        <is>
          <t>Руководство магистрами</t>
        </is>
      </c>
      <c r="C431" s="176" t="inlineStr">
        <is>
          <t>Руководство магистрами</t>
        </is>
      </c>
      <c r="D431" s="176" t="inlineStr">
        <is>
          <t>Т11О-101М-23</t>
        </is>
      </c>
      <c r="E431" s="177" t="n">
        <v>15</v>
      </c>
      <c r="F431" s="176" t="n"/>
      <c r="G431" s="178" t="n"/>
      <c r="H431" s="176" t="n"/>
      <c r="I431" s="176" t="inlineStr">
        <is>
          <t>Бережной Дмитрий Васильевич</t>
        </is>
      </c>
      <c r="J431" s="176" t="n"/>
      <c r="K431" s="176" t="inlineStr">
        <is>
          <t>Нет</t>
        </is>
      </c>
      <c r="L431" s="176" t="n"/>
      <c r="M431" s="176" t="n"/>
      <c r="N431" s="179">
        <f>SUMIFS($E$2:$E$896,$A$2:$A$896,"осень",$I$2:$I$896,I431)</f>
        <v/>
      </c>
      <c r="O431" s="179">
        <f>SUMIFS($E$2:$E$896,$A$2:$A$896,"весна",$I$2:$I$896,I431)</f>
        <v/>
      </c>
      <c r="P431" s="180">
        <f>N431+O431</f>
        <v/>
      </c>
      <c r="Q431" s="181">
        <f>P431/$Q$1</f>
        <v/>
      </c>
      <c r="R431" s="122">
        <f>P431*0.2</f>
        <v/>
      </c>
      <c r="S431" s="122">
        <f>Q431*0.8</f>
        <v/>
      </c>
      <c r="T431" s="185" t="n">
        <v>0.5</v>
      </c>
    </row>
    <row r="432" hidden="1" ht="15.75" customHeight="1" s="2">
      <c r="A432" s="175" t="inlineStr">
        <is>
          <t>осень</t>
        </is>
      </c>
      <c r="B432" s="193" t="inlineStr">
        <is>
          <t>Руководство магистрами</t>
        </is>
      </c>
      <c r="C432" s="176" t="inlineStr">
        <is>
          <t>Руководство магистрами</t>
        </is>
      </c>
      <c r="D432" s="176" t="inlineStr">
        <is>
          <t>Т11О-101М-23</t>
        </is>
      </c>
      <c r="E432" s="177" t="n">
        <v>15</v>
      </c>
      <c r="F432" s="176" t="n"/>
      <c r="G432" s="178" t="n"/>
      <c r="H432" s="176" t="n"/>
      <c r="I432" s="176" t="inlineStr">
        <is>
          <t>Серов Михаил Михайлович</t>
        </is>
      </c>
      <c r="J432" s="176" t="n"/>
      <c r="K432" s="176" t="inlineStr">
        <is>
          <t>Нет</t>
        </is>
      </c>
      <c r="L432" s="176" t="n"/>
      <c r="M432" s="176" t="n"/>
      <c r="N432" s="179">
        <f>SUMIFS($E$2:$E$896,$A$2:$A$896,"осень",$I$2:$I$896,I432)</f>
        <v/>
      </c>
      <c r="O432" s="179">
        <f>SUMIFS($E$2:$E$896,$A$2:$A$896,"весна",$I$2:$I$896,I432)</f>
        <v/>
      </c>
      <c r="P432" s="180">
        <f>N432+O432</f>
        <v/>
      </c>
      <c r="Q432" s="181">
        <f>P432/$Q$1</f>
        <v/>
      </c>
      <c r="R432" s="122">
        <f>P432*0.2</f>
        <v/>
      </c>
      <c r="S432" s="122">
        <f>Q432*0.8</f>
        <v/>
      </c>
      <c r="T432" s="133" t="n">
        <v>0.6</v>
      </c>
    </row>
    <row r="433" hidden="1" ht="15.75" customHeight="1" s="2">
      <c r="A433" s="175" t="inlineStr">
        <is>
          <t>осень</t>
        </is>
      </c>
      <c r="B433" s="193" t="inlineStr">
        <is>
          <t>Руководство магистрами</t>
        </is>
      </c>
      <c r="C433" s="176" t="inlineStr">
        <is>
          <t>Руководство магистрами</t>
        </is>
      </c>
      <c r="D433" s="176" t="inlineStr">
        <is>
          <t>Т11О-101М-23</t>
        </is>
      </c>
      <c r="E433" s="177" t="n">
        <v>15</v>
      </c>
      <c r="F433" s="176" t="n"/>
      <c r="G433" s="178" t="n"/>
      <c r="H433" s="176" t="n"/>
      <c r="I433" s="176" t="inlineStr">
        <is>
          <t>Никитина Елена Владимировна</t>
        </is>
      </c>
      <c r="J433" s="176" t="n"/>
      <c r="K433" s="176" t="inlineStr">
        <is>
          <t>Нет</t>
        </is>
      </c>
      <c r="L433" s="176" t="n"/>
      <c r="M433" s="176" t="n"/>
      <c r="N433" s="179">
        <f>SUMIFS($E$2:$E$896,$A$2:$A$896,"осень",$I$2:$I$896,I433)</f>
        <v/>
      </c>
      <c r="O433" s="179">
        <f>SUMIFS($E$2:$E$896,$A$2:$A$896,"весна",$I$2:$I$896,I433)</f>
        <v/>
      </c>
      <c r="P433" s="180">
        <f>N433+O433</f>
        <v/>
      </c>
      <c r="Q433" s="181">
        <f>P433/$Q$1</f>
        <v/>
      </c>
      <c r="R433" s="122">
        <f>P433*0.2</f>
        <v/>
      </c>
      <c r="S433" s="122">
        <f>Q433*0.8</f>
        <v/>
      </c>
      <c r="T433" s="133" t="n">
        <v>0.5</v>
      </c>
    </row>
    <row r="434" hidden="1" ht="15.75" customHeight="1" s="2">
      <c r="A434" s="175" t="inlineStr">
        <is>
          <t>осень</t>
        </is>
      </c>
      <c r="B434" s="193" t="inlineStr">
        <is>
          <t>Руководство магистрами</t>
        </is>
      </c>
      <c r="C434" s="176" t="inlineStr">
        <is>
          <t>Руководство магистрами</t>
        </is>
      </c>
      <c r="D434" s="176" t="inlineStr">
        <is>
          <t>Т11О-101М-23</t>
        </is>
      </c>
      <c r="E434" s="177" t="n">
        <v>15</v>
      </c>
      <c r="F434" s="176" t="n"/>
      <c r="G434" s="178" t="n"/>
      <c r="H434" s="176" t="n"/>
      <c r="I434" s="176" t="inlineStr">
        <is>
          <t>Петров Анатолий Павлович</t>
        </is>
      </c>
      <c r="J434" s="176" t="n"/>
      <c r="K434" s="176" t="inlineStr">
        <is>
          <t>Нет</t>
        </is>
      </c>
      <c r="L434" s="176" t="n"/>
      <c r="M434" s="176" t="n"/>
      <c r="N434" s="179">
        <f>SUMIFS($E$2:$E$896,$A$2:$A$896,"осень",$I$2:$I$896,I434)</f>
        <v/>
      </c>
      <c r="O434" s="179">
        <f>SUMIFS($E$2:$E$896,$A$2:$A$896,"весна",$I$2:$I$896,I434)</f>
        <v/>
      </c>
      <c r="P434" s="180">
        <f>N434+O434</f>
        <v/>
      </c>
      <c r="Q434" s="181">
        <f>P434/$Q$1</f>
        <v/>
      </c>
      <c r="R434" s="122">
        <f>P434*0.2</f>
        <v/>
      </c>
      <c r="S434" s="122">
        <f>Q434*0.8</f>
        <v/>
      </c>
      <c r="T434" s="133" t="n">
        <v>0.25</v>
      </c>
    </row>
    <row r="435" hidden="1" ht="15.75" customHeight="1" s="2">
      <c r="A435" s="175" t="inlineStr">
        <is>
          <t>осень</t>
        </is>
      </c>
      <c r="B435" s="193" t="inlineStr">
        <is>
          <t>Руководство магистрами</t>
        </is>
      </c>
      <c r="C435" s="176" t="inlineStr">
        <is>
          <t>Руководство магистрами</t>
        </is>
      </c>
      <c r="D435" s="176" t="inlineStr">
        <is>
          <t>Т11О-101М-23</t>
        </is>
      </c>
      <c r="E435" s="177" t="n">
        <v>15</v>
      </c>
      <c r="F435" s="176" t="n"/>
      <c r="G435" s="178" t="n"/>
      <c r="H435" s="176" t="n"/>
      <c r="I435" s="176" t="inlineStr">
        <is>
          <t>Федоров Анатолий Александрович</t>
        </is>
      </c>
      <c r="J435" s="176" t="n"/>
      <c r="K435" s="176" t="inlineStr">
        <is>
          <t>Нет</t>
        </is>
      </c>
      <c r="L435" s="176" t="n"/>
      <c r="M435" s="176" t="n"/>
      <c r="N435" s="179">
        <f>SUMIFS($E$2:$E$896,$A$2:$A$896,"осень",$I$2:$I$896,I435)</f>
        <v/>
      </c>
      <c r="O435" s="179">
        <f>SUMIFS($E$2:$E$896,$A$2:$A$896,"весна",$I$2:$I$896,I435)</f>
        <v/>
      </c>
      <c r="P435" s="180">
        <f>N435+O435</f>
        <v/>
      </c>
      <c r="Q435" s="181">
        <f>P435/$Q$1</f>
        <v/>
      </c>
      <c r="R435" s="122">
        <f>P435*0.2</f>
        <v/>
      </c>
      <c r="S435" s="122">
        <f>Q435*0.8</f>
        <v/>
      </c>
      <c r="T435" s="133" t="n">
        <v>0.2</v>
      </c>
    </row>
    <row r="436" hidden="1" ht="15.75" customHeight="1" s="2">
      <c r="A436" s="175" t="inlineStr">
        <is>
          <t>осень</t>
        </is>
      </c>
      <c r="B436" s="193" t="inlineStr">
        <is>
          <t>Руководство магистрами</t>
        </is>
      </c>
      <c r="C436" s="176" t="inlineStr">
        <is>
          <t>Руководство магистрами</t>
        </is>
      </c>
      <c r="D436" s="176" t="inlineStr">
        <is>
          <t>Т11О-101М-23</t>
        </is>
      </c>
      <c r="E436" s="177" t="n">
        <v>15</v>
      </c>
      <c r="F436" s="176" t="n"/>
      <c r="G436" s="178" t="n"/>
      <c r="H436" s="176" t="n"/>
      <c r="I436" s="176" t="inlineStr">
        <is>
          <t>Петров Игорь Алексеевич</t>
        </is>
      </c>
      <c r="J436" s="176" t="n"/>
      <c r="K436" s="176" t="inlineStr">
        <is>
          <t>Нет</t>
        </is>
      </c>
      <c r="L436" s="176" t="n"/>
      <c r="M436" s="176" t="n"/>
      <c r="N436" s="179">
        <f>SUMIFS($E$2:$E$896,$A$2:$A$896,"осень",$I$2:$I$896,I436)</f>
        <v/>
      </c>
      <c r="O436" s="179">
        <f>SUMIFS($E$2:$E$896,$A$2:$A$896,"весна",$I$2:$I$896,I436)</f>
        <v/>
      </c>
      <c r="P436" s="180">
        <f>N436+O436</f>
        <v/>
      </c>
      <c r="Q436" s="181">
        <f>P436/$Q$1</f>
        <v/>
      </c>
      <c r="R436" s="122">
        <f>P436*0.2</f>
        <v/>
      </c>
      <c r="S436" s="122">
        <f>Q436*0.8</f>
        <v/>
      </c>
      <c r="T436" s="133" t="n">
        <v>0.35</v>
      </c>
    </row>
    <row r="437" hidden="1" ht="15.75" customHeight="1" s="2">
      <c r="A437" s="175" t="inlineStr">
        <is>
          <t>осень</t>
        </is>
      </c>
      <c r="B437" s="193" t="inlineStr">
        <is>
          <t>Руководство магистрами</t>
        </is>
      </c>
      <c r="C437" s="176" t="inlineStr">
        <is>
          <t>Руководство магистрами</t>
        </is>
      </c>
      <c r="D437" s="176" t="inlineStr">
        <is>
          <t>Т11О-101М-23</t>
        </is>
      </c>
      <c r="E437" s="177" t="n">
        <v>15</v>
      </c>
      <c r="F437" s="176" t="n"/>
      <c r="G437" s="178" t="n"/>
      <c r="H437" s="176" t="n"/>
      <c r="I437" s="176" t="inlineStr">
        <is>
          <t>Соколов Алексей Викторович</t>
        </is>
      </c>
      <c r="J437" s="176" t="n"/>
      <c r="K437" s="176" t="inlineStr">
        <is>
          <t>Нет</t>
        </is>
      </c>
      <c r="L437" s="176" t="n"/>
      <c r="M437" s="176" t="n"/>
      <c r="N437" s="179">
        <f>SUMIFS($E$2:$E$896,$A$2:$A$896,"осень",$I$2:$I$896,I437)</f>
        <v/>
      </c>
      <c r="O437" s="179">
        <f>SUMIFS($E$2:$E$896,$A$2:$A$896,"весна",$I$2:$I$896,I437)</f>
        <v/>
      </c>
      <c r="P437" s="180">
        <f>N437+O437</f>
        <v/>
      </c>
      <c r="Q437" s="181">
        <f>P437/$Q$1</f>
        <v/>
      </c>
      <c r="R437" s="122">
        <f>P437*0.2</f>
        <v/>
      </c>
      <c r="S437" s="122">
        <f>Q437*0.8</f>
        <v/>
      </c>
      <c r="T437" s="133" t="n">
        <v>0.55</v>
      </c>
    </row>
    <row r="438" hidden="1" ht="15.75" customHeight="1" s="2">
      <c r="A438" s="175" t="inlineStr">
        <is>
          <t>осень</t>
        </is>
      </c>
      <c r="B438" s="193" t="inlineStr">
        <is>
          <t>Руководство магистрами</t>
        </is>
      </c>
      <c r="C438" s="176" t="inlineStr">
        <is>
          <t>Руководство магистрами</t>
        </is>
      </c>
      <c r="D438" s="176" t="inlineStr">
        <is>
          <t>Т11О-101М-23</t>
        </is>
      </c>
      <c r="E438" s="177" t="n">
        <v>15</v>
      </c>
      <c r="F438" s="176" t="n"/>
      <c r="G438" s="178" t="n"/>
      <c r="H438" s="176" t="n"/>
      <c r="I438" s="176" t="inlineStr">
        <is>
          <t>Галкин Виктор Иванович</t>
        </is>
      </c>
      <c r="J438" s="176" t="n"/>
      <c r="K438" s="176" t="inlineStr">
        <is>
          <t>Нет</t>
        </is>
      </c>
      <c r="L438" s="176" t="n"/>
      <c r="M438" s="176" t="n"/>
      <c r="N438" s="179">
        <f>SUMIFS($E$2:$E$896,$A$2:$A$896,"осень",$I$2:$I$896,I438)</f>
        <v/>
      </c>
      <c r="O438" s="179">
        <f>SUMIFS($E$2:$E$896,$A$2:$A$896,"весна",$I$2:$I$896,I438)</f>
        <v/>
      </c>
      <c r="P438" s="180">
        <f>N438+O438</f>
        <v/>
      </c>
      <c r="Q438" s="181">
        <f>P438/$Q$1</f>
        <v/>
      </c>
      <c r="R438" s="122">
        <f>P438*0.2</f>
        <v/>
      </c>
      <c r="S438" s="122">
        <f>Q438*0.8</f>
        <v/>
      </c>
      <c r="T438" s="133" t="n">
        <v>0.75</v>
      </c>
    </row>
    <row r="439" hidden="1" ht="15.75" customHeight="1" s="2">
      <c r="A439" s="175" t="inlineStr">
        <is>
          <t>осень</t>
        </is>
      </c>
      <c r="B439" s="182" t="inlineStr">
        <is>
          <t>Руководство магистрами</t>
        </is>
      </c>
      <c r="C439" s="182" t="inlineStr">
        <is>
          <t>Руководство магистрами</t>
        </is>
      </c>
      <c r="D439" s="182" t="inlineStr">
        <is>
          <t>Т11О-101М-23</t>
        </is>
      </c>
      <c r="E439" s="183" t="n">
        <v>15</v>
      </c>
      <c r="F439" s="182" t="n"/>
      <c r="G439" s="187" t="n"/>
      <c r="H439" s="182" t="n"/>
      <c r="I439" s="182" t="inlineStr">
        <is>
          <t>Лозован Александр Александрович</t>
        </is>
      </c>
      <c r="J439" s="176" t="n"/>
      <c r="K439" s="176" t="inlineStr">
        <is>
          <t>Нет</t>
        </is>
      </c>
      <c r="L439" s="176" t="n"/>
      <c r="M439" s="176" t="n"/>
      <c r="N439" s="179">
        <f>SUMIFS($E$2:$E$896,$A$2:$A$896,"осень",$I$2:$I$896,I439)</f>
        <v/>
      </c>
      <c r="O439" s="179">
        <f>SUMIFS($E$2:$E$896,$A$2:$A$896,"весна",$I$2:$I$896,I439)</f>
        <v/>
      </c>
      <c r="P439" s="180">
        <f>N439+O439</f>
        <v/>
      </c>
      <c r="Q439" s="181">
        <f>P439/$Q$1</f>
        <v/>
      </c>
      <c r="R439" s="122">
        <f>P439*0.2</f>
        <v/>
      </c>
      <c r="S439" s="122">
        <f>Q439*0.8</f>
        <v/>
      </c>
      <c r="T439" s="133" t="n">
        <v>0.55</v>
      </c>
    </row>
    <row r="440" hidden="1" ht="15.75" customHeight="1" s="2">
      <c r="A440" s="175" t="inlineStr">
        <is>
          <t>осень</t>
        </is>
      </c>
      <c r="B440" s="182" t="inlineStr">
        <is>
          <t>Руководство магистрами</t>
        </is>
      </c>
      <c r="C440" s="182" t="inlineStr">
        <is>
          <t>Руководство магистрами</t>
        </is>
      </c>
      <c r="D440" s="182" t="inlineStr">
        <is>
          <t>Т11О-101М-23</t>
        </is>
      </c>
      <c r="E440" s="183" t="n">
        <v>15</v>
      </c>
      <c r="F440" s="182" t="n"/>
      <c r="G440" s="187" t="n"/>
      <c r="H440" s="182" t="n"/>
      <c r="I440" s="182" t="inlineStr">
        <is>
          <t>Шленский Алексей Геннадьевич</t>
        </is>
      </c>
      <c r="J440" s="176" t="n"/>
      <c r="K440" s="176" t="inlineStr">
        <is>
          <t>Нет</t>
        </is>
      </c>
      <c r="L440" s="176" t="n"/>
      <c r="M440" s="176" t="n"/>
      <c r="N440" s="179">
        <f>SUMIFS($E$2:$E$896,$A$2:$A$896,"осень",$I$2:$I$896,I440)</f>
        <v/>
      </c>
      <c r="O440" s="179">
        <f>SUMIFS($E$2:$E$896,$A$2:$A$896,"весна",$I$2:$I$896,I440)</f>
        <v/>
      </c>
      <c r="P440" s="180">
        <f>N440+O440</f>
        <v/>
      </c>
      <c r="Q440" s="181">
        <f>P440/$Q$1</f>
        <v/>
      </c>
      <c r="R440" s="122">
        <f>P440*0.2</f>
        <v/>
      </c>
      <c r="S440" s="122">
        <f>Q440*0.8</f>
        <v/>
      </c>
      <c r="T440" s="133" t="n">
        <v>0.7</v>
      </c>
    </row>
    <row r="441" hidden="1" ht="15.75" customHeight="1" s="2">
      <c r="A441" s="175" t="inlineStr">
        <is>
          <t>осень</t>
        </is>
      </c>
      <c r="B441" s="176" t="inlineStr">
        <is>
          <t>Руководство аспирантами</t>
        </is>
      </c>
      <c r="C441" s="176" t="inlineStr">
        <is>
          <t>Руководство аспирантами</t>
        </is>
      </c>
      <c r="D441" s="176" t="inlineStr">
        <is>
          <t>Т11О-407А-20</t>
        </is>
      </c>
      <c r="E441" s="177" t="n">
        <v>25</v>
      </c>
      <c r="F441" s="176" t="n"/>
      <c r="G441" s="178" t="n"/>
      <c r="H441" s="176" t="inlineStr">
        <is>
          <t>81958</t>
        </is>
      </c>
      <c r="I441" s="176" t="inlineStr">
        <is>
          <t>Бецофен Сергей Яковлевич</t>
        </is>
      </c>
      <c r="J441" s="176" t="n"/>
      <c r="K441" s="176" t="inlineStr">
        <is>
          <t>Да</t>
        </is>
      </c>
      <c r="L441" s="176" t="n"/>
      <c r="M441" s="176" t="inlineStr">
        <is>
          <t>Прокопенко Денис Алексеевич</t>
        </is>
      </c>
      <c r="N441" s="179">
        <f>SUMIFS($E$2:$E$896,$A$2:$A$896,"осень",$I$2:$I$896,I441)</f>
        <v/>
      </c>
      <c r="O441" s="179">
        <f>SUMIFS($E$2:$E$896,$A$2:$A$896,"весна",$I$2:$I$896,I441)</f>
        <v/>
      </c>
      <c r="P441" s="180">
        <f>N441+O441</f>
        <v/>
      </c>
      <c r="Q441" s="181">
        <f>P441/$Q$1</f>
        <v/>
      </c>
      <c r="R441" s="122">
        <f>P441*0.2</f>
        <v/>
      </c>
      <c r="S441" s="122">
        <f>Q441*0.8</f>
        <v/>
      </c>
      <c r="T441" s="133" t="n">
        <v>0.3</v>
      </c>
    </row>
    <row r="442" hidden="1" ht="15.75" customHeight="1" s="2">
      <c r="A442" s="175" t="inlineStr">
        <is>
          <t>осень</t>
        </is>
      </c>
      <c r="B442" s="176" t="inlineStr">
        <is>
          <t>Руководство аспирантами</t>
        </is>
      </c>
      <c r="C442" s="176" t="inlineStr">
        <is>
          <t>Руководство аспирантами</t>
        </is>
      </c>
      <c r="D442" s="176" t="inlineStr">
        <is>
          <t>Т11О-407А-20</t>
        </is>
      </c>
      <c r="E442" s="177" t="n">
        <v>25</v>
      </c>
      <c r="F442" s="176" t="n"/>
      <c r="G442" s="178" t="n"/>
      <c r="H442" s="176" t="inlineStr">
        <is>
          <t>82060</t>
        </is>
      </c>
      <c r="I442" s="176" t="inlineStr">
        <is>
          <t>Лозован Александр Александрович</t>
        </is>
      </c>
      <c r="J442" s="176" t="n"/>
      <c r="K442" s="176" t="inlineStr">
        <is>
          <t>Да</t>
        </is>
      </c>
      <c r="L442" s="176" t="n"/>
      <c r="M442" s="176" t="inlineStr">
        <is>
          <t>Митрофанов Андрей Леонидович</t>
        </is>
      </c>
      <c r="N442" s="179">
        <f>SUMIFS($E$2:$E$896,$A$2:$A$896,"осень",$I$2:$I$896,I442)</f>
        <v/>
      </c>
      <c r="O442" s="179">
        <f>SUMIFS($E$2:$E$896,$A$2:$A$896,"весна",$I$2:$I$896,I442)</f>
        <v/>
      </c>
      <c r="P442" s="180">
        <f>N442+O442</f>
        <v/>
      </c>
      <c r="Q442" s="181">
        <f>P442/$Q$1</f>
        <v/>
      </c>
      <c r="R442" s="122">
        <f>P442*0.2</f>
        <v/>
      </c>
      <c r="S442" s="122">
        <f>Q442*0.8</f>
        <v/>
      </c>
      <c r="T442" s="133" t="n">
        <v>0.55</v>
      </c>
    </row>
    <row r="443" hidden="1" ht="15.75" customHeight="1" s="2">
      <c r="A443" s="175" t="inlineStr">
        <is>
          <t>осень</t>
        </is>
      </c>
      <c r="B443" s="176" t="inlineStr">
        <is>
          <t>Руководство аспирантами</t>
        </is>
      </c>
      <c r="C443" s="176" t="inlineStr">
        <is>
          <t>Руководство аспирантами</t>
        </is>
      </c>
      <c r="D443" s="176" t="inlineStr">
        <is>
          <t>Т11О-302А-21</t>
        </is>
      </c>
      <c r="E443" s="177" t="n">
        <v>25</v>
      </c>
      <c r="F443" s="176" t="n"/>
      <c r="G443" s="178" t="n"/>
      <c r="H443" s="176" t="inlineStr">
        <is>
          <t>92509</t>
        </is>
      </c>
      <c r="I443" s="176" t="inlineStr">
        <is>
          <t>Пашков Игорь Николаевич</t>
        </is>
      </c>
      <c r="J443" s="176" t="n"/>
      <c r="K443" s="176" t="inlineStr">
        <is>
          <t>Нет</t>
        </is>
      </c>
      <c r="L443" s="176" t="n"/>
      <c r="M443" s="176" t="inlineStr">
        <is>
          <t>Жуков Евгений Юрьевич</t>
        </is>
      </c>
      <c r="N443" s="179">
        <f>SUMIFS($E$2:$E$896,$A$2:$A$896,"осень",$I$2:$I$896,I443)</f>
        <v/>
      </c>
      <c r="O443" s="179">
        <f>SUMIFS($E$2:$E$896,$A$2:$A$896,"весна",$I$2:$I$896,I443)</f>
        <v/>
      </c>
      <c r="P443" s="180">
        <f>N443+O443</f>
        <v/>
      </c>
      <c r="Q443" s="181">
        <f>P443/$Q$1</f>
        <v/>
      </c>
      <c r="R443" s="122">
        <f>P443*0.2</f>
        <v/>
      </c>
      <c r="S443" s="122">
        <f>Q443*0.8</f>
        <v/>
      </c>
      <c r="T443" s="133" t="n">
        <v>0.55</v>
      </c>
    </row>
    <row r="444" hidden="1" ht="15.75" customHeight="1" s="2">
      <c r="A444" s="175" t="inlineStr">
        <is>
          <t>осень</t>
        </is>
      </c>
      <c r="B444" s="182" t="inlineStr">
        <is>
          <t>Руководство аспирантами</t>
        </is>
      </c>
      <c r="C444" s="182" t="inlineStr">
        <is>
          <t>Руководство аспирантами</t>
        </is>
      </c>
      <c r="D444" s="182" t="inlineStr">
        <is>
          <t>Т11О-306А-21</t>
        </is>
      </c>
      <c r="E444" s="183" t="n">
        <v>25</v>
      </c>
      <c r="F444" s="182" t="n"/>
      <c r="G444" s="187" t="n"/>
      <c r="H444" s="182" t="inlineStr">
        <is>
          <t>82056</t>
        </is>
      </c>
      <c r="I444" s="182" t="inlineStr">
        <is>
          <t>Александрова Светлана Сергеевна</t>
        </is>
      </c>
      <c r="J444" s="176" t="n"/>
      <c r="K444" s="176" t="inlineStr">
        <is>
          <t>Да</t>
        </is>
      </c>
      <c r="L444" s="176" t="n"/>
      <c r="M444" s="176" t="inlineStr">
        <is>
          <t>Федотов Александр Юрьевич а/о</t>
        </is>
      </c>
      <c r="N444" s="179">
        <f>SUMIFS($E$2:$E$896,$A$2:$A$896,"осень",$I$2:$I$896,I444)</f>
        <v/>
      </c>
      <c r="O444" s="179">
        <f>SUMIFS($E$2:$E$896,$A$2:$A$896,"весна",$I$2:$I$896,I444)</f>
        <v/>
      </c>
      <c r="P444" s="180">
        <f>N444+O444</f>
        <v/>
      </c>
      <c r="Q444" s="181">
        <f>P444/$Q$1</f>
        <v/>
      </c>
      <c r="R444" s="122">
        <f>P444*0.2</f>
        <v/>
      </c>
      <c r="S444" s="122">
        <f>Q444*0.8</f>
        <v/>
      </c>
      <c r="T444" s="133" t="n">
        <v>0.65</v>
      </c>
    </row>
    <row r="445" hidden="1" ht="15.75" customHeight="1" s="2">
      <c r="A445" s="175" t="inlineStr">
        <is>
          <t>осень</t>
        </is>
      </c>
      <c r="B445" s="176" t="inlineStr">
        <is>
          <t>Руководство аспирантами</t>
        </is>
      </c>
      <c r="C445" s="176" t="inlineStr">
        <is>
          <t>Руководство аспирантами</t>
        </is>
      </c>
      <c r="D445" s="176" t="inlineStr">
        <is>
          <t>Т11О-203А-22</t>
        </is>
      </c>
      <c r="E445" s="177" t="n">
        <v>50</v>
      </c>
      <c r="F445" s="176" t="n"/>
      <c r="G445" s="178" t="n"/>
      <c r="H445" s="176" t="inlineStr">
        <is>
          <t>92509</t>
        </is>
      </c>
      <c r="I445" s="176" t="inlineStr">
        <is>
          <t>Пашков Игорь Николаевич</t>
        </is>
      </c>
      <c r="J445" s="176" t="n"/>
      <c r="K445" s="176" t="inlineStr">
        <is>
          <t>Нет</t>
        </is>
      </c>
      <c r="L445" s="176" t="n"/>
      <c r="M445" s="176" t="inlineStr">
        <is>
          <t>Гаджиев Магомед Ражабович</t>
        </is>
      </c>
      <c r="N445" s="179">
        <f>SUMIFS($E$2:$E$896,$A$2:$A$896,"осень",$I$2:$I$896,I445)</f>
        <v/>
      </c>
      <c r="O445" s="179">
        <f>SUMIFS($E$2:$E$896,$A$2:$A$896,"весна",$I$2:$I$896,I445)</f>
        <v/>
      </c>
      <c r="P445" s="180">
        <f>N445+O445</f>
        <v/>
      </c>
      <c r="Q445" s="181">
        <f>P445/$Q$1</f>
        <v/>
      </c>
      <c r="R445" s="122">
        <f>P445*0.2</f>
        <v/>
      </c>
      <c r="S445" s="122">
        <f>Q445*0.8</f>
        <v/>
      </c>
      <c r="T445" s="133" t="n">
        <v>0.55</v>
      </c>
    </row>
    <row r="446" hidden="1" ht="15.75" customHeight="1" s="2">
      <c r="A446" s="175" t="inlineStr">
        <is>
          <t>осень</t>
        </is>
      </c>
      <c r="B446" s="176" t="inlineStr">
        <is>
          <t>Руководство аспирантами</t>
        </is>
      </c>
      <c r="C446" s="176" t="inlineStr">
        <is>
          <t>Руководство аспирантами</t>
        </is>
      </c>
      <c r="D446" s="176" t="inlineStr">
        <is>
          <t>Т11О-203А-22</t>
        </is>
      </c>
      <c r="E446" s="177" t="n">
        <v>50</v>
      </c>
      <c r="F446" s="176" t="n"/>
      <c r="G446" s="178" t="n"/>
      <c r="H446" s="176" t="inlineStr">
        <is>
          <t>81958</t>
        </is>
      </c>
      <c r="I446" s="176" t="inlineStr">
        <is>
          <t>Бецофен Сергей Яковлевич</t>
        </is>
      </c>
      <c r="J446" s="176" t="n"/>
      <c r="K446" s="176" t="inlineStr">
        <is>
          <t>Да</t>
        </is>
      </c>
      <c r="L446" s="176" t="n"/>
      <c r="M446" s="176" t="inlineStr">
        <is>
          <t>Максименко Екатерина Игоревна</t>
        </is>
      </c>
      <c r="N446" s="179">
        <f>SUMIFS($E$2:$E$896,$A$2:$A$896,"осень",$I$2:$I$896,I446)</f>
        <v/>
      </c>
      <c r="O446" s="179">
        <f>SUMIFS($E$2:$E$896,$A$2:$A$896,"весна",$I$2:$I$896,I446)</f>
        <v/>
      </c>
      <c r="P446" s="180">
        <f>N446+O446</f>
        <v/>
      </c>
      <c r="Q446" s="181">
        <f>P446/$Q$1</f>
        <v/>
      </c>
      <c r="R446" s="122">
        <f>P446*0.2</f>
        <v/>
      </c>
      <c r="S446" s="122">
        <f>Q446*0.8</f>
        <v/>
      </c>
      <c r="T446" s="133" t="n">
        <v>0.3</v>
      </c>
    </row>
    <row r="447" hidden="1" ht="15.75" customHeight="1" s="2">
      <c r="A447" s="175" t="inlineStr">
        <is>
          <t>осень</t>
        </is>
      </c>
      <c r="B447" s="176" t="inlineStr">
        <is>
          <t>Руководство аспирантами</t>
        </is>
      </c>
      <c r="C447" s="176" t="inlineStr">
        <is>
          <t>Руководство аспирантами</t>
        </is>
      </c>
      <c r="D447" s="176" t="inlineStr">
        <is>
          <t>Т11О-205А-22</t>
        </is>
      </c>
      <c r="E447" s="177" t="n">
        <v>50</v>
      </c>
      <c r="F447" s="176" t="n"/>
      <c r="G447" s="178" t="n"/>
      <c r="H447" s="176" t="inlineStr">
        <is>
          <t>81891</t>
        </is>
      </c>
      <c r="I447" s="176" t="inlineStr">
        <is>
          <t>Ряховский Александр Павлович</t>
        </is>
      </c>
      <c r="J447" s="176" t="n"/>
      <c r="K447" s="176" t="inlineStr">
        <is>
          <t>Да</t>
        </is>
      </c>
      <c r="L447" s="176" t="n"/>
      <c r="M447" s="176" t="inlineStr">
        <is>
          <t>Федорцов Руслан Сергеевич</t>
        </is>
      </c>
      <c r="N447" s="179">
        <f>SUMIFS($E$2:$E$896,$A$2:$A$896,"осень",$I$2:$I$896,I447)</f>
        <v/>
      </c>
      <c r="O447" s="179">
        <f>SUMIFS($E$2:$E$896,$A$2:$A$896,"весна",$I$2:$I$896,I447)</f>
        <v/>
      </c>
      <c r="P447" s="180">
        <f>N447+O447</f>
        <v/>
      </c>
      <c r="Q447" s="181">
        <f>P447/$Q$1</f>
        <v/>
      </c>
      <c r="R447" s="122">
        <f>P447*0.2</f>
        <v/>
      </c>
      <c r="S447" s="122">
        <f>Q447*0.8</f>
        <v/>
      </c>
      <c r="T447" s="133" t="n">
        <v>0.5</v>
      </c>
    </row>
    <row r="448" hidden="1" ht="15.75" customHeight="1" s="2">
      <c r="A448" s="175" t="inlineStr">
        <is>
          <t>осень</t>
        </is>
      </c>
      <c r="B448" s="176" t="inlineStr">
        <is>
          <t>Руководство аспирантами</t>
        </is>
      </c>
      <c r="C448" s="176" t="inlineStr">
        <is>
          <t>Руководство аспирантами</t>
        </is>
      </c>
      <c r="D448" s="176" t="inlineStr">
        <is>
          <t>Т11О-206А-22</t>
        </is>
      </c>
      <c r="E448" s="177" t="n">
        <v>50</v>
      </c>
      <c r="F448" s="176" t="n"/>
      <c r="G448" s="178" t="n"/>
      <c r="H448" s="176" t="inlineStr">
        <is>
          <t>81728</t>
        </is>
      </c>
      <c r="I448" s="176" t="inlineStr">
        <is>
          <t>Галкин Виктор Иванович</t>
        </is>
      </c>
      <c r="J448" s="176" t="n"/>
      <c r="K448" s="176" t="inlineStr">
        <is>
          <t>Да</t>
        </is>
      </c>
      <c r="L448" s="176" t="n"/>
      <c r="M448" s="176" t="inlineStr">
        <is>
          <t>Батталов Тагир Хакимьянович</t>
        </is>
      </c>
      <c r="N448" s="179">
        <f>SUMIFS($E$2:$E$896,$A$2:$A$896,"осень",$I$2:$I$896,I448)</f>
        <v/>
      </c>
      <c r="O448" s="179">
        <f>SUMIFS($E$2:$E$896,$A$2:$A$896,"весна",$I$2:$I$896,I448)</f>
        <v/>
      </c>
      <c r="P448" s="180">
        <f>N448+O448</f>
        <v/>
      </c>
      <c r="Q448" s="181">
        <f>P448/$Q$1</f>
        <v/>
      </c>
      <c r="R448" s="122">
        <f>P448*0.2</f>
        <v/>
      </c>
      <c r="S448" s="122">
        <f>Q448*0.8</f>
        <v/>
      </c>
      <c r="T448" s="133" t="n">
        <v>0.75</v>
      </c>
    </row>
    <row r="449" hidden="1" ht="15.75" customHeight="1" s="2">
      <c r="A449" s="175" t="inlineStr">
        <is>
          <t>осень</t>
        </is>
      </c>
      <c r="B449" s="176" t="inlineStr">
        <is>
          <t>Руководство аспирантами</t>
        </is>
      </c>
      <c r="C449" s="176" t="inlineStr">
        <is>
          <t>Руководство аспирантами</t>
        </is>
      </c>
      <c r="D449" s="176" t="inlineStr">
        <is>
          <t>Т11О-207А-22</t>
        </is>
      </c>
      <c r="E449" s="177" t="n">
        <v>50</v>
      </c>
      <c r="F449" s="176" t="n"/>
      <c r="G449" s="178" t="n"/>
      <c r="H449" s="176" t="inlineStr">
        <is>
          <t>82060</t>
        </is>
      </c>
      <c r="I449" s="176" t="inlineStr">
        <is>
          <t>Лозован Александр Александрович</t>
        </is>
      </c>
      <c r="J449" s="176" t="n"/>
      <c r="K449" s="176" t="inlineStr">
        <is>
          <t>Да</t>
        </is>
      </c>
      <c r="L449" s="176" t="n"/>
      <c r="M449" s="176" t="inlineStr">
        <is>
          <t>Рыбаков Егор Михайлович</t>
        </is>
      </c>
      <c r="N449" s="179">
        <f>SUMIFS($E$2:$E$896,$A$2:$A$896,"осень",$I$2:$I$896,I449)</f>
        <v/>
      </c>
      <c r="O449" s="179">
        <f>SUMIFS($E$2:$E$896,$A$2:$A$896,"весна",$I$2:$I$896,I449)</f>
        <v/>
      </c>
      <c r="P449" s="180">
        <f>N449+O449</f>
        <v/>
      </c>
      <c r="Q449" s="181">
        <f>P449/$Q$1</f>
        <v/>
      </c>
      <c r="R449" s="122">
        <f>P449*0.2</f>
        <v/>
      </c>
      <c r="S449" s="122">
        <f>Q449*0.8</f>
        <v/>
      </c>
      <c r="T449" s="133" t="n">
        <v>0.55</v>
      </c>
    </row>
    <row r="450" hidden="1" ht="15.75" customHeight="1" s="2">
      <c r="A450" s="194" t="inlineStr">
        <is>
          <t>весна</t>
        </is>
      </c>
      <c r="B450" s="176" t="inlineStr">
        <is>
          <t>Руководство кафедрой</t>
        </is>
      </c>
      <c r="C450" s="176" t="inlineStr">
        <is>
          <t>Руководство кафедрой</t>
        </is>
      </c>
      <c r="D450" s="176" t="n"/>
      <c r="E450" s="177" t="n">
        <v>30</v>
      </c>
      <c r="F450" s="176" t="n"/>
      <c r="G450" s="178" t="n"/>
      <c r="H450" s="176" t="inlineStr">
        <is>
          <t>82061</t>
        </is>
      </c>
      <c r="I450" s="176" t="inlineStr">
        <is>
          <t>Моисеев Виктор Сергеевич</t>
        </is>
      </c>
      <c r="J450" s="176" t="n"/>
      <c r="K450" s="176" t="inlineStr">
        <is>
          <t>Нет</t>
        </is>
      </c>
      <c r="L450" s="176" t="n"/>
      <c r="M450" s="176" t="n"/>
      <c r="N450" s="179">
        <f>SUMIFS($E$2:$E$896,$A$2:$A$896,"осень",$I$2:$I$896,I450)</f>
        <v/>
      </c>
      <c r="O450" s="179">
        <f>SUMIFS($E$2:$E$896,$A$2:$A$896,"весна",$I$2:$I$896,I450)</f>
        <v/>
      </c>
      <c r="P450" s="180">
        <f>N450+O450</f>
        <v/>
      </c>
      <c r="Q450" s="181">
        <f>P450/$Q$1</f>
        <v/>
      </c>
      <c r="R450" s="122">
        <f>P450*0.2</f>
        <v/>
      </c>
      <c r="S450" s="122">
        <f>Q450*0.8</f>
        <v/>
      </c>
      <c r="T450" s="133" t="n">
        <v>0.2</v>
      </c>
    </row>
    <row r="451" hidden="1" ht="15.75" customHeight="1" s="2">
      <c r="A451" s="194" t="inlineStr">
        <is>
          <t>весна</t>
        </is>
      </c>
      <c r="B451" s="176" t="inlineStr">
        <is>
          <t>Информационные технологии в ОМД</t>
        </is>
      </c>
      <c r="C451" s="176" t="inlineStr">
        <is>
          <t>ЛК</t>
        </is>
      </c>
      <c r="D451" s="176" t="inlineStr">
        <is>
          <t>Т11О-401Б-20</t>
        </is>
      </c>
      <c r="E451" s="177" t="n">
        <v>16</v>
      </c>
      <c r="F451" s="176" t="inlineStr">
        <is>
          <t>11924</t>
        </is>
      </c>
      <c r="G451" s="177" t="n">
        <v>16</v>
      </c>
      <c r="H451" s="176" t="inlineStr">
        <is>
          <t>81720</t>
        </is>
      </c>
      <c r="I451" s="176" t="inlineStr">
        <is>
          <t>Палтиевич Андрей Романович</t>
        </is>
      </c>
      <c r="J451" s="176" t="n"/>
      <c r="K451" s="176" t="inlineStr">
        <is>
          <t>Нет</t>
        </is>
      </c>
      <c r="L451" s="176" t="n"/>
      <c r="M451" s="176" t="n"/>
      <c r="N451" s="179">
        <f>SUMIFS($E$2:$E$896,$A$2:$A$896,"осень",$I$2:$I$896,I451)</f>
        <v/>
      </c>
      <c r="O451" s="179">
        <f>SUMIFS($E$2:$E$896,$A$2:$A$896,"весна",$I$2:$I$896,I451)</f>
        <v/>
      </c>
      <c r="P451" s="180">
        <f>N451+O451</f>
        <v/>
      </c>
      <c r="Q451" s="181">
        <f>P451/$Q$1</f>
        <v/>
      </c>
      <c r="R451" s="122">
        <f>P451*0.2</f>
        <v/>
      </c>
      <c r="S451" s="122">
        <f>Q451*0.8</f>
        <v/>
      </c>
      <c r="T451" s="133" t="n">
        <v>0.65</v>
      </c>
    </row>
    <row r="452" hidden="1" ht="15.75" customHeight="1" s="2">
      <c r="A452" s="194" t="inlineStr">
        <is>
          <t>весна</t>
        </is>
      </c>
      <c r="B452" s="176" t="inlineStr">
        <is>
          <t>Информационные технологии в ОМД</t>
        </is>
      </c>
      <c r="C452" s="176" t="inlineStr">
        <is>
          <t>ЛР</t>
        </is>
      </c>
      <c r="D452" s="176" t="inlineStr">
        <is>
          <t>Т11О-401Б-20</t>
        </is>
      </c>
      <c r="E452" s="177" t="n">
        <v>32</v>
      </c>
      <c r="F452" s="176" t="inlineStr">
        <is>
          <t>11924</t>
        </is>
      </c>
      <c r="G452" s="177" t="n">
        <v>32</v>
      </c>
      <c r="H452" s="176" t="inlineStr">
        <is>
          <t>81720</t>
        </is>
      </c>
      <c r="I452" s="176" t="inlineStr">
        <is>
          <t>Палтиевич Андрей Романович</t>
        </is>
      </c>
      <c r="J452" s="176" t="n"/>
      <c r="K452" s="176" t="inlineStr">
        <is>
          <t>Нет</t>
        </is>
      </c>
      <c r="L452" s="176" t="n"/>
      <c r="M452" s="176" t="n"/>
      <c r="N452" s="179">
        <f>SUMIFS($E$2:$E$896,$A$2:$A$896,"осень",$I$2:$I$896,I452)</f>
        <v/>
      </c>
      <c r="O452" s="179">
        <f>SUMIFS($E$2:$E$896,$A$2:$A$896,"весна",$I$2:$I$896,I452)</f>
        <v/>
      </c>
      <c r="P452" s="180">
        <f>N452+O452</f>
        <v/>
      </c>
      <c r="Q452" s="181">
        <f>P452/$Q$1</f>
        <v/>
      </c>
      <c r="R452" s="122">
        <f>P452*0.2</f>
        <v/>
      </c>
      <c r="S452" s="122">
        <f>Q452*0.8</f>
        <v/>
      </c>
      <c r="T452" s="133" t="n">
        <v>0.65</v>
      </c>
    </row>
    <row r="453" hidden="1" ht="15.75" customHeight="1" s="2">
      <c r="A453" s="194" t="inlineStr">
        <is>
          <t>весна</t>
        </is>
      </c>
      <c r="B453" s="176" t="inlineStr">
        <is>
          <t>Информационные технологии в ОМД</t>
        </is>
      </c>
      <c r="C453" s="176" t="inlineStr">
        <is>
          <t>Зачет</t>
        </is>
      </c>
      <c r="D453" s="176" t="inlineStr">
        <is>
          <t>Т11О-401Б-20</t>
        </is>
      </c>
      <c r="E453" s="177" t="n">
        <v>2</v>
      </c>
      <c r="F453" s="176" t="inlineStr">
        <is>
          <t>11924</t>
        </is>
      </c>
      <c r="G453" s="178" t="n"/>
      <c r="H453" s="176" t="inlineStr">
        <is>
          <t>81720</t>
        </is>
      </c>
      <c r="I453" s="176" t="inlineStr">
        <is>
          <t>Палтиевич Андрей Романович</t>
        </is>
      </c>
      <c r="J453" s="176" t="n"/>
      <c r="K453" s="176" t="inlineStr">
        <is>
          <t>Нет</t>
        </is>
      </c>
      <c r="L453" s="176" t="n"/>
      <c r="M453" s="176" t="n"/>
      <c r="N453" s="179">
        <f>SUMIFS($E$2:$E$896,$A$2:$A$896,"осень",$I$2:$I$896,I453)</f>
        <v/>
      </c>
      <c r="O453" s="179">
        <f>SUMIFS($E$2:$E$896,$A$2:$A$896,"весна",$I$2:$I$896,I453)</f>
        <v/>
      </c>
      <c r="P453" s="180">
        <f>N453+O453</f>
        <v/>
      </c>
      <c r="Q453" s="181">
        <f>P453/$Q$1</f>
        <v/>
      </c>
      <c r="R453" s="122">
        <f>P453*0.2</f>
        <v/>
      </c>
      <c r="S453" s="122">
        <f>Q453*0.8</f>
        <v/>
      </c>
      <c r="T453" s="133" t="n">
        <v>0.65</v>
      </c>
    </row>
    <row r="454" hidden="1" ht="15.75" customHeight="1" s="2">
      <c r="A454" s="194" t="inlineStr">
        <is>
          <t>весна</t>
        </is>
      </c>
      <c r="B454" s="176" t="inlineStr">
        <is>
          <t>Информационные технологии в ОМД</t>
        </is>
      </c>
      <c r="C454" s="176" t="inlineStr">
        <is>
          <t>Консультация</t>
        </is>
      </c>
      <c r="D454" s="176" t="inlineStr">
        <is>
          <t>Т11О-401Б-20</t>
        </is>
      </c>
      <c r="E454" s="177" t="n">
        <v>1</v>
      </c>
      <c r="F454" s="176" t="inlineStr">
        <is>
          <t>11924</t>
        </is>
      </c>
      <c r="G454" s="178" t="n"/>
      <c r="H454" s="176" t="inlineStr">
        <is>
          <t>81720</t>
        </is>
      </c>
      <c r="I454" s="176" t="inlineStr">
        <is>
          <t>Палтиевич Андрей Романович</t>
        </is>
      </c>
      <c r="J454" s="176" t="n"/>
      <c r="K454" s="176" t="inlineStr">
        <is>
          <t>Нет</t>
        </is>
      </c>
      <c r="L454" s="176" t="n"/>
      <c r="M454" s="176" t="n"/>
      <c r="N454" s="179">
        <f>SUMIFS($E$2:$E$896,$A$2:$A$896,"осень",$I$2:$I$896,I454)</f>
        <v/>
      </c>
      <c r="O454" s="179">
        <f>SUMIFS($E$2:$E$896,$A$2:$A$896,"весна",$I$2:$I$896,I454)</f>
        <v/>
      </c>
      <c r="P454" s="180">
        <f>N454+O454</f>
        <v/>
      </c>
      <c r="Q454" s="181">
        <f>P454/$Q$1</f>
        <v/>
      </c>
      <c r="R454" s="122">
        <f>P454*0.2</f>
        <v/>
      </c>
      <c r="S454" s="122">
        <f>Q454*0.8</f>
        <v/>
      </c>
      <c r="T454" s="133" t="n">
        <v>0.65</v>
      </c>
    </row>
    <row r="455" hidden="1" ht="15.75" customHeight="1" s="2">
      <c r="A455" s="194" t="inlineStr">
        <is>
          <t>весна</t>
        </is>
      </c>
      <c r="B455" s="176" t="inlineStr">
        <is>
          <t>Металлургия конструкционных материалов из гранулируемых сплавов</t>
        </is>
      </c>
      <c r="C455" s="176" t="inlineStr">
        <is>
          <t>ЛК</t>
        </is>
      </c>
      <c r="D455" s="176" t="inlineStr">
        <is>
          <t>Т11О-201М-22, Т11О-202М-22</t>
        </is>
      </c>
      <c r="E455" s="177" t="n">
        <v>8</v>
      </c>
      <c r="F455" s="176" t="inlineStr">
        <is>
          <t>16104</t>
        </is>
      </c>
      <c r="G455" s="177" t="n">
        <v>16</v>
      </c>
      <c r="H455" s="176" t="inlineStr">
        <is>
          <t>82056</t>
        </is>
      </c>
      <c r="I455" s="176" t="inlineStr">
        <is>
          <t>Никитина Елена Владимировна</t>
        </is>
      </c>
      <c r="J455" s="176" t="n"/>
      <c r="K455" s="176" t="inlineStr">
        <is>
          <t>Нет</t>
        </is>
      </c>
      <c r="L455" s="176" t="n"/>
      <c r="M455" s="176" t="n"/>
      <c r="N455" s="179">
        <f>SUMIFS($E$2:$E$896,$A$2:$A$896,"осень",$I$2:$I$896,I455)</f>
        <v/>
      </c>
      <c r="O455" s="179">
        <f>SUMIFS($E$2:$E$896,$A$2:$A$896,"весна",$I$2:$I$896,I455)</f>
        <v/>
      </c>
      <c r="P455" s="180">
        <f>N455+O455</f>
        <v/>
      </c>
      <c r="Q455" s="181">
        <f>P455/$Q$1</f>
        <v/>
      </c>
      <c r="R455" s="122">
        <f>P455*0.2</f>
        <v/>
      </c>
      <c r="S455" s="122">
        <f>Q455*0.8</f>
        <v/>
      </c>
      <c r="T455" s="133" t="n">
        <v>0.5</v>
      </c>
    </row>
    <row r="456" hidden="1" ht="15.75" customHeight="1" s="2">
      <c r="A456" s="194" t="inlineStr">
        <is>
          <t>весна</t>
        </is>
      </c>
      <c r="B456" s="176" t="inlineStr">
        <is>
          <t>Металлургия конструкционных материалов из гранулируемых сплавов</t>
        </is>
      </c>
      <c r="C456" s="176" t="inlineStr">
        <is>
          <t>ЛК</t>
        </is>
      </c>
      <c r="D456" s="176" t="inlineStr">
        <is>
          <t>Т11О-201М-22, Т11О-202М-22</t>
        </is>
      </c>
      <c r="E456" s="177" t="n">
        <v>8</v>
      </c>
      <c r="F456" s="176" t="inlineStr">
        <is>
          <t>16104</t>
        </is>
      </c>
      <c r="G456" s="177" t="n">
        <v>16</v>
      </c>
      <c r="H456" s="176" t="inlineStr">
        <is>
          <t>82066</t>
        </is>
      </c>
      <c r="I456" s="176" t="inlineStr">
        <is>
          <t>Серов Михаил Михайлович</t>
        </is>
      </c>
      <c r="J456" s="176" t="n"/>
      <c r="K456" s="176" t="inlineStr">
        <is>
          <t>Нет</t>
        </is>
      </c>
      <c r="L456" s="176" t="n"/>
      <c r="M456" s="176" t="n"/>
      <c r="N456" s="179">
        <f>SUMIFS($E$2:$E$896,$A$2:$A$896,"осень",$I$2:$I$896,I456)</f>
        <v/>
      </c>
      <c r="O456" s="179">
        <f>SUMIFS($E$2:$E$896,$A$2:$A$896,"весна",$I$2:$I$896,I456)</f>
        <v/>
      </c>
      <c r="P456" s="180">
        <f>N456+O456</f>
        <v/>
      </c>
      <c r="Q456" s="181">
        <f>P456/$Q$1</f>
        <v/>
      </c>
      <c r="R456" s="122">
        <f>P456*0.2</f>
        <v/>
      </c>
      <c r="S456" s="122">
        <f>Q456*0.8</f>
        <v/>
      </c>
      <c r="T456" s="133" t="n">
        <v>0.6</v>
      </c>
    </row>
    <row r="457" hidden="1" ht="15.75" customHeight="1" s="2">
      <c r="A457" s="194" t="inlineStr">
        <is>
          <t>весна</t>
        </is>
      </c>
      <c r="B457" s="176" t="inlineStr">
        <is>
          <t>Металлургия конструкционных материалов из гранулируемых сплавов</t>
        </is>
      </c>
      <c r="C457" s="176" t="inlineStr">
        <is>
          <t>КР</t>
        </is>
      </c>
      <c r="D457" s="176" t="inlineStr">
        <is>
          <t>Т11О-201М-22</t>
        </is>
      </c>
      <c r="E457" s="177" t="n">
        <v>24</v>
      </c>
      <c r="F457" s="176" t="inlineStr">
        <is>
          <t>16104</t>
        </is>
      </c>
      <c r="G457" s="178" t="n"/>
      <c r="H457" s="176" t="inlineStr">
        <is>
          <t>82056</t>
        </is>
      </c>
      <c r="I457" s="176" t="inlineStr">
        <is>
          <t>Никитина Елена Владимировна</t>
        </is>
      </c>
      <c r="J457" s="176" t="n"/>
      <c r="K457" s="176" t="inlineStr">
        <is>
          <t>Нет</t>
        </is>
      </c>
      <c r="L457" s="176" t="n"/>
      <c r="M457" s="176" t="n"/>
      <c r="N457" s="179">
        <f>SUMIFS($E$2:$E$896,$A$2:$A$896,"осень",$I$2:$I$896,I457)</f>
        <v/>
      </c>
      <c r="O457" s="179">
        <f>SUMIFS($E$2:$E$896,$A$2:$A$896,"весна",$I$2:$I$896,I457)</f>
        <v/>
      </c>
      <c r="P457" s="180">
        <f>N457+O457</f>
        <v/>
      </c>
      <c r="Q457" s="181">
        <f>P457/$Q$1</f>
        <v/>
      </c>
      <c r="R457" s="122">
        <f>P457*0.2</f>
        <v/>
      </c>
      <c r="S457" s="122">
        <f>Q457*0.8</f>
        <v/>
      </c>
      <c r="T457" s="133" t="n">
        <v>0.5</v>
      </c>
    </row>
    <row r="458" hidden="1" ht="15.75" customHeight="1" s="2">
      <c r="A458" s="194" t="inlineStr">
        <is>
          <t>весна</t>
        </is>
      </c>
      <c r="B458" s="176" t="inlineStr">
        <is>
          <t>Металлургия конструкционных материалов из гранулируемых сплавов</t>
        </is>
      </c>
      <c r="C458" s="176" t="inlineStr">
        <is>
          <t>КР</t>
        </is>
      </c>
      <c r="D458" s="176" t="inlineStr">
        <is>
          <t>Т11О-202М-22</t>
        </is>
      </c>
      <c r="E458" s="177" t="n">
        <v>14</v>
      </c>
      <c r="F458" s="176" t="inlineStr">
        <is>
          <t>16104</t>
        </is>
      </c>
      <c r="G458" s="178" t="n"/>
      <c r="H458" s="176" t="inlineStr">
        <is>
          <t>82066</t>
        </is>
      </c>
      <c r="I458" s="176" t="inlineStr">
        <is>
          <t>Серов Михаил Михайлович</t>
        </is>
      </c>
      <c r="J458" s="176" t="n"/>
      <c r="K458" s="176" t="inlineStr">
        <is>
          <t>Нет</t>
        </is>
      </c>
      <c r="L458" s="176" t="n"/>
      <c r="M458" s="176" t="n"/>
      <c r="N458" s="179">
        <f>SUMIFS($E$2:$E$896,$A$2:$A$896,"осень",$I$2:$I$896,I458)</f>
        <v/>
      </c>
      <c r="O458" s="179">
        <f>SUMIFS($E$2:$E$896,$A$2:$A$896,"весна",$I$2:$I$896,I458)</f>
        <v/>
      </c>
      <c r="P458" s="180">
        <f>N458+O458</f>
        <v/>
      </c>
      <c r="Q458" s="181">
        <f>P458/$Q$1</f>
        <v/>
      </c>
      <c r="R458" s="122">
        <f>P458*0.2</f>
        <v/>
      </c>
      <c r="S458" s="122">
        <f>Q458*0.8</f>
        <v/>
      </c>
      <c r="T458" s="133" t="n">
        <v>0.6</v>
      </c>
    </row>
    <row r="459" hidden="1" ht="15.75" customHeight="1" s="2">
      <c r="A459" s="194" t="inlineStr">
        <is>
          <t>весна</t>
        </is>
      </c>
      <c r="B459" s="176" t="inlineStr">
        <is>
          <t>Металлургия конструкционных материалов из гранулируемых сплавов</t>
        </is>
      </c>
      <c r="C459" s="176" t="inlineStr">
        <is>
          <t>ПЗ</t>
        </is>
      </c>
      <c r="D459" s="176" t="inlineStr">
        <is>
          <t>Т11О-201М-22</t>
        </is>
      </c>
      <c r="E459" s="177" t="n">
        <v>22</v>
      </c>
      <c r="F459" s="176" t="inlineStr">
        <is>
          <t>16104</t>
        </is>
      </c>
      <c r="G459" s="177" t="n">
        <v>44</v>
      </c>
      <c r="H459" s="176" t="inlineStr">
        <is>
          <t>82056</t>
        </is>
      </c>
      <c r="I459" s="176" t="inlineStr">
        <is>
          <t>Никитина Елена Владимировна</t>
        </is>
      </c>
      <c r="J459" s="176" t="n"/>
      <c r="K459" s="176" t="inlineStr">
        <is>
          <t>Нет</t>
        </is>
      </c>
      <c r="L459" s="176" t="n"/>
      <c r="M459" s="176" t="n"/>
      <c r="N459" s="179">
        <f>SUMIFS($E$2:$E$896,$A$2:$A$896,"осень",$I$2:$I$896,I459)</f>
        <v/>
      </c>
      <c r="O459" s="179">
        <f>SUMIFS($E$2:$E$896,$A$2:$A$896,"весна",$I$2:$I$896,I459)</f>
        <v/>
      </c>
      <c r="P459" s="180">
        <f>N459+O459</f>
        <v/>
      </c>
      <c r="Q459" s="181">
        <f>P459/$Q$1</f>
        <v/>
      </c>
      <c r="R459" s="122">
        <f>P459*0.2</f>
        <v/>
      </c>
      <c r="S459" s="122">
        <f>Q459*0.8</f>
        <v/>
      </c>
      <c r="T459" s="133" t="n">
        <v>0.5</v>
      </c>
    </row>
    <row r="460" hidden="1" ht="15.75" customHeight="1" s="2">
      <c r="A460" s="194" t="inlineStr">
        <is>
          <t>весна</t>
        </is>
      </c>
      <c r="B460" s="176" t="inlineStr">
        <is>
          <t>Металлургия конструкционных материалов из гранулируемых сплавов</t>
        </is>
      </c>
      <c r="C460" s="176" t="inlineStr">
        <is>
          <t>ПЗ</t>
        </is>
      </c>
      <c r="D460" s="176" t="inlineStr">
        <is>
          <t>Т11О-201М-22</t>
        </is>
      </c>
      <c r="E460" s="177" t="n">
        <v>22</v>
      </c>
      <c r="F460" s="176" t="inlineStr">
        <is>
          <t>16104</t>
        </is>
      </c>
      <c r="G460" s="177" t="n">
        <v>44</v>
      </c>
      <c r="H460" s="176" t="inlineStr">
        <is>
          <t>82066</t>
        </is>
      </c>
      <c r="I460" s="176" t="inlineStr">
        <is>
          <t>Серов Михаил Михайлович</t>
        </is>
      </c>
      <c r="J460" s="176" t="n"/>
      <c r="K460" s="176" t="inlineStr">
        <is>
          <t>Нет</t>
        </is>
      </c>
      <c r="L460" s="176" t="n"/>
      <c r="M460" s="176" t="n"/>
      <c r="N460" s="179">
        <f>SUMIFS($E$2:$E$896,$A$2:$A$896,"осень",$I$2:$I$896,I460)</f>
        <v/>
      </c>
      <c r="O460" s="179">
        <f>SUMIFS($E$2:$E$896,$A$2:$A$896,"весна",$I$2:$I$896,I460)</f>
        <v/>
      </c>
      <c r="P460" s="180">
        <f>N460+O460</f>
        <v/>
      </c>
      <c r="Q460" s="181">
        <f>P460/$Q$1</f>
        <v/>
      </c>
      <c r="R460" s="122">
        <f>P460*0.2</f>
        <v/>
      </c>
      <c r="S460" s="122">
        <f>Q460*0.8</f>
        <v/>
      </c>
      <c r="T460" s="133" t="n">
        <v>0.6</v>
      </c>
    </row>
    <row r="461" hidden="1" ht="15.75" customHeight="1" s="2">
      <c r="A461" s="194" t="inlineStr">
        <is>
          <t>весна</t>
        </is>
      </c>
      <c r="B461" s="176" t="inlineStr">
        <is>
          <t>Металлургия конструкционных материалов из гранулируемых сплавов</t>
        </is>
      </c>
      <c r="C461" s="176" t="inlineStr">
        <is>
          <t>ПЗ</t>
        </is>
      </c>
      <c r="D461" s="176" t="inlineStr">
        <is>
          <t>Т11О-202М-22</t>
        </is>
      </c>
      <c r="E461" s="177" t="n">
        <v>22</v>
      </c>
      <c r="F461" s="176" t="inlineStr">
        <is>
          <t>16104</t>
        </is>
      </c>
      <c r="G461" s="177" t="n">
        <v>44</v>
      </c>
      <c r="H461" s="176" t="inlineStr">
        <is>
          <t>82066</t>
        </is>
      </c>
      <c r="I461" s="176" t="inlineStr">
        <is>
          <t>Серов Михаил Михайлович</t>
        </is>
      </c>
      <c r="J461" s="176" t="n"/>
      <c r="K461" s="176" t="inlineStr">
        <is>
          <t>Нет</t>
        </is>
      </c>
      <c r="L461" s="176" t="n"/>
      <c r="M461" s="176" t="n"/>
      <c r="N461" s="179">
        <f>SUMIFS($E$2:$E$896,$A$2:$A$896,"осень",$I$2:$I$896,I461)</f>
        <v/>
      </c>
      <c r="O461" s="179">
        <f>SUMIFS($E$2:$E$896,$A$2:$A$896,"весна",$I$2:$I$896,I461)</f>
        <v/>
      </c>
      <c r="P461" s="180">
        <f>N461+O461</f>
        <v/>
      </c>
      <c r="Q461" s="181">
        <f>P461/$Q$1</f>
        <v/>
      </c>
      <c r="R461" s="122">
        <f>P461*0.2</f>
        <v/>
      </c>
      <c r="S461" s="122">
        <f>Q461*0.8</f>
        <v/>
      </c>
      <c r="T461" s="133" t="n">
        <v>0.6</v>
      </c>
    </row>
    <row r="462" hidden="1" ht="15.75" customHeight="1" s="2">
      <c r="A462" s="194" t="inlineStr">
        <is>
          <t>весна</t>
        </is>
      </c>
      <c r="B462" s="176" t="inlineStr">
        <is>
          <t>Металлургия конструкционных материалов из гранулируемых сплавов</t>
        </is>
      </c>
      <c r="C462" s="176" t="inlineStr">
        <is>
          <t>ПЗ</t>
        </is>
      </c>
      <c r="D462" s="176" t="inlineStr">
        <is>
          <t>Т11О-202М-22</t>
        </is>
      </c>
      <c r="E462" s="177" t="n">
        <v>22</v>
      </c>
      <c r="F462" s="176" t="inlineStr">
        <is>
          <t>16104</t>
        </is>
      </c>
      <c r="G462" s="177" t="n">
        <v>44</v>
      </c>
      <c r="H462" s="176" t="inlineStr">
        <is>
          <t>82056</t>
        </is>
      </c>
      <c r="I462" s="176" t="inlineStr">
        <is>
          <t>Никитина Елена Владимировна</t>
        </is>
      </c>
      <c r="J462" s="176" t="n"/>
      <c r="K462" s="176" t="inlineStr">
        <is>
          <t>Нет</t>
        </is>
      </c>
      <c r="L462" s="176" t="n"/>
      <c r="M462" s="176" t="n"/>
      <c r="N462" s="179">
        <f>SUMIFS($E$2:$E$896,$A$2:$A$896,"осень",$I$2:$I$896,I462)</f>
        <v/>
      </c>
      <c r="O462" s="179">
        <f>SUMIFS($E$2:$E$896,$A$2:$A$896,"весна",$I$2:$I$896,I462)</f>
        <v/>
      </c>
      <c r="P462" s="180">
        <f>N462+O462</f>
        <v/>
      </c>
      <c r="Q462" s="181">
        <f>P462/$Q$1</f>
        <v/>
      </c>
      <c r="R462" s="122">
        <f>P462*0.2</f>
        <v/>
      </c>
      <c r="S462" s="122">
        <f>Q462*0.8</f>
        <v/>
      </c>
      <c r="T462" s="133" t="n">
        <v>0.5</v>
      </c>
    </row>
    <row r="463" hidden="1" ht="15.75" customHeight="1" s="2">
      <c r="A463" s="194" t="inlineStr">
        <is>
          <t>весна</t>
        </is>
      </c>
      <c r="B463" s="176" t="inlineStr">
        <is>
          <t>Металлургия конструкционных материалов из гранулируемых сплавов</t>
        </is>
      </c>
      <c r="C463" s="176" t="inlineStr">
        <is>
          <t>Экзамен</t>
        </is>
      </c>
      <c r="D463" s="176" t="inlineStr">
        <is>
          <t>Т11О-201М-22</t>
        </is>
      </c>
      <c r="E463" s="177" t="n">
        <v>2</v>
      </c>
      <c r="F463" s="176" t="inlineStr">
        <is>
          <t>16104</t>
        </is>
      </c>
      <c r="G463" s="178" t="n"/>
      <c r="H463" s="176" t="inlineStr">
        <is>
          <t>82066</t>
        </is>
      </c>
      <c r="I463" s="176" t="inlineStr">
        <is>
          <t>Серов Михаил Михайлович</t>
        </is>
      </c>
      <c r="J463" s="176" t="n"/>
      <c r="K463" s="176" t="inlineStr">
        <is>
          <t>Нет</t>
        </is>
      </c>
      <c r="L463" s="176" t="n"/>
      <c r="M463" s="176" t="n"/>
      <c r="N463" s="179">
        <f>SUMIFS($E$2:$E$896,$A$2:$A$896,"осень",$I$2:$I$896,I463)</f>
        <v/>
      </c>
      <c r="O463" s="179">
        <f>SUMIFS($E$2:$E$896,$A$2:$A$896,"весна",$I$2:$I$896,I463)</f>
        <v/>
      </c>
      <c r="P463" s="180">
        <f>N463+O463</f>
        <v/>
      </c>
      <c r="Q463" s="181">
        <f>P463/$Q$1</f>
        <v/>
      </c>
      <c r="R463" s="122">
        <f>P463*0.2</f>
        <v/>
      </c>
      <c r="S463" s="122">
        <f>Q463*0.8</f>
        <v/>
      </c>
      <c r="T463" s="133" t="n">
        <v>0.6</v>
      </c>
    </row>
    <row r="464" hidden="1" ht="15.75" customHeight="1" s="2">
      <c r="A464" s="194" t="inlineStr">
        <is>
          <t>весна</t>
        </is>
      </c>
      <c r="B464" s="176" t="inlineStr">
        <is>
          <t>Металлургия конструкционных материалов из гранулируемых сплавов</t>
        </is>
      </c>
      <c r="C464" s="176" t="inlineStr">
        <is>
          <t>Экзамен</t>
        </is>
      </c>
      <c r="D464" s="176" t="inlineStr">
        <is>
          <t>Т11О-201М-22</t>
        </is>
      </c>
      <c r="E464" s="177" t="n">
        <v>2</v>
      </c>
      <c r="F464" s="176" t="inlineStr">
        <is>
          <t>16104</t>
        </is>
      </c>
      <c r="G464" s="178" t="n"/>
      <c r="H464" s="176" t="inlineStr">
        <is>
          <t>82056</t>
        </is>
      </c>
      <c r="I464" s="176" t="inlineStr">
        <is>
          <t>Никитина Елена Владимировна</t>
        </is>
      </c>
      <c r="J464" s="176" t="n"/>
      <c r="K464" s="176" t="inlineStr">
        <is>
          <t>Нет</t>
        </is>
      </c>
      <c r="L464" s="176" t="n"/>
      <c r="M464" s="176" t="n"/>
      <c r="N464" s="179">
        <f>SUMIFS($E$2:$E$896,$A$2:$A$896,"осень",$I$2:$I$896,I464)</f>
        <v/>
      </c>
      <c r="O464" s="179">
        <f>SUMIFS($E$2:$E$896,$A$2:$A$896,"весна",$I$2:$I$896,I464)</f>
        <v/>
      </c>
      <c r="P464" s="180">
        <f>N464+O464</f>
        <v/>
      </c>
      <c r="Q464" s="181">
        <f>P464/$Q$1</f>
        <v/>
      </c>
      <c r="R464" s="122">
        <f>P464*0.2</f>
        <v/>
      </c>
      <c r="S464" s="122">
        <f>Q464*0.8</f>
        <v/>
      </c>
      <c r="T464" s="133" t="n">
        <v>0.5</v>
      </c>
    </row>
    <row r="465" ht="15.75" customHeight="1" s="2">
      <c r="A465" s="194" t="inlineStr">
        <is>
          <t>весна</t>
        </is>
      </c>
      <c r="B465" s="176" t="inlineStr">
        <is>
          <t>Металлургия конструкционных материалов из гранулируемых сплавов</t>
        </is>
      </c>
      <c r="C465" s="176" t="inlineStr">
        <is>
          <t>Экзамен</t>
        </is>
      </c>
      <c r="D465" s="176" t="inlineStr">
        <is>
          <t>Т11О-201М-22</t>
        </is>
      </c>
      <c r="E465" s="177" t="n">
        <v>2</v>
      </c>
      <c r="F465" s="176" t="inlineStr">
        <is>
          <t>16104</t>
        </is>
      </c>
      <c r="G465" s="178" t="n"/>
      <c r="H465" s="176" t="n"/>
      <c r="I465" s="176" t="inlineStr">
        <is>
          <t>э-резерв</t>
        </is>
      </c>
      <c r="J465" s="176" t="n"/>
      <c r="K465" s="176" t="inlineStr">
        <is>
          <t>Нет</t>
        </is>
      </c>
      <c r="L465" s="176" t="n"/>
      <c r="M465" s="176" t="n"/>
      <c r="N465" s="179">
        <f>SUMIFS($E$2:$E$896,$A$2:$A$896,"осень",$I$2:$I$896,I465)</f>
        <v/>
      </c>
      <c r="O465" s="179">
        <f>SUMIFS($E$2:$E$896,$A$2:$A$896,"весна",$I$2:$I$896,I465)</f>
        <v/>
      </c>
      <c r="P465" s="180">
        <f>N465+O465</f>
        <v/>
      </c>
      <c r="Q465" s="181">
        <f>P465/$Q$1</f>
        <v/>
      </c>
      <c r="R465" s="122">
        <f>P465*0.2</f>
        <v/>
      </c>
      <c r="S465" s="122">
        <f>Q465*0.8</f>
        <v/>
      </c>
      <c r="T465" s="133" t="n">
        <v>0</v>
      </c>
    </row>
    <row r="466" hidden="1" ht="15.75" customHeight="1" s="2">
      <c r="A466" s="194" t="inlineStr">
        <is>
          <t>весна</t>
        </is>
      </c>
      <c r="B466" s="176" t="inlineStr">
        <is>
          <t>Металлургия конструкционных материалов из гранулируемых сплавов</t>
        </is>
      </c>
      <c r="C466" s="176" t="inlineStr">
        <is>
          <t>Экзамен</t>
        </is>
      </c>
      <c r="D466" s="176" t="inlineStr">
        <is>
          <t>Т11О-202М-22</t>
        </is>
      </c>
      <c r="E466" s="177" t="n">
        <v>2</v>
      </c>
      <c r="F466" s="176" t="inlineStr">
        <is>
          <t>16104</t>
        </is>
      </c>
      <c r="G466" s="178" t="n"/>
      <c r="H466" s="176" t="inlineStr">
        <is>
          <t>82066</t>
        </is>
      </c>
      <c r="I466" s="176" t="inlineStr">
        <is>
          <t>Серов Михаил Михайлович</t>
        </is>
      </c>
      <c r="J466" s="176" t="n"/>
      <c r="K466" s="176" t="inlineStr">
        <is>
          <t>Нет</t>
        </is>
      </c>
      <c r="L466" s="176" t="n"/>
      <c r="M466" s="176" t="n"/>
      <c r="N466" s="179">
        <f>SUMIFS($E$2:$E$896,$A$2:$A$896,"осень",$I$2:$I$896,I466)</f>
        <v/>
      </c>
      <c r="O466" s="179">
        <f>SUMIFS($E$2:$E$896,$A$2:$A$896,"весна",$I$2:$I$896,I466)</f>
        <v/>
      </c>
      <c r="P466" s="180">
        <f>N466+O466</f>
        <v/>
      </c>
      <c r="Q466" s="181">
        <f>P466/$Q$1</f>
        <v/>
      </c>
      <c r="R466" s="122">
        <f>P466*0.2</f>
        <v/>
      </c>
      <c r="S466" s="122">
        <f>Q466*0.8</f>
        <v/>
      </c>
      <c r="T466" s="133" t="n">
        <v>0.6</v>
      </c>
    </row>
    <row r="467" hidden="1" ht="15.75" customHeight="1" s="2">
      <c r="A467" s="194" t="inlineStr">
        <is>
          <t>весна</t>
        </is>
      </c>
      <c r="B467" s="176" t="inlineStr">
        <is>
          <t>Металлургия конструкционных материалов из гранулируемых сплавов</t>
        </is>
      </c>
      <c r="C467" s="176" t="inlineStr">
        <is>
          <t>Экзамен</t>
        </is>
      </c>
      <c r="D467" s="176" t="inlineStr">
        <is>
          <t>Т11О-202М-22</t>
        </is>
      </c>
      <c r="E467" s="177" t="n">
        <v>2</v>
      </c>
      <c r="F467" s="176" t="inlineStr">
        <is>
          <t>16104</t>
        </is>
      </c>
      <c r="G467" s="178" t="n"/>
      <c r="H467" s="176" t="inlineStr">
        <is>
          <t>82056</t>
        </is>
      </c>
      <c r="I467" s="176" t="inlineStr">
        <is>
          <t>Никитина Елена Владимировна</t>
        </is>
      </c>
      <c r="J467" s="176" t="n"/>
      <c r="K467" s="176" t="inlineStr">
        <is>
          <t>Нет</t>
        </is>
      </c>
      <c r="L467" s="176" t="n"/>
      <c r="M467" s="176" t="n"/>
      <c r="N467" s="179">
        <f>SUMIFS($E$2:$E$896,$A$2:$A$896,"осень",$I$2:$I$896,I467)</f>
        <v/>
      </c>
      <c r="O467" s="179">
        <f>SUMIFS($E$2:$E$896,$A$2:$A$896,"весна",$I$2:$I$896,I467)</f>
        <v/>
      </c>
      <c r="P467" s="180">
        <f>N467+O467</f>
        <v/>
      </c>
      <c r="Q467" s="181">
        <f>P467/$Q$1</f>
        <v/>
      </c>
      <c r="R467" s="122">
        <f>P467*0.2</f>
        <v/>
      </c>
      <c r="S467" s="122">
        <f>Q467*0.8</f>
        <v/>
      </c>
      <c r="T467" s="133" t="n">
        <v>0.5</v>
      </c>
    </row>
    <row r="468" hidden="1" ht="15.75" customHeight="1" s="2">
      <c r="A468" s="194" t="inlineStr">
        <is>
          <t>весна</t>
        </is>
      </c>
      <c r="B468" s="176" t="inlineStr">
        <is>
          <t>Металлургия конструкционных материалов из гранулируемых сплавов</t>
        </is>
      </c>
      <c r="C468" s="176" t="inlineStr">
        <is>
          <t>Консультация</t>
        </is>
      </c>
      <c r="D468" s="176" t="inlineStr">
        <is>
          <t>Т11О-201М-22</t>
        </is>
      </c>
      <c r="E468" s="177" t="n">
        <v>1</v>
      </c>
      <c r="F468" s="176" t="inlineStr">
        <is>
          <t>16104</t>
        </is>
      </c>
      <c r="G468" s="178" t="n"/>
      <c r="H468" s="176" t="inlineStr">
        <is>
          <t>82066</t>
        </is>
      </c>
      <c r="I468" s="176" t="inlineStr">
        <is>
          <t>Серов Михаил Михайлович</t>
        </is>
      </c>
      <c r="J468" s="176" t="n"/>
      <c r="K468" s="176" t="inlineStr">
        <is>
          <t>Нет</t>
        </is>
      </c>
      <c r="L468" s="176" t="n"/>
      <c r="M468" s="176" t="n"/>
      <c r="N468" s="179">
        <f>SUMIFS($E$2:$E$896,$A$2:$A$896,"осень",$I$2:$I$896,I468)</f>
        <v/>
      </c>
      <c r="O468" s="179">
        <f>SUMIFS($E$2:$E$896,$A$2:$A$896,"весна",$I$2:$I$896,I468)</f>
        <v/>
      </c>
      <c r="P468" s="180">
        <f>N468+O468</f>
        <v/>
      </c>
      <c r="Q468" s="181">
        <f>P468/$Q$1</f>
        <v/>
      </c>
      <c r="R468" s="122">
        <f>P468*0.2</f>
        <v/>
      </c>
      <c r="S468" s="122">
        <f>Q468*0.8</f>
        <v/>
      </c>
      <c r="T468" s="133" t="n">
        <v>0.6</v>
      </c>
    </row>
    <row r="469" hidden="1" ht="15.75" customHeight="1" s="2">
      <c r="A469" s="194" t="inlineStr">
        <is>
          <t>весна</t>
        </is>
      </c>
      <c r="B469" s="176" t="inlineStr">
        <is>
          <t>Металлургия конструкционных материалов из гранулируемых сплавов</t>
        </is>
      </c>
      <c r="C469" s="176" t="inlineStr">
        <is>
          <t>Консультация</t>
        </is>
      </c>
      <c r="D469" s="176" t="inlineStr">
        <is>
          <t>Т11О-201М-22</t>
        </is>
      </c>
      <c r="E469" s="177" t="n">
        <v>1</v>
      </c>
      <c r="F469" s="176" t="inlineStr">
        <is>
          <t>16104</t>
        </is>
      </c>
      <c r="G469" s="178" t="n"/>
      <c r="H469" s="176" t="inlineStr">
        <is>
          <t>82056</t>
        </is>
      </c>
      <c r="I469" s="176" t="inlineStr">
        <is>
          <t>Никитина Елена Владимировна</t>
        </is>
      </c>
      <c r="J469" s="176" t="n"/>
      <c r="K469" s="176" t="inlineStr">
        <is>
          <t>Нет</t>
        </is>
      </c>
      <c r="L469" s="176" t="n"/>
      <c r="M469" s="176" t="n"/>
      <c r="N469" s="179">
        <f>SUMIFS($E$2:$E$896,$A$2:$A$896,"осень",$I$2:$I$896,I469)</f>
        <v/>
      </c>
      <c r="O469" s="179">
        <f>SUMIFS($E$2:$E$896,$A$2:$A$896,"весна",$I$2:$I$896,I469)</f>
        <v/>
      </c>
      <c r="P469" s="180">
        <f>N469+O469</f>
        <v/>
      </c>
      <c r="Q469" s="181">
        <f>P469/$Q$1</f>
        <v/>
      </c>
      <c r="R469" s="122">
        <f>P469*0.2</f>
        <v/>
      </c>
      <c r="S469" s="122">
        <f>Q469*0.8</f>
        <v/>
      </c>
      <c r="T469" s="133" t="n">
        <v>0.5</v>
      </c>
    </row>
    <row r="470" hidden="1" ht="15.75" customHeight="1" s="2">
      <c r="A470" s="194" t="inlineStr">
        <is>
          <t>весна</t>
        </is>
      </c>
      <c r="B470" s="176" t="inlineStr">
        <is>
          <t>Металлургия конструкционных материалов из гранулируемых сплавов</t>
        </is>
      </c>
      <c r="C470" s="176" t="inlineStr">
        <is>
          <t>Консультация</t>
        </is>
      </c>
      <c r="D470" s="176" t="inlineStr">
        <is>
          <t>Т11О-202М-22</t>
        </is>
      </c>
      <c r="E470" s="177" t="n">
        <v>1</v>
      </c>
      <c r="F470" s="176" t="inlineStr">
        <is>
          <t>16104</t>
        </is>
      </c>
      <c r="G470" s="178" t="n"/>
      <c r="H470" s="176" t="inlineStr">
        <is>
          <t>82066</t>
        </is>
      </c>
      <c r="I470" s="176" t="inlineStr">
        <is>
          <t>Серов Михаил Михайлович</t>
        </is>
      </c>
      <c r="J470" s="176" t="n"/>
      <c r="K470" s="176" t="inlineStr">
        <is>
          <t>Нет</t>
        </is>
      </c>
      <c r="L470" s="176" t="n"/>
      <c r="M470" s="176" t="n"/>
      <c r="N470" s="179">
        <f>SUMIFS($E$2:$E$896,$A$2:$A$896,"осень",$I$2:$I$896,I470)</f>
        <v/>
      </c>
      <c r="O470" s="179">
        <f>SUMIFS($E$2:$E$896,$A$2:$A$896,"весна",$I$2:$I$896,I470)</f>
        <v/>
      </c>
      <c r="P470" s="180">
        <f>N470+O470</f>
        <v/>
      </c>
      <c r="Q470" s="181">
        <f>P470/$Q$1</f>
        <v/>
      </c>
      <c r="R470" s="122">
        <f>P470*0.2</f>
        <v/>
      </c>
      <c r="S470" s="122">
        <f>Q470*0.8</f>
        <v/>
      </c>
      <c r="T470" s="133" t="n">
        <v>0.6</v>
      </c>
    </row>
    <row r="471" hidden="1" ht="15.75" customHeight="1" s="2">
      <c r="A471" s="194" t="inlineStr">
        <is>
          <t>весна</t>
        </is>
      </c>
      <c r="B471" s="176" t="inlineStr">
        <is>
          <t>Металлургия конструкционных материалов из гранулируемых сплавов</t>
        </is>
      </c>
      <c r="C471" s="176" t="inlineStr">
        <is>
          <t>Консультация</t>
        </is>
      </c>
      <c r="D471" s="176" t="inlineStr">
        <is>
          <t>Т11О-202М-22</t>
        </is>
      </c>
      <c r="E471" s="177" t="n">
        <v>1</v>
      </c>
      <c r="F471" s="176" t="inlineStr">
        <is>
          <t>16104</t>
        </is>
      </c>
      <c r="G471" s="178" t="n"/>
      <c r="H471" s="176" t="inlineStr">
        <is>
          <t>82056</t>
        </is>
      </c>
      <c r="I471" s="176" t="inlineStr">
        <is>
          <t>Никитина Елена Владимировна</t>
        </is>
      </c>
      <c r="J471" s="176" t="n"/>
      <c r="K471" s="176" t="inlineStr">
        <is>
          <t>Нет</t>
        </is>
      </c>
      <c r="L471" s="176" t="n"/>
      <c r="M471" s="176" t="n"/>
      <c r="N471" s="179">
        <f>SUMIFS($E$2:$E$896,$A$2:$A$896,"осень",$I$2:$I$896,I471)</f>
        <v/>
      </c>
      <c r="O471" s="179">
        <f>SUMIFS($E$2:$E$896,$A$2:$A$896,"весна",$I$2:$I$896,I471)</f>
        <v/>
      </c>
      <c r="P471" s="180">
        <f>N471+O471</f>
        <v/>
      </c>
      <c r="Q471" s="181">
        <f>P471/$Q$1</f>
        <v/>
      </c>
      <c r="R471" s="122">
        <f>P471*0.2</f>
        <v/>
      </c>
      <c r="S471" s="122">
        <f>Q471*0.8</f>
        <v/>
      </c>
      <c r="T471" s="133" t="n">
        <v>0.5</v>
      </c>
    </row>
    <row r="472" hidden="1" ht="15.75" customHeight="1" s="2">
      <c r="A472" s="194" t="inlineStr">
        <is>
          <t>весна</t>
        </is>
      </c>
      <c r="B472" s="176" t="inlineStr">
        <is>
          <t>Автоматизация управления жизненным циклом продукции</t>
        </is>
      </c>
      <c r="C472" s="176" t="inlineStr">
        <is>
          <t>ЛК</t>
        </is>
      </c>
      <c r="D472" s="176" t="inlineStr">
        <is>
          <t>Т11О-403Б-20</t>
        </is>
      </c>
      <c r="E472" s="177" t="n">
        <v>16</v>
      </c>
      <c r="F472" s="176" t="inlineStr">
        <is>
          <t>13288</t>
        </is>
      </c>
      <c r="G472" s="177" t="n">
        <v>16</v>
      </c>
      <c r="H472" s="176" t="inlineStr">
        <is>
          <t>81722</t>
        </is>
      </c>
      <c r="I472" s="176" t="inlineStr">
        <is>
          <t>Галкин Виктор Иванович</t>
        </is>
      </c>
      <c r="J472" s="176" t="n"/>
      <c r="K472" s="176" t="inlineStr">
        <is>
          <t>Нет</t>
        </is>
      </c>
      <c r="L472" s="176" t="n"/>
      <c r="M472" s="176" t="n"/>
      <c r="N472" s="179">
        <f>SUMIFS($E$2:$E$896,$A$2:$A$896,"осень",$I$2:$I$896,I472)</f>
        <v/>
      </c>
      <c r="O472" s="179">
        <f>SUMIFS($E$2:$E$896,$A$2:$A$896,"весна",$I$2:$I$896,I472)</f>
        <v/>
      </c>
      <c r="P472" s="180">
        <f>N472+O472</f>
        <v/>
      </c>
      <c r="Q472" s="181">
        <f>P472/$Q$1</f>
        <v/>
      </c>
      <c r="R472" s="122">
        <f>P472*0.2</f>
        <v/>
      </c>
      <c r="S472" s="122">
        <f>Q472*0.8</f>
        <v/>
      </c>
      <c r="T472" s="133" t="n">
        <v>0.7</v>
      </c>
    </row>
    <row r="473" hidden="1" ht="15.75" customHeight="1" s="2">
      <c r="A473" s="194" t="inlineStr">
        <is>
          <t>весна</t>
        </is>
      </c>
      <c r="B473" s="176" t="inlineStr">
        <is>
          <t>Автоматизация управления жизненным циклом продукции</t>
        </is>
      </c>
      <c r="C473" s="176" t="inlineStr">
        <is>
          <t>ПЗ</t>
        </is>
      </c>
      <c r="D473" s="176" t="inlineStr">
        <is>
          <t>Т11О-403Б-20</t>
        </is>
      </c>
      <c r="E473" s="177" t="n">
        <v>16</v>
      </c>
      <c r="F473" s="176" t="inlineStr">
        <is>
          <t>13288</t>
        </is>
      </c>
      <c r="G473" s="177" t="n">
        <v>16</v>
      </c>
      <c r="H473" s="176" t="inlineStr">
        <is>
          <t>81722</t>
        </is>
      </c>
      <c r="I473" s="176" t="inlineStr">
        <is>
          <t>Галкин Виктор Иванович</t>
        </is>
      </c>
      <c r="J473" s="176" t="n"/>
      <c r="K473" s="176" t="inlineStr">
        <is>
          <t>Нет</t>
        </is>
      </c>
      <c r="L473" s="176" t="n"/>
      <c r="M473" s="176" t="n"/>
      <c r="N473" s="179">
        <f>SUMIFS($E$2:$E$896,$A$2:$A$896,"осень",$I$2:$I$896,I473)</f>
        <v/>
      </c>
      <c r="O473" s="179">
        <f>SUMIFS($E$2:$E$896,$A$2:$A$896,"весна",$I$2:$I$896,I473)</f>
        <v/>
      </c>
      <c r="P473" s="180">
        <f>N473+O473</f>
        <v/>
      </c>
      <c r="Q473" s="181">
        <f>P473/$Q$1</f>
        <v/>
      </c>
      <c r="R473" s="122">
        <f>P473*0.2</f>
        <v/>
      </c>
      <c r="S473" s="122">
        <f>Q473*0.8</f>
        <v/>
      </c>
      <c r="T473" s="133" t="n">
        <v>0.7</v>
      </c>
    </row>
    <row r="474" hidden="1" ht="15.75" customHeight="1" s="2">
      <c r="A474" s="194" t="inlineStr">
        <is>
          <t>весна</t>
        </is>
      </c>
      <c r="B474" s="176" t="inlineStr">
        <is>
          <t>Автоматизация управления жизненным циклом продукции</t>
        </is>
      </c>
      <c r="C474" s="176" t="inlineStr">
        <is>
          <t>Зачет</t>
        </is>
      </c>
      <c r="D474" s="176" t="inlineStr">
        <is>
          <t>Т11О-403Б-20</t>
        </is>
      </c>
      <c r="E474" s="177" t="n">
        <v>1</v>
      </c>
      <c r="F474" s="176" t="inlineStr">
        <is>
          <t>13288</t>
        </is>
      </c>
      <c r="G474" s="178" t="n"/>
      <c r="H474" s="176" t="inlineStr">
        <is>
          <t>81722</t>
        </is>
      </c>
      <c r="I474" s="176" t="inlineStr">
        <is>
          <t>Галкин Виктор Иванович</t>
        </is>
      </c>
      <c r="J474" s="176" t="n"/>
      <c r="K474" s="176" t="inlineStr">
        <is>
          <t>Нет</t>
        </is>
      </c>
      <c r="L474" s="176" t="n"/>
      <c r="M474" s="176" t="n"/>
      <c r="N474" s="179">
        <f>SUMIFS($E$2:$E$896,$A$2:$A$896,"осень",$I$2:$I$896,I474)</f>
        <v/>
      </c>
      <c r="O474" s="179">
        <f>SUMIFS($E$2:$E$896,$A$2:$A$896,"весна",$I$2:$I$896,I474)</f>
        <v/>
      </c>
      <c r="P474" s="180">
        <f>N474+O474</f>
        <v/>
      </c>
      <c r="Q474" s="181">
        <f>P474/$Q$1</f>
        <v/>
      </c>
      <c r="R474" s="122">
        <f>P474*0.2</f>
        <v/>
      </c>
      <c r="S474" s="122">
        <f>Q474*0.8</f>
        <v/>
      </c>
      <c r="T474" s="133" t="n">
        <v>0.7</v>
      </c>
    </row>
    <row r="475" ht="15.75" customHeight="1" s="2">
      <c r="A475" s="194" t="inlineStr">
        <is>
          <t>весна</t>
        </is>
      </c>
      <c r="B475" s="176" t="inlineStr">
        <is>
          <t>Автоматизация управления жизненным циклом продукции</t>
        </is>
      </c>
      <c r="C475" s="176" t="inlineStr">
        <is>
          <t>Зачет</t>
        </is>
      </c>
      <c r="D475" s="176" t="inlineStr">
        <is>
          <t>Т11О-403Б-20</t>
        </is>
      </c>
      <c r="E475" s="177" t="n">
        <v>1</v>
      </c>
      <c r="F475" s="176" t="inlineStr">
        <is>
          <t>13288</t>
        </is>
      </c>
      <c r="G475" s="178" t="n"/>
      <c r="H475" s="176" t="n"/>
      <c r="I475" s="176" t="inlineStr">
        <is>
          <t>Галкин Виктор Иванович</t>
        </is>
      </c>
      <c r="J475" s="176" t="n"/>
      <c r="K475" s="176" t="inlineStr">
        <is>
          <t>Нет</t>
        </is>
      </c>
      <c r="L475" s="176" t="n"/>
      <c r="M475" s="176" t="n"/>
      <c r="N475" s="179">
        <f>SUMIFS($E$2:$E$896,$A$2:$A$896,"осень",$I$2:$I$896,I475)</f>
        <v/>
      </c>
      <c r="O475" s="179">
        <f>SUMIFS($E$2:$E$896,$A$2:$A$896,"весна",$I$2:$I$896,I475)</f>
        <v/>
      </c>
      <c r="P475" s="180">
        <f>N475+O475</f>
        <v/>
      </c>
      <c r="Q475" s="181">
        <f>P475/$Q$1</f>
        <v/>
      </c>
      <c r="R475" s="122">
        <f>P475*0.2</f>
        <v/>
      </c>
      <c r="S475" s="122">
        <f>Q475*0.8</f>
        <v/>
      </c>
      <c r="T475" s="133" t="n">
        <v>0</v>
      </c>
    </row>
    <row r="476" hidden="1" ht="15.75" customHeight="1" s="2">
      <c r="A476" s="194" t="inlineStr">
        <is>
          <t>весна</t>
        </is>
      </c>
      <c r="B476" s="176" t="inlineStr">
        <is>
          <t>Автоматизация управления жизненным циклом продукции</t>
        </is>
      </c>
      <c r="C476" s="176" t="inlineStr">
        <is>
          <t>Консультация</t>
        </is>
      </c>
      <c r="D476" s="176" t="inlineStr">
        <is>
          <t>Т11О-403Б-20</t>
        </is>
      </c>
      <c r="E476" s="177" t="n">
        <v>1</v>
      </c>
      <c r="F476" s="176" t="inlineStr">
        <is>
          <t>13288</t>
        </is>
      </c>
      <c r="G476" s="178" t="n"/>
      <c r="H476" s="176" t="inlineStr">
        <is>
          <t>81722</t>
        </is>
      </c>
      <c r="I476" s="176" t="inlineStr">
        <is>
          <t>Шленский Алексей Геннадьевич</t>
        </is>
      </c>
      <c r="J476" s="176" t="n"/>
      <c r="K476" s="176" t="inlineStr">
        <is>
          <t>Нет</t>
        </is>
      </c>
      <c r="L476" s="176" t="n"/>
      <c r="M476" s="176" t="n"/>
      <c r="N476" s="179">
        <f>SUMIFS($E$2:$E$896,$A$2:$A$896,"осень",$I$2:$I$896,I476)</f>
        <v/>
      </c>
      <c r="O476" s="179">
        <f>SUMIFS($E$2:$E$896,$A$2:$A$896,"весна",$I$2:$I$896,I476)</f>
        <v/>
      </c>
      <c r="P476" s="180">
        <f>N476+O476</f>
        <v/>
      </c>
      <c r="Q476" s="181">
        <f>P476/$Q$1</f>
        <v/>
      </c>
      <c r="R476" s="122">
        <f>P476*0.2</f>
        <v/>
      </c>
      <c r="S476" s="122">
        <f>Q476*0.8</f>
        <v/>
      </c>
      <c r="T476" s="133" t="n">
        <v>0.7</v>
      </c>
    </row>
    <row r="477" hidden="1" ht="15.75" customHeight="1" s="2">
      <c r="A477" s="194" t="inlineStr">
        <is>
          <t>весна</t>
        </is>
      </c>
      <c r="B477" s="176" t="inlineStr">
        <is>
          <t>Вычислительные машины и сети</t>
        </is>
      </c>
      <c r="C477" s="176" t="inlineStr">
        <is>
          <t>ЛК</t>
        </is>
      </c>
      <c r="D477" s="176" t="inlineStr">
        <is>
          <t>Т11О-206Б-22</t>
        </is>
      </c>
      <c r="E477" s="177" t="n">
        <v>16</v>
      </c>
      <c r="F477" s="176" t="inlineStr">
        <is>
          <t>16776</t>
        </is>
      </c>
      <c r="G477" s="177" t="n">
        <v>16</v>
      </c>
      <c r="H477" s="176" t="inlineStr">
        <is>
          <t>82026</t>
        </is>
      </c>
      <c r="I477" s="176" t="inlineStr">
        <is>
          <t>Александрова Светлана Сергеевна</t>
        </is>
      </c>
      <c r="J477" s="176" t="n"/>
      <c r="K477" s="176" t="inlineStr">
        <is>
          <t>Нет</t>
        </is>
      </c>
      <c r="L477" s="176" t="n"/>
      <c r="M477" s="176" t="n"/>
      <c r="N477" s="179">
        <f>SUMIFS($E$2:$E$896,$A$2:$A$896,"осень",$I$2:$I$896,I477)</f>
        <v/>
      </c>
      <c r="O477" s="179">
        <f>SUMIFS($E$2:$E$896,$A$2:$A$896,"весна",$I$2:$I$896,I477)</f>
        <v/>
      </c>
      <c r="P477" s="180">
        <f>N477+O477</f>
        <v/>
      </c>
      <c r="Q477" s="181">
        <f>P477/$Q$1</f>
        <v/>
      </c>
      <c r="R477" s="122">
        <f>P477*0.2</f>
        <v/>
      </c>
      <c r="S477" s="122">
        <f>Q477*0.8</f>
        <v/>
      </c>
      <c r="T477" s="133" t="n">
        <v>0.65</v>
      </c>
    </row>
    <row r="478" hidden="1" ht="15.75" customHeight="1" s="2">
      <c r="A478" s="194" t="inlineStr">
        <is>
          <t>весна</t>
        </is>
      </c>
      <c r="B478" s="176" t="inlineStr">
        <is>
          <t>Вычислительные машины и сети</t>
        </is>
      </c>
      <c r="C478" s="176" t="inlineStr">
        <is>
          <t>ПЗ</t>
        </is>
      </c>
      <c r="D478" s="176" t="inlineStr">
        <is>
          <t>Т11О-206Б-22</t>
        </is>
      </c>
      <c r="E478" s="177" t="n">
        <v>16</v>
      </c>
      <c r="F478" s="176" t="inlineStr">
        <is>
          <t>16776</t>
        </is>
      </c>
      <c r="G478" s="177" t="n">
        <v>16</v>
      </c>
      <c r="H478" s="176" t="inlineStr">
        <is>
          <t>82026</t>
        </is>
      </c>
      <c r="I478" s="176" t="inlineStr">
        <is>
          <t>Александрова Светлана Сергеевна</t>
        </is>
      </c>
      <c r="J478" s="176" t="n"/>
      <c r="K478" s="176" t="inlineStr">
        <is>
          <t>Нет</t>
        </is>
      </c>
      <c r="L478" s="176" t="n"/>
      <c r="M478" s="176" t="n"/>
      <c r="N478" s="179">
        <f>SUMIFS($E$2:$E$896,$A$2:$A$896,"осень",$I$2:$I$896,I478)</f>
        <v/>
      </c>
      <c r="O478" s="179">
        <f>SUMIFS($E$2:$E$896,$A$2:$A$896,"весна",$I$2:$I$896,I478)</f>
        <v/>
      </c>
      <c r="P478" s="180">
        <f>N478+O478</f>
        <v/>
      </c>
      <c r="Q478" s="181">
        <f>P478/$Q$1</f>
        <v/>
      </c>
      <c r="R478" s="122">
        <f>P478*0.2</f>
        <v/>
      </c>
      <c r="S478" s="122">
        <f>Q478*0.8</f>
        <v/>
      </c>
      <c r="T478" s="133" t="n">
        <v>0.65</v>
      </c>
    </row>
    <row r="479" hidden="1" ht="15.75" customHeight="1" s="2">
      <c r="A479" s="194" t="inlineStr">
        <is>
          <t>весна</t>
        </is>
      </c>
      <c r="B479" s="176" t="inlineStr">
        <is>
          <t>Вычислительные машины и сети</t>
        </is>
      </c>
      <c r="C479" s="176" t="inlineStr">
        <is>
          <t>Зачет</t>
        </is>
      </c>
      <c r="D479" s="176" t="inlineStr">
        <is>
          <t>Т11О-206Б-22</t>
        </is>
      </c>
      <c r="E479" s="177" t="n">
        <v>3</v>
      </c>
      <c r="F479" s="176" t="inlineStr">
        <is>
          <t>16776</t>
        </is>
      </c>
      <c r="G479" s="178" t="n"/>
      <c r="H479" s="176" t="inlineStr">
        <is>
          <t>82026</t>
        </is>
      </c>
      <c r="I479" s="176" t="inlineStr">
        <is>
          <t>Александрова Светлана Сергеевна</t>
        </is>
      </c>
      <c r="J479" s="176" t="n"/>
      <c r="K479" s="176" t="inlineStr">
        <is>
          <t>Нет</t>
        </is>
      </c>
      <c r="L479" s="176" t="n"/>
      <c r="M479" s="176" t="n"/>
      <c r="N479" s="179">
        <f>SUMIFS($E$2:$E$896,$A$2:$A$896,"осень",$I$2:$I$896,I479)</f>
        <v/>
      </c>
      <c r="O479" s="179">
        <f>SUMIFS($E$2:$E$896,$A$2:$A$896,"весна",$I$2:$I$896,I479)</f>
        <v/>
      </c>
      <c r="P479" s="180">
        <f>N479+O479</f>
        <v/>
      </c>
      <c r="Q479" s="181">
        <f>P479/$Q$1</f>
        <v/>
      </c>
      <c r="R479" s="122">
        <f>P479*0.2</f>
        <v/>
      </c>
      <c r="S479" s="122">
        <f>Q479*0.8</f>
        <v/>
      </c>
      <c r="T479" s="133" t="n">
        <v>0.65</v>
      </c>
    </row>
    <row r="480" hidden="1" ht="15.75" customHeight="1" s="2">
      <c r="A480" s="194" t="inlineStr">
        <is>
          <t>весна</t>
        </is>
      </c>
      <c r="B480" s="188" t="inlineStr">
        <is>
          <t>Вычислительные машины и сети</t>
        </is>
      </c>
      <c r="C480" s="188" t="inlineStr">
        <is>
          <t>Зачет</t>
        </is>
      </c>
      <c r="D480" s="188" t="inlineStr">
        <is>
          <t>Т11О-206Б-22</t>
        </is>
      </c>
      <c r="E480" s="189" t="n">
        <v>1</v>
      </c>
      <c r="F480" s="188" t="inlineStr">
        <is>
          <t>16776</t>
        </is>
      </c>
      <c r="G480" s="190" t="n"/>
      <c r="H480" s="188" t="n"/>
      <c r="I480" s="188" t="inlineStr">
        <is>
          <t>Александрова Светлана Сергеевна</t>
        </is>
      </c>
      <c r="J480" s="176" t="n"/>
      <c r="K480" s="176" t="inlineStr">
        <is>
          <t>Нет</t>
        </is>
      </c>
      <c r="L480" s="176" t="n"/>
      <c r="M480" s="176" t="n"/>
      <c r="N480" s="179">
        <f>SUMIFS($E$2:$E$896,$A$2:$A$896,"осень",$I$2:$I$896,I480)</f>
        <v/>
      </c>
      <c r="O480" s="179">
        <f>SUMIFS($E$2:$E$896,$A$2:$A$896,"весна",$I$2:$I$896,I480)</f>
        <v/>
      </c>
      <c r="P480" s="180">
        <f>N480+O480</f>
        <v/>
      </c>
      <c r="Q480" s="181">
        <f>P480/$Q$1</f>
        <v/>
      </c>
      <c r="R480" s="122">
        <f>P480*0.2</f>
        <v/>
      </c>
      <c r="S480" s="122">
        <f>Q480*0.8</f>
        <v/>
      </c>
      <c r="T480" s="133" t="n">
        <v>0.65</v>
      </c>
    </row>
    <row r="481" hidden="1" ht="15.75" customHeight="1" s="2">
      <c r="A481" s="194" t="inlineStr">
        <is>
          <t>весна</t>
        </is>
      </c>
      <c r="B481" s="176" t="inlineStr">
        <is>
          <t>Вычислительные машины и сети</t>
        </is>
      </c>
      <c r="C481" s="176" t="inlineStr">
        <is>
          <t>Консультация</t>
        </is>
      </c>
      <c r="D481" s="176" t="inlineStr">
        <is>
          <t>Т11О-206Б-22</t>
        </is>
      </c>
      <c r="E481" s="177" t="n">
        <v>1</v>
      </c>
      <c r="F481" s="176" t="inlineStr">
        <is>
          <t>16776</t>
        </is>
      </c>
      <c r="G481" s="178" t="n"/>
      <c r="H481" s="176" t="inlineStr">
        <is>
          <t>82026</t>
        </is>
      </c>
      <c r="I481" s="176" t="inlineStr">
        <is>
          <t>Александрова Светлана Сергеевна</t>
        </is>
      </c>
      <c r="J481" s="176" t="n"/>
      <c r="K481" s="176" t="inlineStr">
        <is>
          <t>Нет</t>
        </is>
      </c>
      <c r="L481" s="176" t="n"/>
      <c r="M481" s="176" t="n"/>
      <c r="N481" s="179">
        <f>SUMIFS($E$2:$E$896,$A$2:$A$896,"осень",$I$2:$I$896,I481)</f>
        <v/>
      </c>
      <c r="O481" s="179">
        <f>SUMIFS($E$2:$E$896,$A$2:$A$896,"весна",$I$2:$I$896,I481)</f>
        <v/>
      </c>
      <c r="P481" s="180">
        <f>N481+O481</f>
        <v/>
      </c>
      <c r="Q481" s="181">
        <f>P481/$Q$1</f>
        <v/>
      </c>
      <c r="R481" s="122">
        <f>P481*0.2</f>
        <v/>
      </c>
      <c r="S481" s="122">
        <f>Q481*0.8</f>
        <v/>
      </c>
      <c r="T481" s="133" t="n">
        <v>0.65</v>
      </c>
    </row>
    <row r="482" hidden="1" ht="15.75" customHeight="1" s="2">
      <c r="A482" s="194" t="inlineStr">
        <is>
          <t>весна</t>
        </is>
      </c>
      <c r="B482" s="176" t="inlineStr">
        <is>
          <t>Процессы порошковой металлургии</t>
        </is>
      </c>
      <c r="C482" s="176" t="inlineStr">
        <is>
          <t>ЛК</t>
        </is>
      </c>
      <c r="D482" s="176" t="inlineStr">
        <is>
          <t>Т11О-301Б-21</t>
        </is>
      </c>
      <c r="E482" s="177" t="n">
        <v>32</v>
      </c>
      <c r="F482" s="176" t="inlineStr">
        <is>
          <t>14668</t>
        </is>
      </c>
      <c r="G482" s="177" t="n">
        <v>32</v>
      </c>
      <c r="H482" s="176" t="inlineStr">
        <is>
          <t>82066</t>
        </is>
      </c>
      <c r="I482" s="176" t="inlineStr">
        <is>
          <t>Серов Михаил Михайлович</t>
        </is>
      </c>
      <c r="J482" s="176" t="n"/>
      <c r="K482" s="176" t="inlineStr">
        <is>
          <t>Нет</t>
        </is>
      </c>
      <c r="L482" s="176" t="n"/>
      <c r="M482" s="176" t="n"/>
      <c r="N482" s="179">
        <f>SUMIFS($E$2:$E$896,$A$2:$A$896,"осень",$I$2:$I$896,I482)</f>
        <v/>
      </c>
      <c r="O482" s="179">
        <f>SUMIFS($E$2:$E$896,$A$2:$A$896,"весна",$I$2:$I$896,I482)</f>
        <v/>
      </c>
      <c r="P482" s="180">
        <f>N482+O482</f>
        <v/>
      </c>
      <c r="Q482" s="181">
        <f>P482/$Q$1</f>
        <v/>
      </c>
      <c r="R482" s="122">
        <f>P482*0.2</f>
        <v/>
      </c>
      <c r="S482" s="122">
        <f>Q482*0.8</f>
        <v/>
      </c>
      <c r="T482" s="133" t="n">
        <v>0.6</v>
      </c>
    </row>
    <row r="483" hidden="1" ht="15.75" customHeight="1" s="2">
      <c r="A483" s="194" t="inlineStr">
        <is>
          <t>весна</t>
        </is>
      </c>
      <c r="B483" s="176" t="inlineStr">
        <is>
          <t>Процессы порошковой металлургии</t>
        </is>
      </c>
      <c r="C483" s="176" t="inlineStr">
        <is>
          <t>ПЗ</t>
        </is>
      </c>
      <c r="D483" s="176" t="inlineStr">
        <is>
          <t>Т11О-301Б-21</t>
        </is>
      </c>
      <c r="E483" s="177" t="n">
        <v>20</v>
      </c>
      <c r="F483" s="176" t="inlineStr">
        <is>
          <t>14668</t>
        </is>
      </c>
      <c r="G483" s="177" t="n">
        <v>20</v>
      </c>
      <c r="H483" s="176" t="inlineStr">
        <is>
          <t>82066</t>
        </is>
      </c>
      <c r="I483" s="176" t="inlineStr">
        <is>
          <t>Серов Михаил Михайлович</t>
        </is>
      </c>
      <c r="J483" s="176" t="n"/>
      <c r="K483" s="176" t="inlineStr">
        <is>
          <t>Нет</t>
        </is>
      </c>
      <c r="L483" s="176" t="n"/>
      <c r="M483" s="176" t="n"/>
      <c r="N483" s="179">
        <f>SUMIFS($E$2:$E$896,$A$2:$A$896,"осень",$I$2:$I$896,I483)</f>
        <v/>
      </c>
      <c r="O483" s="179">
        <f>SUMIFS($E$2:$E$896,$A$2:$A$896,"весна",$I$2:$I$896,I483)</f>
        <v/>
      </c>
      <c r="P483" s="180">
        <f>N483+O483</f>
        <v/>
      </c>
      <c r="Q483" s="181">
        <f>P483/$Q$1</f>
        <v/>
      </c>
      <c r="R483" s="122">
        <f>P483*0.2</f>
        <v/>
      </c>
      <c r="S483" s="122">
        <f>Q483*0.8</f>
        <v/>
      </c>
      <c r="T483" s="133" t="n">
        <v>0.6</v>
      </c>
    </row>
    <row r="484" hidden="1" ht="15.75" customHeight="1" s="2">
      <c r="A484" s="194" t="inlineStr">
        <is>
          <t>весна</t>
        </is>
      </c>
      <c r="B484" s="176" t="inlineStr">
        <is>
          <t>Процессы порошковой металлургии</t>
        </is>
      </c>
      <c r="C484" s="176" t="inlineStr">
        <is>
          <t>ЛР</t>
        </is>
      </c>
      <c r="D484" s="176" t="inlineStr">
        <is>
          <t>Т11О-301Б-21</t>
        </is>
      </c>
      <c r="E484" s="177" t="n">
        <v>16</v>
      </c>
      <c r="F484" s="176" t="inlineStr">
        <is>
          <t>14668</t>
        </is>
      </c>
      <c r="G484" s="177" t="n">
        <v>16</v>
      </c>
      <c r="H484" s="176" t="inlineStr">
        <is>
          <t>82066</t>
        </is>
      </c>
      <c r="I484" s="176" t="inlineStr">
        <is>
          <t>Серов Михаил Михайлович</t>
        </is>
      </c>
      <c r="J484" s="176" t="n"/>
      <c r="K484" s="176" t="inlineStr">
        <is>
          <t>Нет</t>
        </is>
      </c>
      <c r="L484" s="176" t="n"/>
      <c r="M484" s="176" t="n"/>
      <c r="N484" s="179">
        <f>SUMIFS($E$2:$E$896,$A$2:$A$896,"осень",$I$2:$I$896,I484)</f>
        <v/>
      </c>
      <c r="O484" s="179">
        <f>SUMIFS($E$2:$E$896,$A$2:$A$896,"весна",$I$2:$I$896,I484)</f>
        <v/>
      </c>
      <c r="P484" s="180">
        <f>N484+O484</f>
        <v/>
      </c>
      <c r="Q484" s="181">
        <f>P484/$Q$1</f>
        <v/>
      </c>
      <c r="R484" s="122">
        <f>P484*0.2</f>
        <v/>
      </c>
      <c r="S484" s="122">
        <f>Q484*0.8</f>
        <v/>
      </c>
      <c r="T484" s="133" t="n">
        <v>0.6</v>
      </c>
    </row>
    <row r="485" hidden="1" ht="15.75" customHeight="1" s="2">
      <c r="A485" s="194" t="inlineStr">
        <is>
          <t>весна</t>
        </is>
      </c>
      <c r="B485" s="176" t="inlineStr">
        <is>
          <t>Процессы порошковой металлургии</t>
        </is>
      </c>
      <c r="C485" s="176" t="inlineStr">
        <is>
          <t>Экзамен</t>
        </is>
      </c>
      <c r="D485" s="176" t="inlineStr">
        <is>
          <t>Т11О-301Б-21</t>
        </is>
      </c>
      <c r="E485" s="177" t="n">
        <v>3</v>
      </c>
      <c r="F485" s="176" t="inlineStr">
        <is>
          <t>14668</t>
        </is>
      </c>
      <c r="G485" s="178" t="n"/>
      <c r="H485" s="176" t="inlineStr">
        <is>
          <t>82066</t>
        </is>
      </c>
      <c r="I485" s="176" t="inlineStr">
        <is>
          <t>Серов Михаил Михайлович</t>
        </is>
      </c>
      <c r="J485" s="176" t="n"/>
      <c r="K485" s="176" t="inlineStr">
        <is>
          <t>Нет</t>
        </is>
      </c>
      <c r="L485" s="176" t="n"/>
      <c r="M485" s="176" t="n"/>
      <c r="N485" s="179">
        <f>SUMIFS($E$2:$E$896,$A$2:$A$896,"осень",$I$2:$I$896,I485)</f>
        <v/>
      </c>
      <c r="O485" s="179">
        <f>SUMIFS($E$2:$E$896,$A$2:$A$896,"весна",$I$2:$I$896,I485)</f>
        <v/>
      </c>
      <c r="P485" s="180">
        <f>N485+O485</f>
        <v/>
      </c>
      <c r="Q485" s="181">
        <f>P485/$Q$1</f>
        <v/>
      </c>
      <c r="R485" s="122">
        <f>P485*0.2</f>
        <v/>
      </c>
      <c r="S485" s="122">
        <f>Q485*0.8</f>
        <v/>
      </c>
      <c r="T485" s="133" t="n">
        <v>0.6</v>
      </c>
    </row>
    <row r="486" ht="15.75" customHeight="1" s="2">
      <c r="A486" s="194" t="inlineStr">
        <is>
          <t>весна</t>
        </is>
      </c>
      <c r="B486" s="176" t="inlineStr">
        <is>
          <t>Процессы порошковой металлургии</t>
        </is>
      </c>
      <c r="C486" s="176" t="inlineStr">
        <is>
          <t>Экзамен</t>
        </is>
      </c>
      <c r="D486" s="176" t="inlineStr">
        <is>
          <t>Т11О-301Б-21</t>
        </is>
      </c>
      <c r="E486" s="177" t="n">
        <v>2</v>
      </c>
      <c r="F486" s="176" t="inlineStr">
        <is>
          <t>14668</t>
        </is>
      </c>
      <c r="G486" s="178" t="n"/>
      <c r="H486" s="176" t="n"/>
      <c r="I486" s="176" t="inlineStr">
        <is>
          <t>Серов Михаил Михайлович</t>
        </is>
      </c>
      <c r="J486" s="176" t="n"/>
      <c r="K486" s="176" t="inlineStr">
        <is>
          <t>Нет</t>
        </is>
      </c>
      <c r="L486" s="176" t="n"/>
      <c r="M486" s="176" t="n"/>
      <c r="N486" s="179">
        <f>SUMIFS($E$2:$E$896,$A$2:$A$896,"осень",$I$2:$I$896,I486)</f>
        <v/>
      </c>
      <c r="O486" s="179">
        <f>SUMIFS($E$2:$E$896,$A$2:$A$896,"весна",$I$2:$I$896,I486)</f>
        <v/>
      </c>
      <c r="P486" s="180">
        <f>N486+O486</f>
        <v/>
      </c>
      <c r="Q486" s="181">
        <f>P486/$Q$1</f>
        <v/>
      </c>
      <c r="R486" s="122">
        <f>P486*0.2</f>
        <v/>
      </c>
      <c r="S486" s="122">
        <f>Q486*0.8</f>
        <v/>
      </c>
      <c r="T486" s="133" t="n">
        <v>0</v>
      </c>
    </row>
    <row r="487" hidden="1" ht="15.75" customHeight="1" s="2">
      <c r="A487" s="194" t="inlineStr">
        <is>
          <t>весна</t>
        </is>
      </c>
      <c r="B487" s="176" t="inlineStr">
        <is>
          <t>Процессы порошковой металлургии</t>
        </is>
      </c>
      <c r="C487" s="176" t="inlineStr">
        <is>
          <t>Консультация</t>
        </is>
      </c>
      <c r="D487" s="176" t="inlineStr">
        <is>
          <t>Т11О-301Б-21</t>
        </is>
      </c>
      <c r="E487" s="177" t="n">
        <v>2</v>
      </c>
      <c r="F487" s="176" t="inlineStr">
        <is>
          <t>14668</t>
        </is>
      </c>
      <c r="G487" s="178" t="n"/>
      <c r="H487" s="176" t="inlineStr">
        <is>
          <t>82066</t>
        </is>
      </c>
      <c r="I487" s="176" t="inlineStr">
        <is>
          <t>Серов Михаил Михайлович</t>
        </is>
      </c>
      <c r="J487" s="176" t="n"/>
      <c r="K487" s="176" t="inlineStr">
        <is>
          <t>Нет</t>
        </is>
      </c>
      <c r="L487" s="176" t="n"/>
      <c r="M487" s="176" t="n"/>
      <c r="N487" s="179">
        <f>SUMIFS($E$2:$E$896,$A$2:$A$896,"осень",$I$2:$I$896,I487)</f>
        <v/>
      </c>
      <c r="O487" s="179">
        <f>SUMIFS($E$2:$E$896,$A$2:$A$896,"весна",$I$2:$I$896,I487)</f>
        <v/>
      </c>
      <c r="P487" s="180">
        <f>N487+O487</f>
        <v/>
      </c>
      <c r="Q487" s="181">
        <f>P487/$Q$1</f>
        <v/>
      </c>
      <c r="R487" s="122">
        <f>P487*0.2</f>
        <v/>
      </c>
      <c r="S487" s="122">
        <f>Q487*0.8</f>
        <v/>
      </c>
      <c r="T487" s="133" t="n">
        <v>0.6</v>
      </c>
    </row>
    <row r="488" ht="15.75" customHeight="1" s="2">
      <c r="A488" s="194" t="inlineStr">
        <is>
          <t>весна</t>
        </is>
      </c>
      <c r="B488" s="176" t="inlineStr">
        <is>
          <t>Процессы порошковой металлургии</t>
        </is>
      </c>
      <c r="C488" s="176" t="inlineStr">
        <is>
          <t>Консультация</t>
        </is>
      </c>
      <c r="D488" s="176" t="inlineStr">
        <is>
          <t>Т11О-301Б-21</t>
        </is>
      </c>
      <c r="E488" s="177" t="n">
        <v>1</v>
      </c>
      <c r="F488" s="176" t="inlineStr">
        <is>
          <t>14668</t>
        </is>
      </c>
      <c r="G488" s="178" t="n"/>
      <c r="H488" s="176" t="n"/>
      <c r="I488" s="176" t="inlineStr">
        <is>
          <t>Серов Михаил Михайлович</t>
        </is>
      </c>
      <c r="J488" s="176" t="n"/>
      <c r="K488" s="176" t="inlineStr">
        <is>
          <t>Нет</t>
        </is>
      </c>
      <c r="L488" s="176" t="n"/>
      <c r="M488" s="176" t="n"/>
      <c r="N488" s="179">
        <f>SUMIFS($E$2:$E$896,$A$2:$A$896,"осень",$I$2:$I$896,I488)</f>
        <v/>
      </c>
      <c r="O488" s="179">
        <f>SUMIFS($E$2:$E$896,$A$2:$A$896,"весна",$I$2:$I$896,I488)</f>
        <v/>
      </c>
      <c r="P488" s="180">
        <f>N488+O488</f>
        <v/>
      </c>
      <c r="Q488" s="181">
        <f>P488/$Q$1</f>
        <v/>
      </c>
      <c r="R488" s="122">
        <f>P488*0.2</f>
        <v/>
      </c>
      <c r="S488" s="122">
        <f>Q488*0.8</f>
        <v/>
      </c>
      <c r="T488" s="133" t="n">
        <v>0</v>
      </c>
    </row>
    <row r="489" hidden="1" ht="15.75" customHeight="1" s="2">
      <c r="A489" s="194" t="inlineStr">
        <is>
          <t>весна</t>
        </is>
      </c>
      <c r="B489" s="176" t="inlineStr">
        <is>
          <t>Технология и оборудование сварки давлением</t>
        </is>
      </c>
      <c r="C489" s="176" t="inlineStr">
        <is>
          <t>ЛК</t>
        </is>
      </c>
      <c r="D489" s="176" t="inlineStr">
        <is>
          <t>Т11О-401Б-20</t>
        </is>
      </c>
      <c r="E489" s="177" t="n">
        <v>24</v>
      </c>
      <c r="F489" s="176" t="inlineStr">
        <is>
          <t>11924</t>
        </is>
      </c>
      <c r="G489" s="177" t="n">
        <v>24</v>
      </c>
      <c r="H489" s="176" t="inlineStr">
        <is>
          <t>89090</t>
        </is>
      </c>
      <c r="I489" s="176" t="inlineStr">
        <is>
          <t>Никитина Елена Владимировна</t>
        </is>
      </c>
      <c r="J489" s="176" t="n"/>
      <c r="K489" s="176" t="inlineStr">
        <is>
          <t>Нет</t>
        </is>
      </c>
      <c r="L489" s="176" t="n"/>
      <c r="M489" s="176" t="n"/>
      <c r="N489" s="179">
        <f>SUMIFS($E$2:$E$896,$A$2:$A$896,"осень",$I$2:$I$896,I489)</f>
        <v/>
      </c>
      <c r="O489" s="179">
        <f>SUMIFS($E$2:$E$896,$A$2:$A$896,"весна",$I$2:$I$896,I489)</f>
        <v/>
      </c>
      <c r="P489" s="180">
        <f>N489+O489</f>
        <v/>
      </c>
      <c r="Q489" s="181">
        <f>P489/$Q$1</f>
        <v/>
      </c>
      <c r="R489" s="122">
        <f>P489*0.2</f>
        <v/>
      </c>
      <c r="S489" s="122">
        <f>Q489*0.8</f>
        <v/>
      </c>
      <c r="T489" s="133" t="n">
        <v>0.4</v>
      </c>
    </row>
    <row r="490" hidden="1" ht="15.75" customHeight="1" s="2">
      <c r="A490" s="194" t="inlineStr">
        <is>
          <t>весна</t>
        </is>
      </c>
      <c r="B490" s="176" t="inlineStr">
        <is>
          <t>Технология и оборудование сварки давлением</t>
        </is>
      </c>
      <c r="C490" s="176" t="inlineStr">
        <is>
          <t>ПЗ</t>
        </is>
      </c>
      <c r="D490" s="176" t="inlineStr">
        <is>
          <t>Т11О-401Б-20</t>
        </is>
      </c>
      <c r="E490" s="177" t="n">
        <v>12</v>
      </c>
      <c r="F490" s="176" t="inlineStr">
        <is>
          <t>11924</t>
        </is>
      </c>
      <c r="G490" s="177" t="n">
        <v>12</v>
      </c>
      <c r="H490" s="176" t="inlineStr">
        <is>
          <t>89090</t>
        </is>
      </c>
      <c r="I490" s="176" t="inlineStr">
        <is>
          <t>Никитина Елена Владимировна</t>
        </is>
      </c>
      <c r="J490" s="176" t="n"/>
      <c r="K490" s="176" t="inlineStr">
        <is>
          <t>Нет</t>
        </is>
      </c>
      <c r="L490" s="176" t="n"/>
      <c r="M490" s="176" t="n"/>
      <c r="N490" s="179">
        <f>SUMIFS($E$2:$E$896,$A$2:$A$896,"осень",$I$2:$I$896,I490)</f>
        <v/>
      </c>
      <c r="O490" s="179">
        <f>SUMIFS($E$2:$E$896,$A$2:$A$896,"весна",$I$2:$I$896,I490)</f>
        <v/>
      </c>
      <c r="P490" s="180">
        <f>N490+O490</f>
        <v/>
      </c>
      <c r="Q490" s="181">
        <f>P490/$Q$1</f>
        <v/>
      </c>
      <c r="R490" s="122">
        <f>P490*0.2</f>
        <v/>
      </c>
      <c r="S490" s="122">
        <f>Q490*0.8</f>
        <v/>
      </c>
      <c r="T490" s="133" t="n">
        <v>0.4</v>
      </c>
    </row>
    <row r="491" hidden="1" ht="15.75" customHeight="1" s="2">
      <c r="A491" s="194" t="inlineStr">
        <is>
          <t>весна</t>
        </is>
      </c>
      <c r="B491" s="176" t="inlineStr">
        <is>
          <t>Технология и оборудование сварки давлением</t>
        </is>
      </c>
      <c r="C491" s="176" t="inlineStr">
        <is>
          <t>ЛР</t>
        </is>
      </c>
      <c r="D491" s="176" t="inlineStr">
        <is>
          <t>Т11О-401Б-20</t>
        </is>
      </c>
      <c r="E491" s="177" t="n">
        <v>28</v>
      </c>
      <c r="F491" s="176" t="inlineStr">
        <is>
          <t>11924</t>
        </is>
      </c>
      <c r="G491" s="177" t="n">
        <v>28</v>
      </c>
      <c r="H491" s="176" t="inlineStr">
        <is>
          <t>89090</t>
        </is>
      </c>
      <c r="I491" s="176" t="inlineStr">
        <is>
          <t>Власенко Артем Николаевич</t>
        </is>
      </c>
      <c r="J491" s="176" t="n"/>
      <c r="K491" s="176" t="inlineStr">
        <is>
          <t>Нет</t>
        </is>
      </c>
      <c r="L491" s="176" t="n"/>
      <c r="M491" s="176" t="n"/>
      <c r="N491" s="179">
        <f>SUMIFS($E$2:$E$896,$A$2:$A$896,"осень",$I$2:$I$896,I491)</f>
        <v/>
      </c>
      <c r="O491" s="179">
        <f>SUMIFS($E$2:$E$896,$A$2:$A$896,"весна",$I$2:$I$896,I491)</f>
        <v/>
      </c>
      <c r="P491" s="180">
        <f>N491+O491</f>
        <v/>
      </c>
      <c r="Q491" s="181">
        <f>P491/$Q$1</f>
        <v/>
      </c>
      <c r="R491" s="122">
        <f>P491*0.2</f>
        <v/>
      </c>
      <c r="S491" s="122">
        <f>Q491*0.8</f>
        <v/>
      </c>
      <c r="T491" s="133" t="n">
        <v>0.4</v>
      </c>
    </row>
    <row r="492" hidden="1" ht="15.75" customHeight="1" s="2">
      <c r="A492" s="194" t="inlineStr">
        <is>
          <t>весна</t>
        </is>
      </c>
      <c r="B492" s="176" t="inlineStr">
        <is>
          <t>Технология и оборудование сварки давлением</t>
        </is>
      </c>
      <c r="C492" s="176" t="inlineStr">
        <is>
          <t>Экзамен</t>
        </is>
      </c>
      <c r="D492" s="176" t="inlineStr">
        <is>
          <t>Т11О-401Б-20</t>
        </is>
      </c>
      <c r="E492" s="177" t="n">
        <v>4</v>
      </c>
      <c r="F492" s="176" t="inlineStr">
        <is>
          <t>11924</t>
        </is>
      </c>
      <c r="G492" s="178" t="n"/>
      <c r="H492" s="176" t="inlineStr">
        <is>
          <t>89090</t>
        </is>
      </c>
      <c r="I492" s="176" t="inlineStr">
        <is>
          <t>Никитина Елена Владимировна</t>
        </is>
      </c>
      <c r="J492" s="176" t="n"/>
      <c r="K492" s="176" t="inlineStr">
        <is>
          <t>Нет</t>
        </is>
      </c>
      <c r="L492" s="176" t="n"/>
      <c r="M492" s="176" t="n"/>
      <c r="N492" s="179">
        <f>SUMIFS($E$2:$E$896,$A$2:$A$896,"осень",$I$2:$I$896,I492)</f>
        <v/>
      </c>
      <c r="O492" s="179">
        <f>SUMIFS($E$2:$E$896,$A$2:$A$896,"весна",$I$2:$I$896,I492)</f>
        <v/>
      </c>
      <c r="P492" s="180">
        <f>N492+O492</f>
        <v/>
      </c>
      <c r="Q492" s="181">
        <f>P492/$Q$1</f>
        <v/>
      </c>
      <c r="R492" s="122">
        <f>P492*0.2</f>
        <v/>
      </c>
      <c r="S492" s="122">
        <f>Q492*0.8</f>
        <v/>
      </c>
      <c r="T492" s="133" t="n">
        <v>0.4</v>
      </c>
    </row>
    <row r="493" ht="15.75" customHeight="1" s="2">
      <c r="A493" s="194" t="inlineStr">
        <is>
          <t>весна</t>
        </is>
      </c>
      <c r="B493" s="176" t="inlineStr">
        <is>
          <t>Технология и оборудование сварки давлением</t>
        </is>
      </c>
      <c r="C493" s="176" t="inlineStr">
        <is>
          <t>Экзамен</t>
        </is>
      </c>
      <c r="D493" s="176" t="inlineStr">
        <is>
          <t>Т11О-401Б-20</t>
        </is>
      </c>
      <c r="E493" s="177" t="n">
        <v>2</v>
      </c>
      <c r="F493" s="176" t="inlineStr">
        <is>
          <t>11924</t>
        </is>
      </c>
      <c r="G493" s="178" t="n"/>
      <c r="H493" s="176" t="n"/>
      <c r="I493" s="176" t="inlineStr">
        <is>
          <t>Никитина Елена Владимировна</t>
        </is>
      </c>
      <c r="J493" s="176" t="n"/>
      <c r="K493" s="176" t="inlineStr">
        <is>
          <t>Нет</t>
        </is>
      </c>
      <c r="L493" s="176" t="n"/>
      <c r="M493" s="176" t="n"/>
      <c r="N493" s="179">
        <f>SUMIFS($E$2:$E$896,$A$2:$A$896,"осень",$I$2:$I$896,I493)</f>
        <v/>
      </c>
      <c r="O493" s="179">
        <f>SUMIFS($E$2:$E$896,$A$2:$A$896,"весна",$I$2:$I$896,I493)</f>
        <v/>
      </c>
      <c r="P493" s="180">
        <f>N493+O493</f>
        <v/>
      </c>
      <c r="Q493" s="181">
        <f>P493/$Q$1</f>
        <v/>
      </c>
      <c r="R493" s="122">
        <f>P493*0.2</f>
        <v/>
      </c>
      <c r="S493" s="122">
        <f>Q493*0.8</f>
        <v/>
      </c>
      <c r="T493" s="133" t="n">
        <v>0</v>
      </c>
    </row>
    <row r="494" hidden="1" ht="15.75" customHeight="1" s="2">
      <c r="A494" s="194" t="inlineStr">
        <is>
          <t>весна</t>
        </is>
      </c>
      <c r="B494" s="176" t="inlineStr">
        <is>
          <t>Технология и оборудование сварки давлением</t>
        </is>
      </c>
      <c r="C494" s="176" t="inlineStr">
        <is>
          <t>Консультация</t>
        </is>
      </c>
      <c r="D494" s="176" t="inlineStr">
        <is>
          <t>Т11О-401Б-20</t>
        </is>
      </c>
      <c r="E494" s="177" t="n">
        <v>2</v>
      </c>
      <c r="F494" s="176" t="inlineStr">
        <is>
          <t>11924</t>
        </is>
      </c>
      <c r="G494" s="178" t="n"/>
      <c r="H494" s="176" t="inlineStr">
        <is>
          <t>89090</t>
        </is>
      </c>
      <c r="I494" s="176" t="inlineStr">
        <is>
          <t>Никитина Елена Владимировна</t>
        </is>
      </c>
      <c r="J494" s="176" t="n"/>
      <c r="K494" s="176" t="inlineStr">
        <is>
          <t>Нет</t>
        </is>
      </c>
      <c r="L494" s="176" t="n"/>
      <c r="M494" s="176" t="n"/>
      <c r="N494" s="179">
        <f>SUMIFS($E$2:$E$896,$A$2:$A$896,"осень",$I$2:$I$896,I494)</f>
        <v/>
      </c>
      <c r="O494" s="179">
        <f>SUMIFS($E$2:$E$896,$A$2:$A$896,"весна",$I$2:$I$896,I494)</f>
        <v/>
      </c>
      <c r="P494" s="180">
        <f>N494+O494</f>
        <v/>
      </c>
      <c r="Q494" s="181">
        <f>P494/$Q$1</f>
        <v/>
      </c>
      <c r="R494" s="122">
        <f>P494*0.2</f>
        <v/>
      </c>
      <c r="S494" s="122">
        <f>Q494*0.8</f>
        <v/>
      </c>
      <c r="T494" s="133" t="n">
        <v>0.4</v>
      </c>
    </row>
    <row r="495" ht="15.75" customHeight="1" s="2">
      <c r="A495" s="194" t="inlineStr">
        <is>
          <t>весна</t>
        </is>
      </c>
      <c r="B495" s="176" t="inlineStr">
        <is>
          <t>Технология и оборудование сварки давлением</t>
        </is>
      </c>
      <c r="C495" s="176" t="inlineStr">
        <is>
          <t>Консультация</t>
        </is>
      </c>
      <c r="D495" s="176" t="inlineStr">
        <is>
          <t>Т11О-401Б-20</t>
        </is>
      </c>
      <c r="E495" s="177" t="n">
        <v>1</v>
      </c>
      <c r="F495" s="176" t="inlineStr">
        <is>
          <t>11924</t>
        </is>
      </c>
      <c r="G495" s="178" t="n"/>
      <c r="H495" s="176" t="n"/>
      <c r="I495" s="176" t="inlineStr">
        <is>
          <t>Никитина Елена Владимировна</t>
        </is>
      </c>
      <c r="J495" s="176" t="n"/>
      <c r="K495" s="176" t="inlineStr">
        <is>
          <t>Нет</t>
        </is>
      </c>
      <c r="L495" s="176" t="n"/>
      <c r="M495" s="176" t="n"/>
      <c r="N495" s="179">
        <f>SUMIFS($E$2:$E$896,$A$2:$A$896,"осень",$I$2:$I$896,I495)</f>
        <v/>
      </c>
      <c r="O495" s="179">
        <f>SUMIFS($E$2:$E$896,$A$2:$A$896,"весна",$I$2:$I$896,I495)</f>
        <v/>
      </c>
      <c r="P495" s="180">
        <f>N495+O495</f>
        <v/>
      </c>
      <c r="Q495" s="181">
        <f>P495/$Q$1</f>
        <v/>
      </c>
      <c r="R495" s="122">
        <f>P495*0.2</f>
        <v/>
      </c>
      <c r="S495" s="122">
        <f>Q495*0.8</f>
        <v/>
      </c>
      <c r="T495" s="133" t="n">
        <v>0</v>
      </c>
    </row>
    <row r="496" hidden="1" ht="15.75" customHeight="1" s="2">
      <c r="A496" s="194" t="inlineStr">
        <is>
          <t>весна</t>
        </is>
      </c>
      <c r="B496" s="176" t="inlineStr">
        <is>
          <t>Теория металлургических процессов</t>
        </is>
      </c>
      <c r="C496" s="176" t="inlineStr">
        <is>
          <t>ЛК</t>
        </is>
      </c>
      <c r="D496" s="176" t="inlineStr">
        <is>
          <t>Т11О-201Б-22</t>
        </is>
      </c>
      <c r="E496" s="177" t="n">
        <v>32</v>
      </c>
      <c r="F496" s="176" t="inlineStr">
        <is>
          <t>14668</t>
        </is>
      </c>
      <c r="G496" s="177" t="n">
        <v>32</v>
      </c>
      <c r="H496" s="176" t="inlineStr">
        <is>
          <t>94221</t>
        </is>
      </c>
      <c r="I496" s="176" t="inlineStr">
        <is>
          <t>Петров Игорь Алексеевич</t>
        </is>
      </c>
      <c r="J496" s="176" t="n"/>
      <c r="K496" s="176" t="inlineStr">
        <is>
          <t>Нет</t>
        </is>
      </c>
      <c r="L496" s="176" t="n"/>
      <c r="M496" s="176" t="n"/>
      <c r="N496" s="179">
        <f>SUMIFS($E$2:$E$896,$A$2:$A$896,"осень",$I$2:$I$896,I496)</f>
        <v/>
      </c>
      <c r="O496" s="179">
        <f>SUMIFS($E$2:$E$896,$A$2:$A$896,"весна",$I$2:$I$896,I496)</f>
        <v/>
      </c>
      <c r="P496" s="180">
        <f>N496+O496</f>
        <v/>
      </c>
      <c r="Q496" s="181">
        <f>P496/$Q$1</f>
        <v/>
      </c>
      <c r="R496" s="122">
        <f>P496*0.2</f>
        <v/>
      </c>
      <c r="S496" s="122">
        <f>Q496*0.8</f>
        <v/>
      </c>
      <c r="T496" s="133" t="n">
        <v>0.45</v>
      </c>
    </row>
    <row r="497" hidden="1" ht="15.75" customHeight="1" s="2">
      <c r="A497" s="194" t="inlineStr">
        <is>
          <t>весна</t>
        </is>
      </c>
      <c r="B497" s="176" t="inlineStr">
        <is>
          <t>Теория металлургических процессов</t>
        </is>
      </c>
      <c r="C497" s="176" t="inlineStr">
        <is>
          <t>Зачет с оценкой</t>
        </is>
      </c>
      <c r="D497" s="176" t="inlineStr">
        <is>
          <t>Т11О-201Б-22</t>
        </is>
      </c>
      <c r="E497" s="177" t="n">
        <v>3</v>
      </c>
      <c r="F497" s="176" t="inlineStr">
        <is>
          <t>14668</t>
        </is>
      </c>
      <c r="G497" s="178" t="n"/>
      <c r="H497" s="176" t="inlineStr">
        <is>
          <t>94221</t>
        </is>
      </c>
      <c r="I497" s="176" t="inlineStr">
        <is>
          <t>Петров Игорь Алексеевич</t>
        </is>
      </c>
      <c r="J497" s="176" t="n"/>
      <c r="K497" s="176" t="inlineStr">
        <is>
          <t>Нет</t>
        </is>
      </c>
      <c r="L497" s="176" t="n"/>
      <c r="M497" s="176" t="n"/>
      <c r="N497" s="179">
        <f>SUMIFS($E$2:$E$896,$A$2:$A$896,"осень",$I$2:$I$896,I497)</f>
        <v/>
      </c>
      <c r="O497" s="179">
        <f>SUMIFS($E$2:$E$896,$A$2:$A$896,"весна",$I$2:$I$896,I497)</f>
        <v/>
      </c>
      <c r="P497" s="180">
        <f>N497+O497</f>
        <v/>
      </c>
      <c r="Q497" s="181">
        <f>P497/$Q$1</f>
        <v/>
      </c>
      <c r="R497" s="122">
        <f>P497*0.2</f>
        <v/>
      </c>
      <c r="S497" s="122">
        <f>Q497*0.8</f>
        <v/>
      </c>
      <c r="T497" s="133" t="n">
        <v>0.45</v>
      </c>
    </row>
    <row r="498" ht="15.75" customHeight="1" s="2">
      <c r="A498" s="194" t="inlineStr">
        <is>
          <t>весна</t>
        </is>
      </c>
      <c r="B498" s="176" t="inlineStr">
        <is>
          <t>Теория металлургических процессов</t>
        </is>
      </c>
      <c r="C498" s="176" t="inlineStr">
        <is>
          <t>Зачет с оценкой</t>
        </is>
      </c>
      <c r="D498" s="176" t="inlineStr">
        <is>
          <t>Т11О-201Б-22</t>
        </is>
      </c>
      <c r="E498" s="177" t="n">
        <v>2</v>
      </c>
      <c r="F498" s="176" t="inlineStr">
        <is>
          <t>14668</t>
        </is>
      </c>
      <c r="G498" s="178" t="n"/>
      <c r="H498" s="176" t="n"/>
      <c r="I498" s="176" t="inlineStr">
        <is>
          <t>Петров Игорь Алексеевич</t>
        </is>
      </c>
      <c r="J498" s="176" t="n"/>
      <c r="K498" s="176" t="inlineStr">
        <is>
          <t>Нет</t>
        </is>
      </c>
      <c r="L498" s="176" t="n"/>
      <c r="M498" s="176" t="n"/>
      <c r="N498" s="179">
        <f>SUMIFS($E$2:$E$896,$A$2:$A$896,"осень",$I$2:$I$896,I498)</f>
        <v/>
      </c>
      <c r="O498" s="179">
        <f>SUMIFS($E$2:$E$896,$A$2:$A$896,"весна",$I$2:$I$896,I498)</f>
        <v/>
      </c>
      <c r="P498" s="180">
        <f>N498+O498</f>
        <v/>
      </c>
      <c r="Q498" s="181">
        <f>P498/$Q$1</f>
        <v/>
      </c>
      <c r="R498" s="122">
        <f>P498*0.2</f>
        <v/>
      </c>
      <c r="S498" s="122">
        <f>Q498*0.8</f>
        <v/>
      </c>
      <c r="T498" s="133" t="n">
        <v>0</v>
      </c>
    </row>
    <row r="499" hidden="1" ht="15.75" customHeight="1" s="2">
      <c r="A499" s="194" t="inlineStr">
        <is>
          <t>весна</t>
        </is>
      </c>
      <c r="B499" s="176" t="inlineStr">
        <is>
          <t>Теория металлургических процессов</t>
        </is>
      </c>
      <c r="C499" s="176" t="inlineStr">
        <is>
          <t>ПЗ</t>
        </is>
      </c>
      <c r="D499" s="176" t="inlineStr">
        <is>
          <t>Т11О-201Б-22</t>
        </is>
      </c>
      <c r="E499" s="177" t="n">
        <v>16</v>
      </c>
      <c r="F499" s="176" t="inlineStr">
        <is>
          <t>14668</t>
        </is>
      </c>
      <c r="G499" s="177" t="n">
        <v>16</v>
      </c>
      <c r="H499" s="176" t="inlineStr">
        <is>
          <t>94221</t>
        </is>
      </c>
      <c r="I499" s="176" t="inlineStr">
        <is>
          <t>Шелест Анатолий Ефимович</t>
        </is>
      </c>
      <c r="J499" s="176" t="n"/>
      <c r="K499" s="176" t="inlineStr">
        <is>
          <t>Нет</t>
        </is>
      </c>
      <c r="L499" s="176" t="n"/>
      <c r="M499" s="176" t="n"/>
      <c r="N499" s="179">
        <f>SUMIFS($E$2:$E$896,$A$2:$A$896,"осень",$I$2:$I$896,I499)</f>
        <v/>
      </c>
      <c r="O499" s="179">
        <f>SUMIFS($E$2:$E$896,$A$2:$A$896,"весна",$I$2:$I$896,I499)</f>
        <v/>
      </c>
      <c r="P499" s="180">
        <f>N499+O499</f>
        <v/>
      </c>
      <c r="Q499" s="181">
        <f>P499/$Q$1</f>
        <v/>
      </c>
      <c r="R499" s="122">
        <f>P499*0.2</f>
        <v/>
      </c>
      <c r="S499" s="122">
        <f>Q499*0.8</f>
        <v/>
      </c>
      <c r="T499" s="133" t="n">
        <v>0.45</v>
      </c>
    </row>
    <row r="500" hidden="1" ht="15.75" customHeight="1" s="2">
      <c r="A500" s="194" t="inlineStr">
        <is>
          <t>весна</t>
        </is>
      </c>
      <c r="B500" s="176" t="inlineStr">
        <is>
          <t>Теория металлургических процессов</t>
        </is>
      </c>
      <c r="C500" s="176" t="inlineStr">
        <is>
          <t>ЛР</t>
        </is>
      </c>
      <c r="D500" s="176" t="inlineStr">
        <is>
          <t>Т11О-201Б-22</t>
        </is>
      </c>
      <c r="E500" s="177" t="n">
        <v>32</v>
      </c>
      <c r="F500" s="176" t="inlineStr">
        <is>
          <t>14668</t>
        </is>
      </c>
      <c r="G500" s="177" t="n">
        <v>16</v>
      </c>
      <c r="H500" s="176" t="inlineStr">
        <is>
          <t>94221</t>
        </is>
      </c>
      <c r="I500" s="176" t="inlineStr">
        <is>
          <t>Шелест Анатолий Ефимович</t>
        </is>
      </c>
      <c r="J500" s="176" t="n"/>
      <c r="K500" s="176" t="inlineStr">
        <is>
          <t>Нет</t>
        </is>
      </c>
      <c r="L500" s="176" t="n"/>
      <c r="M500" s="176" t="n"/>
      <c r="N500" s="179">
        <f>SUMIFS($E$2:$E$896,$A$2:$A$896,"осень",$I$2:$I$896,I500)</f>
        <v/>
      </c>
      <c r="O500" s="179">
        <f>SUMIFS($E$2:$E$896,$A$2:$A$896,"весна",$I$2:$I$896,I500)</f>
        <v/>
      </c>
      <c r="P500" s="180">
        <f>N500+O500</f>
        <v/>
      </c>
      <c r="Q500" s="181">
        <f>P500/$Q$1</f>
        <v/>
      </c>
      <c r="R500" s="122">
        <f>P500*0.2</f>
        <v/>
      </c>
      <c r="S500" s="122">
        <f>Q500*0.8</f>
        <v/>
      </c>
      <c r="T500" s="133" t="n">
        <v>0.45</v>
      </c>
    </row>
    <row r="501" hidden="1" ht="15.75" customHeight="1" s="2">
      <c r="A501" s="194" t="inlineStr">
        <is>
          <t>весна</t>
        </is>
      </c>
      <c r="B501" s="176" t="inlineStr">
        <is>
          <t>Теория металлургических процессов</t>
        </is>
      </c>
      <c r="C501" s="176" t="inlineStr">
        <is>
          <t>Консультация</t>
        </is>
      </c>
      <c r="D501" s="176" t="inlineStr">
        <is>
          <t>Т11О-201Б-22</t>
        </is>
      </c>
      <c r="E501" s="177" t="n">
        <v>1</v>
      </c>
      <c r="F501" s="176" t="inlineStr">
        <is>
          <t>14668</t>
        </is>
      </c>
      <c r="G501" s="178" t="n"/>
      <c r="H501" s="176" t="inlineStr">
        <is>
          <t>94221</t>
        </is>
      </c>
      <c r="I501" s="176" t="inlineStr">
        <is>
          <t>Шелест Анатолий Ефимович</t>
        </is>
      </c>
      <c r="J501" s="176" t="n"/>
      <c r="K501" s="176" t="inlineStr">
        <is>
          <t>Нет</t>
        </is>
      </c>
      <c r="L501" s="176" t="n"/>
      <c r="M501" s="176" t="n"/>
      <c r="N501" s="179">
        <f>SUMIFS($E$2:$E$896,$A$2:$A$896,"осень",$I$2:$I$896,I501)</f>
        <v/>
      </c>
      <c r="O501" s="179">
        <f>SUMIFS($E$2:$E$896,$A$2:$A$896,"весна",$I$2:$I$896,I501)</f>
        <v/>
      </c>
      <c r="P501" s="180">
        <f>N501+O501</f>
        <v/>
      </c>
      <c r="Q501" s="181">
        <f>P501/$Q$1</f>
        <v/>
      </c>
      <c r="R501" s="122">
        <f>P501*0.2</f>
        <v/>
      </c>
      <c r="S501" s="122">
        <f>Q501*0.8</f>
        <v/>
      </c>
      <c r="T501" s="133" t="n">
        <v>0.45</v>
      </c>
    </row>
    <row r="502" ht="15.75" customHeight="1" s="2">
      <c r="A502" s="194" t="inlineStr">
        <is>
          <t>весна</t>
        </is>
      </c>
      <c r="B502" s="176" t="inlineStr">
        <is>
          <t>Теория металлургических процессов</t>
        </is>
      </c>
      <c r="C502" s="176" t="inlineStr">
        <is>
          <t>Консультация</t>
        </is>
      </c>
      <c r="D502" s="176" t="inlineStr">
        <is>
          <t>Т11О-201Б-22</t>
        </is>
      </c>
      <c r="E502" s="177" t="n">
        <v>1</v>
      </c>
      <c r="F502" s="176" t="inlineStr">
        <is>
          <t>14668</t>
        </is>
      </c>
      <c r="G502" s="178" t="n"/>
      <c r="H502" s="176" t="n"/>
      <c r="I502" s="176" t="inlineStr">
        <is>
          <t>Шелест Анатолий Ефимович</t>
        </is>
      </c>
      <c r="J502" s="176" t="n"/>
      <c r="K502" s="176" t="inlineStr">
        <is>
          <t>Нет</t>
        </is>
      </c>
      <c r="L502" s="176" t="n"/>
      <c r="M502" s="176" t="n"/>
      <c r="N502" s="179">
        <f>SUMIFS($E$2:$E$896,$A$2:$A$896,"осень",$I$2:$I$896,I502)</f>
        <v/>
      </c>
      <c r="O502" s="179">
        <f>SUMIFS($E$2:$E$896,$A$2:$A$896,"весна",$I$2:$I$896,I502)</f>
        <v/>
      </c>
      <c r="P502" s="180">
        <f>N502+O502</f>
        <v/>
      </c>
      <c r="Q502" s="181">
        <f>P502/$Q$1</f>
        <v/>
      </c>
      <c r="R502" s="122">
        <f>P502*0.2</f>
        <v/>
      </c>
      <c r="S502" s="122">
        <f>Q502*0.8</f>
        <v/>
      </c>
      <c r="T502" s="133" t="n">
        <v>0</v>
      </c>
    </row>
    <row r="503" hidden="1" ht="15.75" customHeight="1" s="2">
      <c r="A503" s="194" t="inlineStr">
        <is>
          <t>весна</t>
        </is>
      </c>
      <c r="B503" s="176" t="inlineStr">
        <is>
          <t>Технология литейного производства</t>
        </is>
      </c>
      <c r="C503" s="176" t="inlineStr">
        <is>
          <t>ЛК</t>
        </is>
      </c>
      <c r="D503" s="176" t="inlineStr">
        <is>
          <t>Т11О-301Б-21</t>
        </is>
      </c>
      <c r="E503" s="177" t="n">
        <v>32</v>
      </c>
      <c r="F503" s="176" t="inlineStr">
        <is>
          <t>14668</t>
        </is>
      </c>
      <c r="G503" s="177" t="n">
        <v>32</v>
      </c>
      <c r="H503" s="176" t="inlineStr">
        <is>
          <t>82061</t>
        </is>
      </c>
      <c r="I503" s="176" t="inlineStr">
        <is>
          <t>Моисеев Виктор Сергеевич</t>
        </is>
      </c>
      <c r="J503" s="176" t="n"/>
      <c r="K503" s="176" t="inlineStr">
        <is>
          <t>Нет</t>
        </is>
      </c>
      <c r="L503" s="176" t="n"/>
      <c r="M503" s="176" t="n"/>
      <c r="N503" s="179">
        <f>SUMIFS($E$2:$E$896,$A$2:$A$896,"осень",$I$2:$I$896,I503)</f>
        <v/>
      </c>
      <c r="O503" s="179">
        <f>SUMIFS($E$2:$E$896,$A$2:$A$896,"весна",$I$2:$I$896,I503)</f>
        <v/>
      </c>
      <c r="P503" s="180">
        <f>N503+O503</f>
        <v/>
      </c>
      <c r="Q503" s="181">
        <f>P503/$Q$1</f>
        <v/>
      </c>
      <c r="R503" s="122">
        <f>P503*0.2</f>
        <v/>
      </c>
      <c r="S503" s="122">
        <f>Q503*0.8</f>
        <v/>
      </c>
      <c r="T503" s="133" t="n">
        <v>0.2</v>
      </c>
    </row>
    <row r="504" hidden="1" ht="15.75" customHeight="1" s="2">
      <c r="A504" s="194" t="inlineStr">
        <is>
          <t>весна</t>
        </is>
      </c>
      <c r="B504" s="176" t="inlineStr">
        <is>
          <t>Технология литейного производства</t>
        </is>
      </c>
      <c r="C504" s="176" t="inlineStr">
        <is>
          <t>ПЗ</t>
        </is>
      </c>
      <c r="D504" s="176" t="inlineStr">
        <is>
          <t>Т11О-301Б-21</t>
        </is>
      </c>
      <c r="E504" s="177" t="n">
        <v>20</v>
      </c>
      <c r="F504" s="176" t="inlineStr">
        <is>
          <t>14668</t>
        </is>
      </c>
      <c r="G504" s="177" t="n">
        <v>20</v>
      </c>
      <c r="H504" s="176" t="inlineStr">
        <is>
          <t>82061</t>
        </is>
      </c>
      <c r="I504" s="176" t="inlineStr">
        <is>
          <t>Моисеев Виктор Сергеевич</t>
        </is>
      </c>
      <c r="J504" s="176" t="n"/>
      <c r="K504" s="176" t="inlineStr">
        <is>
          <t>Нет</t>
        </is>
      </c>
      <c r="L504" s="176" t="n"/>
      <c r="M504" s="176" t="n"/>
      <c r="N504" s="179">
        <f>SUMIFS($E$2:$E$896,$A$2:$A$896,"осень",$I$2:$I$896,I504)</f>
        <v/>
      </c>
      <c r="O504" s="179">
        <f>SUMIFS($E$2:$E$896,$A$2:$A$896,"весна",$I$2:$I$896,I504)</f>
        <v/>
      </c>
      <c r="P504" s="180">
        <f>N504+O504</f>
        <v/>
      </c>
      <c r="Q504" s="181">
        <f>P504/$Q$1</f>
        <v/>
      </c>
      <c r="R504" s="122">
        <f>P504*0.2</f>
        <v/>
      </c>
      <c r="S504" s="122">
        <f>Q504*0.8</f>
        <v/>
      </c>
      <c r="T504" s="133" t="n">
        <v>0.2</v>
      </c>
    </row>
    <row r="505" hidden="1" ht="15.75" customHeight="1" s="2">
      <c r="A505" s="194" t="inlineStr">
        <is>
          <t>весна</t>
        </is>
      </c>
      <c r="B505" s="182" t="inlineStr">
        <is>
          <t>Технология литейного производства</t>
        </is>
      </c>
      <c r="C505" s="182" t="inlineStr">
        <is>
          <t>ЛР</t>
        </is>
      </c>
      <c r="D505" s="182" t="inlineStr">
        <is>
          <t>Т11О-301Б-21</t>
        </is>
      </c>
      <c r="E505" s="183" t="n">
        <v>16</v>
      </c>
      <c r="F505" s="182" t="inlineStr">
        <is>
          <t>14668</t>
        </is>
      </c>
      <c r="G505" s="183" t="n">
        <v>16</v>
      </c>
      <c r="H505" s="182" t="inlineStr">
        <is>
          <t>82061</t>
        </is>
      </c>
      <c r="I505" s="182" t="inlineStr">
        <is>
          <t>Петров Игорь Алексеевич</t>
        </is>
      </c>
      <c r="J505" s="176" t="n"/>
      <c r="K505" s="176" t="inlineStr">
        <is>
          <t>Нет</t>
        </is>
      </c>
      <c r="L505" s="176" t="n"/>
      <c r="M505" s="176" t="n"/>
      <c r="N505" s="179">
        <f>SUMIFS($E$2:$E$896,$A$2:$A$896,"осень",$I$2:$I$896,I505)</f>
        <v/>
      </c>
      <c r="O505" s="179">
        <f>SUMIFS($E$2:$E$896,$A$2:$A$896,"весна",$I$2:$I$896,I505)</f>
        <v/>
      </c>
      <c r="P505" s="180">
        <f>N505+O505</f>
        <v/>
      </c>
      <c r="Q505" s="181">
        <f>P505/$Q$1</f>
        <v/>
      </c>
      <c r="R505" s="122">
        <f>P505*0.2</f>
        <v/>
      </c>
      <c r="S505" s="122">
        <f>Q505*0.8</f>
        <v/>
      </c>
      <c r="T505" s="133" t="n">
        <v>0.35</v>
      </c>
    </row>
    <row r="506" hidden="1" ht="15.75" customHeight="1" s="2">
      <c r="A506" s="194" t="inlineStr">
        <is>
          <t>весна</t>
        </is>
      </c>
      <c r="B506" s="176" t="inlineStr">
        <is>
          <t>Технология литейного производства</t>
        </is>
      </c>
      <c r="C506" s="176" t="inlineStr">
        <is>
          <t>Экзамен</t>
        </is>
      </c>
      <c r="D506" s="176" t="inlineStr">
        <is>
          <t>Т11О-301Б-21</t>
        </is>
      </c>
      <c r="E506" s="177" t="n">
        <v>3</v>
      </c>
      <c r="F506" s="176" t="inlineStr">
        <is>
          <t>14668</t>
        </is>
      </c>
      <c r="G506" s="178" t="n"/>
      <c r="H506" s="176" t="inlineStr">
        <is>
          <t>82061</t>
        </is>
      </c>
      <c r="I506" s="176" t="inlineStr">
        <is>
          <t>Моисеев Виктор Сергеевич</t>
        </is>
      </c>
      <c r="J506" s="176" t="n"/>
      <c r="K506" s="176" t="inlineStr">
        <is>
          <t>Нет</t>
        </is>
      </c>
      <c r="L506" s="176" t="n"/>
      <c r="M506" s="176" t="n"/>
      <c r="N506" s="179">
        <f>SUMIFS($E$2:$E$896,$A$2:$A$896,"осень",$I$2:$I$896,I506)</f>
        <v/>
      </c>
      <c r="O506" s="179">
        <f>SUMIFS($E$2:$E$896,$A$2:$A$896,"весна",$I$2:$I$896,I506)</f>
        <v/>
      </c>
      <c r="P506" s="180">
        <f>N506+O506</f>
        <v/>
      </c>
      <c r="Q506" s="181">
        <f>P506/$Q$1</f>
        <v/>
      </c>
      <c r="R506" s="122">
        <f>P506*0.2</f>
        <v/>
      </c>
      <c r="S506" s="122">
        <f>Q506*0.8</f>
        <v/>
      </c>
      <c r="T506" s="133" t="n">
        <v>0.2</v>
      </c>
    </row>
    <row r="507" ht="15.75" customHeight="1" s="2">
      <c r="A507" s="194" t="inlineStr">
        <is>
          <t>весна</t>
        </is>
      </c>
      <c r="B507" s="176" t="inlineStr">
        <is>
          <t>Технология литейного производства</t>
        </is>
      </c>
      <c r="C507" s="176" t="inlineStr">
        <is>
          <t>Экзамен</t>
        </is>
      </c>
      <c r="D507" s="176" t="inlineStr">
        <is>
          <t>Т11О-301Б-21</t>
        </is>
      </c>
      <c r="E507" s="177" t="n">
        <v>2</v>
      </c>
      <c r="F507" s="176" t="inlineStr">
        <is>
          <t>14668</t>
        </is>
      </c>
      <c r="G507" s="178" t="n"/>
      <c r="H507" s="176" t="n"/>
      <c r="I507" s="176" t="inlineStr">
        <is>
          <t>Моисеев Виктор Сергеевич</t>
        </is>
      </c>
      <c r="J507" s="176" t="n"/>
      <c r="K507" s="176" t="inlineStr">
        <is>
          <t>Нет</t>
        </is>
      </c>
      <c r="L507" s="176" t="n"/>
      <c r="M507" s="176" t="n"/>
      <c r="N507" s="179">
        <f>SUMIFS($E$2:$E$896,$A$2:$A$896,"осень",$I$2:$I$896,I507)</f>
        <v/>
      </c>
      <c r="O507" s="179">
        <f>SUMIFS($E$2:$E$896,$A$2:$A$896,"весна",$I$2:$I$896,I507)</f>
        <v/>
      </c>
      <c r="P507" s="180">
        <f>N507+O507</f>
        <v/>
      </c>
      <c r="Q507" s="181">
        <f>P507/$Q$1</f>
        <v/>
      </c>
      <c r="R507" s="122">
        <f>P507*0.2</f>
        <v/>
      </c>
      <c r="S507" s="122">
        <f>Q507*0.8</f>
        <v/>
      </c>
      <c r="T507" s="133" t="n">
        <v>0</v>
      </c>
    </row>
    <row r="508" hidden="1" ht="15.75" customHeight="1" s="2">
      <c r="A508" s="194" t="inlineStr">
        <is>
          <t>весна</t>
        </is>
      </c>
      <c r="B508" s="176" t="inlineStr">
        <is>
          <t>Технология литейного производства</t>
        </is>
      </c>
      <c r="C508" s="176" t="inlineStr">
        <is>
          <t>Консультация</t>
        </is>
      </c>
      <c r="D508" s="176" t="inlineStr">
        <is>
          <t>Т11О-301Б-21</t>
        </is>
      </c>
      <c r="E508" s="177" t="n">
        <v>2</v>
      </c>
      <c r="F508" s="176" t="inlineStr">
        <is>
          <t>14668</t>
        </is>
      </c>
      <c r="G508" s="178" t="n"/>
      <c r="H508" s="176" t="inlineStr">
        <is>
          <t>82061</t>
        </is>
      </c>
      <c r="I508" s="176" t="inlineStr">
        <is>
          <t>Моисеев Виктор Сергеевич</t>
        </is>
      </c>
      <c r="J508" s="176" t="n"/>
      <c r="K508" s="176" t="inlineStr">
        <is>
          <t>Нет</t>
        </is>
      </c>
      <c r="L508" s="176" t="n"/>
      <c r="M508" s="176" t="n"/>
      <c r="N508" s="179">
        <f>SUMIFS($E$2:$E$896,$A$2:$A$896,"осень",$I$2:$I$896,I508)</f>
        <v/>
      </c>
      <c r="O508" s="179">
        <f>SUMIFS($E$2:$E$896,$A$2:$A$896,"весна",$I$2:$I$896,I508)</f>
        <v/>
      </c>
      <c r="P508" s="180">
        <f>N508+O508</f>
        <v/>
      </c>
      <c r="Q508" s="181">
        <f>P508/$Q$1</f>
        <v/>
      </c>
      <c r="R508" s="122">
        <f>P508*0.2</f>
        <v/>
      </c>
      <c r="S508" s="122">
        <f>Q508*0.8</f>
        <v/>
      </c>
      <c r="T508" s="133" t="n">
        <v>0.2</v>
      </c>
    </row>
    <row r="509" ht="15.75" customHeight="1" s="2">
      <c r="A509" s="194" t="inlineStr">
        <is>
          <t>весна</t>
        </is>
      </c>
      <c r="B509" s="176" t="inlineStr">
        <is>
          <t>Технология литейного производства</t>
        </is>
      </c>
      <c r="C509" s="176" t="inlineStr">
        <is>
          <t>Консультация</t>
        </is>
      </c>
      <c r="D509" s="176" t="inlineStr">
        <is>
          <t>Т11О-301Б-21</t>
        </is>
      </c>
      <c r="E509" s="177" t="n">
        <v>1</v>
      </c>
      <c r="F509" s="176" t="inlineStr">
        <is>
          <t>14668</t>
        </is>
      </c>
      <c r="G509" s="178" t="n"/>
      <c r="H509" s="176" t="n"/>
      <c r="I509" s="176" t="inlineStr">
        <is>
          <t>Моисеев Виктор Сергеевич</t>
        </is>
      </c>
      <c r="J509" s="176" t="n"/>
      <c r="K509" s="176" t="inlineStr">
        <is>
          <t>Нет</t>
        </is>
      </c>
      <c r="L509" s="176" t="n"/>
      <c r="M509" s="176" t="n"/>
      <c r="N509" s="179">
        <f>SUMIFS($E$2:$E$896,$A$2:$A$896,"осень",$I$2:$I$896,I509)</f>
        <v/>
      </c>
      <c r="O509" s="179">
        <f>SUMIFS($E$2:$E$896,$A$2:$A$896,"весна",$I$2:$I$896,I509)</f>
        <v/>
      </c>
      <c r="P509" s="180">
        <f>N509+O509</f>
        <v/>
      </c>
      <c r="Q509" s="181">
        <f>P509/$Q$1</f>
        <v/>
      </c>
      <c r="R509" s="122">
        <f>P509*0.2</f>
        <v/>
      </c>
      <c r="S509" s="122">
        <f>Q509*0.8</f>
        <v/>
      </c>
      <c r="T509" s="133" t="n">
        <v>0</v>
      </c>
    </row>
    <row r="510" hidden="1" ht="15.75" customHeight="1" s="2">
      <c r="A510" s="194" t="inlineStr">
        <is>
          <t>весна</t>
        </is>
      </c>
      <c r="B510" s="176" t="inlineStr">
        <is>
          <t>Теоретические основы, технология и оборудование пайки</t>
        </is>
      </c>
      <c r="C510" s="176" t="inlineStr">
        <is>
          <t>ЛК</t>
        </is>
      </c>
      <c r="D510" s="176" t="inlineStr">
        <is>
          <t>Т11О-401Б-20</t>
        </is>
      </c>
      <c r="E510" s="177" t="n">
        <v>24</v>
      </c>
      <c r="F510" s="176" t="inlineStr">
        <is>
          <t>11924</t>
        </is>
      </c>
      <c r="G510" s="177" t="n">
        <v>24</v>
      </c>
      <c r="H510" s="176" t="inlineStr">
        <is>
          <t>92509</t>
        </is>
      </c>
      <c r="I510" s="176" t="inlineStr">
        <is>
          <t>Федоров Сергей Александрович</t>
        </is>
      </c>
      <c r="J510" s="176" t="n"/>
      <c r="K510" s="176" t="inlineStr">
        <is>
          <t>Нет</t>
        </is>
      </c>
      <c r="L510" s="176" t="n"/>
      <c r="M510" s="176" t="n"/>
      <c r="N510" s="179">
        <f>SUMIFS($E$2:$E$896,$A$2:$A$896,"осень",$I$2:$I$896,I510)</f>
        <v/>
      </c>
      <c r="O510" s="179">
        <f>SUMIFS($E$2:$E$896,$A$2:$A$896,"весна",$I$2:$I$896,I510)</f>
        <v/>
      </c>
      <c r="P510" s="180">
        <f>N510+O510</f>
        <v/>
      </c>
      <c r="Q510" s="181">
        <f>P510/$Q$1</f>
        <v/>
      </c>
      <c r="R510" s="122">
        <f>P510*0.2</f>
        <v/>
      </c>
      <c r="S510" s="122">
        <f>Q510*0.8</f>
        <v/>
      </c>
      <c r="T510" s="133" t="n">
        <v>0.55</v>
      </c>
    </row>
    <row r="511" hidden="1" ht="15.75" customHeight="1" s="2">
      <c r="A511" s="194" t="inlineStr">
        <is>
          <t>весна</t>
        </is>
      </c>
      <c r="B511" s="176" t="inlineStr">
        <is>
          <t>Теоретические основы, технология и оборудование пайки</t>
        </is>
      </c>
      <c r="C511" s="176" t="inlineStr">
        <is>
          <t>ПЗ</t>
        </is>
      </c>
      <c r="D511" s="176" t="inlineStr">
        <is>
          <t>Т11О-401Б-20</t>
        </is>
      </c>
      <c r="E511" s="177" t="n">
        <v>12</v>
      </c>
      <c r="F511" s="176" t="inlineStr">
        <is>
          <t>11924</t>
        </is>
      </c>
      <c r="G511" s="177" t="n">
        <v>12</v>
      </c>
      <c r="H511" s="176" t="inlineStr">
        <is>
          <t>92509</t>
        </is>
      </c>
      <c r="I511" s="176" t="inlineStr">
        <is>
          <t>Федоров Сергей Александрович</t>
        </is>
      </c>
      <c r="J511" s="176" t="n"/>
      <c r="K511" s="176" t="inlineStr">
        <is>
          <t>Нет</t>
        </is>
      </c>
      <c r="L511" s="176" t="n"/>
      <c r="M511" s="176" t="n"/>
      <c r="N511" s="179">
        <f>SUMIFS($E$2:$E$896,$A$2:$A$896,"осень",$I$2:$I$896,I511)</f>
        <v/>
      </c>
      <c r="O511" s="179">
        <f>SUMIFS($E$2:$E$896,$A$2:$A$896,"весна",$I$2:$I$896,I511)</f>
        <v/>
      </c>
      <c r="P511" s="180">
        <f>N511+O511</f>
        <v/>
      </c>
      <c r="Q511" s="181">
        <f>P511/$Q$1</f>
        <v/>
      </c>
      <c r="R511" s="122">
        <f>P511*0.2</f>
        <v/>
      </c>
      <c r="S511" s="122">
        <f>Q511*0.8</f>
        <v/>
      </c>
      <c r="T511" s="133" t="n">
        <v>0.55</v>
      </c>
    </row>
    <row r="512" hidden="1" ht="15.75" customHeight="1" s="2">
      <c r="A512" s="194" t="inlineStr">
        <is>
          <t>весна</t>
        </is>
      </c>
      <c r="B512" s="176" t="inlineStr">
        <is>
          <t>Теоретические основы, технология и оборудование пайки</t>
        </is>
      </c>
      <c r="C512" s="176" t="inlineStr">
        <is>
          <t>ЛР</t>
        </is>
      </c>
      <c r="D512" s="176" t="inlineStr">
        <is>
          <t>Т11О-401Б-20</t>
        </is>
      </c>
      <c r="E512" s="177" t="n">
        <v>28</v>
      </c>
      <c r="F512" s="176" t="inlineStr">
        <is>
          <t>11924</t>
        </is>
      </c>
      <c r="G512" s="177" t="n">
        <v>28</v>
      </c>
      <c r="H512" s="176" t="inlineStr">
        <is>
          <t>92509</t>
        </is>
      </c>
      <c r="I512" s="176" t="inlineStr">
        <is>
          <t>Пашков Игорь Николаевич</t>
        </is>
      </c>
      <c r="J512" s="176" t="n"/>
      <c r="K512" s="176" t="inlineStr">
        <is>
          <t>Нет</t>
        </is>
      </c>
      <c r="L512" s="176" t="n"/>
      <c r="M512" s="176" t="n"/>
      <c r="N512" s="179">
        <f>SUMIFS($E$2:$E$896,$A$2:$A$896,"осень",$I$2:$I$896,I512)</f>
        <v/>
      </c>
      <c r="O512" s="179">
        <f>SUMIFS($E$2:$E$896,$A$2:$A$896,"весна",$I$2:$I$896,I512)</f>
        <v/>
      </c>
      <c r="P512" s="180">
        <f>N512+O512</f>
        <v/>
      </c>
      <c r="Q512" s="181">
        <f>P512/$Q$1</f>
        <v/>
      </c>
      <c r="R512" s="122">
        <f>P512*0.2</f>
        <v/>
      </c>
      <c r="S512" s="122">
        <f>Q512*0.8</f>
        <v/>
      </c>
      <c r="T512" s="133" t="n">
        <v>0.55</v>
      </c>
    </row>
    <row r="513" hidden="1" ht="15.75" customHeight="1" s="2">
      <c r="A513" s="194" t="inlineStr">
        <is>
          <t>весна</t>
        </is>
      </c>
      <c r="B513" s="176" t="inlineStr">
        <is>
          <t>Теоретические основы, технология и оборудование пайки</t>
        </is>
      </c>
      <c r="C513" s="176" t="inlineStr">
        <is>
          <t>Экзамен</t>
        </is>
      </c>
      <c r="D513" s="176" t="inlineStr">
        <is>
          <t>Т11О-401Б-20</t>
        </is>
      </c>
      <c r="E513" s="177" t="n">
        <v>4</v>
      </c>
      <c r="F513" s="176" t="inlineStr">
        <is>
          <t>11924</t>
        </is>
      </c>
      <c r="G513" s="178" t="n"/>
      <c r="H513" s="176" t="inlineStr">
        <is>
          <t>92509</t>
        </is>
      </c>
      <c r="I513" s="176" t="inlineStr">
        <is>
          <t>Федоров Сергей Александрович</t>
        </is>
      </c>
      <c r="J513" s="176" t="n"/>
      <c r="K513" s="176" t="inlineStr">
        <is>
          <t>Нет</t>
        </is>
      </c>
      <c r="L513" s="176" t="n"/>
      <c r="M513" s="176" t="n"/>
      <c r="N513" s="179">
        <f>SUMIFS($E$2:$E$896,$A$2:$A$896,"осень",$I$2:$I$896,I513)</f>
        <v/>
      </c>
      <c r="O513" s="179">
        <f>SUMIFS($E$2:$E$896,$A$2:$A$896,"весна",$I$2:$I$896,I513)</f>
        <v/>
      </c>
      <c r="P513" s="180">
        <f>N513+O513</f>
        <v/>
      </c>
      <c r="Q513" s="181">
        <f>P513/$Q$1</f>
        <v/>
      </c>
      <c r="R513" s="122">
        <f>P513*0.2</f>
        <v/>
      </c>
      <c r="S513" s="122">
        <f>Q513*0.8</f>
        <v/>
      </c>
      <c r="T513" s="133" t="n">
        <v>0.55</v>
      </c>
    </row>
    <row r="514" ht="15.75" customHeight="1" s="2">
      <c r="A514" s="194" t="inlineStr">
        <is>
          <t>весна</t>
        </is>
      </c>
      <c r="B514" s="176" t="inlineStr">
        <is>
          <t>Теоретические основы, технология и оборудование пайки</t>
        </is>
      </c>
      <c r="C514" s="176" t="inlineStr">
        <is>
          <t>Экзамен</t>
        </is>
      </c>
      <c r="D514" s="176" t="inlineStr">
        <is>
          <t>Т11О-401Б-20</t>
        </is>
      </c>
      <c r="E514" s="177" t="n">
        <v>2</v>
      </c>
      <c r="F514" s="176" t="inlineStr">
        <is>
          <t>11924</t>
        </is>
      </c>
      <c r="G514" s="178" t="n"/>
      <c r="H514" s="176" t="n"/>
      <c r="I514" s="176" t="inlineStr">
        <is>
          <t>Федоров Сергей Александрович</t>
        </is>
      </c>
      <c r="J514" s="176" t="n"/>
      <c r="K514" s="176" t="inlineStr">
        <is>
          <t>Нет</t>
        </is>
      </c>
      <c r="L514" s="176" t="n"/>
      <c r="M514" s="176" t="n"/>
      <c r="N514" s="179">
        <f>SUMIFS($E$2:$E$896,$A$2:$A$896,"осень",$I$2:$I$896,I514)</f>
        <v/>
      </c>
      <c r="O514" s="179">
        <f>SUMIFS($E$2:$E$896,$A$2:$A$896,"весна",$I$2:$I$896,I514)</f>
        <v/>
      </c>
      <c r="P514" s="180">
        <f>N514+O514</f>
        <v/>
      </c>
      <c r="Q514" s="181">
        <f>P514/$Q$1</f>
        <v/>
      </c>
      <c r="R514" s="122">
        <f>P514*0.2</f>
        <v/>
      </c>
      <c r="S514" s="122">
        <f>Q514*0.8</f>
        <v/>
      </c>
      <c r="T514" s="133" t="n">
        <v>0</v>
      </c>
    </row>
    <row r="515" hidden="1" ht="15.75" customHeight="1" s="2">
      <c r="A515" s="194" t="inlineStr">
        <is>
          <t>весна</t>
        </is>
      </c>
      <c r="B515" s="176" t="inlineStr">
        <is>
          <t>Теоретические основы, технология и оборудование пайки</t>
        </is>
      </c>
      <c r="C515" s="176" t="inlineStr">
        <is>
          <t>Консультация</t>
        </is>
      </c>
      <c r="D515" s="176" t="inlineStr">
        <is>
          <t>Т11О-401Б-20</t>
        </is>
      </c>
      <c r="E515" s="177" t="n">
        <v>2</v>
      </c>
      <c r="F515" s="176" t="inlineStr">
        <is>
          <t>11924</t>
        </is>
      </c>
      <c r="G515" s="178" t="n"/>
      <c r="H515" s="176" t="inlineStr">
        <is>
          <t>92509</t>
        </is>
      </c>
      <c r="I515" s="176" t="inlineStr">
        <is>
          <t>Федоров Сергей Александрович</t>
        </is>
      </c>
      <c r="J515" s="176" t="n"/>
      <c r="K515" s="176" t="inlineStr">
        <is>
          <t>Нет</t>
        </is>
      </c>
      <c r="L515" s="176" t="n"/>
      <c r="M515" s="176" t="n"/>
      <c r="N515" s="179">
        <f>SUMIFS($E$2:$E$896,$A$2:$A$896,"осень",$I$2:$I$896,I515)</f>
        <v/>
      </c>
      <c r="O515" s="179">
        <f>SUMIFS($E$2:$E$896,$A$2:$A$896,"весна",$I$2:$I$896,I515)</f>
        <v/>
      </c>
      <c r="P515" s="180">
        <f>N515+O515</f>
        <v/>
      </c>
      <c r="Q515" s="181">
        <f>P515/$Q$1</f>
        <v/>
      </c>
      <c r="R515" s="122">
        <f>P515*0.2</f>
        <v/>
      </c>
      <c r="S515" s="122">
        <f>Q515*0.8</f>
        <v/>
      </c>
      <c r="T515" s="133" t="n">
        <v>0.55</v>
      </c>
    </row>
    <row r="516" ht="15.75" customHeight="1" s="2">
      <c r="A516" s="194" t="inlineStr">
        <is>
          <t>весна</t>
        </is>
      </c>
      <c r="B516" s="176" t="inlineStr">
        <is>
          <t>Теоретические основы, технология и оборудование пайки</t>
        </is>
      </c>
      <c r="C516" s="176" t="inlineStr">
        <is>
          <t>Консультация</t>
        </is>
      </c>
      <c r="D516" s="176" t="inlineStr">
        <is>
          <t>Т11О-401Б-20</t>
        </is>
      </c>
      <c r="E516" s="177" t="n">
        <v>1</v>
      </c>
      <c r="F516" s="176" t="inlineStr">
        <is>
          <t>11924</t>
        </is>
      </c>
      <c r="G516" s="178" t="n"/>
      <c r="H516" s="176" t="n"/>
      <c r="I516" s="176" t="inlineStr">
        <is>
          <t>Федоров Сергей Александрович</t>
        </is>
      </c>
      <c r="J516" s="176" t="n"/>
      <c r="K516" s="176" t="inlineStr">
        <is>
          <t>Нет</t>
        </is>
      </c>
      <c r="L516" s="176" t="n"/>
      <c r="M516" s="176" t="n"/>
      <c r="N516" s="179">
        <f>SUMIFS($E$2:$E$896,$A$2:$A$896,"осень",$I$2:$I$896,I516)</f>
        <v/>
      </c>
      <c r="O516" s="179">
        <f>SUMIFS($E$2:$E$896,$A$2:$A$896,"весна",$I$2:$I$896,I516)</f>
        <v/>
      </c>
      <c r="P516" s="180">
        <f>N516+O516</f>
        <v/>
      </c>
      <c r="Q516" s="181">
        <f>P516/$Q$1</f>
        <v/>
      </c>
      <c r="R516" s="122">
        <f>P516*0.2</f>
        <v/>
      </c>
      <c r="S516" s="122">
        <f>Q516*0.8</f>
        <v/>
      </c>
      <c r="T516" s="133" t="n">
        <v>0</v>
      </c>
    </row>
    <row r="517" hidden="1" ht="15.75" customHeight="1" s="2">
      <c r="A517" s="194" t="inlineStr">
        <is>
          <t>весна</t>
        </is>
      </c>
      <c r="B517" s="176" t="inlineStr">
        <is>
          <t>Методы и средства подготовки научно-технической и конструкторской документации</t>
        </is>
      </c>
      <c r="C517" s="176" t="inlineStr">
        <is>
          <t>ЛК</t>
        </is>
      </c>
      <c r="D517" s="176" t="inlineStr">
        <is>
          <t>Т11О-403Б-20</t>
        </is>
      </c>
      <c r="E517" s="177" t="n">
        <v>24</v>
      </c>
      <c r="F517" s="176" t="inlineStr">
        <is>
          <t>13288</t>
        </is>
      </c>
      <c r="G517" s="177" t="n">
        <v>24</v>
      </c>
      <c r="H517" s="176" t="inlineStr">
        <is>
          <t>81724</t>
        </is>
      </c>
      <c r="I517" s="176" t="inlineStr">
        <is>
          <t>Еремеев Николай Владимирович</t>
        </is>
      </c>
      <c r="J517" s="176" t="n"/>
      <c r="K517" s="176" t="inlineStr">
        <is>
          <t>Нет</t>
        </is>
      </c>
      <c r="L517" s="176" t="n"/>
      <c r="M517" s="176" t="n"/>
      <c r="N517" s="179">
        <f>SUMIFS($E$2:$E$896,$A$2:$A$896,"осень",$I$2:$I$896,I517)</f>
        <v/>
      </c>
      <c r="O517" s="179">
        <f>SUMIFS($E$2:$E$896,$A$2:$A$896,"весна",$I$2:$I$896,I517)</f>
        <v/>
      </c>
      <c r="P517" s="180">
        <f>N517+O517</f>
        <v/>
      </c>
      <c r="Q517" s="181">
        <f>P517/$Q$1</f>
        <v/>
      </c>
      <c r="R517" s="122">
        <f>P517*0.2</f>
        <v/>
      </c>
      <c r="S517" s="122">
        <f>Q517*0.8</f>
        <v/>
      </c>
      <c r="T517" s="133" t="n">
        <v>0.8</v>
      </c>
    </row>
    <row r="518" hidden="1" ht="15.75" customHeight="1" s="2">
      <c r="A518" s="194" t="inlineStr">
        <is>
          <t>весна</t>
        </is>
      </c>
      <c r="B518" s="176" t="inlineStr">
        <is>
          <t>Методы и средства подготовки научно-технической и конструкторской документации</t>
        </is>
      </c>
      <c r="C518" s="176" t="inlineStr">
        <is>
          <t>Зачет с оценкой</t>
        </is>
      </c>
      <c r="D518" s="176" t="inlineStr">
        <is>
          <t>Т11О-403Б-20</t>
        </is>
      </c>
      <c r="E518" s="177" t="n">
        <v>3</v>
      </c>
      <c r="F518" s="176" t="inlineStr">
        <is>
          <t>13288</t>
        </is>
      </c>
      <c r="G518" s="178" t="n"/>
      <c r="H518" s="176" t="inlineStr">
        <is>
          <t>81724</t>
        </is>
      </c>
      <c r="I518" s="176" t="inlineStr">
        <is>
          <t>Еремеев Николай Владимирович</t>
        </is>
      </c>
      <c r="J518" s="176" t="n"/>
      <c r="K518" s="176" t="inlineStr">
        <is>
          <t>Нет</t>
        </is>
      </c>
      <c r="L518" s="176" t="n"/>
      <c r="M518" s="176" t="n"/>
      <c r="N518" s="179">
        <f>SUMIFS($E$2:$E$896,$A$2:$A$896,"осень",$I$2:$I$896,I518)</f>
        <v/>
      </c>
      <c r="O518" s="179">
        <f>SUMIFS($E$2:$E$896,$A$2:$A$896,"весна",$I$2:$I$896,I518)</f>
        <v/>
      </c>
      <c r="P518" s="180">
        <f>N518+O518</f>
        <v/>
      </c>
      <c r="Q518" s="181">
        <f>P518/$Q$1</f>
        <v/>
      </c>
      <c r="R518" s="122">
        <f>P518*0.2</f>
        <v/>
      </c>
      <c r="S518" s="122">
        <f>Q518*0.8</f>
        <v/>
      </c>
      <c r="T518" s="133" t="n">
        <v>0.8</v>
      </c>
    </row>
    <row r="519" ht="15.75" customHeight="1" s="2">
      <c r="A519" s="194" t="inlineStr">
        <is>
          <t>весна</t>
        </is>
      </c>
      <c r="B519" s="176" t="inlineStr">
        <is>
          <t>Методы и средства подготовки научно-технической и конструкторской документации</t>
        </is>
      </c>
      <c r="C519" s="176" t="inlineStr">
        <is>
          <t>Зачет с оценкой</t>
        </is>
      </c>
      <c r="D519" s="176" t="inlineStr">
        <is>
          <t>Т11О-403Б-20</t>
        </is>
      </c>
      <c r="E519" s="177" t="n">
        <v>1</v>
      </c>
      <c r="F519" s="176" t="inlineStr">
        <is>
          <t>13288</t>
        </is>
      </c>
      <c r="G519" s="178" t="n"/>
      <c r="H519" s="176" t="n"/>
      <c r="I519" s="176" t="inlineStr">
        <is>
          <t>Еремеев Николай Владимирович</t>
        </is>
      </c>
      <c r="J519" s="176" t="n"/>
      <c r="K519" s="176" t="inlineStr">
        <is>
          <t>Нет</t>
        </is>
      </c>
      <c r="L519" s="176" t="n"/>
      <c r="M519" s="176" t="n"/>
      <c r="N519" s="179">
        <f>SUMIFS($E$2:$E$896,$A$2:$A$896,"осень",$I$2:$I$896,I519)</f>
        <v/>
      </c>
      <c r="O519" s="179">
        <f>SUMIFS($E$2:$E$896,$A$2:$A$896,"весна",$I$2:$I$896,I519)</f>
        <v/>
      </c>
      <c r="P519" s="180">
        <f>N519+O519</f>
        <v/>
      </c>
      <c r="Q519" s="181">
        <f>P519/$Q$1</f>
        <v/>
      </c>
      <c r="R519" s="122">
        <f>P519*0.2</f>
        <v/>
      </c>
      <c r="S519" s="122">
        <f>Q519*0.8</f>
        <v/>
      </c>
      <c r="T519" s="133" t="n">
        <v>0</v>
      </c>
    </row>
    <row r="520" hidden="1" ht="15.75" customHeight="1" s="2">
      <c r="A520" s="194" t="inlineStr">
        <is>
          <t>весна</t>
        </is>
      </c>
      <c r="B520" s="176" t="inlineStr">
        <is>
          <t>Методы и средства подготовки научно-технической и конструкторской документации</t>
        </is>
      </c>
      <c r="C520" s="176" t="inlineStr">
        <is>
          <t>ПЗ</t>
        </is>
      </c>
      <c r="D520" s="176" t="inlineStr">
        <is>
          <t>Т11О-403Б-20</t>
        </is>
      </c>
      <c r="E520" s="177" t="n">
        <v>16</v>
      </c>
      <c r="F520" s="176" t="inlineStr">
        <is>
          <t>13288</t>
        </is>
      </c>
      <c r="G520" s="177" t="n">
        <v>16</v>
      </c>
      <c r="H520" s="176" t="inlineStr">
        <is>
          <t>81724</t>
        </is>
      </c>
      <c r="I520" s="176" t="inlineStr">
        <is>
          <t>Еремеев Николай Владимирович</t>
        </is>
      </c>
      <c r="J520" s="176" t="n"/>
      <c r="K520" s="176" t="inlineStr">
        <is>
          <t>Нет</t>
        </is>
      </c>
      <c r="L520" s="176" t="n"/>
      <c r="M520" s="176" t="n"/>
      <c r="N520" s="179">
        <f>SUMIFS($E$2:$E$896,$A$2:$A$896,"осень",$I$2:$I$896,I520)</f>
        <v/>
      </c>
      <c r="O520" s="179">
        <f>SUMIFS($E$2:$E$896,$A$2:$A$896,"весна",$I$2:$I$896,I520)</f>
        <v/>
      </c>
      <c r="P520" s="180">
        <f>N520+O520</f>
        <v/>
      </c>
      <c r="Q520" s="181">
        <f>P520/$Q$1</f>
        <v/>
      </c>
      <c r="R520" s="122">
        <f>P520*0.2</f>
        <v/>
      </c>
      <c r="S520" s="122">
        <f>Q520*0.8</f>
        <v/>
      </c>
      <c r="T520" s="133" t="n">
        <v>0.8</v>
      </c>
    </row>
    <row r="521" hidden="1" ht="15.75" customHeight="1" s="2">
      <c r="A521" s="194" t="inlineStr">
        <is>
          <t>весна</t>
        </is>
      </c>
      <c r="B521" s="176" t="inlineStr">
        <is>
          <t>Методы и средства подготовки научно-технической и конструкторской документации</t>
        </is>
      </c>
      <c r="C521" s="176" t="inlineStr">
        <is>
          <t>ЛР</t>
        </is>
      </c>
      <c r="D521" s="176" t="inlineStr">
        <is>
          <t>Т11О-403Б-20</t>
        </is>
      </c>
      <c r="E521" s="177" t="n">
        <v>16</v>
      </c>
      <c r="F521" s="176" t="inlineStr">
        <is>
          <t>13288</t>
        </is>
      </c>
      <c r="G521" s="177" t="n">
        <v>16</v>
      </c>
      <c r="H521" s="176" t="inlineStr">
        <is>
          <t>81724</t>
        </is>
      </c>
      <c r="I521" s="176" t="inlineStr">
        <is>
          <t>Еремеев Николай Владимирович</t>
        </is>
      </c>
      <c r="J521" s="176" t="n"/>
      <c r="K521" s="176" t="inlineStr">
        <is>
          <t>Нет</t>
        </is>
      </c>
      <c r="L521" s="176" t="n"/>
      <c r="M521" s="176" t="n"/>
      <c r="N521" s="179">
        <f>SUMIFS($E$2:$E$896,$A$2:$A$896,"осень",$I$2:$I$896,I521)</f>
        <v/>
      </c>
      <c r="O521" s="179">
        <f>SUMIFS($E$2:$E$896,$A$2:$A$896,"весна",$I$2:$I$896,I521)</f>
        <v/>
      </c>
      <c r="P521" s="180">
        <f>N521+O521</f>
        <v/>
      </c>
      <c r="Q521" s="181">
        <f>P521/$Q$1</f>
        <v/>
      </c>
      <c r="R521" s="122">
        <f>P521*0.2</f>
        <v/>
      </c>
      <c r="S521" s="122">
        <f>Q521*0.8</f>
        <v/>
      </c>
      <c r="T521" s="133" t="n">
        <v>0.8</v>
      </c>
    </row>
    <row r="522" hidden="1" ht="15.75" customHeight="1" s="2">
      <c r="A522" s="194" t="inlineStr">
        <is>
          <t>весна</t>
        </is>
      </c>
      <c r="B522" s="176" t="inlineStr">
        <is>
          <t>Методы и средства подготовки научно-технической и конструкторской документации</t>
        </is>
      </c>
      <c r="C522" s="176" t="inlineStr">
        <is>
          <t>Консультация</t>
        </is>
      </c>
      <c r="D522" s="176" t="inlineStr">
        <is>
          <t>Т11О-403Б-20</t>
        </is>
      </c>
      <c r="E522" s="177" t="n">
        <v>1</v>
      </c>
      <c r="F522" s="176" t="inlineStr">
        <is>
          <t>13288</t>
        </is>
      </c>
      <c r="G522" s="178" t="n"/>
      <c r="H522" s="176" t="inlineStr">
        <is>
          <t>81724</t>
        </is>
      </c>
      <c r="I522" s="176" t="inlineStr">
        <is>
          <t>Еремеев Николай Владимирович</t>
        </is>
      </c>
      <c r="J522" s="176" t="n"/>
      <c r="K522" s="176" t="inlineStr">
        <is>
          <t>Нет</t>
        </is>
      </c>
      <c r="L522" s="176" t="n"/>
      <c r="M522" s="176" t="n"/>
      <c r="N522" s="179">
        <f>SUMIFS($E$2:$E$896,$A$2:$A$896,"осень",$I$2:$I$896,I522)</f>
        <v/>
      </c>
      <c r="O522" s="179">
        <f>SUMIFS($E$2:$E$896,$A$2:$A$896,"весна",$I$2:$I$896,I522)</f>
        <v/>
      </c>
      <c r="P522" s="180">
        <f>N522+O522</f>
        <v/>
      </c>
      <c r="Q522" s="181">
        <f>P522/$Q$1</f>
        <v/>
      </c>
      <c r="R522" s="122">
        <f>P522*0.2</f>
        <v/>
      </c>
      <c r="S522" s="122">
        <f>Q522*0.8</f>
        <v/>
      </c>
      <c r="T522" s="133" t="n">
        <v>0.8</v>
      </c>
    </row>
    <row r="523" hidden="1" ht="15.75" customHeight="1" s="2">
      <c r="A523" s="194" t="inlineStr">
        <is>
          <t>весна</t>
        </is>
      </c>
      <c r="B523" s="176" t="inlineStr">
        <is>
          <t>Производство отливок из титановых сплавов</t>
        </is>
      </c>
      <c r="C523" s="176" t="inlineStr">
        <is>
          <t>ЛК</t>
        </is>
      </c>
      <c r="D523" s="176" t="inlineStr">
        <is>
          <t>Т11О-101М-23</t>
        </is>
      </c>
      <c r="E523" s="177" t="n">
        <v>34</v>
      </c>
      <c r="F523" s="176" t="inlineStr">
        <is>
          <t>18008</t>
        </is>
      </c>
      <c r="G523" s="177" t="n">
        <v>34</v>
      </c>
      <c r="H523" s="176" t="inlineStr">
        <is>
          <t>82018</t>
        </is>
      </c>
      <c r="I523" s="176" t="inlineStr">
        <is>
          <t>Бережной Дмитрий Васильевич</t>
        </is>
      </c>
      <c r="J523" s="176" t="n"/>
      <c r="K523" s="176" t="inlineStr">
        <is>
          <t>Нет</t>
        </is>
      </c>
      <c r="L523" s="176" t="n"/>
      <c r="M523" s="176" t="n"/>
      <c r="N523" s="179">
        <f>SUMIFS($E$2:$E$896,$A$2:$A$896,"осень",$I$2:$I$896,I523)</f>
        <v/>
      </c>
      <c r="O523" s="179">
        <f>SUMIFS($E$2:$E$896,$A$2:$A$896,"весна",$I$2:$I$896,I523)</f>
        <v/>
      </c>
      <c r="P523" s="180">
        <f>N523+O523</f>
        <v/>
      </c>
      <c r="Q523" s="181">
        <f>P523/$Q$1</f>
        <v/>
      </c>
      <c r="R523" s="122">
        <f>P523*0.2</f>
        <v/>
      </c>
      <c r="S523" s="122">
        <f>Q523*0.8</f>
        <v/>
      </c>
      <c r="T523" s="185" t="n">
        <v>0.5</v>
      </c>
    </row>
    <row r="524" hidden="1" ht="15.75" customHeight="1" s="2">
      <c r="A524" s="194" t="inlineStr">
        <is>
          <t>весна</t>
        </is>
      </c>
      <c r="B524" s="176" t="inlineStr">
        <is>
          <t>Производство отливок из титановых сплавов</t>
        </is>
      </c>
      <c r="C524" s="176" t="inlineStr">
        <is>
          <t>Зачет с оценкой</t>
        </is>
      </c>
      <c r="D524" s="176" t="inlineStr">
        <is>
          <t>Т11О-101М-23</t>
        </is>
      </c>
      <c r="E524" s="177" t="n">
        <v>3</v>
      </c>
      <c r="F524" s="176" t="inlineStr">
        <is>
          <t>18008</t>
        </is>
      </c>
      <c r="G524" s="178" t="n"/>
      <c r="H524" s="176" t="inlineStr">
        <is>
          <t>82018</t>
        </is>
      </c>
      <c r="I524" s="176" t="inlineStr">
        <is>
          <t>Бережной Дмитрий Васильевич</t>
        </is>
      </c>
      <c r="J524" s="176" t="n"/>
      <c r="K524" s="176" t="inlineStr">
        <is>
          <t>Нет</t>
        </is>
      </c>
      <c r="L524" s="176" t="n"/>
      <c r="M524" s="176" t="n"/>
      <c r="N524" s="179">
        <f>SUMIFS($E$2:$E$896,$A$2:$A$896,"осень",$I$2:$I$896,I524)</f>
        <v/>
      </c>
      <c r="O524" s="179">
        <f>SUMIFS($E$2:$E$896,$A$2:$A$896,"весна",$I$2:$I$896,I524)</f>
        <v/>
      </c>
      <c r="P524" s="180">
        <f>N524+O524</f>
        <v/>
      </c>
      <c r="Q524" s="181">
        <f>P524/$Q$1</f>
        <v/>
      </c>
      <c r="R524" s="122">
        <f>P524*0.2</f>
        <v/>
      </c>
      <c r="S524" s="122">
        <f>Q524*0.8</f>
        <v/>
      </c>
      <c r="T524" s="185" t="n">
        <v>0.5</v>
      </c>
    </row>
    <row r="525" ht="15.75" customHeight="1" s="2">
      <c r="A525" s="194" t="inlineStr">
        <is>
          <t>весна</t>
        </is>
      </c>
      <c r="B525" s="176" t="inlineStr">
        <is>
          <t>Производство отливок из титановых сплавов</t>
        </is>
      </c>
      <c r="C525" s="176" t="inlineStr">
        <is>
          <t>Зачет с оценкой</t>
        </is>
      </c>
      <c r="D525" s="176" t="inlineStr">
        <is>
          <t>Т11О-101М-23</t>
        </is>
      </c>
      <c r="E525" s="177" t="n">
        <v>1</v>
      </c>
      <c r="F525" s="176" t="inlineStr">
        <is>
          <t>18008</t>
        </is>
      </c>
      <c r="G525" s="178" t="n"/>
      <c r="H525" s="176" t="n"/>
      <c r="I525" s="176" t="inlineStr">
        <is>
          <t>Бережной Дмитрий Васильевич</t>
        </is>
      </c>
      <c r="J525" s="176" t="n"/>
      <c r="K525" s="176" t="inlineStr">
        <is>
          <t>Нет</t>
        </is>
      </c>
      <c r="L525" s="176" t="n"/>
      <c r="M525" s="176" t="n"/>
      <c r="N525" s="179">
        <f>SUMIFS($E$2:$E$896,$A$2:$A$896,"осень",$I$2:$I$896,I525)</f>
        <v/>
      </c>
      <c r="O525" s="179">
        <f>SUMIFS($E$2:$E$896,$A$2:$A$896,"весна",$I$2:$I$896,I525)</f>
        <v/>
      </c>
      <c r="P525" s="180">
        <f>N525+O525</f>
        <v/>
      </c>
      <c r="Q525" s="181">
        <f>P525/$Q$1</f>
        <v/>
      </c>
      <c r="R525" s="122">
        <f>P525*0.2</f>
        <v/>
      </c>
      <c r="S525" s="122">
        <f>Q525*0.8</f>
        <v/>
      </c>
      <c r="T525" s="133" t="n">
        <v>0</v>
      </c>
    </row>
    <row r="526" hidden="1" ht="15.75" customHeight="1" s="2">
      <c r="A526" s="194" t="inlineStr">
        <is>
          <t>весна</t>
        </is>
      </c>
      <c r="B526" s="176" t="inlineStr">
        <is>
          <t>Производство отливок из титановых сплавов</t>
        </is>
      </c>
      <c r="C526" s="176" t="inlineStr">
        <is>
          <t>ПЗ</t>
        </is>
      </c>
      <c r="D526" s="176" t="inlineStr">
        <is>
          <t>Т11О-101М-23</t>
        </is>
      </c>
      <c r="E526" s="177" t="n">
        <v>34</v>
      </c>
      <c r="F526" s="176" t="inlineStr">
        <is>
          <t>18008</t>
        </is>
      </c>
      <c r="G526" s="177" t="n">
        <v>34</v>
      </c>
      <c r="H526" s="176" t="inlineStr">
        <is>
          <t>82018</t>
        </is>
      </c>
      <c r="I526" s="176" t="inlineStr">
        <is>
          <t>Бережной Дмитрий Васильевич</t>
        </is>
      </c>
      <c r="J526" s="176" t="n"/>
      <c r="K526" s="176" t="inlineStr">
        <is>
          <t>Нет</t>
        </is>
      </c>
      <c r="L526" s="176" t="n"/>
      <c r="M526" s="176" t="n"/>
      <c r="N526" s="179">
        <f>SUMIFS($E$2:$E$896,$A$2:$A$896,"осень",$I$2:$I$896,I526)</f>
        <v/>
      </c>
      <c r="O526" s="179">
        <f>SUMIFS($E$2:$E$896,$A$2:$A$896,"весна",$I$2:$I$896,I526)</f>
        <v/>
      </c>
      <c r="P526" s="180">
        <f>N526+O526</f>
        <v/>
      </c>
      <c r="Q526" s="181">
        <f>P526/$Q$1</f>
        <v/>
      </c>
      <c r="R526" s="122">
        <f>P526*0.2</f>
        <v/>
      </c>
      <c r="S526" s="122">
        <f>Q526*0.8</f>
        <v/>
      </c>
      <c r="T526" s="185" t="n">
        <v>0.5</v>
      </c>
    </row>
    <row r="527" hidden="1" ht="15.75" customHeight="1" s="2">
      <c r="A527" s="194" t="inlineStr">
        <is>
          <t>весна</t>
        </is>
      </c>
      <c r="B527" s="176" t="inlineStr">
        <is>
          <t>Производство отливок из титановых сплавов</t>
        </is>
      </c>
      <c r="C527" s="176" t="inlineStr">
        <is>
          <t>Консультация</t>
        </is>
      </c>
      <c r="D527" s="176" t="inlineStr">
        <is>
          <t>Т11О-101М-23</t>
        </is>
      </c>
      <c r="E527" s="177" t="n">
        <v>1</v>
      </c>
      <c r="F527" s="176" t="inlineStr">
        <is>
          <t>18008</t>
        </is>
      </c>
      <c r="G527" s="178" t="n"/>
      <c r="H527" s="176" t="inlineStr">
        <is>
          <t>82018</t>
        </is>
      </c>
      <c r="I527" s="176" t="inlineStr">
        <is>
          <t>Бережной Дмитрий Васильевич</t>
        </is>
      </c>
      <c r="J527" s="176" t="n"/>
      <c r="K527" s="176" t="inlineStr">
        <is>
          <t>Нет</t>
        </is>
      </c>
      <c r="L527" s="176" t="n"/>
      <c r="M527" s="176" t="n"/>
      <c r="N527" s="179">
        <f>SUMIFS($E$2:$E$896,$A$2:$A$896,"осень",$I$2:$I$896,I527)</f>
        <v/>
      </c>
      <c r="O527" s="179">
        <f>SUMIFS($E$2:$E$896,$A$2:$A$896,"весна",$I$2:$I$896,I527)</f>
        <v/>
      </c>
      <c r="P527" s="180">
        <f>N527+O527</f>
        <v/>
      </c>
      <c r="Q527" s="181">
        <f>P527/$Q$1</f>
        <v/>
      </c>
      <c r="R527" s="122">
        <f>P527*0.2</f>
        <v/>
      </c>
      <c r="S527" s="122">
        <f>Q527*0.8</f>
        <v/>
      </c>
      <c r="T527" s="185" t="n">
        <v>0.5</v>
      </c>
    </row>
    <row r="528" ht="15.75" customHeight="1" s="2">
      <c r="A528" s="194" t="inlineStr">
        <is>
          <t>весна</t>
        </is>
      </c>
      <c r="B528" s="176" t="inlineStr">
        <is>
          <t>Производство отливок из титановых сплавов</t>
        </is>
      </c>
      <c r="C528" s="176" t="inlineStr">
        <is>
          <t>Консультация</t>
        </is>
      </c>
      <c r="D528" s="176" t="inlineStr">
        <is>
          <t>Т11О-101М-23</t>
        </is>
      </c>
      <c r="E528" s="177" t="n">
        <v>1</v>
      </c>
      <c r="F528" s="176" t="inlineStr">
        <is>
          <t>18008</t>
        </is>
      </c>
      <c r="G528" s="178" t="n"/>
      <c r="H528" s="176" t="n"/>
      <c r="I528" s="176" t="inlineStr">
        <is>
          <t>Бережной Дмитрий Васильевич</t>
        </is>
      </c>
      <c r="J528" s="176" t="n"/>
      <c r="K528" s="176" t="inlineStr">
        <is>
          <t>Нет</t>
        </is>
      </c>
      <c r="L528" s="176" t="n"/>
      <c r="M528" s="176" t="n"/>
      <c r="N528" s="179">
        <f>SUMIFS($E$2:$E$896,$A$2:$A$896,"осень",$I$2:$I$896,I528)</f>
        <v/>
      </c>
      <c r="O528" s="179">
        <f>SUMIFS($E$2:$E$896,$A$2:$A$896,"весна",$I$2:$I$896,I528)</f>
        <v/>
      </c>
      <c r="P528" s="180">
        <f>N528+O528</f>
        <v/>
      </c>
      <c r="Q528" s="181">
        <f>P528/$Q$1</f>
        <v/>
      </c>
      <c r="R528" s="122">
        <f>P528*0.2</f>
        <v/>
      </c>
      <c r="S528" s="122">
        <f>Q528*0.8</f>
        <v/>
      </c>
      <c r="T528" s="133" t="n">
        <v>0</v>
      </c>
    </row>
    <row r="529" hidden="1" ht="15.75" customHeight="1" s="2">
      <c r="A529" s="194" t="inlineStr">
        <is>
          <t>весна</t>
        </is>
      </c>
      <c r="B529" s="176" t="inlineStr">
        <is>
          <t>Современные технологии сварки плавлением</t>
        </is>
      </c>
      <c r="C529" s="176" t="inlineStr">
        <is>
          <t>ЛК</t>
        </is>
      </c>
      <c r="D529" s="176" t="inlineStr">
        <is>
          <t>Т11О-101М-23</t>
        </is>
      </c>
      <c r="E529" s="177" t="n">
        <v>24</v>
      </c>
      <c r="F529" s="176" t="inlineStr">
        <is>
          <t>18008</t>
        </is>
      </c>
      <c r="G529" s="177" t="n">
        <v>24</v>
      </c>
      <c r="H529" s="176" t="inlineStr">
        <is>
          <t>89090</t>
        </is>
      </c>
      <c r="I529" s="176" t="inlineStr">
        <is>
          <t>Степанов Владимир Валерьевич</t>
        </is>
      </c>
      <c r="J529" s="176" t="n"/>
      <c r="K529" s="176" t="inlineStr">
        <is>
          <t>Нет</t>
        </is>
      </c>
      <c r="L529" s="176" t="n"/>
      <c r="M529" s="176" t="n"/>
      <c r="N529" s="179">
        <f>SUMIFS($E$2:$E$896,$A$2:$A$896,"осень",$I$2:$I$896,I529)</f>
        <v/>
      </c>
      <c r="O529" s="179">
        <f>SUMIFS($E$2:$E$896,$A$2:$A$896,"весна",$I$2:$I$896,I529)</f>
        <v/>
      </c>
      <c r="P529" s="180">
        <f>N529+O529</f>
        <v/>
      </c>
      <c r="Q529" s="181">
        <f>P529/$Q$1</f>
        <v/>
      </c>
      <c r="R529" s="122">
        <f>P529*0.2</f>
        <v/>
      </c>
      <c r="S529" s="122">
        <f>Q529*0.8</f>
        <v/>
      </c>
      <c r="T529" s="133" t="n">
        <v>0.4</v>
      </c>
    </row>
    <row r="530" hidden="1" ht="15.75" customHeight="1" s="2">
      <c r="A530" s="194" t="inlineStr">
        <is>
          <t>весна</t>
        </is>
      </c>
      <c r="B530" s="176" t="inlineStr">
        <is>
          <t>Современные технологии сварки плавлением</t>
        </is>
      </c>
      <c r="C530" s="176" t="inlineStr">
        <is>
          <t>КР</t>
        </is>
      </c>
      <c r="D530" s="176" t="inlineStr">
        <is>
          <t>Т11О-101М-23</t>
        </is>
      </c>
      <c r="E530" s="177" t="n">
        <v>26</v>
      </c>
      <c r="F530" s="176" t="inlineStr">
        <is>
          <t>18008</t>
        </is>
      </c>
      <c r="G530" s="178" t="n"/>
      <c r="H530" s="176" t="inlineStr">
        <is>
          <t>89090</t>
        </is>
      </c>
      <c r="I530" s="176" t="inlineStr">
        <is>
          <t>Никитина Елена Владимировна</t>
        </is>
      </c>
      <c r="J530" s="176" t="n"/>
      <c r="K530" s="176" t="inlineStr">
        <is>
          <t>Нет</t>
        </is>
      </c>
      <c r="L530" s="176" t="n"/>
      <c r="M530" s="176" t="n"/>
      <c r="N530" s="179">
        <f>SUMIFS($E$2:$E$896,$A$2:$A$896,"осень",$I$2:$I$896,I530)</f>
        <v/>
      </c>
      <c r="O530" s="179">
        <f>SUMIFS($E$2:$E$896,$A$2:$A$896,"весна",$I$2:$I$896,I530)</f>
        <v/>
      </c>
      <c r="P530" s="180">
        <f>N530+O530</f>
        <v/>
      </c>
      <c r="Q530" s="181">
        <f>P530/$Q$1</f>
        <v/>
      </c>
      <c r="R530" s="122">
        <f>P530*0.2</f>
        <v/>
      </c>
      <c r="S530" s="122">
        <f>Q530*0.8</f>
        <v/>
      </c>
      <c r="T530" s="133" t="n">
        <v>0.4</v>
      </c>
    </row>
    <row r="531" hidden="1" ht="15.75" customHeight="1" s="2">
      <c r="A531" s="194" t="inlineStr">
        <is>
          <t>весна</t>
        </is>
      </c>
      <c r="B531" s="176" t="inlineStr">
        <is>
          <t>Современные технологии сварки плавлением</t>
        </is>
      </c>
      <c r="C531" s="176" t="inlineStr">
        <is>
          <t>Зачет с оценкой</t>
        </is>
      </c>
      <c r="D531" s="176" t="inlineStr">
        <is>
          <t>Т11О-101М-23</t>
        </is>
      </c>
      <c r="E531" s="177" t="n">
        <v>3</v>
      </c>
      <c r="F531" s="176" t="inlineStr">
        <is>
          <t>18008</t>
        </is>
      </c>
      <c r="G531" s="178" t="n"/>
      <c r="H531" s="176" t="inlineStr">
        <is>
          <t>89090</t>
        </is>
      </c>
      <c r="I531" s="176" t="inlineStr">
        <is>
          <t>Степанов Владимир Валерьевич</t>
        </is>
      </c>
      <c r="J531" s="176" t="n"/>
      <c r="K531" s="176" t="inlineStr">
        <is>
          <t>Нет</t>
        </is>
      </c>
      <c r="L531" s="176" t="n"/>
      <c r="M531" s="176" t="n"/>
      <c r="N531" s="179">
        <f>SUMIFS($E$2:$E$896,$A$2:$A$896,"осень",$I$2:$I$896,I531)</f>
        <v/>
      </c>
      <c r="O531" s="179">
        <f>SUMIFS($E$2:$E$896,$A$2:$A$896,"весна",$I$2:$I$896,I531)</f>
        <v/>
      </c>
      <c r="P531" s="180">
        <f>N531+O531</f>
        <v/>
      </c>
      <c r="Q531" s="181">
        <f>P531/$Q$1</f>
        <v/>
      </c>
      <c r="R531" s="122">
        <f>P531*0.2</f>
        <v/>
      </c>
      <c r="S531" s="122">
        <f>Q531*0.8</f>
        <v/>
      </c>
      <c r="T531" s="133" t="n">
        <v>0.4</v>
      </c>
    </row>
    <row r="532" hidden="1" ht="15.75" customHeight="1" s="2">
      <c r="A532" s="194" t="inlineStr">
        <is>
          <t>весна</t>
        </is>
      </c>
      <c r="B532" s="176" t="inlineStr">
        <is>
          <t>Современные технологии сварки плавлением</t>
        </is>
      </c>
      <c r="C532" s="176" t="inlineStr">
        <is>
          <t>Зачет с оценкой</t>
        </is>
      </c>
      <c r="D532" s="176" t="inlineStr">
        <is>
          <t>Т11О-101М-23</t>
        </is>
      </c>
      <c r="E532" s="177" t="n">
        <v>1</v>
      </c>
      <c r="F532" s="176" t="inlineStr">
        <is>
          <t>18008</t>
        </is>
      </c>
      <c r="G532" s="178" t="n"/>
      <c r="H532" s="176" t="inlineStr">
        <is>
          <t>89090</t>
        </is>
      </c>
      <c r="I532" s="176" t="inlineStr">
        <is>
          <t>Степанов Владимир Валерьевич</t>
        </is>
      </c>
      <c r="J532" s="176" t="n"/>
      <c r="K532" s="176" t="inlineStr">
        <is>
          <t>Нет</t>
        </is>
      </c>
      <c r="L532" s="176" t="n"/>
      <c r="M532" s="176" t="n"/>
      <c r="N532" s="179">
        <f>SUMIFS($E$2:$E$896,$A$2:$A$896,"осень",$I$2:$I$896,I532)</f>
        <v/>
      </c>
      <c r="O532" s="179">
        <f>SUMIFS($E$2:$E$896,$A$2:$A$896,"весна",$I$2:$I$896,I532)</f>
        <v/>
      </c>
      <c r="P532" s="180">
        <f>N532+O532</f>
        <v/>
      </c>
      <c r="Q532" s="181">
        <f>P532/$Q$1</f>
        <v/>
      </c>
      <c r="R532" s="122">
        <f>P532*0.2</f>
        <v/>
      </c>
      <c r="S532" s="122">
        <f>Q532*0.8</f>
        <v/>
      </c>
      <c r="T532" s="133" t="n">
        <v>0.4</v>
      </c>
    </row>
    <row r="533" hidden="1" ht="15.75" customHeight="1" s="2">
      <c r="A533" s="194" t="inlineStr">
        <is>
          <t>весна</t>
        </is>
      </c>
      <c r="B533" s="176" t="inlineStr">
        <is>
          <t>Современные технологии сварки плавлением</t>
        </is>
      </c>
      <c r="C533" s="176" t="inlineStr">
        <is>
          <t>ПЗ</t>
        </is>
      </c>
      <c r="D533" s="176" t="inlineStr">
        <is>
          <t>Т11О-101М-23</t>
        </is>
      </c>
      <c r="E533" s="177" t="n">
        <v>40</v>
      </c>
      <c r="F533" s="176" t="inlineStr">
        <is>
          <t>18008</t>
        </is>
      </c>
      <c r="G533" s="177" t="n">
        <v>40</v>
      </c>
      <c r="H533" s="176" t="inlineStr">
        <is>
          <t>89090</t>
        </is>
      </c>
      <c r="I533" s="176" t="inlineStr">
        <is>
          <t>Степанов Владимир Валерьевич</t>
        </is>
      </c>
      <c r="J533" s="176" t="n"/>
      <c r="K533" s="176" t="inlineStr">
        <is>
          <t>Нет</t>
        </is>
      </c>
      <c r="L533" s="176" t="n"/>
      <c r="M533" s="176" t="n"/>
      <c r="N533" s="179">
        <f>SUMIFS($E$2:$E$896,$A$2:$A$896,"осень",$I$2:$I$896,I533)</f>
        <v/>
      </c>
      <c r="O533" s="179">
        <f>SUMIFS($E$2:$E$896,$A$2:$A$896,"весна",$I$2:$I$896,I533)</f>
        <v/>
      </c>
      <c r="P533" s="180">
        <f>N533+O533</f>
        <v/>
      </c>
      <c r="Q533" s="181">
        <f>P533/$Q$1</f>
        <v/>
      </c>
      <c r="R533" s="122">
        <f>P533*0.2</f>
        <v/>
      </c>
      <c r="S533" s="122">
        <f>Q533*0.8</f>
        <v/>
      </c>
      <c r="T533" s="133" t="n">
        <v>0.4</v>
      </c>
    </row>
    <row r="534" hidden="1" ht="15.75" customHeight="1" s="2">
      <c r="A534" s="194" t="inlineStr">
        <is>
          <t>весна</t>
        </is>
      </c>
      <c r="B534" s="176" t="inlineStr">
        <is>
          <t>Современные технологии сварки плавлением</t>
        </is>
      </c>
      <c r="C534" s="176" t="inlineStr">
        <is>
          <t>Консультация</t>
        </is>
      </c>
      <c r="D534" s="176" t="inlineStr">
        <is>
          <t>Т11О-101М-23</t>
        </is>
      </c>
      <c r="E534" s="177" t="n">
        <v>1</v>
      </c>
      <c r="F534" s="176" t="inlineStr">
        <is>
          <t>18008</t>
        </is>
      </c>
      <c r="G534" s="178" t="n"/>
      <c r="H534" s="176" t="inlineStr">
        <is>
          <t>89090</t>
        </is>
      </c>
      <c r="I534" s="176" t="inlineStr">
        <is>
          <t>Степанов Владимир Валерьевич</t>
        </is>
      </c>
      <c r="J534" s="176" t="n"/>
      <c r="K534" s="176" t="inlineStr">
        <is>
          <t>Нет</t>
        </is>
      </c>
      <c r="L534" s="176" t="n"/>
      <c r="M534" s="176" t="n"/>
      <c r="N534" s="179">
        <f>SUMIFS($E$2:$E$896,$A$2:$A$896,"осень",$I$2:$I$896,I534)</f>
        <v/>
      </c>
      <c r="O534" s="179">
        <f>SUMIFS($E$2:$E$896,$A$2:$A$896,"весна",$I$2:$I$896,I534)</f>
        <v/>
      </c>
      <c r="P534" s="180">
        <f>N534+O534</f>
        <v/>
      </c>
      <c r="Q534" s="181">
        <f>P534/$Q$1</f>
        <v/>
      </c>
      <c r="R534" s="122">
        <f>P534*0.2</f>
        <v/>
      </c>
      <c r="S534" s="122">
        <f>Q534*0.8</f>
        <v/>
      </c>
      <c r="T534" s="133" t="n">
        <v>0.4</v>
      </c>
    </row>
    <row r="535" hidden="1" ht="15.75" customHeight="1" s="2">
      <c r="A535" s="194" t="inlineStr">
        <is>
          <t>весна</t>
        </is>
      </c>
      <c r="B535" s="176" t="inlineStr">
        <is>
          <t>Системы компьютерного моделирования литейных процессов</t>
        </is>
      </c>
      <c r="C535" s="176" t="inlineStr">
        <is>
          <t>ЛК</t>
        </is>
      </c>
      <c r="D535" s="176" t="inlineStr">
        <is>
          <t>Т11О-402Б-20</t>
        </is>
      </c>
      <c r="E535" s="177" t="n">
        <v>16</v>
      </c>
      <c r="F535" s="176" t="inlineStr">
        <is>
          <t>11923</t>
        </is>
      </c>
      <c r="G535" s="177" t="n">
        <v>16</v>
      </c>
      <c r="H535" s="176" t="inlineStr">
        <is>
          <t>82018</t>
        </is>
      </c>
      <c r="I535" s="176" t="inlineStr">
        <is>
          <t>Бережной Дмитрий Васильевич</t>
        </is>
      </c>
      <c r="J535" s="176" t="n"/>
      <c r="K535" s="176" t="inlineStr">
        <is>
          <t>Нет</t>
        </is>
      </c>
      <c r="L535" s="176" t="n"/>
      <c r="M535" s="176" t="n"/>
      <c r="N535" s="179">
        <f>SUMIFS($E$2:$E$896,$A$2:$A$896,"осень",$I$2:$I$896,I535)</f>
        <v/>
      </c>
      <c r="O535" s="179">
        <f>SUMIFS($E$2:$E$896,$A$2:$A$896,"весна",$I$2:$I$896,I535)</f>
        <v/>
      </c>
      <c r="P535" s="180">
        <f>N535+O535</f>
        <v/>
      </c>
      <c r="Q535" s="181">
        <f>P535/$Q$1</f>
        <v/>
      </c>
      <c r="R535" s="122">
        <f>P535*0.2</f>
        <v/>
      </c>
      <c r="S535" s="122">
        <f>Q535*0.8</f>
        <v/>
      </c>
      <c r="T535" s="185" t="n">
        <v>0.5</v>
      </c>
    </row>
    <row r="536" hidden="1" ht="15.75" customHeight="1" s="2">
      <c r="A536" s="194" t="inlineStr">
        <is>
          <t>весна</t>
        </is>
      </c>
      <c r="B536" s="176" t="inlineStr">
        <is>
          <t>Системы компьютерного моделирования литейных процессов</t>
        </is>
      </c>
      <c r="C536" s="176" t="inlineStr">
        <is>
          <t>Зачет с оценкой</t>
        </is>
      </c>
      <c r="D536" s="176" t="inlineStr">
        <is>
          <t>Т11О-402Б-20</t>
        </is>
      </c>
      <c r="E536" s="177" t="n">
        <v>2</v>
      </c>
      <c r="F536" s="176" t="inlineStr">
        <is>
          <t>11923</t>
        </is>
      </c>
      <c r="G536" s="178" t="n"/>
      <c r="H536" s="176" t="inlineStr">
        <is>
          <t>82018</t>
        </is>
      </c>
      <c r="I536" s="176" t="inlineStr">
        <is>
          <t>Бережной Дмитрий Васильевич</t>
        </is>
      </c>
      <c r="J536" s="176" t="n"/>
      <c r="K536" s="176" t="inlineStr">
        <is>
          <t>Нет</t>
        </is>
      </c>
      <c r="L536" s="176" t="n"/>
      <c r="M536" s="176" t="n"/>
      <c r="N536" s="179">
        <f>SUMIFS($E$2:$E$896,$A$2:$A$896,"осень",$I$2:$I$896,I536)</f>
        <v/>
      </c>
      <c r="O536" s="179">
        <f>SUMIFS($E$2:$E$896,$A$2:$A$896,"весна",$I$2:$I$896,I536)</f>
        <v/>
      </c>
      <c r="P536" s="180">
        <f>N536+O536</f>
        <v/>
      </c>
      <c r="Q536" s="181">
        <f>P536/$Q$1</f>
        <v/>
      </c>
      <c r="R536" s="122">
        <f>P536*0.2</f>
        <v/>
      </c>
      <c r="S536" s="122">
        <f>Q536*0.8</f>
        <v/>
      </c>
      <c r="T536" s="185" t="n">
        <v>0.5</v>
      </c>
    </row>
    <row r="537" ht="15.75" customHeight="1" s="2">
      <c r="A537" s="194" t="inlineStr">
        <is>
          <t>весна</t>
        </is>
      </c>
      <c r="B537" s="176" t="inlineStr">
        <is>
          <t>Системы компьютерного моделирования литейных процессов</t>
        </is>
      </c>
      <c r="C537" s="176" t="inlineStr">
        <is>
          <t>Зачет с оценкой</t>
        </is>
      </c>
      <c r="D537" s="176" t="inlineStr">
        <is>
          <t>Т11О-402Б-20</t>
        </is>
      </c>
      <c r="E537" s="177" t="n">
        <v>1</v>
      </c>
      <c r="F537" s="176" t="inlineStr">
        <is>
          <t>11923</t>
        </is>
      </c>
      <c r="G537" s="178" t="n"/>
      <c r="H537" s="176" t="n"/>
      <c r="I537" s="176" t="inlineStr">
        <is>
          <t>э-резерв</t>
        </is>
      </c>
      <c r="J537" s="176" t="n"/>
      <c r="K537" s="176" t="inlineStr">
        <is>
          <t>Нет</t>
        </is>
      </c>
      <c r="L537" s="176" t="n"/>
      <c r="M537" s="176" t="n"/>
      <c r="N537" s="179">
        <f>SUMIFS($E$2:$E$896,$A$2:$A$896,"осень",$I$2:$I$896,I537)</f>
        <v/>
      </c>
      <c r="O537" s="179">
        <f>SUMIFS($E$2:$E$896,$A$2:$A$896,"весна",$I$2:$I$896,I537)</f>
        <v/>
      </c>
      <c r="P537" s="180">
        <f>N537+O537</f>
        <v/>
      </c>
      <c r="Q537" s="181">
        <f>P537/$Q$1</f>
        <v/>
      </c>
      <c r="R537" s="122">
        <f>P537*0.2</f>
        <v/>
      </c>
      <c r="S537" s="122">
        <f>Q537*0.8</f>
        <v/>
      </c>
      <c r="T537" s="133" t="n">
        <v>0</v>
      </c>
    </row>
    <row r="538" hidden="1" ht="15.75" customHeight="1" s="2">
      <c r="A538" s="194" t="inlineStr">
        <is>
          <t>весна</t>
        </is>
      </c>
      <c r="B538" s="176" t="inlineStr">
        <is>
          <t>Системы компьютерного моделирования литейных процессов</t>
        </is>
      </c>
      <c r="C538" s="176" t="inlineStr">
        <is>
          <t>ПЗ</t>
        </is>
      </c>
      <c r="D538" s="176" t="inlineStr">
        <is>
          <t>Т11О-402Б-20</t>
        </is>
      </c>
      <c r="E538" s="177" t="n">
        <v>40</v>
      </c>
      <c r="F538" s="176" t="inlineStr">
        <is>
          <t>11923</t>
        </is>
      </c>
      <c r="G538" s="177" t="n">
        <v>40</v>
      </c>
      <c r="H538" s="176" t="inlineStr">
        <is>
          <t>82018</t>
        </is>
      </c>
      <c r="I538" s="176" t="inlineStr">
        <is>
          <t>Бережной Дмитрий Васильевич</t>
        </is>
      </c>
      <c r="J538" s="176" t="n"/>
      <c r="K538" s="176" t="inlineStr">
        <is>
          <t>Нет</t>
        </is>
      </c>
      <c r="L538" s="176" t="n"/>
      <c r="M538" s="176" t="n"/>
      <c r="N538" s="179">
        <f>SUMIFS($E$2:$E$896,$A$2:$A$896,"осень",$I$2:$I$896,I538)</f>
        <v/>
      </c>
      <c r="O538" s="179">
        <f>SUMIFS($E$2:$E$896,$A$2:$A$896,"весна",$I$2:$I$896,I538)</f>
        <v/>
      </c>
      <c r="P538" s="180">
        <f>N538+O538</f>
        <v/>
      </c>
      <c r="Q538" s="181">
        <f>P538/$Q$1</f>
        <v/>
      </c>
      <c r="R538" s="122">
        <f>P538*0.2</f>
        <v/>
      </c>
      <c r="S538" s="122">
        <f>Q538*0.8</f>
        <v/>
      </c>
      <c r="T538" s="185" t="n">
        <v>0.5</v>
      </c>
    </row>
    <row r="539" hidden="1" ht="15.75" customHeight="1" s="2">
      <c r="A539" s="194" t="inlineStr">
        <is>
          <t>весна</t>
        </is>
      </c>
      <c r="B539" s="176" t="inlineStr">
        <is>
          <t>Системы компьютерного моделирования литейных процессов</t>
        </is>
      </c>
      <c r="C539" s="176" t="inlineStr">
        <is>
          <t>Консультация</t>
        </is>
      </c>
      <c r="D539" s="176" t="inlineStr">
        <is>
          <t>Т11О-402Б-20</t>
        </is>
      </c>
      <c r="E539" s="177" t="n">
        <v>1</v>
      </c>
      <c r="F539" s="176" t="inlineStr">
        <is>
          <t>11923</t>
        </is>
      </c>
      <c r="G539" s="178" t="n"/>
      <c r="H539" s="176" t="inlineStr">
        <is>
          <t>82018</t>
        </is>
      </c>
      <c r="I539" s="176" t="inlineStr">
        <is>
          <t>Бережной Дмитрий Васильевич</t>
        </is>
      </c>
      <c r="J539" s="176" t="n"/>
      <c r="K539" s="176" t="inlineStr">
        <is>
          <t>Нет</t>
        </is>
      </c>
      <c r="L539" s="176" t="n"/>
      <c r="M539" s="176" t="n"/>
      <c r="N539" s="179">
        <f>SUMIFS($E$2:$E$896,$A$2:$A$896,"осень",$I$2:$I$896,I539)</f>
        <v/>
      </c>
      <c r="O539" s="179">
        <f>SUMIFS($E$2:$E$896,$A$2:$A$896,"весна",$I$2:$I$896,I539)</f>
        <v/>
      </c>
      <c r="P539" s="180">
        <f>N539+O539</f>
        <v/>
      </c>
      <c r="Q539" s="181">
        <f>P539/$Q$1</f>
        <v/>
      </c>
      <c r="R539" s="122">
        <f>P539*0.2</f>
        <v/>
      </c>
      <c r="S539" s="122">
        <f>Q539*0.8</f>
        <v/>
      </c>
      <c r="T539" s="185" t="n">
        <v>0.5</v>
      </c>
    </row>
    <row r="540" hidden="1" ht="15.75" customHeight="1" s="2">
      <c r="A540" s="194" t="inlineStr">
        <is>
          <t>весна</t>
        </is>
      </c>
      <c r="B540" s="176" t="inlineStr">
        <is>
          <t>Основы технологической подготовки производства сварных и паяных конструкций</t>
        </is>
      </c>
      <c r="C540" s="176" t="inlineStr">
        <is>
          <t>ЛК</t>
        </is>
      </c>
      <c r="D540" s="176" t="inlineStr">
        <is>
          <t>Т11О-401Б-20</t>
        </is>
      </c>
      <c r="E540" s="177" t="n">
        <v>24</v>
      </c>
      <c r="F540" s="176" t="inlineStr">
        <is>
          <t>11924</t>
        </is>
      </c>
      <c r="G540" s="177" t="n">
        <v>24</v>
      </c>
      <c r="H540" s="176" t="inlineStr">
        <is>
          <t>89090</t>
        </is>
      </c>
      <c r="I540" s="176" t="inlineStr">
        <is>
          <t>Степанов Владимир Валерьевич</t>
        </is>
      </c>
      <c r="J540" s="176" t="n"/>
      <c r="K540" s="176" t="inlineStr">
        <is>
          <t>Нет</t>
        </is>
      </c>
      <c r="L540" s="176" t="n"/>
      <c r="M540" s="176" t="n"/>
      <c r="N540" s="179">
        <f>SUMIFS($E$2:$E$896,$A$2:$A$896,"осень",$I$2:$I$896,I540)</f>
        <v/>
      </c>
      <c r="O540" s="179">
        <f>SUMIFS($E$2:$E$896,$A$2:$A$896,"весна",$I$2:$I$896,I540)</f>
        <v/>
      </c>
      <c r="P540" s="180">
        <f>N540+O540</f>
        <v/>
      </c>
      <c r="Q540" s="181">
        <f>P540/$Q$1</f>
        <v/>
      </c>
      <c r="R540" s="122">
        <f>P540*0.2</f>
        <v/>
      </c>
      <c r="S540" s="122">
        <f>Q540*0.8</f>
        <v/>
      </c>
      <c r="T540" s="133" t="n">
        <v>0.4</v>
      </c>
    </row>
    <row r="541" hidden="1" ht="15.75" customHeight="1" s="2">
      <c r="A541" s="194" t="inlineStr">
        <is>
          <t>весна</t>
        </is>
      </c>
      <c r="B541" s="182" t="inlineStr">
        <is>
          <t>Основы технологической подготовки производства сварных и паяных конструкций</t>
        </is>
      </c>
      <c r="C541" s="182" t="inlineStr">
        <is>
          <t>КР</t>
        </is>
      </c>
      <c r="D541" s="182" t="inlineStr">
        <is>
          <t>Т11О-401Б-20</t>
        </is>
      </c>
      <c r="E541" s="183" t="n">
        <v>24</v>
      </c>
      <c r="F541" s="182" t="inlineStr">
        <is>
          <t>11924</t>
        </is>
      </c>
      <c r="G541" s="187" t="n"/>
      <c r="H541" s="182" t="inlineStr">
        <is>
          <t>89090</t>
        </is>
      </c>
      <c r="I541" s="182" t="inlineStr">
        <is>
          <t>Никитина Елена Владимировна</t>
        </is>
      </c>
      <c r="J541" s="176" t="n"/>
      <c r="K541" s="176" t="inlineStr">
        <is>
          <t>Нет</t>
        </is>
      </c>
      <c r="L541" s="176" t="n"/>
      <c r="M541" s="176" t="n"/>
      <c r="N541" s="179">
        <f>SUMIFS($E$2:$E$896,$A$2:$A$896,"осень",$I$2:$I$896,I541)</f>
        <v/>
      </c>
      <c r="O541" s="179">
        <f>SUMIFS($E$2:$E$896,$A$2:$A$896,"весна",$I$2:$I$896,I541)</f>
        <v/>
      </c>
      <c r="P541" s="180">
        <f>N541+O541</f>
        <v/>
      </c>
      <c r="Q541" s="181">
        <f>P541/$Q$1</f>
        <v/>
      </c>
      <c r="R541" s="122">
        <f>P541*0.2</f>
        <v/>
      </c>
      <c r="S541" s="122">
        <f>Q541*0.8</f>
        <v/>
      </c>
      <c r="T541" s="133" t="n">
        <v>0.5</v>
      </c>
    </row>
    <row r="542" hidden="1" ht="15.75" customHeight="1" s="2">
      <c r="A542" s="194" t="inlineStr">
        <is>
          <t>весна</t>
        </is>
      </c>
      <c r="B542" s="176" t="inlineStr">
        <is>
          <t>Основы технологической подготовки производства сварных и паяных конструкций</t>
        </is>
      </c>
      <c r="C542" s="176" t="inlineStr">
        <is>
          <t>Зачет с оценкой</t>
        </is>
      </c>
      <c r="D542" s="176" t="inlineStr">
        <is>
          <t>Т11О-401Б-20</t>
        </is>
      </c>
      <c r="E542" s="177" t="n">
        <v>3</v>
      </c>
      <c r="F542" s="176" t="inlineStr">
        <is>
          <t>11924</t>
        </is>
      </c>
      <c r="G542" s="178" t="n"/>
      <c r="H542" s="176" t="inlineStr">
        <is>
          <t>89090</t>
        </is>
      </c>
      <c r="I542" s="176" t="inlineStr">
        <is>
          <t>Степанов Владимир Валерьевич</t>
        </is>
      </c>
      <c r="J542" s="176" t="n"/>
      <c r="K542" s="176" t="inlineStr">
        <is>
          <t>Нет</t>
        </is>
      </c>
      <c r="L542" s="176" t="n"/>
      <c r="M542" s="176" t="n"/>
      <c r="N542" s="179">
        <f>SUMIFS($E$2:$E$896,$A$2:$A$896,"осень",$I$2:$I$896,I542)</f>
        <v/>
      </c>
      <c r="O542" s="179">
        <f>SUMIFS($E$2:$E$896,$A$2:$A$896,"весна",$I$2:$I$896,I542)</f>
        <v/>
      </c>
      <c r="P542" s="180">
        <f>N542+O542</f>
        <v/>
      </c>
      <c r="Q542" s="181">
        <f>P542/$Q$1</f>
        <v/>
      </c>
      <c r="R542" s="122">
        <f>P542*0.2</f>
        <v/>
      </c>
      <c r="S542" s="122">
        <f>Q542*0.8</f>
        <v/>
      </c>
      <c r="T542" s="133" t="n">
        <v>0.4</v>
      </c>
    </row>
    <row r="543" ht="15.75" customHeight="1" s="2">
      <c r="A543" s="194" t="inlineStr">
        <is>
          <t>весна</t>
        </is>
      </c>
      <c r="B543" s="176" t="inlineStr">
        <is>
          <t>Основы технологической подготовки производства сварных и паяных конструкций</t>
        </is>
      </c>
      <c r="C543" s="176" t="inlineStr">
        <is>
          <t>Зачет с оценкой</t>
        </is>
      </c>
      <c r="D543" s="176" t="inlineStr">
        <is>
          <t>Т11О-401Б-20</t>
        </is>
      </c>
      <c r="E543" s="177" t="n">
        <v>1</v>
      </c>
      <c r="F543" s="176" t="inlineStr">
        <is>
          <t>11924</t>
        </is>
      </c>
      <c r="G543" s="178" t="n"/>
      <c r="H543" s="176" t="n"/>
      <c r="I543" s="176" t="inlineStr">
        <is>
          <t>э-резерв</t>
        </is>
      </c>
      <c r="J543" s="176" t="n"/>
      <c r="K543" s="176" t="inlineStr">
        <is>
          <t>Нет</t>
        </is>
      </c>
      <c r="L543" s="176" t="n"/>
      <c r="M543" s="176" t="n"/>
      <c r="N543" s="179">
        <f>SUMIFS($E$2:$E$896,$A$2:$A$896,"осень",$I$2:$I$896,I543)</f>
        <v/>
      </c>
      <c r="O543" s="179">
        <f>SUMIFS($E$2:$E$896,$A$2:$A$896,"весна",$I$2:$I$896,I543)</f>
        <v/>
      </c>
      <c r="P543" s="180">
        <f>N543+O543</f>
        <v/>
      </c>
      <c r="Q543" s="181">
        <f>P543/$Q$1</f>
        <v/>
      </c>
      <c r="R543" s="122">
        <f>P543*0.2</f>
        <v/>
      </c>
      <c r="S543" s="122">
        <f>Q543*0.8</f>
        <v/>
      </c>
      <c r="T543" s="133" t="n">
        <v>0</v>
      </c>
    </row>
    <row r="544" hidden="1" ht="15.75" customHeight="1" s="2">
      <c r="A544" s="194" t="inlineStr">
        <is>
          <t>весна</t>
        </is>
      </c>
      <c r="B544" s="176" t="inlineStr">
        <is>
          <t>Основы технологической подготовки производства сварных и паяных конструкций</t>
        </is>
      </c>
      <c r="C544" s="176" t="inlineStr">
        <is>
          <t>ПЗ</t>
        </is>
      </c>
      <c r="D544" s="176" t="inlineStr">
        <is>
          <t>Т11О-401Б-20</t>
        </is>
      </c>
      <c r="E544" s="177" t="n">
        <v>40</v>
      </c>
      <c r="F544" s="176" t="inlineStr">
        <is>
          <t>11924</t>
        </is>
      </c>
      <c r="G544" s="177" t="n">
        <v>40</v>
      </c>
      <c r="H544" s="176" t="inlineStr">
        <is>
          <t>89090</t>
        </is>
      </c>
      <c r="I544" s="176" t="inlineStr">
        <is>
          <t>Степанов Владимир Валерьевич</t>
        </is>
      </c>
      <c r="J544" s="176" t="n"/>
      <c r="K544" s="176" t="inlineStr">
        <is>
          <t>Нет</t>
        </is>
      </c>
      <c r="L544" s="176" t="n"/>
      <c r="M544" s="176" t="n"/>
      <c r="N544" s="179">
        <f>SUMIFS($E$2:$E$896,$A$2:$A$896,"осень",$I$2:$I$896,I544)</f>
        <v/>
      </c>
      <c r="O544" s="179">
        <f>SUMIFS($E$2:$E$896,$A$2:$A$896,"весна",$I$2:$I$896,I544)</f>
        <v/>
      </c>
      <c r="P544" s="180">
        <f>N544+O544</f>
        <v/>
      </c>
      <c r="Q544" s="181">
        <f>P544/$Q$1</f>
        <v/>
      </c>
      <c r="R544" s="122">
        <f>P544*0.2</f>
        <v/>
      </c>
      <c r="S544" s="122">
        <f>Q544*0.8</f>
        <v/>
      </c>
      <c r="T544" s="133" t="n">
        <v>0.4</v>
      </c>
    </row>
    <row r="545" hidden="1" ht="15.75" customHeight="1" s="2">
      <c r="A545" s="194" t="inlineStr">
        <is>
          <t>весна</t>
        </is>
      </c>
      <c r="B545" s="176" t="inlineStr">
        <is>
          <t>Основы технологической подготовки производства сварных и паяных конструкций</t>
        </is>
      </c>
      <c r="C545" s="176" t="inlineStr">
        <is>
          <t>Консультация</t>
        </is>
      </c>
      <c r="D545" s="176" t="inlineStr">
        <is>
          <t>Т11О-401Б-20</t>
        </is>
      </c>
      <c r="E545" s="177" t="n">
        <v>1</v>
      </c>
      <c r="F545" s="176" t="inlineStr">
        <is>
          <t>11924</t>
        </is>
      </c>
      <c r="G545" s="178" t="n"/>
      <c r="H545" s="176" t="inlineStr">
        <is>
          <t>89090</t>
        </is>
      </c>
      <c r="I545" s="176" t="inlineStr">
        <is>
          <t>Степанов Владимир Валерьевич</t>
        </is>
      </c>
      <c r="J545" s="176" t="n"/>
      <c r="K545" s="176" t="inlineStr">
        <is>
          <t>Нет</t>
        </is>
      </c>
      <c r="L545" s="176" t="n"/>
      <c r="M545" s="176" t="n"/>
      <c r="N545" s="179">
        <f>SUMIFS($E$2:$E$896,$A$2:$A$896,"осень",$I$2:$I$896,I545)</f>
        <v/>
      </c>
      <c r="O545" s="179">
        <f>SUMIFS($E$2:$E$896,$A$2:$A$896,"весна",$I$2:$I$896,I545)</f>
        <v/>
      </c>
      <c r="P545" s="180">
        <f>N545+O545</f>
        <v/>
      </c>
      <c r="Q545" s="181">
        <f>P545/$Q$1</f>
        <v/>
      </c>
      <c r="R545" s="122">
        <f>P545*0.2</f>
        <v/>
      </c>
      <c r="S545" s="122">
        <f>Q545*0.8</f>
        <v/>
      </c>
      <c r="T545" s="133" t="n">
        <v>0.4</v>
      </c>
    </row>
    <row r="546" hidden="1" ht="15.75" customHeight="1" s="2">
      <c r="A546" s="194" t="inlineStr">
        <is>
          <t>весна</t>
        </is>
      </c>
      <c r="B546" s="176" t="inlineStr">
        <is>
          <t>Материаловедение и технологии композиционных материалов</t>
        </is>
      </c>
      <c r="C546" s="176" t="inlineStr">
        <is>
          <t>ЛК</t>
        </is>
      </c>
      <c r="D546" s="176" t="inlineStr">
        <is>
          <t>Т11О-402Б-20</t>
        </is>
      </c>
      <c r="E546" s="177" t="n">
        <v>34</v>
      </c>
      <c r="F546" s="176" t="inlineStr">
        <is>
          <t>11923</t>
        </is>
      </c>
      <c r="G546" s="177" t="n">
        <v>34</v>
      </c>
      <c r="H546" s="176" t="inlineStr">
        <is>
          <t>90549</t>
        </is>
      </c>
      <c r="I546" s="176" t="inlineStr">
        <is>
          <t>Кубатина Екатерина Павловна</t>
        </is>
      </c>
      <c r="J546" s="176" t="n"/>
      <c r="K546" s="176" t="inlineStr">
        <is>
          <t>Нет</t>
        </is>
      </c>
      <c r="L546" s="176" t="n"/>
      <c r="M546" s="176" t="n"/>
      <c r="N546" s="179">
        <f>SUMIFS($E$2:$E$896,$A$2:$A$896,"осень",$I$2:$I$896,I546)</f>
        <v/>
      </c>
      <c r="O546" s="179">
        <f>SUMIFS($E$2:$E$896,$A$2:$A$896,"весна",$I$2:$I$896,I546)</f>
        <v/>
      </c>
      <c r="P546" s="180">
        <f>N546+O546</f>
        <v/>
      </c>
      <c r="Q546" s="181">
        <f>P546/$Q$1</f>
        <v/>
      </c>
      <c r="R546" s="122">
        <f>P546*0.2</f>
        <v/>
      </c>
      <c r="S546" s="122">
        <f>Q546*0.8</f>
        <v/>
      </c>
      <c r="T546" s="133" t="n">
        <v>0.15</v>
      </c>
    </row>
    <row r="547" hidden="1" ht="15.75" customHeight="1" s="2">
      <c r="A547" s="194" t="inlineStr">
        <is>
          <t>весна</t>
        </is>
      </c>
      <c r="B547" s="176" t="inlineStr">
        <is>
          <t>Материаловедение и технологии композиционных материалов</t>
        </is>
      </c>
      <c r="C547" s="176" t="inlineStr">
        <is>
          <t>ПЗ</t>
        </is>
      </c>
      <c r="D547" s="176" t="inlineStr">
        <is>
          <t>Т11О-402Б-20</t>
        </is>
      </c>
      <c r="E547" s="177" t="n">
        <v>22</v>
      </c>
      <c r="F547" s="176" t="inlineStr">
        <is>
          <t>11923</t>
        </is>
      </c>
      <c r="G547" s="177" t="n">
        <v>22</v>
      </c>
      <c r="H547" s="176" t="inlineStr">
        <is>
          <t>90549</t>
        </is>
      </c>
      <c r="I547" s="176" t="inlineStr">
        <is>
          <t>Кубатина Екатерина Павловна</t>
        </is>
      </c>
      <c r="J547" s="176" t="n"/>
      <c r="K547" s="176" t="inlineStr">
        <is>
          <t>Нет</t>
        </is>
      </c>
      <c r="L547" s="176" t="n"/>
      <c r="M547" s="176" t="n"/>
      <c r="N547" s="179">
        <f>SUMIFS($E$2:$E$896,$A$2:$A$896,"осень",$I$2:$I$896,I547)</f>
        <v/>
      </c>
      <c r="O547" s="179">
        <f>SUMIFS($E$2:$E$896,$A$2:$A$896,"весна",$I$2:$I$896,I547)</f>
        <v/>
      </c>
      <c r="P547" s="180">
        <f>N547+O547</f>
        <v/>
      </c>
      <c r="Q547" s="181">
        <f>P547/$Q$1</f>
        <v/>
      </c>
      <c r="R547" s="122">
        <f>P547*0.2</f>
        <v/>
      </c>
      <c r="S547" s="122">
        <f>Q547*0.8</f>
        <v/>
      </c>
      <c r="T547" s="133" t="n">
        <v>0.15</v>
      </c>
    </row>
    <row r="548" hidden="1" ht="15.75" customHeight="1" s="2">
      <c r="A548" s="194" t="inlineStr">
        <is>
          <t>весна</t>
        </is>
      </c>
      <c r="B548" s="176" t="inlineStr">
        <is>
          <t>Материаловедение и технологии композиционных материалов</t>
        </is>
      </c>
      <c r="C548" s="176" t="inlineStr">
        <is>
          <t>Экзамен</t>
        </is>
      </c>
      <c r="D548" s="176" t="inlineStr">
        <is>
          <t>Т11О-402Б-20</t>
        </is>
      </c>
      <c r="E548" s="177" t="n">
        <v>4</v>
      </c>
      <c r="F548" s="176" t="inlineStr">
        <is>
          <t>11923</t>
        </is>
      </c>
      <c r="G548" s="178" t="n"/>
      <c r="H548" s="176" t="inlineStr">
        <is>
          <t>90549</t>
        </is>
      </c>
      <c r="I548" s="176" t="inlineStr">
        <is>
          <t>Кубатина Екатерина Павловна</t>
        </is>
      </c>
      <c r="J548" s="176" t="n"/>
      <c r="K548" s="176" t="inlineStr">
        <is>
          <t>Нет</t>
        </is>
      </c>
      <c r="L548" s="176" t="n"/>
      <c r="M548" s="176" t="n"/>
      <c r="N548" s="179">
        <f>SUMIFS($E$2:$E$896,$A$2:$A$896,"осень",$I$2:$I$896,I548)</f>
        <v/>
      </c>
      <c r="O548" s="179">
        <f>SUMIFS($E$2:$E$896,$A$2:$A$896,"весна",$I$2:$I$896,I548)</f>
        <v/>
      </c>
      <c r="P548" s="180">
        <f>N548+O548</f>
        <v/>
      </c>
      <c r="Q548" s="181">
        <f>P548/$Q$1</f>
        <v/>
      </c>
      <c r="R548" s="122">
        <f>P548*0.2</f>
        <v/>
      </c>
      <c r="S548" s="122">
        <f>Q548*0.8</f>
        <v/>
      </c>
      <c r="T548" s="133" t="n">
        <v>0.15</v>
      </c>
    </row>
    <row r="549" ht="15.75" customHeight="1" s="2">
      <c r="A549" s="194" t="inlineStr">
        <is>
          <t>весна</t>
        </is>
      </c>
      <c r="B549" s="176" t="inlineStr">
        <is>
          <t>Материаловедение и технологии композиционных материалов</t>
        </is>
      </c>
      <c r="C549" s="176" t="inlineStr">
        <is>
          <t>Экзамен</t>
        </is>
      </c>
      <c r="D549" s="176" t="inlineStr">
        <is>
          <t>Т11О-402Б-20</t>
        </is>
      </c>
      <c r="E549" s="177" t="n">
        <v>1</v>
      </c>
      <c r="F549" s="176" t="inlineStr">
        <is>
          <t>11923</t>
        </is>
      </c>
      <c r="G549" s="178" t="n"/>
      <c r="H549" s="176" t="n"/>
      <c r="I549" s="176" t="inlineStr">
        <is>
          <t>э-резерв</t>
        </is>
      </c>
      <c r="J549" s="176" t="n"/>
      <c r="K549" s="176" t="inlineStr">
        <is>
          <t>Нет</t>
        </is>
      </c>
      <c r="L549" s="176" t="n"/>
      <c r="M549" s="176" t="n"/>
      <c r="N549" s="179">
        <f>SUMIFS($E$2:$E$896,$A$2:$A$896,"осень",$I$2:$I$896,I549)</f>
        <v/>
      </c>
      <c r="O549" s="179">
        <f>SUMIFS($E$2:$E$896,$A$2:$A$896,"весна",$I$2:$I$896,I549)</f>
        <v/>
      </c>
      <c r="P549" s="180">
        <f>N549+O549</f>
        <v/>
      </c>
      <c r="Q549" s="181">
        <f>P549/$Q$1</f>
        <v/>
      </c>
      <c r="R549" s="122">
        <f>P549*0.2</f>
        <v/>
      </c>
      <c r="S549" s="122">
        <f>Q549*0.8</f>
        <v/>
      </c>
      <c r="T549" s="133" t="n">
        <v>0</v>
      </c>
    </row>
    <row r="550" hidden="1" ht="15.75" customHeight="1" s="2">
      <c r="A550" s="194" t="inlineStr">
        <is>
          <t>весна</t>
        </is>
      </c>
      <c r="B550" s="176" t="inlineStr">
        <is>
          <t>Материаловедение и технологии композиционных материалов</t>
        </is>
      </c>
      <c r="C550" s="176" t="inlineStr">
        <is>
          <t>Консультация</t>
        </is>
      </c>
      <c r="D550" s="176" t="inlineStr">
        <is>
          <t>Т11О-402Б-20</t>
        </is>
      </c>
      <c r="E550" s="177" t="n">
        <v>2</v>
      </c>
      <c r="F550" s="176" t="inlineStr">
        <is>
          <t>11923</t>
        </is>
      </c>
      <c r="G550" s="178" t="n"/>
      <c r="H550" s="176" t="inlineStr">
        <is>
          <t>90549</t>
        </is>
      </c>
      <c r="I550" s="176" t="inlineStr">
        <is>
          <t>Кубатина Екатерина Павловна</t>
        </is>
      </c>
      <c r="J550" s="176" t="n"/>
      <c r="K550" s="176" t="inlineStr">
        <is>
          <t>Нет</t>
        </is>
      </c>
      <c r="L550" s="176" t="n"/>
      <c r="M550" s="176" t="n"/>
      <c r="N550" s="179">
        <f>SUMIFS($E$2:$E$896,$A$2:$A$896,"осень",$I$2:$I$896,I550)</f>
        <v/>
      </c>
      <c r="O550" s="179">
        <f>SUMIFS($E$2:$E$896,$A$2:$A$896,"весна",$I$2:$I$896,I550)</f>
        <v/>
      </c>
      <c r="P550" s="180">
        <f>N550+O550</f>
        <v/>
      </c>
      <c r="Q550" s="181">
        <f>P550/$Q$1</f>
        <v/>
      </c>
      <c r="R550" s="122">
        <f>P550*0.2</f>
        <v/>
      </c>
      <c r="S550" s="122">
        <f>Q550*0.8</f>
        <v/>
      </c>
      <c r="T550" s="133" t="n">
        <v>0.15</v>
      </c>
    </row>
    <row r="551" ht="15.75" customHeight="1" s="2">
      <c r="A551" s="194" t="inlineStr">
        <is>
          <t>весна</t>
        </is>
      </c>
      <c r="B551" s="176" t="inlineStr">
        <is>
          <t>Материаловедение и технологии композиционных материалов</t>
        </is>
      </c>
      <c r="C551" s="176" t="inlineStr">
        <is>
          <t>Консультация</t>
        </is>
      </c>
      <c r="D551" s="176" t="inlineStr">
        <is>
          <t>Т11О-402Б-20</t>
        </is>
      </c>
      <c r="E551" s="177" t="n">
        <v>1</v>
      </c>
      <c r="F551" s="176" t="inlineStr">
        <is>
          <t>11923</t>
        </is>
      </c>
      <c r="G551" s="178" t="n"/>
      <c r="H551" s="176" t="n"/>
      <c r="I551" s="176" t="inlineStr">
        <is>
          <t>э-резерв</t>
        </is>
      </c>
      <c r="J551" s="176" t="n"/>
      <c r="K551" s="176" t="inlineStr">
        <is>
          <t>Нет</t>
        </is>
      </c>
      <c r="L551" s="176" t="n"/>
      <c r="M551" s="176" t="n"/>
      <c r="N551" s="179">
        <f>SUMIFS($E$2:$E$896,$A$2:$A$896,"осень",$I$2:$I$896,I551)</f>
        <v/>
      </c>
      <c r="O551" s="179">
        <f>SUMIFS($E$2:$E$896,$A$2:$A$896,"весна",$I$2:$I$896,I551)</f>
        <v/>
      </c>
      <c r="P551" s="180">
        <f>N551+O551</f>
        <v/>
      </c>
      <c r="Q551" s="181">
        <f>P551/$Q$1</f>
        <v/>
      </c>
      <c r="R551" s="122">
        <f>P551*0.2</f>
        <v/>
      </c>
      <c r="S551" s="122">
        <f>Q551*0.8</f>
        <v/>
      </c>
      <c r="T551" s="133" t="n">
        <v>0</v>
      </c>
    </row>
    <row r="552" hidden="1" ht="15.75" customHeight="1" s="2">
      <c r="A552" s="194" t="inlineStr">
        <is>
          <t>весна</t>
        </is>
      </c>
      <c r="B552" s="176" t="inlineStr">
        <is>
          <t>Имитационное моделирование технологических процессов</t>
        </is>
      </c>
      <c r="C552" s="176" t="inlineStr">
        <is>
          <t>ЛК</t>
        </is>
      </c>
      <c r="D552" s="176" t="inlineStr">
        <is>
          <t>Т11О-101М-23</t>
        </is>
      </c>
      <c r="E552" s="177" t="n">
        <v>12</v>
      </c>
      <c r="F552" s="176" t="inlineStr">
        <is>
          <t>18008</t>
        </is>
      </c>
      <c r="G552" s="177" t="n">
        <v>12</v>
      </c>
      <c r="H552" s="176" t="inlineStr">
        <is>
          <t>81728</t>
        </is>
      </c>
      <c r="I552" s="176" t="inlineStr">
        <is>
          <t>Галкин Виктор Иванович</t>
        </is>
      </c>
      <c r="J552" s="176" t="n"/>
      <c r="K552" s="176" t="inlineStr">
        <is>
          <t>Нет</t>
        </is>
      </c>
      <c r="L552" s="176" t="n"/>
      <c r="M552" s="176" t="n"/>
      <c r="N552" s="179">
        <f>SUMIFS($E$2:$E$896,$A$2:$A$896,"осень",$I$2:$I$896,I552)</f>
        <v/>
      </c>
      <c r="O552" s="179">
        <f>SUMIFS($E$2:$E$896,$A$2:$A$896,"весна",$I$2:$I$896,I552)</f>
        <v/>
      </c>
      <c r="P552" s="180">
        <f>N552+O552</f>
        <v/>
      </c>
      <c r="Q552" s="181">
        <f>P552/$Q$1</f>
        <v/>
      </c>
      <c r="R552" s="122">
        <f>P552*0.2</f>
        <v/>
      </c>
      <c r="S552" s="122">
        <f>Q552*0.8</f>
        <v/>
      </c>
      <c r="T552" s="133" t="n">
        <v>0.75</v>
      </c>
    </row>
    <row r="553" hidden="1" ht="15.75" customHeight="1" s="2">
      <c r="A553" s="194" t="inlineStr">
        <is>
          <t>весна</t>
        </is>
      </c>
      <c r="B553" s="176" t="inlineStr">
        <is>
          <t>Имитационное моделирование технологических процессов</t>
        </is>
      </c>
      <c r="C553" s="176" t="inlineStr">
        <is>
          <t>Зачет с оценкой</t>
        </is>
      </c>
      <c r="D553" s="176" t="inlineStr">
        <is>
          <t>Т11О-101М-23</t>
        </is>
      </c>
      <c r="E553" s="177" t="n">
        <v>3</v>
      </c>
      <c r="F553" s="176" t="inlineStr">
        <is>
          <t>18008</t>
        </is>
      </c>
      <c r="G553" s="178" t="n"/>
      <c r="H553" s="176" t="inlineStr">
        <is>
          <t>81728</t>
        </is>
      </c>
      <c r="I553" s="176" t="inlineStr">
        <is>
          <t>Галкин Виктор Иванович</t>
        </is>
      </c>
      <c r="J553" s="176" t="n"/>
      <c r="K553" s="176" t="inlineStr">
        <is>
          <t>Нет</t>
        </is>
      </c>
      <c r="L553" s="176" t="n"/>
      <c r="M553" s="176" t="n"/>
      <c r="N553" s="179">
        <f>SUMIFS($E$2:$E$896,$A$2:$A$896,"осень",$I$2:$I$896,I553)</f>
        <v/>
      </c>
      <c r="O553" s="179">
        <f>SUMIFS($E$2:$E$896,$A$2:$A$896,"весна",$I$2:$I$896,I553)</f>
        <v/>
      </c>
      <c r="P553" s="180">
        <f>N553+O553</f>
        <v/>
      </c>
      <c r="Q553" s="181">
        <f>P553/$Q$1</f>
        <v/>
      </c>
      <c r="R553" s="122">
        <f>P553*0.2</f>
        <v/>
      </c>
      <c r="S553" s="122">
        <f>Q553*0.8</f>
        <v/>
      </c>
      <c r="T553" s="133" t="n">
        <v>0.75</v>
      </c>
    </row>
    <row r="554" ht="15.75" customHeight="1" s="2">
      <c r="A554" s="194" t="inlineStr">
        <is>
          <t>весна</t>
        </is>
      </c>
      <c r="B554" s="176" t="inlineStr">
        <is>
          <t>Имитационное моделирование технологических процессов</t>
        </is>
      </c>
      <c r="C554" s="176" t="inlineStr">
        <is>
          <t>Зачет с оценкой</t>
        </is>
      </c>
      <c r="D554" s="176" t="inlineStr">
        <is>
          <t>Т11О-101М-23</t>
        </is>
      </c>
      <c r="E554" s="177" t="n">
        <v>1</v>
      </c>
      <c r="F554" s="176" t="inlineStr">
        <is>
          <t>18008</t>
        </is>
      </c>
      <c r="G554" s="178" t="n"/>
      <c r="H554" s="176" t="n"/>
      <c r="I554" s="176" t="inlineStr">
        <is>
          <t>э-резерв</t>
        </is>
      </c>
      <c r="J554" s="176" t="n"/>
      <c r="K554" s="176" t="inlineStr">
        <is>
          <t>Нет</t>
        </is>
      </c>
      <c r="L554" s="176" t="n"/>
      <c r="M554" s="176" t="n"/>
      <c r="N554" s="179">
        <f>SUMIFS($E$2:$E$896,$A$2:$A$896,"осень",$I$2:$I$896,I554)</f>
        <v/>
      </c>
      <c r="O554" s="179">
        <f>SUMIFS($E$2:$E$896,$A$2:$A$896,"весна",$I$2:$I$896,I554)</f>
        <v/>
      </c>
      <c r="P554" s="180">
        <f>N554+O554</f>
        <v/>
      </c>
      <c r="Q554" s="181">
        <f>P554/$Q$1</f>
        <v/>
      </c>
      <c r="R554" s="122">
        <f>P554*0.2</f>
        <v/>
      </c>
      <c r="S554" s="122">
        <f>Q554*0.8</f>
        <v/>
      </c>
      <c r="T554" s="133" t="n">
        <v>0</v>
      </c>
    </row>
    <row r="555" hidden="1" ht="15.75" customHeight="1" s="2">
      <c r="A555" s="194" t="inlineStr">
        <is>
          <t>весна</t>
        </is>
      </c>
      <c r="B555" s="176" t="inlineStr">
        <is>
          <t>Имитационное моделирование технологических процессов</t>
        </is>
      </c>
      <c r="C555" s="176" t="inlineStr">
        <is>
          <t>ПЗ</t>
        </is>
      </c>
      <c r="D555" s="176" t="inlineStr">
        <is>
          <t>Т11О-101М-23</t>
        </is>
      </c>
      <c r="E555" s="177" t="n">
        <v>40</v>
      </c>
      <c r="F555" s="176" t="inlineStr">
        <is>
          <t>18008</t>
        </is>
      </c>
      <c r="G555" s="177" t="n">
        <v>40</v>
      </c>
      <c r="H555" s="176" t="inlineStr">
        <is>
          <t>81728</t>
        </is>
      </c>
      <c r="I555" s="176" t="inlineStr">
        <is>
          <t>Галкин Виктор Иванович</t>
        </is>
      </c>
      <c r="J555" s="176" t="n"/>
      <c r="K555" s="176" t="inlineStr">
        <is>
          <t>Нет</t>
        </is>
      </c>
      <c r="L555" s="176" t="n"/>
      <c r="M555" s="176" t="n"/>
      <c r="N555" s="179">
        <f>SUMIFS($E$2:$E$896,$A$2:$A$896,"осень",$I$2:$I$896,I555)</f>
        <v/>
      </c>
      <c r="O555" s="179">
        <f>SUMIFS($E$2:$E$896,$A$2:$A$896,"весна",$I$2:$I$896,I555)</f>
        <v/>
      </c>
      <c r="P555" s="180">
        <f>N555+O555</f>
        <v/>
      </c>
      <c r="Q555" s="181">
        <f>P555/$Q$1</f>
        <v/>
      </c>
      <c r="R555" s="122">
        <f>P555*0.2</f>
        <v/>
      </c>
      <c r="S555" s="122">
        <f>Q555*0.8</f>
        <v/>
      </c>
      <c r="T555" s="133" t="n">
        <v>0.75</v>
      </c>
    </row>
    <row r="556" hidden="1" ht="15.75" customHeight="1" s="2">
      <c r="A556" s="194" t="inlineStr">
        <is>
          <t>весна</t>
        </is>
      </c>
      <c r="B556" s="176" t="inlineStr">
        <is>
          <t>Имитационное моделирование технологических процессов</t>
        </is>
      </c>
      <c r="C556" s="176" t="inlineStr">
        <is>
          <t>Консультация</t>
        </is>
      </c>
      <c r="D556" s="176" t="inlineStr">
        <is>
          <t>Т11О-101М-23</t>
        </is>
      </c>
      <c r="E556" s="177" t="n">
        <v>1</v>
      </c>
      <c r="F556" s="176" t="inlineStr">
        <is>
          <t>18008</t>
        </is>
      </c>
      <c r="G556" s="178" t="n"/>
      <c r="H556" s="176" t="inlineStr">
        <is>
          <t>81728</t>
        </is>
      </c>
      <c r="I556" s="176" t="inlineStr">
        <is>
          <t>Галкин Виктор Иванович</t>
        </is>
      </c>
      <c r="J556" s="176" t="n"/>
      <c r="K556" s="176" t="inlineStr">
        <is>
          <t>Нет</t>
        </is>
      </c>
      <c r="L556" s="176" t="n"/>
      <c r="M556" s="176" t="n"/>
      <c r="N556" s="179">
        <f>SUMIFS($E$2:$E$896,$A$2:$A$896,"осень",$I$2:$I$896,I556)</f>
        <v/>
      </c>
      <c r="O556" s="179">
        <f>SUMIFS($E$2:$E$896,$A$2:$A$896,"весна",$I$2:$I$896,I556)</f>
        <v/>
      </c>
      <c r="P556" s="180">
        <f>N556+O556</f>
        <v/>
      </c>
      <c r="Q556" s="181">
        <f>P556/$Q$1</f>
        <v/>
      </c>
      <c r="R556" s="122">
        <f>P556*0.2</f>
        <v/>
      </c>
      <c r="S556" s="122">
        <f>Q556*0.8</f>
        <v/>
      </c>
      <c r="T556" s="133" t="n">
        <v>0.75</v>
      </c>
    </row>
    <row r="557" hidden="1" ht="15.75" customHeight="1" s="2">
      <c r="A557" s="194" t="inlineStr">
        <is>
          <t>весна</t>
        </is>
      </c>
      <c r="B557" s="176" t="inlineStr">
        <is>
          <t>Основы математического и имитационного моделирования</t>
        </is>
      </c>
      <c r="C557" s="176" t="inlineStr">
        <is>
          <t>ЛК</t>
        </is>
      </c>
      <c r="D557" s="176" t="inlineStr">
        <is>
          <t>Т11О-302Б-21</t>
        </is>
      </c>
      <c r="E557" s="177" t="n">
        <v>18</v>
      </c>
      <c r="F557" s="176" t="inlineStr">
        <is>
          <t>14861</t>
        </is>
      </c>
      <c r="G557" s="177" t="n">
        <v>18</v>
      </c>
      <c r="H557" s="176" t="inlineStr">
        <is>
          <t>81728</t>
        </is>
      </c>
      <c r="I557" s="176" t="inlineStr">
        <is>
          <t>Галкин Виктор Иванович</t>
        </is>
      </c>
      <c r="J557" s="176" t="n"/>
      <c r="K557" s="176" t="inlineStr">
        <is>
          <t>Нет</t>
        </is>
      </c>
      <c r="L557" s="176" t="n"/>
      <c r="M557" s="176" t="n"/>
      <c r="N557" s="179">
        <f>SUMIFS($E$2:$E$896,$A$2:$A$896,"осень",$I$2:$I$896,I557)</f>
        <v/>
      </c>
      <c r="O557" s="179">
        <f>SUMIFS($E$2:$E$896,$A$2:$A$896,"весна",$I$2:$I$896,I557)</f>
        <v/>
      </c>
      <c r="P557" s="180">
        <f>N557+O557</f>
        <v/>
      </c>
      <c r="Q557" s="181">
        <f>P557/$Q$1</f>
        <v/>
      </c>
      <c r="R557" s="122">
        <f>P557*0.2</f>
        <v/>
      </c>
      <c r="S557" s="122">
        <f>Q557*0.8</f>
        <v/>
      </c>
      <c r="T557" s="133" t="n">
        <v>0.75</v>
      </c>
    </row>
    <row r="558" hidden="1" ht="15.75" customHeight="1" s="2">
      <c r="A558" s="194" t="inlineStr">
        <is>
          <t>весна</t>
        </is>
      </c>
      <c r="B558" s="176" t="inlineStr">
        <is>
          <t>Основы математического и имитационного моделирования</t>
        </is>
      </c>
      <c r="C558" s="176" t="inlineStr">
        <is>
          <t>КР</t>
        </is>
      </c>
      <c r="D558" s="176" t="inlineStr">
        <is>
          <t>Т11О-302Б-21</t>
        </is>
      </c>
      <c r="E558" s="177" t="n">
        <v>36</v>
      </c>
      <c r="F558" s="176" t="inlineStr">
        <is>
          <t>14861</t>
        </is>
      </c>
      <c r="G558" s="178" t="n"/>
      <c r="H558" s="176" t="inlineStr">
        <is>
          <t>81728</t>
        </is>
      </c>
      <c r="I558" s="176" t="inlineStr">
        <is>
          <t>Галкин Виктор Иванович</t>
        </is>
      </c>
      <c r="J558" s="176" t="n"/>
      <c r="K558" s="176" t="inlineStr">
        <is>
          <t>Нет</t>
        </is>
      </c>
      <c r="L558" s="176" t="n"/>
      <c r="M558" s="176" t="n"/>
      <c r="N558" s="179">
        <f>SUMIFS($E$2:$E$896,$A$2:$A$896,"осень",$I$2:$I$896,I558)</f>
        <v/>
      </c>
      <c r="O558" s="179">
        <f>SUMIFS($E$2:$E$896,$A$2:$A$896,"весна",$I$2:$I$896,I558)</f>
        <v/>
      </c>
      <c r="P558" s="180">
        <f>N558+O558</f>
        <v/>
      </c>
      <c r="Q558" s="181">
        <f>P558/$Q$1</f>
        <v/>
      </c>
      <c r="R558" s="122">
        <f>P558*0.2</f>
        <v/>
      </c>
      <c r="S558" s="122">
        <f>Q558*0.8</f>
        <v/>
      </c>
      <c r="T558" s="133" t="n">
        <v>0.75</v>
      </c>
    </row>
    <row r="559" hidden="1" ht="15.75" customHeight="1" s="2">
      <c r="A559" s="194" t="inlineStr">
        <is>
          <t>весна</t>
        </is>
      </c>
      <c r="B559" s="176" t="inlineStr">
        <is>
          <t>Основы математического и имитационного моделирования</t>
        </is>
      </c>
      <c r="C559" s="176" t="inlineStr">
        <is>
          <t>Зачет с оценкой</t>
        </is>
      </c>
      <c r="D559" s="176" t="inlineStr">
        <is>
          <t>Т11О-302Б-21</t>
        </is>
      </c>
      <c r="E559" s="177" t="n">
        <v>4</v>
      </c>
      <c r="F559" s="176" t="inlineStr">
        <is>
          <t>14861</t>
        </is>
      </c>
      <c r="G559" s="178" t="n"/>
      <c r="H559" s="176" t="inlineStr">
        <is>
          <t>81728</t>
        </is>
      </c>
      <c r="I559" s="176" t="inlineStr">
        <is>
          <t>Галкин Виктор Иванович</t>
        </is>
      </c>
      <c r="J559" s="176" t="n"/>
      <c r="K559" s="176" t="inlineStr">
        <is>
          <t>Нет</t>
        </is>
      </c>
      <c r="L559" s="176" t="n"/>
      <c r="M559" s="176" t="n"/>
      <c r="N559" s="179">
        <f>SUMIFS($E$2:$E$896,$A$2:$A$896,"осень",$I$2:$I$896,I559)</f>
        <v/>
      </c>
      <c r="O559" s="179">
        <f>SUMIFS($E$2:$E$896,$A$2:$A$896,"весна",$I$2:$I$896,I559)</f>
        <v/>
      </c>
      <c r="P559" s="180">
        <f>N559+O559</f>
        <v/>
      </c>
      <c r="Q559" s="181">
        <f>P559/$Q$1</f>
        <v/>
      </c>
      <c r="R559" s="122">
        <f>P559*0.2</f>
        <v/>
      </c>
      <c r="S559" s="122">
        <f>Q559*0.8</f>
        <v/>
      </c>
      <c r="T559" s="133" t="n">
        <v>0.75</v>
      </c>
    </row>
    <row r="560" ht="15.75" customHeight="1" s="2">
      <c r="A560" s="194" t="inlineStr">
        <is>
          <t>весна</t>
        </is>
      </c>
      <c r="B560" s="176" t="inlineStr">
        <is>
          <t>Основы математического и имитационного моделирования</t>
        </is>
      </c>
      <c r="C560" s="176" t="inlineStr">
        <is>
          <t>Зачет с оценкой</t>
        </is>
      </c>
      <c r="D560" s="176" t="inlineStr">
        <is>
          <t>Т11О-302Б-21</t>
        </is>
      </c>
      <c r="E560" s="177" t="n">
        <v>1</v>
      </c>
      <c r="F560" s="176" t="inlineStr">
        <is>
          <t>14861</t>
        </is>
      </c>
      <c r="G560" s="178" t="n"/>
      <c r="H560" s="176" t="n"/>
      <c r="I560" s="176" t="inlineStr">
        <is>
          <t>Галкин Виктор Иванович</t>
        </is>
      </c>
      <c r="J560" s="176" t="n"/>
      <c r="K560" s="176" t="inlineStr">
        <is>
          <t>Нет</t>
        </is>
      </c>
      <c r="L560" s="176" t="n"/>
      <c r="M560" s="176" t="n"/>
      <c r="N560" s="179">
        <f>SUMIFS($E$2:$E$896,$A$2:$A$896,"осень",$I$2:$I$896,I560)</f>
        <v/>
      </c>
      <c r="O560" s="179">
        <f>SUMIFS($E$2:$E$896,$A$2:$A$896,"весна",$I$2:$I$896,I560)</f>
        <v/>
      </c>
      <c r="P560" s="180">
        <f>N560+O560</f>
        <v/>
      </c>
      <c r="Q560" s="181">
        <f>P560/$Q$1</f>
        <v/>
      </c>
      <c r="R560" s="122">
        <f>P560*0.2</f>
        <v/>
      </c>
      <c r="S560" s="122">
        <f>Q560*0.8</f>
        <v/>
      </c>
      <c r="T560" s="133" t="n">
        <v>0</v>
      </c>
    </row>
    <row r="561" hidden="1" ht="15.75" customHeight="1" s="2">
      <c r="A561" s="194" t="inlineStr">
        <is>
          <t>весна</t>
        </is>
      </c>
      <c r="B561" s="176" t="inlineStr">
        <is>
          <t>Основы математического и имитационного моделирования</t>
        </is>
      </c>
      <c r="C561" s="176" t="inlineStr">
        <is>
          <t>ПЗ</t>
        </is>
      </c>
      <c r="D561" s="176" t="inlineStr">
        <is>
          <t>Т11О-302Б-21</t>
        </is>
      </c>
      <c r="E561" s="177" t="n">
        <v>24</v>
      </c>
      <c r="F561" s="176" t="inlineStr">
        <is>
          <t>14861</t>
        </is>
      </c>
      <c r="G561" s="177" t="n">
        <v>24</v>
      </c>
      <c r="H561" s="176" t="inlineStr">
        <is>
          <t>81728</t>
        </is>
      </c>
      <c r="I561" s="176" t="inlineStr">
        <is>
          <t>Галкин Виктор Иванович</t>
        </is>
      </c>
      <c r="J561" s="176" t="n"/>
      <c r="K561" s="176" t="inlineStr">
        <is>
          <t>Нет</t>
        </is>
      </c>
      <c r="L561" s="176" t="n"/>
      <c r="M561" s="176" t="n"/>
      <c r="N561" s="179">
        <f>SUMIFS($E$2:$E$896,$A$2:$A$896,"осень",$I$2:$I$896,I561)</f>
        <v/>
      </c>
      <c r="O561" s="179">
        <f>SUMIFS($E$2:$E$896,$A$2:$A$896,"весна",$I$2:$I$896,I561)</f>
        <v/>
      </c>
      <c r="P561" s="180">
        <f>N561+O561</f>
        <v/>
      </c>
      <c r="Q561" s="181">
        <f>P561/$Q$1</f>
        <v/>
      </c>
      <c r="R561" s="122">
        <f>P561*0.2</f>
        <v/>
      </c>
      <c r="S561" s="122">
        <f>Q561*0.8</f>
        <v/>
      </c>
      <c r="T561" s="133" t="n">
        <v>0.75</v>
      </c>
    </row>
    <row r="562" hidden="1" ht="15.75" customHeight="1" s="2">
      <c r="A562" s="194" t="inlineStr">
        <is>
          <t>весна</t>
        </is>
      </c>
      <c r="B562" s="176" t="inlineStr">
        <is>
          <t>Основы математического и имитационного моделирования</t>
        </is>
      </c>
      <c r="C562" s="176" t="inlineStr">
        <is>
          <t>Консультация</t>
        </is>
      </c>
      <c r="D562" s="176" t="inlineStr">
        <is>
          <t>Т11О-302Б-21</t>
        </is>
      </c>
      <c r="E562" s="177" t="n">
        <v>1</v>
      </c>
      <c r="F562" s="176" t="inlineStr">
        <is>
          <t>14861</t>
        </is>
      </c>
      <c r="G562" s="178" t="n"/>
      <c r="H562" s="176" t="inlineStr">
        <is>
          <t>81728</t>
        </is>
      </c>
      <c r="I562" s="176" t="inlineStr">
        <is>
          <t>Галкин Виктор Иванович</t>
        </is>
      </c>
      <c r="J562" s="176" t="n"/>
      <c r="K562" s="176" t="inlineStr">
        <is>
          <t>Нет</t>
        </is>
      </c>
      <c r="L562" s="176" t="n"/>
      <c r="M562" s="176" t="n"/>
      <c r="N562" s="179">
        <f>SUMIFS($E$2:$E$896,$A$2:$A$896,"осень",$I$2:$I$896,I562)</f>
        <v/>
      </c>
      <c r="O562" s="179">
        <f>SUMIFS($E$2:$E$896,$A$2:$A$896,"весна",$I$2:$I$896,I562)</f>
        <v/>
      </c>
      <c r="P562" s="180">
        <f>N562+O562</f>
        <v/>
      </c>
      <c r="Q562" s="181">
        <f>P562/$Q$1</f>
        <v/>
      </c>
      <c r="R562" s="122">
        <f>P562*0.2</f>
        <v/>
      </c>
      <c r="S562" s="122">
        <f>Q562*0.8</f>
        <v/>
      </c>
      <c r="T562" s="133" t="n">
        <v>0.75</v>
      </c>
    </row>
    <row r="563" hidden="1" ht="15.75" customHeight="1" s="2">
      <c r="A563" s="194" t="inlineStr">
        <is>
          <t>весна</t>
        </is>
      </c>
      <c r="B563" s="176" t="inlineStr">
        <is>
          <t>Организация и планирование автоматизированных производств</t>
        </is>
      </c>
      <c r="C563" s="176" t="inlineStr">
        <is>
          <t>ЛК</t>
        </is>
      </c>
      <c r="D563" s="176" t="inlineStr">
        <is>
          <t>Т11О-403Б-20</t>
        </is>
      </c>
      <c r="E563" s="177" t="n">
        <v>16</v>
      </c>
      <c r="F563" s="176" t="inlineStr">
        <is>
          <t>13288</t>
        </is>
      </c>
      <c r="G563" s="177" t="n">
        <v>16</v>
      </c>
      <c r="H563" s="176" t="inlineStr">
        <is>
          <t>81724</t>
        </is>
      </c>
      <c r="I563" s="176" t="inlineStr">
        <is>
          <t>Баберцян Сергей Арамович</t>
        </is>
      </c>
      <c r="J563" s="176" t="n"/>
      <c r="K563" s="176" t="inlineStr">
        <is>
          <t>Нет</t>
        </is>
      </c>
      <c r="L563" s="176" t="n"/>
      <c r="M563" s="176" t="n"/>
      <c r="N563" s="179">
        <f>SUMIFS($E$2:$E$896,$A$2:$A$896,"осень",$I$2:$I$896,I563)</f>
        <v/>
      </c>
      <c r="O563" s="179">
        <f>SUMIFS($E$2:$E$896,$A$2:$A$896,"весна",$I$2:$I$896,I563)</f>
        <v/>
      </c>
      <c r="P563" s="180">
        <f>N563+O563</f>
        <v/>
      </c>
      <c r="Q563" s="181">
        <f>P563/$Q$1</f>
        <v/>
      </c>
      <c r="R563" s="122">
        <f>P563*0.2</f>
        <v/>
      </c>
      <c r="S563" s="122">
        <f>Q563*0.8</f>
        <v/>
      </c>
      <c r="T563" s="133" t="n">
        <v>0.8</v>
      </c>
    </row>
    <row r="564" hidden="1" ht="15.75" customHeight="1" s="2">
      <c r="A564" s="194" t="inlineStr">
        <is>
          <t>весна</t>
        </is>
      </c>
      <c r="B564" s="176" t="inlineStr">
        <is>
          <t>Организация и планирование автоматизированных производств</t>
        </is>
      </c>
      <c r="C564" s="176" t="inlineStr">
        <is>
          <t>ПЗ</t>
        </is>
      </c>
      <c r="D564" s="176" t="inlineStr">
        <is>
          <t>Т11О-403Б-20</t>
        </is>
      </c>
      <c r="E564" s="177" t="n">
        <v>8</v>
      </c>
      <c r="F564" s="176" t="inlineStr">
        <is>
          <t>13288</t>
        </is>
      </c>
      <c r="G564" s="177" t="n">
        <v>8</v>
      </c>
      <c r="H564" s="176" t="inlineStr">
        <is>
          <t>81724</t>
        </is>
      </c>
      <c r="I564" s="176" t="inlineStr">
        <is>
          <t>Баберцян Сергей Арамович</t>
        </is>
      </c>
      <c r="J564" s="176" t="n"/>
      <c r="K564" s="176" t="inlineStr">
        <is>
          <t>Нет</t>
        </is>
      </c>
      <c r="L564" s="176" t="n"/>
      <c r="M564" s="176" t="n"/>
      <c r="N564" s="179">
        <f>SUMIFS($E$2:$E$896,$A$2:$A$896,"осень",$I$2:$I$896,I564)</f>
        <v/>
      </c>
      <c r="O564" s="179">
        <f>SUMIFS($E$2:$E$896,$A$2:$A$896,"весна",$I$2:$I$896,I564)</f>
        <v/>
      </c>
      <c r="P564" s="180">
        <f>N564+O564</f>
        <v/>
      </c>
      <c r="Q564" s="181">
        <f>P564/$Q$1</f>
        <v/>
      </c>
      <c r="R564" s="122">
        <f>P564*0.2</f>
        <v/>
      </c>
      <c r="S564" s="122">
        <f>Q564*0.8</f>
        <v/>
      </c>
      <c r="T564" s="133" t="n">
        <v>0.8</v>
      </c>
    </row>
    <row r="565" hidden="1" ht="15.75" customHeight="1" s="2">
      <c r="A565" s="194" t="inlineStr">
        <is>
          <t>весна</t>
        </is>
      </c>
      <c r="B565" s="176" t="inlineStr">
        <is>
          <t>Организация и планирование автоматизированных производств</t>
        </is>
      </c>
      <c r="C565" s="176" t="inlineStr">
        <is>
          <t>Зачет</t>
        </is>
      </c>
      <c r="D565" s="176" t="inlineStr">
        <is>
          <t>Т11О-403Б-20</t>
        </is>
      </c>
      <c r="E565" s="177" t="n">
        <v>2</v>
      </c>
      <c r="F565" s="176" t="inlineStr">
        <is>
          <t>13288</t>
        </is>
      </c>
      <c r="G565" s="178" t="n"/>
      <c r="H565" s="176" t="inlineStr">
        <is>
          <t>81724</t>
        </is>
      </c>
      <c r="I565" s="176" t="inlineStr">
        <is>
          <t>Баберцян Сергей Арамович</t>
        </is>
      </c>
      <c r="J565" s="176" t="n"/>
      <c r="K565" s="176" t="inlineStr">
        <is>
          <t>Нет</t>
        </is>
      </c>
      <c r="L565" s="176" t="n"/>
      <c r="M565" s="176" t="n"/>
      <c r="N565" s="179">
        <f>SUMIFS($E$2:$E$896,$A$2:$A$896,"осень",$I$2:$I$896,I565)</f>
        <v/>
      </c>
      <c r="O565" s="179">
        <f>SUMIFS($E$2:$E$896,$A$2:$A$896,"весна",$I$2:$I$896,I565)</f>
        <v/>
      </c>
      <c r="P565" s="180">
        <f>N565+O565</f>
        <v/>
      </c>
      <c r="Q565" s="181">
        <f>P565/$Q$1</f>
        <v/>
      </c>
      <c r="R565" s="122">
        <f>P565*0.2</f>
        <v/>
      </c>
      <c r="S565" s="122">
        <f>Q565*0.8</f>
        <v/>
      </c>
      <c r="T565" s="133" t="n">
        <v>0.8</v>
      </c>
    </row>
    <row r="566" hidden="1" ht="15.75" customHeight="1" s="2">
      <c r="A566" s="194" t="inlineStr">
        <is>
          <t>весна</t>
        </is>
      </c>
      <c r="B566" s="176" t="inlineStr">
        <is>
          <t>Организация и планирование автоматизированных производств</t>
        </is>
      </c>
      <c r="C566" s="176" t="inlineStr">
        <is>
          <t>Консультация</t>
        </is>
      </c>
      <c r="D566" s="176" t="inlineStr">
        <is>
          <t>Т11О-403Б-20</t>
        </is>
      </c>
      <c r="E566" s="177" t="n">
        <v>1</v>
      </c>
      <c r="F566" s="176" t="inlineStr">
        <is>
          <t>13288</t>
        </is>
      </c>
      <c r="G566" s="178" t="n"/>
      <c r="H566" s="176" t="inlineStr">
        <is>
          <t>81724</t>
        </is>
      </c>
      <c r="I566" s="176" t="inlineStr">
        <is>
          <t>Галкин Евгений Владимирович</t>
        </is>
      </c>
      <c r="J566" s="176" t="n"/>
      <c r="K566" s="176" t="inlineStr">
        <is>
          <t>Нет</t>
        </is>
      </c>
      <c r="L566" s="176" t="n"/>
      <c r="M566" s="176" t="n"/>
      <c r="N566" s="179">
        <f>SUMIFS($E$2:$E$896,$A$2:$A$896,"осень",$I$2:$I$896,I566)</f>
        <v/>
      </c>
      <c r="O566" s="179">
        <f>SUMIFS($E$2:$E$896,$A$2:$A$896,"весна",$I$2:$I$896,I566)</f>
        <v/>
      </c>
      <c r="P566" s="180">
        <f>N566+O566</f>
        <v/>
      </c>
      <c r="Q566" s="181">
        <f>P566/$Q$1</f>
        <v/>
      </c>
      <c r="R566" s="122">
        <f>P566*0.2</f>
        <v/>
      </c>
      <c r="S566" s="122">
        <f>Q566*0.8</f>
        <v/>
      </c>
      <c r="T566" s="133" t="n">
        <v>0.8</v>
      </c>
    </row>
    <row r="567" hidden="1" ht="15.75" customHeight="1" s="2">
      <c r="A567" s="194" t="inlineStr">
        <is>
          <t>весна</t>
        </is>
      </c>
      <c r="B567" s="176" t="inlineStr">
        <is>
          <t>CALS-технологии в производстве продукции</t>
        </is>
      </c>
      <c r="C567" s="176" t="inlineStr">
        <is>
          <t>ЛК</t>
        </is>
      </c>
      <c r="D567" s="176" t="inlineStr">
        <is>
          <t>Т11О-403Б-20</t>
        </is>
      </c>
      <c r="E567" s="177" t="n">
        <v>24</v>
      </c>
      <c r="F567" s="176" t="inlineStr">
        <is>
          <t>13288</t>
        </is>
      </c>
      <c r="G567" s="177" t="n">
        <v>24</v>
      </c>
      <c r="H567" s="176" t="inlineStr">
        <is>
          <t>81724</t>
        </is>
      </c>
      <c r="I567" s="176" t="inlineStr">
        <is>
          <t>Галкин Евгений Владимирович</t>
        </is>
      </c>
      <c r="J567" s="176" t="n"/>
      <c r="K567" s="176" t="inlineStr">
        <is>
          <t>Нет</t>
        </is>
      </c>
      <c r="L567" s="176" t="n"/>
      <c r="M567" s="176" t="n"/>
      <c r="N567" s="179">
        <f>SUMIFS($E$2:$E$896,$A$2:$A$896,"осень",$I$2:$I$896,I567)</f>
        <v/>
      </c>
      <c r="O567" s="179">
        <f>SUMIFS($E$2:$E$896,$A$2:$A$896,"весна",$I$2:$I$896,I567)</f>
        <v/>
      </c>
      <c r="P567" s="180">
        <f>N567+O567</f>
        <v/>
      </c>
      <c r="Q567" s="181">
        <f>P567/$Q$1</f>
        <v/>
      </c>
      <c r="R567" s="122">
        <f>P567*0.2</f>
        <v/>
      </c>
      <c r="S567" s="122">
        <f>Q567*0.8</f>
        <v/>
      </c>
      <c r="T567" s="133" t="n">
        <v>0.8</v>
      </c>
    </row>
    <row r="568" hidden="1" ht="15.75" customHeight="1" s="2">
      <c r="A568" s="194" t="inlineStr">
        <is>
          <t>весна</t>
        </is>
      </c>
      <c r="B568" s="176" t="inlineStr">
        <is>
          <t>CALS-технологии в производстве продукции</t>
        </is>
      </c>
      <c r="C568" s="176" t="inlineStr">
        <is>
          <t>ПЗ</t>
        </is>
      </c>
      <c r="D568" s="176" t="inlineStr">
        <is>
          <t>Т11О-403Б-20</t>
        </is>
      </c>
      <c r="E568" s="177" t="n">
        <v>32</v>
      </c>
      <c r="F568" s="176" t="inlineStr">
        <is>
          <t>13288</t>
        </is>
      </c>
      <c r="G568" s="177" t="n">
        <v>32</v>
      </c>
      <c r="H568" s="176" t="inlineStr">
        <is>
          <t>81724</t>
        </is>
      </c>
      <c r="I568" s="176" t="inlineStr">
        <is>
          <t>Галкин Евгений Владимирович</t>
        </is>
      </c>
      <c r="J568" s="176" t="n"/>
      <c r="K568" s="176" t="inlineStr">
        <is>
          <t>Нет</t>
        </is>
      </c>
      <c r="L568" s="176" t="n"/>
      <c r="M568" s="176" t="n"/>
      <c r="N568" s="179">
        <f>SUMIFS($E$2:$E$896,$A$2:$A$896,"осень",$I$2:$I$896,I568)</f>
        <v/>
      </c>
      <c r="O568" s="179">
        <f>SUMIFS($E$2:$E$896,$A$2:$A$896,"весна",$I$2:$I$896,I568)</f>
        <v/>
      </c>
      <c r="P568" s="180">
        <f>N568+O568</f>
        <v/>
      </c>
      <c r="Q568" s="181">
        <f>P568/$Q$1</f>
        <v/>
      </c>
      <c r="R568" s="122">
        <f>P568*0.2</f>
        <v/>
      </c>
      <c r="S568" s="122">
        <f>Q568*0.8</f>
        <v/>
      </c>
      <c r="T568" s="133" t="n">
        <v>0.8</v>
      </c>
    </row>
    <row r="569" hidden="1" ht="15.75" customHeight="1" s="2">
      <c r="A569" s="194" t="inlineStr">
        <is>
          <t>весна</t>
        </is>
      </c>
      <c r="B569" s="176" t="inlineStr">
        <is>
          <t>CALS-технологии в производстве продукции</t>
        </is>
      </c>
      <c r="C569" s="176" t="inlineStr">
        <is>
          <t>Экзамен</t>
        </is>
      </c>
      <c r="D569" s="176" t="inlineStr">
        <is>
          <t>Т11О-403Б-20</t>
        </is>
      </c>
      <c r="E569" s="177" t="n">
        <v>4</v>
      </c>
      <c r="F569" s="176" t="inlineStr">
        <is>
          <t>13288</t>
        </is>
      </c>
      <c r="G569" s="178" t="n"/>
      <c r="H569" s="176" t="inlineStr">
        <is>
          <t>81724</t>
        </is>
      </c>
      <c r="I569" s="176" t="inlineStr">
        <is>
          <t>Галкин Евгений Владимирович</t>
        </is>
      </c>
      <c r="J569" s="176" t="n"/>
      <c r="K569" s="176" t="inlineStr">
        <is>
          <t>Нет</t>
        </is>
      </c>
      <c r="L569" s="176" t="n"/>
      <c r="M569" s="176" t="n"/>
      <c r="N569" s="179">
        <f>SUMIFS($E$2:$E$896,$A$2:$A$896,"осень",$I$2:$I$896,I569)</f>
        <v/>
      </c>
      <c r="O569" s="179">
        <f>SUMIFS($E$2:$E$896,$A$2:$A$896,"весна",$I$2:$I$896,I569)</f>
        <v/>
      </c>
      <c r="P569" s="180">
        <f>N569+O569</f>
        <v/>
      </c>
      <c r="Q569" s="181">
        <f>P569/$Q$1</f>
        <v/>
      </c>
      <c r="R569" s="122">
        <f>P569*0.2</f>
        <v/>
      </c>
      <c r="S569" s="122">
        <f>Q569*0.8</f>
        <v/>
      </c>
      <c r="T569" s="133" t="n">
        <v>0.8</v>
      </c>
    </row>
    <row r="570" ht="15.75" customHeight="1" s="2">
      <c r="A570" s="194" t="inlineStr">
        <is>
          <t>весна</t>
        </is>
      </c>
      <c r="B570" s="176" t="inlineStr">
        <is>
          <t>CALS-технологии в производстве продукции</t>
        </is>
      </c>
      <c r="C570" s="176" t="inlineStr">
        <is>
          <t>Экзамен</t>
        </is>
      </c>
      <c r="D570" s="176" t="inlineStr">
        <is>
          <t>Т11О-403Б-20</t>
        </is>
      </c>
      <c r="E570" s="177" t="n">
        <v>2</v>
      </c>
      <c r="F570" s="176" t="inlineStr">
        <is>
          <t>13288</t>
        </is>
      </c>
      <c r="G570" s="178" t="n"/>
      <c r="H570" s="176" t="n"/>
      <c r="I570" s="176" t="inlineStr">
        <is>
          <t>Галкин Евгений Владимирович</t>
        </is>
      </c>
      <c r="J570" s="176" t="n"/>
      <c r="K570" s="176" t="inlineStr">
        <is>
          <t>Нет</t>
        </is>
      </c>
      <c r="L570" s="176" t="n"/>
      <c r="M570" s="176" t="n"/>
      <c r="N570" s="179">
        <f>SUMIFS($E$2:$E$896,$A$2:$A$896,"осень",$I$2:$I$896,I570)</f>
        <v/>
      </c>
      <c r="O570" s="179">
        <f>SUMIFS($E$2:$E$896,$A$2:$A$896,"весна",$I$2:$I$896,I570)</f>
        <v/>
      </c>
      <c r="P570" s="180">
        <f>N570+O570</f>
        <v/>
      </c>
      <c r="Q570" s="181">
        <f>P570/$Q$1</f>
        <v/>
      </c>
      <c r="R570" s="122">
        <f>P570*0.2</f>
        <v/>
      </c>
      <c r="S570" s="122">
        <f>Q570*0.8</f>
        <v/>
      </c>
      <c r="T570" s="133" t="n">
        <v>0</v>
      </c>
    </row>
    <row r="571" hidden="1" ht="15.75" customHeight="1" s="2">
      <c r="A571" s="194" t="inlineStr">
        <is>
          <t>весна</t>
        </is>
      </c>
      <c r="B571" s="176" t="inlineStr">
        <is>
          <t>CALS-технологии в производстве продукции</t>
        </is>
      </c>
      <c r="C571" s="176" t="inlineStr">
        <is>
          <t>Консультация</t>
        </is>
      </c>
      <c r="D571" s="176" t="inlineStr">
        <is>
          <t>Т11О-403Б-20</t>
        </is>
      </c>
      <c r="E571" s="177" t="n">
        <v>2</v>
      </c>
      <c r="F571" s="176" t="inlineStr">
        <is>
          <t>13288</t>
        </is>
      </c>
      <c r="G571" s="178" t="n"/>
      <c r="H571" s="176" t="inlineStr">
        <is>
          <t>81724</t>
        </is>
      </c>
      <c r="I571" s="176" t="inlineStr">
        <is>
          <t>Галкин Евгений Владимирович</t>
        </is>
      </c>
      <c r="J571" s="176" t="n"/>
      <c r="K571" s="176" t="inlineStr">
        <is>
          <t>Нет</t>
        </is>
      </c>
      <c r="L571" s="176" t="n"/>
      <c r="M571" s="176" t="n"/>
      <c r="N571" s="179">
        <f>SUMIFS($E$2:$E$896,$A$2:$A$896,"осень",$I$2:$I$896,I571)</f>
        <v/>
      </c>
      <c r="O571" s="179">
        <f>SUMIFS($E$2:$E$896,$A$2:$A$896,"весна",$I$2:$I$896,I571)</f>
        <v/>
      </c>
      <c r="P571" s="180">
        <f>N571+O571</f>
        <v/>
      </c>
      <c r="Q571" s="181">
        <f>P571/$Q$1</f>
        <v/>
      </c>
      <c r="R571" s="122">
        <f>P571*0.2</f>
        <v/>
      </c>
      <c r="S571" s="122">
        <f>Q571*0.8</f>
        <v/>
      </c>
      <c r="T571" s="133" t="n">
        <v>0.8</v>
      </c>
    </row>
    <row r="572" ht="15.75" customHeight="1" s="2">
      <c r="A572" s="194" t="inlineStr">
        <is>
          <t>весна</t>
        </is>
      </c>
      <c r="B572" s="176" t="inlineStr">
        <is>
          <t>CALS-технологии в производстве продукции</t>
        </is>
      </c>
      <c r="C572" s="176" t="inlineStr">
        <is>
          <t>Консультация</t>
        </is>
      </c>
      <c r="D572" s="176" t="inlineStr">
        <is>
          <t>Т11О-403Б-20</t>
        </is>
      </c>
      <c r="E572" s="177" t="n">
        <v>1</v>
      </c>
      <c r="F572" s="176" t="inlineStr">
        <is>
          <t>13288</t>
        </is>
      </c>
      <c r="G572" s="178" t="n"/>
      <c r="H572" s="176" t="n"/>
      <c r="I572" s="176" t="inlineStr">
        <is>
          <t>Галкин Евгений Владимирович</t>
        </is>
      </c>
      <c r="J572" s="176" t="n"/>
      <c r="K572" s="176" t="inlineStr">
        <is>
          <t>Нет</t>
        </is>
      </c>
      <c r="L572" s="176" t="n"/>
      <c r="M572" s="176" t="n"/>
      <c r="N572" s="179">
        <f>SUMIFS($E$2:$E$896,$A$2:$A$896,"осень",$I$2:$I$896,I572)</f>
        <v/>
      </c>
      <c r="O572" s="179">
        <f>SUMIFS($E$2:$E$896,$A$2:$A$896,"весна",$I$2:$I$896,I572)</f>
        <v/>
      </c>
      <c r="P572" s="180">
        <f>N572+O572</f>
        <v/>
      </c>
      <c r="Q572" s="181">
        <f>P572/$Q$1</f>
        <v/>
      </c>
      <c r="R572" s="122">
        <f>P572*0.2</f>
        <v/>
      </c>
      <c r="S572" s="122">
        <f>Q572*0.8</f>
        <v/>
      </c>
      <c r="T572" s="133" t="n">
        <v>0</v>
      </c>
    </row>
    <row r="573" hidden="1" ht="15.75" customHeight="1" s="2">
      <c r="A573" s="194" t="inlineStr">
        <is>
          <t>весна</t>
        </is>
      </c>
      <c r="B573" s="176" t="inlineStr">
        <is>
          <t>ESS-технологии в управлении жизненным циклом продукции</t>
        </is>
      </c>
      <c r="C573" s="176" t="inlineStr">
        <is>
          <t>ЛК</t>
        </is>
      </c>
      <c r="D573" s="176" t="inlineStr">
        <is>
          <t>Т11О-403Б-20</t>
        </is>
      </c>
      <c r="E573" s="177" t="n">
        <v>16</v>
      </c>
      <c r="F573" s="176" t="inlineStr">
        <is>
          <t>13288</t>
        </is>
      </c>
      <c r="G573" s="177" t="n">
        <v>16</v>
      </c>
      <c r="H573" s="176" t="inlineStr">
        <is>
          <t>81722</t>
        </is>
      </c>
      <c r="I573" s="176" t="inlineStr">
        <is>
          <t>Жаров Максим Владимирович</t>
        </is>
      </c>
      <c r="J573" s="176" t="n"/>
      <c r="K573" s="176" t="inlineStr">
        <is>
          <t>Нет</t>
        </is>
      </c>
      <c r="L573" s="176" t="n"/>
      <c r="M573" s="176" t="n"/>
      <c r="N573" s="179">
        <f>SUMIFS($E$2:$E$896,$A$2:$A$896,"осень",$I$2:$I$896,I573)</f>
        <v/>
      </c>
      <c r="O573" s="179">
        <f>SUMIFS($E$2:$E$896,$A$2:$A$896,"весна",$I$2:$I$896,I573)</f>
        <v/>
      </c>
      <c r="P573" s="180">
        <f>N573+O573</f>
        <v/>
      </c>
      <c r="Q573" s="181">
        <f>P573/$Q$1</f>
        <v/>
      </c>
      <c r="R573" s="122">
        <f>P573*0.2</f>
        <v/>
      </c>
      <c r="S573" s="122">
        <f>Q573*0.8</f>
        <v/>
      </c>
      <c r="T573" s="133" t="n">
        <v>0.7</v>
      </c>
    </row>
    <row r="574" hidden="1" ht="15.75" customHeight="1" s="2">
      <c r="A574" s="194" t="inlineStr">
        <is>
          <t>весна</t>
        </is>
      </c>
      <c r="B574" s="176" t="inlineStr">
        <is>
          <t>ESS-технологии в управлении жизненным циклом продукции</t>
        </is>
      </c>
      <c r="C574" s="176" t="inlineStr">
        <is>
          <t>ПЗ</t>
        </is>
      </c>
      <c r="D574" s="176" t="inlineStr">
        <is>
          <t>Т11О-403Б-20</t>
        </is>
      </c>
      <c r="E574" s="177" t="n">
        <v>24</v>
      </c>
      <c r="F574" s="176" t="inlineStr">
        <is>
          <t>13288</t>
        </is>
      </c>
      <c r="G574" s="177" t="n">
        <v>24</v>
      </c>
      <c r="H574" s="176" t="inlineStr">
        <is>
          <t>81722</t>
        </is>
      </c>
      <c r="I574" s="176" t="inlineStr">
        <is>
          <t>Жаров Максим Владимирович</t>
        </is>
      </c>
      <c r="J574" s="176" t="n"/>
      <c r="K574" s="176" t="inlineStr">
        <is>
          <t>Нет</t>
        </is>
      </c>
      <c r="L574" s="176" t="n"/>
      <c r="M574" s="176" t="n"/>
      <c r="N574" s="179">
        <f>SUMIFS($E$2:$E$896,$A$2:$A$896,"осень",$I$2:$I$896,I574)</f>
        <v/>
      </c>
      <c r="O574" s="179">
        <f>SUMIFS($E$2:$E$896,$A$2:$A$896,"весна",$I$2:$I$896,I574)</f>
        <v/>
      </c>
      <c r="P574" s="180">
        <f>N574+O574</f>
        <v/>
      </c>
      <c r="Q574" s="181">
        <f>P574/$Q$1</f>
        <v/>
      </c>
      <c r="R574" s="122">
        <f>P574*0.2</f>
        <v/>
      </c>
      <c r="S574" s="122">
        <f>Q574*0.8</f>
        <v/>
      </c>
      <c r="T574" s="133" t="n">
        <v>0.7</v>
      </c>
    </row>
    <row r="575" hidden="1" ht="15.75" customHeight="1" s="2">
      <c r="A575" s="194" t="inlineStr">
        <is>
          <t>весна</t>
        </is>
      </c>
      <c r="B575" s="176" t="inlineStr">
        <is>
          <t>ESS-технологии в управлении жизненным циклом продукции</t>
        </is>
      </c>
      <c r="C575" s="176" t="inlineStr">
        <is>
          <t>Зачет</t>
        </is>
      </c>
      <c r="D575" s="176" t="inlineStr">
        <is>
          <t>Т11О-403Б-20</t>
        </is>
      </c>
      <c r="E575" s="177" t="n">
        <v>1</v>
      </c>
      <c r="F575" s="176" t="inlineStr">
        <is>
          <t>13288</t>
        </is>
      </c>
      <c r="G575" s="178" t="n"/>
      <c r="H575" s="176" t="inlineStr">
        <is>
          <t>81722</t>
        </is>
      </c>
      <c r="I575" s="176" t="inlineStr">
        <is>
          <t>Жаров Максим Владимирович</t>
        </is>
      </c>
      <c r="J575" s="176" t="n"/>
      <c r="K575" s="176" t="inlineStr">
        <is>
          <t>Нет</t>
        </is>
      </c>
      <c r="L575" s="176" t="n"/>
      <c r="M575" s="176" t="n"/>
      <c r="N575" s="179">
        <f>SUMIFS($E$2:$E$896,$A$2:$A$896,"осень",$I$2:$I$896,I575)</f>
        <v/>
      </c>
      <c r="O575" s="179">
        <f>SUMIFS($E$2:$E$896,$A$2:$A$896,"весна",$I$2:$I$896,I575)</f>
        <v/>
      </c>
      <c r="P575" s="180">
        <f>N575+O575</f>
        <v/>
      </c>
      <c r="Q575" s="181">
        <f>P575/$Q$1</f>
        <v/>
      </c>
      <c r="R575" s="122">
        <f>P575*0.2</f>
        <v/>
      </c>
      <c r="S575" s="122">
        <f>Q575*0.8</f>
        <v/>
      </c>
      <c r="T575" s="133" t="n">
        <v>0.7</v>
      </c>
    </row>
    <row r="576" ht="15.75" customHeight="1" s="2">
      <c r="A576" s="194" t="inlineStr">
        <is>
          <t>весна</t>
        </is>
      </c>
      <c r="B576" s="176" t="inlineStr">
        <is>
          <t>ESS-технологии в управлении жизненным циклом продукции</t>
        </is>
      </c>
      <c r="C576" s="176" t="inlineStr">
        <is>
          <t>Зачет</t>
        </is>
      </c>
      <c r="D576" s="176" t="inlineStr">
        <is>
          <t>Т11О-403Б-20</t>
        </is>
      </c>
      <c r="E576" s="177" t="n">
        <v>1</v>
      </c>
      <c r="F576" s="176" t="inlineStr">
        <is>
          <t>13288</t>
        </is>
      </c>
      <c r="G576" s="178" t="n"/>
      <c r="H576" s="176" t="n"/>
      <c r="I576" s="176" t="inlineStr">
        <is>
          <t>Жаров Максим Владимирович</t>
        </is>
      </c>
      <c r="J576" s="176" t="n"/>
      <c r="K576" s="176" t="inlineStr">
        <is>
          <t>Нет</t>
        </is>
      </c>
      <c r="L576" s="176" t="n"/>
      <c r="M576" s="176" t="n"/>
      <c r="N576" s="179">
        <f>SUMIFS($E$2:$E$896,$A$2:$A$896,"осень",$I$2:$I$896,I576)</f>
        <v/>
      </c>
      <c r="O576" s="179">
        <f>SUMIFS($E$2:$E$896,$A$2:$A$896,"весна",$I$2:$I$896,I576)</f>
        <v/>
      </c>
      <c r="P576" s="180">
        <f>N576+O576</f>
        <v/>
      </c>
      <c r="Q576" s="181">
        <f>P576/$Q$1</f>
        <v/>
      </c>
      <c r="R576" s="122">
        <f>P576*0.2</f>
        <v/>
      </c>
      <c r="S576" s="122">
        <f>Q576*0.8</f>
        <v/>
      </c>
      <c r="T576" s="133" t="n">
        <v>0</v>
      </c>
    </row>
    <row r="577" hidden="1" ht="15.75" customHeight="1" s="2">
      <c r="A577" s="194" t="inlineStr">
        <is>
          <t>весна</t>
        </is>
      </c>
      <c r="B577" s="176" t="inlineStr">
        <is>
          <t>ESS-технологии в управлении жизненным циклом продукции</t>
        </is>
      </c>
      <c r="C577" s="176" t="inlineStr">
        <is>
          <t>Консультация</t>
        </is>
      </c>
      <c r="D577" s="176" t="inlineStr">
        <is>
          <t>Т11О-403Б-20</t>
        </is>
      </c>
      <c r="E577" s="177" t="n">
        <v>1</v>
      </c>
      <c r="F577" s="176" t="inlineStr">
        <is>
          <t>13288</t>
        </is>
      </c>
      <c r="G577" s="178" t="n"/>
      <c r="H577" s="176" t="inlineStr">
        <is>
          <t>81722</t>
        </is>
      </c>
      <c r="I577" s="176" t="inlineStr">
        <is>
          <t>Жаров Максим Владимирович</t>
        </is>
      </c>
      <c r="J577" s="176" t="n"/>
      <c r="K577" s="176" t="inlineStr">
        <is>
          <t>Нет</t>
        </is>
      </c>
      <c r="L577" s="176" t="n"/>
      <c r="M577" s="176" t="n"/>
      <c r="N577" s="179">
        <f>SUMIFS($E$2:$E$896,$A$2:$A$896,"осень",$I$2:$I$896,I577)</f>
        <v/>
      </c>
      <c r="O577" s="179">
        <f>SUMIFS($E$2:$E$896,$A$2:$A$896,"весна",$I$2:$I$896,I577)</f>
        <v/>
      </c>
      <c r="P577" s="180">
        <f>N577+O577</f>
        <v/>
      </c>
      <c r="Q577" s="181">
        <f>P577/$Q$1</f>
        <v/>
      </c>
      <c r="R577" s="122">
        <f>P577*0.2</f>
        <v/>
      </c>
      <c r="S577" s="122">
        <f>Q577*0.8</f>
        <v/>
      </c>
      <c r="T577" s="133" t="n">
        <v>0.7</v>
      </c>
    </row>
    <row r="578" hidden="1" ht="15.75" customHeight="1" s="2">
      <c r="A578" s="194" t="inlineStr">
        <is>
          <t>весна</t>
        </is>
      </c>
      <c r="B578" s="176" t="inlineStr">
        <is>
          <t>Системный подход в управлении жизненным циклом продукции</t>
        </is>
      </c>
      <c r="C578" s="176" t="inlineStr">
        <is>
          <t>ЛК</t>
        </is>
      </c>
      <c r="D578" s="176" t="inlineStr">
        <is>
          <t>Т11О-206Б-22</t>
        </is>
      </c>
      <c r="E578" s="177" t="n">
        <v>24</v>
      </c>
      <c r="F578" s="176" t="inlineStr">
        <is>
          <t>16776</t>
        </is>
      </c>
      <c r="G578" s="177" t="n">
        <v>24</v>
      </c>
      <c r="H578" s="176" t="inlineStr">
        <is>
          <t>81722</t>
        </is>
      </c>
      <c r="I578" s="176" t="inlineStr">
        <is>
          <t>Баберцян Сергей Арамович</t>
        </is>
      </c>
      <c r="J578" s="176" t="n"/>
      <c r="K578" s="176" t="inlineStr">
        <is>
          <t>Нет</t>
        </is>
      </c>
      <c r="L578" s="176" t="n"/>
      <c r="M578" s="176" t="n"/>
      <c r="N578" s="179">
        <f>SUMIFS($E$2:$E$896,$A$2:$A$896,"осень",$I$2:$I$896,I578)</f>
        <v/>
      </c>
      <c r="O578" s="179">
        <f>SUMIFS($E$2:$E$896,$A$2:$A$896,"весна",$I$2:$I$896,I578)</f>
        <v/>
      </c>
      <c r="P578" s="180">
        <f>N578+O578</f>
        <v/>
      </c>
      <c r="Q578" s="181">
        <f>P578/$Q$1</f>
        <v/>
      </c>
      <c r="R578" s="122">
        <f>P578*0.2</f>
        <v/>
      </c>
      <c r="S578" s="122">
        <f>Q578*0.8</f>
        <v/>
      </c>
      <c r="T578" s="133" t="n">
        <v>0.7</v>
      </c>
    </row>
    <row r="579" hidden="1" ht="15.75" customHeight="1" s="2">
      <c r="A579" s="194" t="inlineStr">
        <is>
          <t>весна</t>
        </is>
      </c>
      <c r="B579" s="176" t="inlineStr">
        <is>
          <t>Системный подход в управлении жизненным циклом продукции</t>
        </is>
      </c>
      <c r="C579" s="176" t="inlineStr">
        <is>
          <t>Зачет с оценкой</t>
        </is>
      </c>
      <c r="D579" s="176" t="inlineStr">
        <is>
          <t>Т11О-206Б-22</t>
        </is>
      </c>
      <c r="E579" s="177" t="n">
        <v>4</v>
      </c>
      <c r="F579" s="176" t="inlineStr">
        <is>
          <t>16776</t>
        </is>
      </c>
      <c r="G579" s="178" t="n"/>
      <c r="H579" s="176" t="inlineStr">
        <is>
          <t>81722</t>
        </is>
      </c>
      <c r="I579" s="176" t="inlineStr">
        <is>
          <t>Шленский Алексей Геннадьевич</t>
        </is>
      </c>
      <c r="J579" s="176" t="n"/>
      <c r="K579" s="176" t="inlineStr">
        <is>
          <t>Нет</t>
        </is>
      </c>
      <c r="L579" s="176" t="n"/>
      <c r="M579" s="176" t="n"/>
      <c r="N579" s="179">
        <f>SUMIFS($E$2:$E$896,$A$2:$A$896,"осень",$I$2:$I$896,I579)</f>
        <v/>
      </c>
      <c r="O579" s="179">
        <f>SUMIFS($E$2:$E$896,$A$2:$A$896,"весна",$I$2:$I$896,I579)</f>
        <v/>
      </c>
      <c r="P579" s="180">
        <f>N579+O579</f>
        <v/>
      </c>
      <c r="Q579" s="181">
        <f>P579/$Q$1</f>
        <v/>
      </c>
      <c r="R579" s="122">
        <f>P579*0.2</f>
        <v/>
      </c>
      <c r="S579" s="122">
        <f>Q579*0.8</f>
        <v/>
      </c>
      <c r="T579" s="133" t="n">
        <v>0.7</v>
      </c>
    </row>
    <row r="580" ht="15.75" customHeight="1" s="2">
      <c r="A580" s="194" t="inlineStr">
        <is>
          <t>весна</t>
        </is>
      </c>
      <c r="B580" s="176" t="inlineStr">
        <is>
          <t>Системный подход в управлении жизненным циклом продукции</t>
        </is>
      </c>
      <c r="C580" s="176" t="inlineStr">
        <is>
          <t>Зачет с оценкой</t>
        </is>
      </c>
      <c r="D580" s="176" t="inlineStr">
        <is>
          <t>Т11О-206Б-22</t>
        </is>
      </c>
      <c r="E580" s="177" t="n">
        <v>1</v>
      </c>
      <c r="F580" s="176" t="inlineStr">
        <is>
          <t>16776</t>
        </is>
      </c>
      <c r="G580" s="178" t="n"/>
      <c r="H580" s="176" t="n"/>
      <c r="I580" s="176" t="inlineStr">
        <is>
          <t>э-резерв</t>
        </is>
      </c>
      <c r="J580" s="176" t="n"/>
      <c r="K580" s="176" t="inlineStr">
        <is>
          <t>Нет</t>
        </is>
      </c>
      <c r="L580" s="176" t="n"/>
      <c r="M580" s="176" t="n"/>
      <c r="N580" s="179">
        <f>SUMIFS($E$2:$E$896,$A$2:$A$896,"осень",$I$2:$I$896,I580)</f>
        <v/>
      </c>
      <c r="O580" s="179">
        <f>SUMIFS($E$2:$E$896,$A$2:$A$896,"весна",$I$2:$I$896,I580)</f>
        <v/>
      </c>
      <c r="P580" s="180">
        <f>N580+O580</f>
        <v/>
      </c>
      <c r="Q580" s="181">
        <f>P580/$Q$1</f>
        <v/>
      </c>
      <c r="R580" s="122">
        <f>P580*0.2</f>
        <v/>
      </c>
      <c r="S580" s="122">
        <f>Q580*0.8</f>
        <v/>
      </c>
      <c r="T580" s="133" t="n">
        <v>0</v>
      </c>
    </row>
    <row r="581" hidden="1" ht="15.75" customHeight="1" s="2">
      <c r="A581" s="194" t="inlineStr">
        <is>
          <t>весна</t>
        </is>
      </c>
      <c r="B581" s="176" t="inlineStr">
        <is>
          <t>Системный подход в управлении жизненным циклом продукции</t>
        </is>
      </c>
      <c r="C581" s="176" t="inlineStr">
        <is>
          <t>ПЗ</t>
        </is>
      </c>
      <c r="D581" s="176" t="inlineStr">
        <is>
          <t>Т11О-206Б-22</t>
        </is>
      </c>
      <c r="E581" s="177" t="n">
        <v>34</v>
      </c>
      <c r="F581" s="176" t="inlineStr">
        <is>
          <t>16776</t>
        </is>
      </c>
      <c r="G581" s="177" t="n">
        <v>34</v>
      </c>
      <c r="H581" s="176" t="inlineStr">
        <is>
          <t>81722</t>
        </is>
      </c>
      <c r="I581" s="176" t="inlineStr">
        <is>
          <t>Баберцян Сергей Арамович</t>
        </is>
      </c>
      <c r="J581" s="176" t="n"/>
      <c r="K581" s="176" t="inlineStr">
        <is>
          <t>Нет</t>
        </is>
      </c>
      <c r="L581" s="176" t="n"/>
      <c r="M581" s="176" t="n"/>
      <c r="N581" s="179">
        <f>SUMIFS($E$2:$E$896,$A$2:$A$896,"осень",$I$2:$I$896,I581)</f>
        <v/>
      </c>
      <c r="O581" s="179">
        <f>SUMIFS($E$2:$E$896,$A$2:$A$896,"весна",$I$2:$I$896,I581)</f>
        <v/>
      </c>
      <c r="P581" s="180">
        <f>N581+O581</f>
        <v/>
      </c>
      <c r="Q581" s="181">
        <f>P581/$Q$1</f>
        <v/>
      </c>
      <c r="R581" s="122">
        <f>P581*0.2</f>
        <v/>
      </c>
      <c r="S581" s="122">
        <f>Q581*0.8</f>
        <v/>
      </c>
      <c r="T581" s="133" t="n">
        <v>0.7</v>
      </c>
    </row>
    <row r="582" hidden="1" ht="15.75" customHeight="1" s="2">
      <c r="A582" s="194" t="inlineStr">
        <is>
          <t>весна</t>
        </is>
      </c>
      <c r="B582" s="176" t="inlineStr">
        <is>
          <t>Системный подход в управлении жизненным циклом продукции</t>
        </is>
      </c>
      <c r="C582" s="176" t="inlineStr">
        <is>
          <t>ЛР</t>
        </is>
      </c>
      <c r="D582" s="176" t="inlineStr">
        <is>
          <t>Т11О-206Б-22</t>
        </is>
      </c>
      <c r="E582" s="177" t="n">
        <v>64</v>
      </c>
      <c r="F582" s="176" t="inlineStr">
        <is>
          <t>16776</t>
        </is>
      </c>
      <c r="G582" s="177" t="n">
        <v>32</v>
      </c>
      <c r="H582" s="176" t="inlineStr">
        <is>
          <t>81722</t>
        </is>
      </c>
      <c r="I582" s="176" t="inlineStr">
        <is>
          <t>Баберцян Сергей Арамович</t>
        </is>
      </c>
      <c r="J582" s="176" t="n"/>
      <c r="K582" s="176" t="inlineStr">
        <is>
          <t>Нет</t>
        </is>
      </c>
      <c r="L582" s="176" t="n"/>
      <c r="M582" s="176" t="n"/>
      <c r="N582" s="179">
        <f>SUMIFS($E$2:$E$896,$A$2:$A$896,"осень",$I$2:$I$896,I582)</f>
        <v/>
      </c>
      <c r="O582" s="179">
        <f>SUMIFS($E$2:$E$896,$A$2:$A$896,"весна",$I$2:$I$896,I582)</f>
        <v/>
      </c>
      <c r="P582" s="180">
        <f>N582+O582</f>
        <v/>
      </c>
      <c r="Q582" s="181">
        <f>P582/$Q$1</f>
        <v/>
      </c>
      <c r="R582" s="122">
        <f>P582*0.2</f>
        <v/>
      </c>
      <c r="S582" s="122">
        <f>Q582*0.8</f>
        <v/>
      </c>
      <c r="T582" s="133" t="n">
        <v>0.7</v>
      </c>
    </row>
    <row r="583" hidden="1" ht="15.75" customHeight="1" s="2">
      <c r="A583" s="194" t="inlineStr">
        <is>
          <t>весна</t>
        </is>
      </c>
      <c r="B583" s="176" t="inlineStr">
        <is>
          <t>Системный подход в управлении жизненным циклом продукции</t>
        </is>
      </c>
      <c r="C583" s="176" t="inlineStr">
        <is>
          <t>Консультация</t>
        </is>
      </c>
      <c r="D583" s="176" t="inlineStr">
        <is>
          <t>Т11О-206Б-22</t>
        </is>
      </c>
      <c r="E583" s="177" t="n">
        <v>1</v>
      </c>
      <c r="F583" s="176" t="inlineStr">
        <is>
          <t>16776</t>
        </is>
      </c>
      <c r="G583" s="178" t="n"/>
      <c r="H583" s="176" t="inlineStr">
        <is>
          <t>81722</t>
        </is>
      </c>
      <c r="I583" s="176" t="inlineStr">
        <is>
          <t>Баберцян Сергей Арамович</t>
        </is>
      </c>
      <c r="J583" s="176" t="n"/>
      <c r="K583" s="176" t="inlineStr">
        <is>
          <t>Нет</t>
        </is>
      </c>
      <c r="L583" s="176" t="n"/>
      <c r="M583" s="176" t="n"/>
      <c r="N583" s="179">
        <f>SUMIFS($E$2:$E$896,$A$2:$A$896,"осень",$I$2:$I$896,I583)</f>
        <v/>
      </c>
      <c r="O583" s="179">
        <f>SUMIFS($E$2:$E$896,$A$2:$A$896,"весна",$I$2:$I$896,I583)</f>
        <v/>
      </c>
      <c r="P583" s="180">
        <f>N583+O583</f>
        <v/>
      </c>
      <c r="Q583" s="181">
        <f>P583/$Q$1</f>
        <v/>
      </c>
      <c r="R583" s="122">
        <f>P583*0.2</f>
        <v/>
      </c>
      <c r="S583" s="122">
        <f>Q583*0.8</f>
        <v/>
      </c>
      <c r="T583" s="133" t="n">
        <v>0.7</v>
      </c>
    </row>
    <row r="584" hidden="1" ht="15.75" customHeight="1" s="2">
      <c r="A584" s="194" t="inlineStr">
        <is>
          <t>весна</t>
        </is>
      </c>
      <c r="B584" s="176" t="inlineStr">
        <is>
          <t>Теория обработки металлов давлением</t>
        </is>
      </c>
      <c r="C584" s="176" t="inlineStr">
        <is>
          <t>ЛК</t>
        </is>
      </c>
      <c r="D584" s="176" t="inlineStr">
        <is>
          <t>Т11О-301Б-21</t>
        </is>
      </c>
      <c r="E584" s="177" t="n">
        <v>32</v>
      </c>
      <c r="F584" s="176" t="inlineStr">
        <is>
          <t>14668</t>
        </is>
      </c>
      <c r="G584" s="177" t="n">
        <v>32</v>
      </c>
      <c r="H584" s="176" t="inlineStr">
        <is>
          <t>81720</t>
        </is>
      </c>
      <c r="I584" s="176" t="inlineStr">
        <is>
          <t>Палтиевич Андрей Романович</t>
        </is>
      </c>
      <c r="J584" s="176" t="n"/>
      <c r="K584" s="176" t="inlineStr">
        <is>
          <t>Нет</t>
        </is>
      </c>
      <c r="L584" s="176" t="n"/>
      <c r="M584" s="176" t="n"/>
      <c r="N584" s="179">
        <f>SUMIFS($E$2:$E$896,$A$2:$A$896,"осень",$I$2:$I$896,I584)</f>
        <v/>
      </c>
      <c r="O584" s="179">
        <f>SUMIFS($E$2:$E$896,$A$2:$A$896,"весна",$I$2:$I$896,I584)</f>
        <v/>
      </c>
      <c r="P584" s="180">
        <f>N584+O584</f>
        <v/>
      </c>
      <c r="Q584" s="181">
        <f>P584/$Q$1</f>
        <v/>
      </c>
      <c r="R584" s="122">
        <f>P584*0.2</f>
        <v/>
      </c>
      <c r="S584" s="122">
        <f>Q584*0.8</f>
        <v/>
      </c>
      <c r="T584" s="133" t="n">
        <v>0.65</v>
      </c>
    </row>
    <row r="585" hidden="1" ht="15.75" customHeight="1" s="2">
      <c r="A585" s="194" t="inlineStr">
        <is>
          <t>весна</t>
        </is>
      </c>
      <c r="B585" s="176" t="inlineStr">
        <is>
          <t>Теория обработки металлов давлением</t>
        </is>
      </c>
      <c r="C585" s="176" t="inlineStr">
        <is>
          <t>ПЗ</t>
        </is>
      </c>
      <c r="D585" s="176" t="inlineStr">
        <is>
          <t>Т11О-301Б-21</t>
        </is>
      </c>
      <c r="E585" s="177" t="n">
        <v>20</v>
      </c>
      <c r="F585" s="176" t="inlineStr">
        <is>
          <t>14668</t>
        </is>
      </c>
      <c r="G585" s="177" t="n">
        <v>20</v>
      </c>
      <c r="H585" s="176" t="inlineStr">
        <is>
          <t>81720</t>
        </is>
      </c>
      <c r="I585" s="176" t="inlineStr">
        <is>
          <t>Палтиевич Андрей Романович</t>
        </is>
      </c>
      <c r="J585" s="176" t="n"/>
      <c r="K585" s="176" t="inlineStr">
        <is>
          <t>Нет</t>
        </is>
      </c>
      <c r="L585" s="176" t="n"/>
      <c r="M585" s="176" t="n"/>
      <c r="N585" s="179">
        <f>SUMIFS($E$2:$E$896,$A$2:$A$896,"осень",$I$2:$I$896,I585)</f>
        <v/>
      </c>
      <c r="O585" s="179">
        <f>SUMIFS($E$2:$E$896,$A$2:$A$896,"весна",$I$2:$I$896,I585)</f>
        <v/>
      </c>
      <c r="P585" s="180">
        <f>N585+O585</f>
        <v/>
      </c>
      <c r="Q585" s="181">
        <f>P585/$Q$1</f>
        <v/>
      </c>
      <c r="R585" s="122">
        <f>P585*0.2</f>
        <v/>
      </c>
      <c r="S585" s="122">
        <f>Q585*0.8</f>
        <v/>
      </c>
      <c r="T585" s="133" t="n">
        <v>0.65</v>
      </c>
    </row>
    <row r="586" hidden="1" ht="15.75" customHeight="1" s="2">
      <c r="A586" s="194" t="inlineStr">
        <is>
          <t>весна</t>
        </is>
      </c>
      <c r="B586" s="176" t="inlineStr">
        <is>
          <t>Теория обработки металлов давлением</t>
        </is>
      </c>
      <c r="C586" s="176" t="inlineStr">
        <is>
          <t>ЛР</t>
        </is>
      </c>
      <c r="D586" s="176" t="inlineStr">
        <is>
          <t>Т11О-301Б-21</t>
        </is>
      </c>
      <c r="E586" s="177" t="n">
        <v>16</v>
      </c>
      <c r="F586" s="176" t="inlineStr">
        <is>
          <t>14668</t>
        </is>
      </c>
      <c r="G586" s="177" t="n">
        <v>16</v>
      </c>
      <c r="H586" s="176" t="inlineStr">
        <is>
          <t>81720</t>
        </is>
      </c>
      <c r="I586" s="176" t="inlineStr">
        <is>
          <t>Палтиевич Андрей Романович</t>
        </is>
      </c>
      <c r="J586" s="176" t="n"/>
      <c r="K586" s="176" t="inlineStr">
        <is>
          <t>Нет</t>
        </is>
      </c>
      <c r="L586" s="176" t="n"/>
      <c r="M586" s="176" t="n"/>
      <c r="N586" s="179">
        <f>SUMIFS($E$2:$E$896,$A$2:$A$896,"осень",$I$2:$I$896,I586)</f>
        <v/>
      </c>
      <c r="O586" s="179">
        <f>SUMIFS($E$2:$E$896,$A$2:$A$896,"весна",$I$2:$I$896,I586)</f>
        <v/>
      </c>
      <c r="P586" s="180">
        <f>N586+O586</f>
        <v/>
      </c>
      <c r="Q586" s="181">
        <f>P586/$Q$1</f>
        <v/>
      </c>
      <c r="R586" s="122">
        <f>P586*0.2</f>
        <v/>
      </c>
      <c r="S586" s="122">
        <f>Q586*0.8</f>
        <v/>
      </c>
      <c r="T586" s="133" t="n">
        <v>0.65</v>
      </c>
    </row>
    <row r="587" hidden="1" ht="15.75" customHeight="1" s="2">
      <c r="A587" s="194" t="inlineStr">
        <is>
          <t>весна</t>
        </is>
      </c>
      <c r="B587" s="176" t="inlineStr">
        <is>
          <t>Теория обработки металлов давлением</t>
        </is>
      </c>
      <c r="C587" s="176" t="inlineStr">
        <is>
          <t>Экзамен</t>
        </is>
      </c>
      <c r="D587" s="176" t="inlineStr">
        <is>
          <t>Т11О-301Б-21</t>
        </is>
      </c>
      <c r="E587" s="177" t="n">
        <v>4</v>
      </c>
      <c r="F587" s="176" t="inlineStr">
        <is>
          <t>14668</t>
        </is>
      </c>
      <c r="G587" s="178" t="n"/>
      <c r="H587" s="176" t="inlineStr">
        <is>
          <t>81720</t>
        </is>
      </c>
      <c r="I587" s="176" t="inlineStr">
        <is>
          <t>Палтиевич Андрей Романович</t>
        </is>
      </c>
      <c r="J587" s="176" t="n"/>
      <c r="K587" s="176" t="inlineStr">
        <is>
          <t>Нет</t>
        </is>
      </c>
      <c r="L587" s="176" t="n"/>
      <c r="M587" s="176" t="n"/>
      <c r="N587" s="179">
        <f>SUMIFS($E$2:$E$896,$A$2:$A$896,"осень",$I$2:$I$896,I587)</f>
        <v/>
      </c>
      <c r="O587" s="179">
        <f>SUMIFS($E$2:$E$896,$A$2:$A$896,"весна",$I$2:$I$896,I587)</f>
        <v/>
      </c>
      <c r="P587" s="180">
        <f>N587+O587</f>
        <v/>
      </c>
      <c r="Q587" s="181">
        <f>P587/$Q$1</f>
        <v/>
      </c>
      <c r="R587" s="122">
        <f>P587*0.2</f>
        <v/>
      </c>
      <c r="S587" s="122">
        <f>Q587*0.8</f>
        <v/>
      </c>
      <c r="T587" s="133" t="n">
        <v>0.65</v>
      </c>
    </row>
    <row r="588" ht="15.75" customHeight="1" s="2">
      <c r="A588" s="194" t="inlineStr">
        <is>
          <t>весна</t>
        </is>
      </c>
      <c r="B588" s="176" t="inlineStr">
        <is>
          <t>Теория обработки металлов давлением</t>
        </is>
      </c>
      <c r="C588" s="176" t="inlineStr">
        <is>
          <t>Экзамен</t>
        </is>
      </c>
      <c r="D588" s="176" t="inlineStr">
        <is>
          <t>Т11О-301Б-21</t>
        </is>
      </c>
      <c r="E588" s="177" t="n">
        <v>1</v>
      </c>
      <c r="F588" s="176" t="inlineStr">
        <is>
          <t>14668</t>
        </is>
      </c>
      <c r="G588" s="178" t="n"/>
      <c r="H588" s="176" t="n"/>
      <c r="I588" s="176" t="inlineStr">
        <is>
          <t>Палтиевич Андрей Романович</t>
        </is>
      </c>
      <c r="J588" s="176" t="n"/>
      <c r="K588" s="176" t="inlineStr">
        <is>
          <t>Нет</t>
        </is>
      </c>
      <c r="L588" s="176" t="n"/>
      <c r="M588" s="176" t="n"/>
      <c r="N588" s="179">
        <f>SUMIFS($E$2:$E$896,$A$2:$A$896,"осень",$I$2:$I$896,I588)</f>
        <v/>
      </c>
      <c r="O588" s="179">
        <f>SUMIFS($E$2:$E$896,$A$2:$A$896,"весна",$I$2:$I$896,I588)</f>
        <v/>
      </c>
      <c r="P588" s="180">
        <f>N588+O588</f>
        <v/>
      </c>
      <c r="Q588" s="181">
        <f>P588/$Q$1</f>
        <v/>
      </c>
      <c r="R588" s="122">
        <f>P588*0.2</f>
        <v/>
      </c>
      <c r="S588" s="122">
        <f>Q588*0.8</f>
        <v/>
      </c>
      <c r="T588" s="133" t="n">
        <v>0</v>
      </c>
    </row>
    <row r="589" hidden="1" ht="15.75" customHeight="1" s="2">
      <c r="A589" s="194" t="inlineStr">
        <is>
          <t>весна</t>
        </is>
      </c>
      <c r="B589" s="176" t="inlineStr">
        <is>
          <t>Теория обработки металлов давлением</t>
        </is>
      </c>
      <c r="C589" s="176" t="inlineStr">
        <is>
          <t>Консультация</t>
        </is>
      </c>
      <c r="D589" s="176" t="inlineStr">
        <is>
          <t>Т11О-301Б-21</t>
        </is>
      </c>
      <c r="E589" s="177" t="n">
        <v>2</v>
      </c>
      <c r="F589" s="176" t="inlineStr">
        <is>
          <t>14668</t>
        </is>
      </c>
      <c r="G589" s="178" t="n"/>
      <c r="H589" s="176" t="inlineStr">
        <is>
          <t>81720</t>
        </is>
      </c>
      <c r="I589" s="176" t="inlineStr">
        <is>
          <t>Палтиевич Андрей Романович</t>
        </is>
      </c>
      <c r="J589" s="176" t="n"/>
      <c r="K589" s="176" t="inlineStr">
        <is>
          <t>Нет</t>
        </is>
      </c>
      <c r="L589" s="176" t="n"/>
      <c r="M589" s="176" t="n"/>
      <c r="N589" s="179">
        <f>SUMIFS($E$2:$E$896,$A$2:$A$896,"осень",$I$2:$I$896,I589)</f>
        <v/>
      </c>
      <c r="O589" s="179">
        <f>SUMIFS($E$2:$E$896,$A$2:$A$896,"весна",$I$2:$I$896,I589)</f>
        <v/>
      </c>
      <c r="P589" s="180">
        <f>N589+O589</f>
        <v/>
      </c>
      <c r="Q589" s="181">
        <f>P589/$Q$1</f>
        <v/>
      </c>
      <c r="R589" s="122">
        <f>P589*0.2</f>
        <v/>
      </c>
      <c r="S589" s="122">
        <f>Q589*0.8</f>
        <v/>
      </c>
      <c r="T589" s="133" t="n">
        <v>0.65</v>
      </c>
    </row>
    <row r="590" ht="15.75" customHeight="1" s="2">
      <c r="A590" s="194" t="inlineStr">
        <is>
          <t>весна</t>
        </is>
      </c>
      <c r="B590" s="176" t="inlineStr">
        <is>
          <t>Теория обработки металлов давлением</t>
        </is>
      </c>
      <c r="C590" s="176" t="inlineStr">
        <is>
          <t>Консультация</t>
        </is>
      </c>
      <c r="D590" s="176" t="inlineStr">
        <is>
          <t>Т11О-301Б-21</t>
        </is>
      </c>
      <c r="E590" s="177" t="n">
        <v>1</v>
      </c>
      <c r="F590" s="176" t="inlineStr">
        <is>
          <t>14668</t>
        </is>
      </c>
      <c r="G590" s="178" t="n"/>
      <c r="H590" s="176" t="n"/>
      <c r="I590" s="176" t="inlineStr">
        <is>
          <t>Палтиевич Андрей Романович</t>
        </is>
      </c>
      <c r="J590" s="176" t="n"/>
      <c r="K590" s="176" t="inlineStr">
        <is>
          <t>Нет</t>
        </is>
      </c>
      <c r="L590" s="176" t="n"/>
      <c r="M590" s="176" t="n"/>
      <c r="N590" s="179">
        <f>SUMIFS($E$2:$E$896,$A$2:$A$896,"осень",$I$2:$I$896,I590)</f>
        <v/>
      </c>
      <c r="O590" s="179">
        <f>SUMIFS($E$2:$E$896,$A$2:$A$896,"весна",$I$2:$I$896,I590)</f>
        <v/>
      </c>
      <c r="P590" s="180">
        <f>N590+O590</f>
        <v/>
      </c>
      <c r="Q590" s="181">
        <f>P590/$Q$1</f>
        <v/>
      </c>
      <c r="R590" s="122">
        <f>P590*0.2</f>
        <v/>
      </c>
      <c r="S590" s="122">
        <f>Q590*0.8</f>
        <v/>
      </c>
      <c r="T590" s="133" t="n">
        <v>0</v>
      </c>
    </row>
    <row r="591" hidden="1" ht="15.75" customHeight="1" s="2">
      <c r="A591" s="194" t="inlineStr">
        <is>
          <t>весна</t>
        </is>
      </c>
      <c r="B591" s="176" t="inlineStr">
        <is>
          <t>Технология кузнечно-штамповочного производства</t>
        </is>
      </c>
      <c r="C591" s="176" t="inlineStr">
        <is>
          <t>КП</t>
        </is>
      </c>
      <c r="D591" s="176" t="inlineStr">
        <is>
          <t>Т11О-401Б-20</t>
        </is>
      </c>
      <c r="E591" s="177" t="n">
        <v>36</v>
      </c>
      <c r="F591" s="176" t="inlineStr">
        <is>
          <t>11924</t>
        </is>
      </c>
      <c r="G591" s="178" t="n"/>
      <c r="H591" s="176" t="inlineStr">
        <is>
          <t>81729</t>
        </is>
      </c>
      <c r="I591" s="176" t="inlineStr">
        <is>
          <t>Соколов Алексей Викторович</t>
        </is>
      </c>
      <c r="J591" s="176" t="n"/>
      <c r="K591" s="176" t="inlineStr">
        <is>
          <t>Нет</t>
        </is>
      </c>
      <c r="L591" s="176" t="n"/>
      <c r="M591" s="176" t="n"/>
      <c r="N591" s="179">
        <f>SUMIFS($E$2:$E$896,$A$2:$A$896,"осень",$I$2:$I$896,I591)</f>
        <v/>
      </c>
      <c r="O591" s="179">
        <f>SUMIFS($E$2:$E$896,$A$2:$A$896,"весна",$I$2:$I$896,I591)</f>
        <v/>
      </c>
      <c r="P591" s="180">
        <f>N591+O591</f>
        <v/>
      </c>
      <c r="Q591" s="181">
        <f>P591/$Q$1</f>
        <v/>
      </c>
      <c r="R591" s="122">
        <f>P591*0.2</f>
        <v/>
      </c>
      <c r="S591" s="122">
        <f>Q591*0.8</f>
        <v/>
      </c>
      <c r="T591" s="133" t="n">
        <v>0.55</v>
      </c>
    </row>
    <row r="592" hidden="1" ht="15.75" customHeight="1" s="2">
      <c r="A592" s="194" t="inlineStr">
        <is>
          <t>весна</t>
        </is>
      </c>
      <c r="B592" s="176" t="inlineStr">
        <is>
          <t>Технология кузнечно-штамповочного производства</t>
        </is>
      </c>
      <c r="C592" s="176" t="inlineStr">
        <is>
          <t>ЛК</t>
        </is>
      </c>
      <c r="D592" s="176" t="inlineStr">
        <is>
          <t>Т11О-401Б-20</t>
        </is>
      </c>
      <c r="E592" s="177" t="n">
        <v>20</v>
      </c>
      <c r="F592" s="176" t="inlineStr">
        <is>
          <t>11924</t>
        </is>
      </c>
      <c r="G592" s="177" t="n">
        <v>20</v>
      </c>
      <c r="H592" s="176" t="inlineStr">
        <is>
          <t>81729</t>
        </is>
      </c>
      <c r="I592" s="176" t="inlineStr">
        <is>
          <t>Соколов Алексей Викторович</t>
        </is>
      </c>
      <c r="J592" s="176" t="n"/>
      <c r="K592" s="176" t="inlineStr">
        <is>
          <t>Нет</t>
        </is>
      </c>
      <c r="L592" s="176" t="n"/>
      <c r="M592" s="176" t="n"/>
      <c r="N592" s="179">
        <f>SUMIFS($E$2:$E$896,$A$2:$A$896,"осень",$I$2:$I$896,I592)</f>
        <v/>
      </c>
      <c r="O592" s="179">
        <f>SUMIFS($E$2:$E$896,$A$2:$A$896,"весна",$I$2:$I$896,I592)</f>
        <v/>
      </c>
      <c r="P592" s="180">
        <f>N592+O592</f>
        <v/>
      </c>
      <c r="Q592" s="181">
        <f>P592/$Q$1</f>
        <v/>
      </c>
      <c r="R592" s="122">
        <f>P592*0.2</f>
        <v/>
      </c>
      <c r="S592" s="122">
        <f>Q592*0.8</f>
        <v/>
      </c>
      <c r="T592" s="133" t="n">
        <v>0.55</v>
      </c>
    </row>
    <row r="593" hidden="1" ht="15.75" customHeight="1" s="2">
      <c r="A593" s="194" t="inlineStr">
        <is>
          <t>весна</t>
        </is>
      </c>
      <c r="B593" s="176" t="inlineStr">
        <is>
          <t>Технология кузнечно-штамповочного производства</t>
        </is>
      </c>
      <c r="C593" s="176" t="inlineStr">
        <is>
          <t>ПЗ</t>
        </is>
      </c>
      <c r="D593" s="176" t="inlineStr">
        <is>
          <t>Т11О-401Б-20</t>
        </is>
      </c>
      <c r="E593" s="177" t="n">
        <v>32</v>
      </c>
      <c r="F593" s="176" t="inlineStr">
        <is>
          <t>11924</t>
        </is>
      </c>
      <c r="G593" s="177" t="n">
        <v>32</v>
      </c>
      <c r="H593" s="176" t="inlineStr">
        <is>
          <t>81729</t>
        </is>
      </c>
      <c r="I593" s="176" t="inlineStr">
        <is>
          <t>Соколов Алексей Викторович</t>
        </is>
      </c>
      <c r="J593" s="176" t="n"/>
      <c r="K593" s="176" t="inlineStr">
        <is>
          <t>Нет</t>
        </is>
      </c>
      <c r="L593" s="176" t="n"/>
      <c r="M593" s="176" t="n"/>
      <c r="N593" s="179">
        <f>SUMIFS($E$2:$E$896,$A$2:$A$896,"осень",$I$2:$I$896,I593)</f>
        <v/>
      </c>
      <c r="O593" s="179">
        <f>SUMIFS($E$2:$E$896,$A$2:$A$896,"весна",$I$2:$I$896,I593)</f>
        <v/>
      </c>
      <c r="P593" s="180">
        <f>N593+O593</f>
        <v/>
      </c>
      <c r="Q593" s="181">
        <f>P593/$Q$1</f>
        <v/>
      </c>
      <c r="R593" s="122">
        <f>P593*0.2</f>
        <v/>
      </c>
      <c r="S593" s="122">
        <f>Q593*0.8</f>
        <v/>
      </c>
      <c r="T593" s="133" t="n">
        <v>0.55</v>
      </c>
    </row>
    <row r="594" hidden="1" ht="15.75" customHeight="1" s="2">
      <c r="A594" s="194" t="inlineStr">
        <is>
          <t>весна</t>
        </is>
      </c>
      <c r="B594" s="176" t="inlineStr">
        <is>
          <t>Технология кузнечно-штамповочного производства</t>
        </is>
      </c>
      <c r="C594" s="176" t="inlineStr">
        <is>
          <t>Экзамен</t>
        </is>
      </c>
      <c r="D594" s="176" t="inlineStr">
        <is>
          <t>Т11О-401Б-20</t>
        </is>
      </c>
      <c r="E594" s="177" t="n">
        <v>4</v>
      </c>
      <c r="F594" s="176" t="inlineStr">
        <is>
          <t>11924</t>
        </is>
      </c>
      <c r="G594" s="178" t="n"/>
      <c r="H594" s="176" t="inlineStr">
        <is>
          <t>81729</t>
        </is>
      </c>
      <c r="I594" s="176" t="inlineStr">
        <is>
          <t>Соколов Алексей Викторович</t>
        </is>
      </c>
      <c r="J594" s="176" t="n"/>
      <c r="K594" s="176" t="inlineStr">
        <is>
          <t>Нет</t>
        </is>
      </c>
      <c r="L594" s="176" t="n"/>
      <c r="M594" s="176" t="n"/>
      <c r="N594" s="179">
        <f>SUMIFS($E$2:$E$896,$A$2:$A$896,"осень",$I$2:$I$896,I594)</f>
        <v/>
      </c>
      <c r="O594" s="179">
        <f>SUMIFS($E$2:$E$896,$A$2:$A$896,"весна",$I$2:$I$896,I594)</f>
        <v/>
      </c>
      <c r="P594" s="180">
        <f>N594+O594</f>
        <v/>
      </c>
      <c r="Q594" s="181">
        <f>P594/$Q$1</f>
        <v/>
      </c>
      <c r="R594" s="122">
        <f>P594*0.2</f>
        <v/>
      </c>
      <c r="S594" s="122">
        <f>Q594*0.8</f>
        <v/>
      </c>
      <c r="T594" s="133" t="n">
        <v>0.55</v>
      </c>
    </row>
    <row r="595" ht="15.75" customHeight="1" s="2">
      <c r="A595" s="194" t="inlineStr">
        <is>
          <t>весна</t>
        </is>
      </c>
      <c r="B595" s="176" t="inlineStr">
        <is>
          <t>Технология кузнечно-штамповочного производства</t>
        </is>
      </c>
      <c r="C595" s="176" t="inlineStr">
        <is>
          <t>Экзамен</t>
        </is>
      </c>
      <c r="D595" s="176" t="inlineStr">
        <is>
          <t>Т11О-401Б-20</t>
        </is>
      </c>
      <c r="E595" s="177" t="n">
        <v>2</v>
      </c>
      <c r="F595" s="176" t="inlineStr">
        <is>
          <t>11924</t>
        </is>
      </c>
      <c r="G595" s="178" t="n"/>
      <c r="H595" s="176" t="n"/>
      <c r="I595" s="176" t="inlineStr">
        <is>
          <t>Соколов Алексей Викторович</t>
        </is>
      </c>
      <c r="J595" s="176" t="n"/>
      <c r="K595" s="176" t="inlineStr">
        <is>
          <t>Нет</t>
        </is>
      </c>
      <c r="L595" s="176" t="n"/>
      <c r="M595" s="176" t="n"/>
      <c r="N595" s="179">
        <f>SUMIFS($E$2:$E$896,$A$2:$A$896,"осень",$I$2:$I$896,I595)</f>
        <v/>
      </c>
      <c r="O595" s="179">
        <f>SUMIFS($E$2:$E$896,$A$2:$A$896,"весна",$I$2:$I$896,I595)</f>
        <v/>
      </c>
      <c r="P595" s="180">
        <f>N595+O595</f>
        <v/>
      </c>
      <c r="Q595" s="181">
        <f>P595/$Q$1</f>
        <v/>
      </c>
      <c r="R595" s="122">
        <f>P595*0.2</f>
        <v/>
      </c>
      <c r="S595" s="122">
        <f>Q595*0.8</f>
        <v/>
      </c>
      <c r="T595" s="133" t="n">
        <v>0</v>
      </c>
    </row>
    <row r="596" hidden="1" ht="15.75" customHeight="1" s="2">
      <c r="A596" s="194" t="inlineStr">
        <is>
          <t>весна</t>
        </is>
      </c>
      <c r="B596" s="176" t="inlineStr">
        <is>
          <t>Технология кузнечно-штамповочного производства</t>
        </is>
      </c>
      <c r="C596" s="176" t="inlineStr">
        <is>
          <t>Консультация</t>
        </is>
      </c>
      <c r="D596" s="176" t="inlineStr">
        <is>
          <t>Т11О-401Б-20</t>
        </is>
      </c>
      <c r="E596" s="177" t="n">
        <v>2</v>
      </c>
      <c r="F596" s="176" t="inlineStr">
        <is>
          <t>11924</t>
        </is>
      </c>
      <c r="G596" s="178" t="n"/>
      <c r="H596" s="176" t="inlineStr">
        <is>
          <t>81729</t>
        </is>
      </c>
      <c r="I596" s="176" t="inlineStr">
        <is>
          <t>Соколов Алексей Викторович</t>
        </is>
      </c>
      <c r="J596" s="176" t="n"/>
      <c r="K596" s="176" t="inlineStr">
        <is>
          <t>Нет</t>
        </is>
      </c>
      <c r="L596" s="176" t="n"/>
      <c r="M596" s="176" t="n"/>
      <c r="N596" s="179">
        <f>SUMIFS($E$2:$E$896,$A$2:$A$896,"осень",$I$2:$I$896,I596)</f>
        <v/>
      </c>
      <c r="O596" s="179">
        <f>SUMIFS($E$2:$E$896,$A$2:$A$896,"весна",$I$2:$I$896,I596)</f>
        <v/>
      </c>
      <c r="P596" s="180">
        <f>N596+O596</f>
        <v/>
      </c>
      <c r="Q596" s="181">
        <f>P596/$Q$1</f>
        <v/>
      </c>
      <c r="R596" s="122">
        <f>P596*0.2</f>
        <v/>
      </c>
      <c r="S596" s="122">
        <f>Q596*0.8</f>
        <v/>
      </c>
      <c r="T596" s="133" t="n">
        <v>0.55</v>
      </c>
    </row>
    <row r="597" ht="15.75" customHeight="1" s="2">
      <c r="A597" s="194" t="inlineStr">
        <is>
          <t>весна</t>
        </is>
      </c>
      <c r="B597" s="176" t="inlineStr">
        <is>
          <t>Технология кузнечно-штамповочного производства</t>
        </is>
      </c>
      <c r="C597" s="176" t="inlineStr">
        <is>
          <t>Консультация</t>
        </is>
      </c>
      <c r="D597" s="176" t="inlineStr">
        <is>
          <t>Т11О-401Б-20</t>
        </is>
      </c>
      <c r="E597" s="177" t="n">
        <v>1</v>
      </c>
      <c r="F597" s="176" t="inlineStr">
        <is>
          <t>11924</t>
        </is>
      </c>
      <c r="G597" s="178" t="n"/>
      <c r="H597" s="176" t="n"/>
      <c r="I597" s="176" t="inlineStr">
        <is>
          <t>Соколов Алексей Викторович</t>
        </is>
      </c>
      <c r="J597" s="176" t="n"/>
      <c r="K597" s="176" t="inlineStr">
        <is>
          <t>Нет</t>
        </is>
      </c>
      <c r="L597" s="176" t="n"/>
      <c r="M597" s="176" t="n"/>
      <c r="N597" s="179">
        <f>SUMIFS($E$2:$E$896,$A$2:$A$896,"осень",$I$2:$I$896,I597)</f>
        <v/>
      </c>
      <c r="O597" s="179">
        <f>SUMIFS($E$2:$E$896,$A$2:$A$896,"весна",$I$2:$I$896,I597)</f>
        <v/>
      </c>
      <c r="P597" s="180">
        <f>N597+O597</f>
        <v/>
      </c>
      <c r="Q597" s="181">
        <f>P597/$Q$1</f>
        <v/>
      </c>
      <c r="R597" s="122">
        <f>P597*0.2</f>
        <v/>
      </c>
      <c r="S597" s="122">
        <f>Q597*0.8</f>
        <v/>
      </c>
      <c r="T597" s="133" t="n">
        <v>0</v>
      </c>
    </row>
    <row r="598" hidden="1" ht="15.75" customHeight="1" s="2">
      <c r="A598" s="194" t="inlineStr">
        <is>
          <t>весна</t>
        </is>
      </c>
      <c r="B598" s="176" t="inlineStr">
        <is>
          <t>Технологические процессы производства наноматериалов</t>
        </is>
      </c>
      <c r="C598" s="176" t="inlineStr">
        <is>
          <t>ЛК</t>
        </is>
      </c>
      <c r="D598" s="176" t="inlineStr">
        <is>
          <t>Т11О-402Б-20</t>
        </is>
      </c>
      <c r="E598" s="177" t="n">
        <v>34</v>
      </c>
      <c r="F598" s="176" t="inlineStr">
        <is>
          <t>11923</t>
        </is>
      </c>
      <c r="G598" s="177" t="n">
        <v>34</v>
      </c>
      <c r="H598" s="176" t="inlineStr">
        <is>
          <t>82060</t>
        </is>
      </c>
      <c r="I598" s="176" t="inlineStr">
        <is>
          <t>Лозован Александр Александрович</t>
        </is>
      </c>
      <c r="J598" s="176" t="n"/>
      <c r="K598" s="176" t="inlineStr">
        <is>
          <t>Нет</t>
        </is>
      </c>
      <c r="L598" s="176" t="n"/>
      <c r="M598" s="176" t="n"/>
      <c r="N598" s="179">
        <f>SUMIFS($E$2:$E$896,$A$2:$A$896,"осень",$I$2:$I$896,I598)</f>
        <v/>
      </c>
      <c r="O598" s="179">
        <f>SUMIFS($E$2:$E$896,$A$2:$A$896,"весна",$I$2:$I$896,I598)</f>
        <v/>
      </c>
      <c r="P598" s="180">
        <f>N598+O598</f>
        <v/>
      </c>
      <c r="Q598" s="181">
        <f>P598/$Q$1</f>
        <v/>
      </c>
      <c r="R598" s="122">
        <f>P598*0.2</f>
        <v/>
      </c>
      <c r="S598" s="122">
        <f>Q598*0.8</f>
        <v/>
      </c>
      <c r="T598" s="133" t="n">
        <v>0.55</v>
      </c>
    </row>
    <row r="599" hidden="1" ht="15.75" customHeight="1" s="2">
      <c r="A599" s="194" t="inlineStr">
        <is>
          <t>весна</t>
        </is>
      </c>
      <c r="B599" s="176" t="inlineStr">
        <is>
          <t>Технологические процессы производства наноматериалов</t>
        </is>
      </c>
      <c r="C599" s="176" t="inlineStr">
        <is>
          <t>КР</t>
        </is>
      </c>
      <c r="D599" s="176" t="inlineStr">
        <is>
          <t>Т11О-402Б-20</t>
        </is>
      </c>
      <c r="E599" s="177" t="n">
        <v>18</v>
      </c>
      <c r="F599" s="176" t="inlineStr">
        <is>
          <t>11923</t>
        </is>
      </c>
      <c r="G599" s="178" t="n"/>
      <c r="H599" s="176" t="inlineStr">
        <is>
          <t>82060</t>
        </is>
      </c>
      <c r="I599" s="176" t="inlineStr">
        <is>
          <t>Лозован Александр Александрович</t>
        </is>
      </c>
      <c r="J599" s="176" t="n"/>
      <c r="K599" s="176" t="inlineStr">
        <is>
          <t>Нет</t>
        </is>
      </c>
      <c r="L599" s="176" t="n"/>
      <c r="M599" s="176" t="n"/>
      <c r="N599" s="179">
        <f>SUMIFS($E$2:$E$896,$A$2:$A$896,"осень",$I$2:$I$896,I599)</f>
        <v/>
      </c>
      <c r="O599" s="179">
        <f>SUMIFS($E$2:$E$896,$A$2:$A$896,"весна",$I$2:$I$896,I599)</f>
        <v/>
      </c>
      <c r="P599" s="180">
        <f>N599+O599</f>
        <v/>
      </c>
      <c r="Q599" s="181">
        <f>P599/$Q$1</f>
        <v/>
      </c>
      <c r="R599" s="122">
        <f>P599*0.2</f>
        <v/>
      </c>
      <c r="S599" s="122">
        <f>Q599*0.8</f>
        <v/>
      </c>
      <c r="T599" s="133" t="n">
        <v>0.55</v>
      </c>
    </row>
    <row r="600" hidden="1" ht="15.75" customHeight="1" s="2">
      <c r="A600" s="194" t="inlineStr">
        <is>
          <t>весна</t>
        </is>
      </c>
      <c r="B600" s="176" t="inlineStr">
        <is>
          <t>Технологические процессы производства наноматериалов</t>
        </is>
      </c>
      <c r="C600" s="176" t="inlineStr">
        <is>
          <t>Зачет с оценкой</t>
        </is>
      </c>
      <c r="D600" s="176" t="inlineStr">
        <is>
          <t>Т11О-402Б-20</t>
        </is>
      </c>
      <c r="E600" s="177" t="n">
        <v>2</v>
      </c>
      <c r="F600" s="176" t="inlineStr">
        <is>
          <t>11923</t>
        </is>
      </c>
      <c r="G600" s="178" t="n"/>
      <c r="H600" s="176" t="inlineStr">
        <is>
          <t>82060</t>
        </is>
      </c>
      <c r="I600" s="176" t="inlineStr">
        <is>
          <t>Лозован Александр Александрович</t>
        </is>
      </c>
      <c r="J600" s="176" t="n"/>
      <c r="K600" s="176" t="inlineStr">
        <is>
          <t>Нет</t>
        </is>
      </c>
      <c r="L600" s="176" t="n"/>
      <c r="M600" s="176" t="n"/>
      <c r="N600" s="179">
        <f>SUMIFS($E$2:$E$896,$A$2:$A$896,"осень",$I$2:$I$896,I600)</f>
        <v/>
      </c>
      <c r="O600" s="179">
        <f>SUMIFS($E$2:$E$896,$A$2:$A$896,"весна",$I$2:$I$896,I600)</f>
        <v/>
      </c>
      <c r="P600" s="180">
        <f>N600+O600</f>
        <v/>
      </c>
      <c r="Q600" s="181">
        <f>P600/$Q$1</f>
        <v/>
      </c>
      <c r="R600" s="122">
        <f>P600*0.2</f>
        <v/>
      </c>
      <c r="S600" s="122">
        <f>Q600*0.8</f>
        <v/>
      </c>
      <c r="T600" s="133" t="n">
        <v>0.55</v>
      </c>
    </row>
    <row r="601" ht="15.75" customHeight="1" s="2">
      <c r="A601" s="194" t="inlineStr">
        <is>
          <t>весна</t>
        </is>
      </c>
      <c r="B601" s="176" t="inlineStr">
        <is>
          <t>Технологические процессы производства наноматериалов</t>
        </is>
      </c>
      <c r="C601" s="176" t="inlineStr">
        <is>
          <t>Зачет с оценкой</t>
        </is>
      </c>
      <c r="D601" s="176" t="inlineStr">
        <is>
          <t>Т11О-402Б-20</t>
        </is>
      </c>
      <c r="E601" s="177" t="n">
        <v>1</v>
      </c>
      <c r="F601" s="176" t="inlineStr">
        <is>
          <t>11923</t>
        </is>
      </c>
      <c r="G601" s="178" t="n"/>
      <c r="H601" s="176" t="n"/>
      <c r="I601" s="176" t="inlineStr">
        <is>
          <t>э-резерв</t>
        </is>
      </c>
      <c r="J601" s="176" t="n"/>
      <c r="K601" s="176" t="inlineStr">
        <is>
          <t>Нет</t>
        </is>
      </c>
      <c r="L601" s="176" t="n"/>
      <c r="M601" s="176" t="n"/>
      <c r="N601" s="179">
        <f>SUMIFS($E$2:$E$896,$A$2:$A$896,"осень",$I$2:$I$896,I601)</f>
        <v/>
      </c>
      <c r="O601" s="179">
        <f>SUMIFS($E$2:$E$896,$A$2:$A$896,"весна",$I$2:$I$896,I601)</f>
        <v/>
      </c>
      <c r="P601" s="180">
        <f>N601+O601</f>
        <v/>
      </c>
      <c r="Q601" s="181">
        <f>P601/$Q$1</f>
        <v/>
      </c>
      <c r="R601" s="122">
        <f>P601*0.2</f>
        <v/>
      </c>
      <c r="S601" s="122">
        <f>Q601*0.8</f>
        <v/>
      </c>
      <c r="T601" s="133" t="n">
        <v>0</v>
      </c>
    </row>
    <row r="602" hidden="1" ht="15.75" customHeight="1" s="2">
      <c r="A602" s="194" t="inlineStr">
        <is>
          <t>весна</t>
        </is>
      </c>
      <c r="B602" s="176" t="inlineStr">
        <is>
          <t>Технологические процессы производства наноматериалов</t>
        </is>
      </c>
      <c r="C602" s="176" t="inlineStr">
        <is>
          <t>ПЗ</t>
        </is>
      </c>
      <c r="D602" s="176" t="inlineStr">
        <is>
          <t>Т11О-402Б-20</t>
        </is>
      </c>
      <c r="E602" s="177" t="n">
        <v>14</v>
      </c>
      <c r="F602" s="176" t="inlineStr">
        <is>
          <t>11923</t>
        </is>
      </c>
      <c r="G602" s="177" t="n">
        <v>14</v>
      </c>
      <c r="H602" s="176" t="inlineStr">
        <is>
          <t>82060</t>
        </is>
      </c>
      <c r="I602" s="176" t="inlineStr">
        <is>
          <t>Лозован Александр Александрович</t>
        </is>
      </c>
      <c r="J602" s="176" t="n"/>
      <c r="K602" s="176" t="inlineStr">
        <is>
          <t>Нет</t>
        </is>
      </c>
      <c r="L602" s="176" t="n"/>
      <c r="M602" s="176" t="n"/>
      <c r="N602" s="179">
        <f>SUMIFS($E$2:$E$896,$A$2:$A$896,"осень",$I$2:$I$896,I602)</f>
        <v/>
      </c>
      <c r="O602" s="179">
        <f>SUMIFS($E$2:$E$896,$A$2:$A$896,"весна",$I$2:$I$896,I602)</f>
        <v/>
      </c>
      <c r="P602" s="180">
        <f>N602+O602</f>
        <v/>
      </c>
      <c r="Q602" s="181">
        <f>P602/$Q$1</f>
        <v/>
      </c>
      <c r="R602" s="122">
        <f>P602*0.2</f>
        <v/>
      </c>
      <c r="S602" s="122">
        <f>Q602*0.8</f>
        <v/>
      </c>
      <c r="T602" s="133" t="n">
        <v>0.55</v>
      </c>
    </row>
    <row r="603" hidden="1" ht="15.75" customHeight="1" s="2">
      <c r="A603" s="194" t="inlineStr">
        <is>
          <t>весна</t>
        </is>
      </c>
      <c r="B603" s="176" t="inlineStr">
        <is>
          <t>Технологические процессы производства наноматериалов</t>
        </is>
      </c>
      <c r="C603" s="176" t="inlineStr">
        <is>
          <t>ЛР</t>
        </is>
      </c>
      <c r="D603" s="176" t="inlineStr">
        <is>
          <t>Т11О-402Б-20</t>
        </is>
      </c>
      <c r="E603" s="177" t="n">
        <v>8</v>
      </c>
      <c r="F603" s="176" t="inlineStr">
        <is>
          <t>11923</t>
        </is>
      </c>
      <c r="G603" s="177" t="n">
        <v>8</v>
      </c>
      <c r="H603" s="176" t="inlineStr">
        <is>
          <t>82060</t>
        </is>
      </c>
      <c r="I603" s="176" t="inlineStr">
        <is>
          <t>Лозован Александр Александрович</t>
        </is>
      </c>
      <c r="J603" s="176" t="n"/>
      <c r="K603" s="176" t="inlineStr">
        <is>
          <t>Нет</t>
        </is>
      </c>
      <c r="L603" s="176" t="n"/>
      <c r="M603" s="176" t="n"/>
      <c r="N603" s="179">
        <f>SUMIFS($E$2:$E$896,$A$2:$A$896,"осень",$I$2:$I$896,I603)</f>
        <v/>
      </c>
      <c r="O603" s="179">
        <f>SUMIFS($E$2:$E$896,$A$2:$A$896,"весна",$I$2:$I$896,I603)</f>
        <v/>
      </c>
      <c r="P603" s="180">
        <f>N603+O603</f>
        <v/>
      </c>
      <c r="Q603" s="181">
        <f>P603/$Q$1</f>
        <v/>
      </c>
      <c r="R603" s="122">
        <f>P603*0.2</f>
        <v/>
      </c>
      <c r="S603" s="122">
        <f>Q603*0.8</f>
        <v/>
      </c>
      <c r="T603" s="133" t="n">
        <v>0.55</v>
      </c>
    </row>
    <row r="604" hidden="1" ht="15.75" customHeight="1" s="2">
      <c r="A604" s="194" t="inlineStr">
        <is>
          <t>весна</t>
        </is>
      </c>
      <c r="B604" s="176" t="inlineStr">
        <is>
          <t>Технологические процессы производства наноматериалов</t>
        </is>
      </c>
      <c r="C604" s="176" t="inlineStr">
        <is>
          <t>Консультация</t>
        </is>
      </c>
      <c r="D604" s="176" t="inlineStr">
        <is>
          <t>Т11О-402Б-20</t>
        </is>
      </c>
      <c r="E604" s="177" t="n">
        <v>1</v>
      </c>
      <c r="F604" s="176" t="inlineStr">
        <is>
          <t>11923</t>
        </is>
      </c>
      <c r="G604" s="178" t="n"/>
      <c r="H604" s="176" t="inlineStr">
        <is>
          <t>82060</t>
        </is>
      </c>
      <c r="I604" s="176" t="inlineStr">
        <is>
          <t>Лозован Александр Александрович</t>
        </is>
      </c>
      <c r="J604" s="176" t="n"/>
      <c r="K604" s="176" t="inlineStr">
        <is>
          <t>Нет</t>
        </is>
      </c>
      <c r="L604" s="176" t="n"/>
      <c r="M604" s="176" t="n"/>
      <c r="N604" s="179">
        <f>SUMIFS($E$2:$E$896,$A$2:$A$896,"осень",$I$2:$I$896,I604)</f>
        <v/>
      </c>
      <c r="O604" s="179">
        <f>SUMIFS($E$2:$E$896,$A$2:$A$896,"весна",$I$2:$I$896,I604)</f>
        <v/>
      </c>
      <c r="P604" s="180">
        <f>N604+O604</f>
        <v/>
      </c>
      <c r="Q604" s="181">
        <f>P604/$Q$1</f>
        <v/>
      </c>
      <c r="R604" s="122">
        <f>P604*0.2</f>
        <v/>
      </c>
      <c r="S604" s="122">
        <f>Q604*0.8</f>
        <v/>
      </c>
      <c r="T604" s="133" t="n">
        <v>0.55</v>
      </c>
    </row>
    <row r="605" ht="15.75" customHeight="1" s="2">
      <c r="A605" s="194" t="inlineStr">
        <is>
          <t>весна</t>
        </is>
      </c>
      <c r="B605" s="176" t="inlineStr">
        <is>
          <t>Технологические процессы производства наноматериалов</t>
        </is>
      </c>
      <c r="C605" s="176" t="inlineStr">
        <is>
          <t>Консультация</t>
        </is>
      </c>
      <c r="D605" s="176" t="inlineStr">
        <is>
          <t>Т11О-402Б-20</t>
        </is>
      </c>
      <c r="E605" s="177" t="n">
        <v>1</v>
      </c>
      <c r="F605" s="176" t="inlineStr">
        <is>
          <t>11923</t>
        </is>
      </c>
      <c r="G605" s="178" t="n"/>
      <c r="H605" s="176" t="n"/>
      <c r="I605" s="176" t="inlineStr">
        <is>
          <t>Лозован Александр Александрович</t>
        </is>
      </c>
      <c r="J605" s="176" t="n"/>
      <c r="K605" s="176" t="inlineStr">
        <is>
          <t>Нет</t>
        </is>
      </c>
      <c r="L605" s="176" t="n"/>
      <c r="M605" s="176" t="n"/>
      <c r="N605" s="179">
        <f>SUMIFS($E$2:$E$896,$A$2:$A$896,"осень",$I$2:$I$896,I605)</f>
        <v/>
      </c>
      <c r="O605" s="179">
        <f>SUMIFS($E$2:$E$896,$A$2:$A$896,"весна",$I$2:$I$896,I605)</f>
        <v/>
      </c>
      <c r="P605" s="180">
        <f>N605+O605</f>
        <v/>
      </c>
      <c r="Q605" s="181">
        <f>P605/$Q$1</f>
        <v/>
      </c>
      <c r="R605" s="122">
        <f>P605*0.2</f>
        <v/>
      </c>
      <c r="S605" s="122">
        <f>Q605*0.8</f>
        <v/>
      </c>
      <c r="T605" s="133" t="n">
        <v>0</v>
      </c>
    </row>
    <row r="606" hidden="1" ht="15.75" customHeight="1" s="2">
      <c r="A606" s="194" t="inlineStr">
        <is>
          <t>весна</t>
        </is>
      </c>
      <c r="B606" s="176" t="inlineStr">
        <is>
          <t>Плавка и литье цветных металлов и сплавов</t>
        </is>
      </c>
      <c r="C606" s="176" t="inlineStr">
        <is>
          <t>ЛК</t>
        </is>
      </c>
      <c r="D606" s="176" t="inlineStr">
        <is>
          <t>Т11О-402Б-20</t>
        </is>
      </c>
      <c r="E606" s="177" t="n">
        <v>24</v>
      </c>
      <c r="F606" s="176" t="inlineStr">
        <is>
          <t>11923</t>
        </is>
      </c>
      <c r="G606" s="177" t="n">
        <v>24</v>
      </c>
      <c r="H606" s="176" t="inlineStr">
        <is>
          <t>81891</t>
        </is>
      </c>
      <c r="I606" s="176" t="inlineStr">
        <is>
          <t>Бобрышев Борис Леонидович</t>
        </is>
      </c>
      <c r="J606" s="176" t="n"/>
      <c r="K606" s="176" t="inlineStr">
        <is>
          <t>Нет</t>
        </is>
      </c>
      <c r="L606" s="176" t="n"/>
      <c r="M606" s="176" t="n"/>
      <c r="N606" s="179">
        <f>SUMIFS($E$2:$E$896,$A$2:$A$896,"осень",$I$2:$I$896,I606)</f>
        <v/>
      </c>
      <c r="O606" s="179">
        <f>SUMIFS($E$2:$E$896,$A$2:$A$896,"весна",$I$2:$I$896,I606)</f>
        <v/>
      </c>
      <c r="P606" s="180">
        <f>N606+O606</f>
        <v/>
      </c>
      <c r="Q606" s="181">
        <f>P606/$Q$1</f>
        <v/>
      </c>
      <c r="R606" s="122">
        <f>P606*0.2</f>
        <v/>
      </c>
      <c r="S606" s="122">
        <f>Q606*0.8</f>
        <v/>
      </c>
      <c r="T606" s="133" t="n">
        <v>0.5</v>
      </c>
    </row>
    <row r="607" hidden="1" ht="15.75" customHeight="1" s="2">
      <c r="A607" s="194" t="inlineStr">
        <is>
          <t>весна</t>
        </is>
      </c>
      <c r="B607" s="176" t="inlineStr">
        <is>
          <t>Плавка и литье цветных металлов и сплавов</t>
        </is>
      </c>
      <c r="C607" s="176" t="inlineStr">
        <is>
          <t>КР</t>
        </is>
      </c>
      <c r="D607" s="176" t="inlineStr">
        <is>
          <t>Т11О-402Б-20</t>
        </is>
      </c>
      <c r="E607" s="177" t="n">
        <v>18</v>
      </c>
      <c r="F607" s="176" t="inlineStr">
        <is>
          <t>11923</t>
        </is>
      </c>
      <c r="G607" s="178" t="n"/>
      <c r="H607" s="176" t="inlineStr">
        <is>
          <t>81891</t>
        </is>
      </c>
      <c r="I607" s="176" t="inlineStr">
        <is>
          <t>Ряховский Александр Павлович</t>
        </is>
      </c>
      <c r="J607" s="176" t="n"/>
      <c r="K607" s="176" t="inlineStr">
        <is>
          <t>Нет</t>
        </is>
      </c>
      <c r="L607" s="176" t="n"/>
      <c r="M607" s="176" t="n"/>
      <c r="N607" s="179">
        <f>SUMIFS($E$2:$E$896,$A$2:$A$896,"осень",$I$2:$I$896,I607)</f>
        <v/>
      </c>
      <c r="O607" s="179">
        <f>SUMIFS($E$2:$E$896,$A$2:$A$896,"весна",$I$2:$I$896,I607)</f>
        <v/>
      </c>
      <c r="P607" s="180">
        <f>N607+O607</f>
        <v/>
      </c>
      <c r="Q607" s="181">
        <f>P607/$Q$1</f>
        <v/>
      </c>
      <c r="R607" s="122">
        <f>P607*0.2</f>
        <v/>
      </c>
      <c r="S607" s="122">
        <f>Q607*0.8</f>
        <v/>
      </c>
      <c r="T607" s="133" t="n">
        <v>0.5</v>
      </c>
    </row>
    <row r="608" hidden="1" ht="15.75" customHeight="1" s="2">
      <c r="A608" s="194" t="inlineStr">
        <is>
          <t>весна</t>
        </is>
      </c>
      <c r="B608" s="176" t="inlineStr">
        <is>
          <t>Плавка и литье цветных металлов и сплавов</t>
        </is>
      </c>
      <c r="C608" s="176" t="inlineStr">
        <is>
          <t>Зачет с оценкой</t>
        </is>
      </c>
      <c r="D608" s="176" t="inlineStr">
        <is>
          <t>Т11О-402Б-20</t>
        </is>
      </c>
      <c r="E608" s="177" t="n">
        <v>3</v>
      </c>
      <c r="F608" s="176" t="inlineStr">
        <is>
          <t>11923</t>
        </is>
      </c>
      <c r="G608" s="178" t="n"/>
      <c r="H608" s="176" t="inlineStr">
        <is>
          <t>81891</t>
        </is>
      </c>
      <c r="I608" s="176" t="inlineStr">
        <is>
          <t>Ряховский Александр Павлович</t>
        </is>
      </c>
      <c r="J608" s="176" t="n"/>
      <c r="K608" s="176" t="inlineStr">
        <is>
          <t>Нет</t>
        </is>
      </c>
      <c r="L608" s="176" t="n"/>
      <c r="M608" s="176" t="n"/>
      <c r="N608" s="179">
        <f>SUMIFS($E$2:$E$896,$A$2:$A$896,"осень",$I$2:$I$896,I608)</f>
        <v/>
      </c>
      <c r="O608" s="179">
        <f>SUMIFS($E$2:$E$896,$A$2:$A$896,"весна",$I$2:$I$896,I608)</f>
        <v/>
      </c>
      <c r="P608" s="180">
        <f>N608+O608</f>
        <v/>
      </c>
      <c r="Q608" s="181">
        <f>P608/$Q$1</f>
        <v/>
      </c>
      <c r="R608" s="122">
        <f>P608*0.2</f>
        <v/>
      </c>
      <c r="S608" s="122">
        <f>Q608*0.8</f>
        <v/>
      </c>
      <c r="T608" s="133" t="n">
        <v>0.5</v>
      </c>
    </row>
    <row r="609" hidden="1" ht="15.75" customHeight="1" s="2">
      <c r="A609" s="194" t="inlineStr">
        <is>
          <t>весна</t>
        </is>
      </c>
      <c r="B609" s="176" t="inlineStr">
        <is>
          <t>Плавка и литье цветных металлов и сплавов</t>
        </is>
      </c>
      <c r="C609" s="176" t="inlineStr">
        <is>
          <t>ЛР</t>
        </is>
      </c>
      <c r="D609" s="176" t="inlineStr">
        <is>
          <t>Т11О-402Б-20</t>
        </is>
      </c>
      <c r="E609" s="177" t="n">
        <v>16</v>
      </c>
      <c r="F609" s="176" t="inlineStr">
        <is>
          <t>11923</t>
        </is>
      </c>
      <c r="G609" s="177" t="n">
        <v>32</v>
      </c>
      <c r="H609" s="176" t="inlineStr">
        <is>
          <t>89068</t>
        </is>
      </c>
      <c r="I609" s="176" t="inlineStr">
        <is>
          <t>Бобрышев Борис Леонидович</t>
        </is>
      </c>
      <c r="J609" s="176" t="n"/>
      <c r="K609" s="176" t="inlineStr">
        <is>
          <t>Нет</t>
        </is>
      </c>
      <c r="L609" s="176" t="n"/>
      <c r="M609" s="176" t="n"/>
      <c r="N609" s="179">
        <f>SUMIFS($E$2:$E$896,$A$2:$A$896,"осень",$I$2:$I$896,I609)</f>
        <v/>
      </c>
      <c r="O609" s="179">
        <f>SUMIFS($E$2:$E$896,$A$2:$A$896,"весна",$I$2:$I$896,I609)</f>
        <v/>
      </c>
      <c r="P609" s="180">
        <f>N609+O609</f>
        <v/>
      </c>
      <c r="Q609" s="181">
        <f>P609/$Q$1</f>
        <v/>
      </c>
      <c r="R609" s="122">
        <f>P609*0.2</f>
        <v/>
      </c>
      <c r="S609" s="122">
        <f>Q609*0.8</f>
        <v/>
      </c>
      <c r="T609" s="133" t="n">
        <v>0.35</v>
      </c>
    </row>
    <row r="610" hidden="1" ht="15.75" customHeight="1" s="2">
      <c r="A610" s="194" t="inlineStr">
        <is>
          <t>весна</t>
        </is>
      </c>
      <c r="B610" s="176" t="inlineStr">
        <is>
          <t>Плавка и литье цветных металлов и сплавов</t>
        </is>
      </c>
      <c r="C610" s="176" t="inlineStr">
        <is>
          <t>ЛР</t>
        </is>
      </c>
      <c r="D610" s="176" t="inlineStr">
        <is>
          <t>Т11О-402Б-20</t>
        </is>
      </c>
      <c r="E610" s="177" t="n">
        <v>16</v>
      </c>
      <c r="F610" s="176" t="inlineStr">
        <is>
          <t>11923</t>
        </is>
      </c>
      <c r="G610" s="177" t="n">
        <v>32</v>
      </c>
      <c r="H610" s="176" t="inlineStr">
        <is>
          <t>94221</t>
        </is>
      </c>
      <c r="I610" s="176" t="inlineStr">
        <is>
          <t>Бобрышев Борис Леонидович</t>
        </is>
      </c>
      <c r="J610" s="176" t="n"/>
      <c r="K610" s="176" t="inlineStr">
        <is>
          <t>Нет</t>
        </is>
      </c>
      <c r="L610" s="176" t="n"/>
      <c r="M610" s="176" t="n"/>
      <c r="N610" s="179">
        <f>SUMIFS($E$2:$E$896,$A$2:$A$896,"осень",$I$2:$I$896,I610)</f>
        <v/>
      </c>
      <c r="O610" s="179">
        <f>SUMIFS($E$2:$E$896,$A$2:$A$896,"весна",$I$2:$I$896,I610)</f>
        <v/>
      </c>
      <c r="P610" s="180">
        <f>N610+O610</f>
        <v/>
      </c>
      <c r="Q610" s="181">
        <f>P610/$Q$1</f>
        <v/>
      </c>
      <c r="R610" s="122">
        <f>P610*0.2</f>
        <v/>
      </c>
      <c r="S610" s="122">
        <f>Q610*0.8</f>
        <v/>
      </c>
      <c r="T610" s="133" t="n">
        <v>0.45</v>
      </c>
    </row>
    <row r="611" hidden="1" ht="15.75" customHeight="1" s="2">
      <c r="A611" s="194" t="inlineStr">
        <is>
          <t>весна</t>
        </is>
      </c>
      <c r="B611" s="176" t="inlineStr">
        <is>
          <t>Плавка и литье цветных металлов и сплавов</t>
        </is>
      </c>
      <c r="C611" s="176" t="inlineStr">
        <is>
          <t>Консультация</t>
        </is>
      </c>
      <c r="D611" s="176" t="inlineStr">
        <is>
          <t>Т11О-402Б-20</t>
        </is>
      </c>
      <c r="E611" s="177" t="n">
        <v>1</v>
      </c>
      <c r="F611" s="176" t="inlineStr">
        <is>
          <t>11923</t>
        </is>
      </c>
      <c r="G611" s="178" t="n"/>
      <c r="H611" s="176" t="inlineStr">
        <is>
          <t>81891</t>
        </is>
      </c>
      <c r="I611" s="176" t="inlineStr">
        <is>
          <t>Бобрышев Борис Леонидович</t>
        </is>
      </c>
      <c r="J611" s="176" t="n"/>
      <c r="K611" s="176" t="inlineStr">
        <is>
          <t>Нет</t>
        </is>
      </c>
      <c r="L611" s="176" t="n"/>
      <c r="M611" s="176" t="n"/>
      <c r="N611" s="179">
        <f>SUMIFS($E$2:$E$896,$A$2:$A$896,"осень",$I$2:$I$896,I611)</f>
        <v/>
      </c>
      <c r="O611" s="179">
        <f>SUMIFS($E$2:$E$896,$A$2:$A$896,"весна",$I$2:$I$896,I611)</f>
        <v/>
      </c>
      <c r="P611" s="180">
        <f>N611+O611</f>
        <v/>
      </c>
      <c r="Q611" s="181">
        <f>P611/$Q$1</f>
        <v/>
      </c>
      <c r="R611" s="122">
        <f>P611*0.2</f>
        <v/>
      </c>
      <c r="S611" s="122">
        <f>Q611*0.8</f>
        <v/>
      </c>
      <c r="T611" s="133" t="n">
        <v>0.5</v>
      </c>
    </row>
    <row r="612" hidden="1" ht="15.75" customHeight="1" s="2">
      <c r="A612" s="194" t="inlineStr">
        <is>
          <t>весна</t>
        </is>
      </c>
      <c r="B612" s="176" t="inlineStr">
        <is>
          <t>Плавка и литье чугунов, стали и сплавов со специальными свойствами</t>
        </is>
      </c>
      <c r="C612" s="176" t="inlineStr">
        <is>
          <t>ЛК</t>
        </is>
      </c>
      <c r="D612" s="176" t="inlineStr">
        <is>
          <t>Т11О-402Б-20</t>
        </is>
      </c>
      <c r="E612" s="177" t="n">
        <v>32</v>
      </c>
      <c r="F612" s="176" t="inlineStr">
        <is>
          <t>11923</t>
        </is>
      </c>
      <c r="G612" s="177" t="n">
        <v>32</v>
      </c>
      <c r="H612" s="176" t="inlineStr">
        <is>
          <t>89068</t>
        </is>
      </c>
      <c r="I612" s="176" t="inlineStr">
        <is>
          <t>Петров Игорь Алексеевич</t>
        </is>
      </c>
      <c r="J612" s="176" t="n"/>
      <c r="K612" s="176" t="inlineStr">
        <is>
          <t>Нет</t>
        </is>
      </c>
      <c r="L612" s="176" t="n"/>
      <c r="M612" s="176" t="n"/>
      <c r="N612" s="179">
        <f>SUMIFS($E$2:$E$896,$A$2:$A$896,"осень",$I$2:$I$896,I612)</f>
        <v/>
      </c>
      <c r="O612" s="179">
        <f>SUMIFS($E$2:$E$896,$A$2:$A$896,"весна",$I$2:$I$896,I612)</f>
        <v/>
      </c>
      <c r="P612" s="180">
        <f>N612+O612</f>
        <v/>
      </c>
      <c r="Q612" s="181">
        <f>P612/$Q$1</f>
        <v/>
      </c>
      <c r="R612" s="122">
        <f>P612*0.2</f>
        <v/>
      </c>
      <c r="S612" s="122">
        <f>Q612*0.8</f>
        <v/>
      </c>
      <c r="T612" s="133" t="n">
        <v>0.35</v>
      </c>
    </row>
    <row r="613" hidden="1" ht="15.75" customHeight="1" s="2">
      <c r="A613" s="194" t="inlineStr">
        <is>
          <t>весна</t>
        </is>
      </c>
      <c r="B613" s="176" t="inlineStr">
        <is>
          <t>Плавка и литье чугунов, стали и сплавов со специальными свойствами</t>
        </is>
      </c>
      <c r="C613" s="176" t="inlineStr">
        <is>
          <t>ЛР</t>
        </is>
      </c>
      <c r="D613" s="176" t="inlineStr">
        <is>
          <t>Т11О-402Б-20</t>
        </is>
      </c>
      <c r="E613" s="177" t="n">
        <v>24</v>
      </c>
      <c r="F613" s="176" t="inlineStr">
        <is>
          <t>11923</t>
        </is>
      </c>
      <c r="G613" s="177" t="n">
        <v>24</v>
      </c>
      <c r="H613" s="176" t="inlineStr">
        <is>
          <t>89068</t>
        </is>
      </c>
      <c r="I613" s="176" t="inlineStr">
        <is>
          <t>Петров Игорь Алексеевич</t>
        </is>
      </c>
      <c r="J613" s="176" t="n"/>
      <c r="K613" s="176" t="inlineStr">
        <is>
          <t>Нет</t>
        </is>
      </c>
      <c r="L613" s="176" t="n"/>
      <c r="M613" s="176" t="n"/>
      <c r="N613" s="179">
        <f>SUMIFS($E$2:$E$896,$A$2:$A$896,"осень",$I$2:$I$896,I613)</f>
        <v/>
      </c>
      <c r="O613" s="179">
        <f>SUMIFS($E$2:$E$896,$A$2:$A$896,"весна",$I$2:$I$896,I613)</f>
        <v/>
      </c>
      <c r="P613" s="180">
        <f>N613+O613</f>
        <v/>
      </c>
      <c r="Q613" s="181">
        <f>P613/$Q$1</f>
        <v/>
      </c>
      <c r="R613" s="122">
        <f>P613*0.2</f>
        <v/>
      </c>
      <c r="S613" s="122">
        <f>Q613*0.8</f>
        <v/>
      </c>
      <c r="T613" s="133" t="n">
        <v>0.35</v>
      </c>
    </row>
    <row r="614" hidden="1" ht="15.75" customHeight="1" s="2">
      <c r="A614" s="194" t="inlineStr">
        <is>
          <t>весна</t>
        </is>
      </c>
      <c r="B614" s="176" t="inlineStr">
        <is>
          <t>Плавка и литье чугунов, стали и сплавов со специальными свойствами</t>
        </is>
      </c>
      <c r="C614" s="176" t="inlineStr">
        <is>
          <t>Экзамен</t>
        </is>
      </c>
      <c r="D614" s="176" t="inlineStr">
        <is>
          <t>Т11О-402Б-20</t>
        </is>
      </c>
      <c r="E614" s="177" t="n">
        <v>4</v>
      </c>
      <c r="F614" s="176" t="inlineStr">
        <is>
          <t>11923</t>
        </is>
      </c>
      <c r="G614" s="178" t="n"/>
      <c r="H614" s="176" t="inlineStr">
        <is>
          <t>89068</t>
        </is>
      </c>
      <c r="I614" s="176" t="inlineStr">
        <is>
          <t>Петров Игорь Алексеевич</t>
        </is>
      </c>
      <c r="J614" s="176" t="n"/>
      <c r="K614" s="176" t="inlineStr">
        <is>
          <t>Нет</t>
        </is>
      </c>
      <c r="L614" s="176" t="n"/>
      <c r="M614" s="176" t="n"/>
      <c r="N614" s="179">
        <f>SUMIFS($E$2:$E$896,$A$2:$A$896,"осень",$I$2:$I$896,I614)</f>
        <v/>
      </c>
      <c r="O614" s="179">
        <f>SUMIFS($E$2:$E$896,$A$2:$A$896,"весна",$I$2:$I$896,I614)</f>
        <v/>
      </c>
      <c r="P614" s="180">
        <f>N614+O614</f>
        <v/>
      </c>
      <c r="Q614" s="181">
        <f>P614/$Q$1</f>
        <v/>
      </c>
      <c r="R614" s="122">
        <f>P614*0.2</f>
        <v/>
      </c>
      <c r="S614" s="122">
        <f>Q614*0.8</f>
        <v/>
      </c>
      <c r="T614" s="133" t="n">
        <v>0.35</v>
      </c>
    </row>
    <row r="615" ht="15.75" customHeight="1" s="2">
      <c r="A615" s="194" t="inlineStr">
        <is>
          <t>весна</t>
        </is>
      </c>
      <c r="B615" s="176" t="inlineStr">
        <is>
          <t>Плавка и литье чугунов, стали и сплавов со специальными свойствами</t>
        </is>
      </c>
      <c r="C615" s="176" t="inlineStr">
        <is>
          <t>Экзамен</t>
        </is>
      </c>
      <c r="D615" s="176" t="inlineStr">
        <is>
          <t>Т11О-402Б-20</t>
        </is>
      </c>
      <c r="E615" s="177" t="n">
        <v>1</v>
      </c>
      <c r="F615" s="176" t="inlineStr">
        <is>
          <t>11923</t>
        </is>
      </c>
      <c r="G615" s="178" t="n"/>
      <c r="H615" s="176" t="n"/>
      <c r="I615" s="176" t="inlineStr">
        <is>
          <t>Петров Игорь Алексеевич</t>
        </is>
      </c>
      <c r="J615" s="176" t="n"/>
      <c r="K615" s="176" t="inlineStr">
        <is>
          <t>Нет</t>
        </is>
      </c>
      <c r="L615" s="176" t="n"/>
      <c r="M615" s="176" t="n"/>
      <c r="N615" s="179">
        <f>SUMIFS($E$2:$E$896,$A$2:$A$896,"осень",$I$2:$I$896,I615)</f>
        <v/>
      </c>
      <c r="O615" s="179">
        <f>SUMIFS($E$2:$E$896,$A$2:$A$896,"весна",$I$2:$I$896,I615)</f>
        <v/>
      </c>
      <c r="P615" s="180">
        <f>N615+O615</f>
        <v/>
      </c>
      <c r="Q615" s="181">
        <f>P615/$Q$1</f>
        <v/>
      </c>
      <c r="R615" s="122">
        <f>P615*0.2</f>
        <v/>
      </c>
      <c r="S615" s="122">
        <f>Q615*0.8</f>
        <v/>
      </c>
      <c r="T615" s="133" t="n">
        <v>0</v>
      </c>
    </row>
    <row r="616" hidden="1" ht="15.75" customHeight="1" s="2">
      <c r="A616" s="194" t="inlineStr">
        <is>
          <t>весна</t>
        </is>
      </c>
      <c r="B616" s="176" t="inlineStr">
        <is>
          <t>Плавка и литье чугунов, стали и сплавов со специальными свойствами</t>
        </is>
      </c>
      <c r="C616" s="176" t="inlineStr">
        <is>
          <t>Консультация</t>
        </is>
      </c>
      <c r="D616" s="176" t="inlineStr">
        <is>
          <t>Т11О-402Б-20</t>
        </is>
      </c>
      <c r="E616" s="177" t="n">
        <v>2</v>
      </c>
      <c r="F616" s="176" t="inlineStr">
        <is>
          <t>11923</t>
        </is>
      </c>
      <c r="G616" s="178" t="n"/>
      <c r="H616" s="176" t="inlineStr">
        <is>
          <t>89068</t>
        </is>
      </c>
      <c r="I616" s="176" t="inlineStr">
        <is>
          <t>Петров Игорь Алексеевич</t>
        </is>
      </c>
      <c r="J616" s="176" t="n"/>
      <c r="K616" s="176" t="inlineStr">
        <is>
          <t>Нет</t>
        </is>
      </c>
      <c r="L616" s="176" t="n"/>
      <c r="M616" s="176" t="n"/>
      <c r="N616" s="179">
        <f>SUMIFS($E$2:$E$896,$A$2:$A$896,"осень",$I$2:$I$896,I616)</f>
        <v/>
      </c>
      <c r="O616" s="179">
        <f>SUMIFS($E$2:$E$896,$A$2:$A$896,"весна",$I$2:$I$896,I616)</f>
        <v/>
      </c>
      <c r="P616" s="180">
        <f>N616+O616</f>
        <v/>
      </c>
      <c r="Q616" s="181">
        <f>P616/$Q$1</f>
        <v/>
      </c>
      <c r="R616" s="122">
        <f>P616*0.2</f>
        <v/>
      </c>
      <c r="S616" s="122">
        <f>Q616*0.8</f>
        <v/>
      </c>
      <c r="T616" s="133" t="n">
        <v>0.35</v>
      </c>
    </row>
    <row r="617" ht="15.75" customHeight="1" s="2">
      <c r="A617" s="194" t="inlineStr">
        <is>
          <t>весна</t>
        </is>
      </c>
      <c r="B617" s="176" t="inlineStr">
        <is>
          <t>Плавка и литье чугунов, стали и сплавов со специальными свойствами</t>
        </is>
      </c>
      <c r="C617" s="176" t="inlineStr">
        <is>
          <t>Консультация</t>
        </is>
      </c>
      <c r="D617" s="176" t="inlineStr">
        <is>
          <t>Т11О-402Б-20</t>
        </is>
      </c>
      <c r="E617" s="177" t="n">
        <v>1</v>
      </c>
      <c r="F617" s="176" t="inlineStr">
        <is>
          <t>11923</t>
        </is>
      </c>
      <c r="G617" s="178" t="n"/>
      <c r="H617" s="176" t="n"/>
      <c r="I617" s="176" t="inlineStr">
        <is>
          <t>Петров Игорь Алексеевич</t>
        </is>
      </c>
      <c r="J617" s="176" t="n"/>
      <c r="K617" s="176" t="inlineStr">
        <is>
          <t>Нет</t>
        </is>
      </c>
      <c r="L617" s="176" t="n"/>
      <c r="M617" s="176" t="n"/>
      <c r="N617" s="179">
        <f>SUMIFS($E$2:$E$896,$A$2:$A$896,"осень",$I$2:$I$896,I617)</f>
        <v/>
      </c>
      <c r="O617" s="179">
        <f>SUMIFS($E$2:$E$896,$A$2:$A$896,"весна",$I$2:$I$896,I617)</f>
        <v/>
      </c>
      <c r="P617" s="180">
        <f>N617+O617</f>
        <v/>
      </c>
      <c r="Q617" s="181">
        <f>P617/$Q$1</f>
        <v/>
      </c>
      <c r="R617" s="122">
        <f>P617*0.2</f>
        <v/>
      </c>
      <c r="S617" s="122">
        <f>Q617*0.8</f>
        <v/>
      </c>
      <c r="T617" s="133" t="n">
        <v>0</v>
      </c>
    </row>
    <row r="618" hidden="1" ht="15.75" customHeight="1" s="2">
      <c r="A618" s="194" t="inlineStr">
        <is>
          <t>весна</t>
        </is>
      </c>
      <c r="B618" s="176" t="inlineStr">
        <is>
          <t>Основы сварки и пайки</t>
        </is>
      </c>
      <c r="C618" s="176" t="inlineStr">
        <is>
          <t>ЛК</t>
        </is>
      </c>
      <c r="D618" s="176" t="inlineStr">
        <is>
          <t>Т11О-301Б-21</t>
        </is>
      </c>
      <c r="E618" s="177" t="n">
        <v>32</v>
      </c>
      <c r="F618" s="176" t="inlineStr">
        <is>
          <t>14668</t>
        </is>
      </c>
      <c r="G618" s="177" t="n">
        <v>32</v>
      </c>
      <c r="H618" s="176" t="inlineStr">
        <is>
          <t>82056</t>
        </is>
      </c>
      <c r="I618" s="176" t="inlineStr">
        <is>
          <t>Никитина Елена Владимировна</t>
        </is>
      </c>
      <c r="J618" s="176" t="n"/>
      <c r="K618" s="176" t="inlineStr">
        <is>
          <t>Нет</t>
        </is>
      </c>
      <c r="L618" s="176" t="n"/>
      <c r="M618" s="176" t="n"/>
      <c r="N618" s="179">
        <f>SUMIFS($E$2:$E$896,$A$2:$A$896,"осень",$I$2:$I$896,I618)</f>
        <v/>
      </c>
      <c r="O618" s="179">
        <f>SUMIFS($E$2:$E$896,$A$2:$A$896,"весна",$I$2:$I$896,I618)</f>
        <v/>
      </c>
      <c r="P618" s="180">
        <f>N618+O618</f>
        <v/>
      </c>
      <c r="Q618" s="181">
        <f>P618/$Q$1</f>
        <v/>
      </c>
      <c r="R618" s="122">
        <f>P618*0.2</f>
        <v/>
      </c>
      <c r="S618" s="122">
        <f>Q618*0.8</f>
        <v/>
      </c>
      <c r="T618" s="133" t="n">
        <v>0.5</v>
      </c>
    </row>
    <row r="619" hidden="1" ht="15.75" customHeight="1" s="2">
      <c r="A619" s="194" t="inlineStr">
        <is>
          <t>весна</t>
        </is>
      </c>
      <c r="B619" s="176" t="inlineStr">
        <is>
          <t>Основы сварки и пайки</t>
        </is>
      </c>
      <c r="C619" s="176" t="inlineStr">
        <is>
          <t>ПЗ</t>
        </is>
      </c>
      <c r="D619" s="176" t="inlineStr">
        <is>
          <t>Т11О-301Б-21</t>
        </is>
      </c>
      <c r="E619" s="177" t="n">
        <v>20</v>
      </c>
      <c r="F619" s="176" t="inlineStr">
        <is>
          <t>14668</t>
        </is>
      </c>
      <c r="G619" s="177" t="n">
        <v>20</v>
      </c>
      <c r="H619" s="176" t="inlineStr">
        <is>
          <t>82056</t>
        </is>
      </c>
      <c r="I619" s="176" t="inlineStr">
        <is>
          <t>Никитина Елена Владимировна</t>
        </is>
      </c>
      <c r="J619" s="176" t="n"/>
      <c r="K619" s="176" t="inlineStr">
        <is>
          <t>Нет</t>
        </is>
      </c>
      <c r="L619" s="176" t="n"/>
      <c r="M619" s="176" t="n"/>
      <c r="N619" s="179">
        <f>SUMIFS($E$2:$E$896,$A$2:$A$896,"осень",$I$2:$I$896,I619)</f>
        <v/>
      </c>
      <c r="O619" s="179">
        <f>SUMIFS($E$2:$E$896,$A$2:$A$896,"весна",$I$2:$I$896,I619)</f>
        <v/>
      </c>
      <c r="P619" s="180">
        <f>N619+O619</f>
        <v/>
      </c>
      <c r="Q619" s="181">
        <f>P619/$Q$1</f>
        <v/>
      </c>
      <c r="R619" s="122">
        <f>P619*0.2</f>
        <v/>
      </c>
      <c r="S619" s="122">
        <f>Q619*0.8</f>
        <v/>
      </c>
      <c r="T619" s="133" t="n">
        <v>0.5</v>
      </c>
    </row>
    <row r="620" hidden="1" ht="15.75" customHeight="1" s="2">
      <c r="A620" s="194" t="inlineStr">
        <is>
          <t>весна</t>
        </is>
      </c>
      <c r="B620" s="176" t="inlineStr">
        <is>
          <t>Основы сварки и пайки</t>
        </is>
      </c>
      <c r="C620" s="176" t="inlineStr">
        <is>
          <t>ЛР</t>
        </is>
      </c>
      <c r="D620" s="176" t="inlineStr">
        <is>
          <t>Т11О-301Б-21</t>
        </is>
      </c>
      <c r="E620" s="177" t="n">
        <v>16</v>
      </c>
      <c r="F620" s="176" t="inlineStr">
        <is>
          <t>14668</t>
        </is>
      </c>
      <c r="G620" s="177" t="n">
        <v>16</v>
      </c>
      <c r="H620" s="176" t="inlineStr">
        <is>
          <t>82056</t>
        </is>
      </c>
      <c r="I620" s="176" t="inlineStr">
        <is>
          <t>Никитина Елена Владимировна</t>
        </is>
      </c>
      <c r="J620" s="176" t="n"/>
      <c r="K620" s="176" t="inlineStr">
        <is>
          <t>Нет</t>
        </is>
      </c>
      <c r="L620" s="176" t="n"/>
      <c r="M620" s="176" t="n"/>
      <c r="N620" s="179">
        <f>SUMIFS($E$2:$E$896,$A$2:$A$896,"осень",$I$2:$I$896,I620)</f>
        <v/>
      </c>
      <c r="O620" s="179">
        <f>SUMIFS($E$2:$E$896,$A$2:$A$896,"весна",$I$2:$I$896,I620)</f>
        <v/>
      </c>
      <c r="P620" s="180">
        <f>N620+O620</f>
        <v/>
      </c>
      <c r="Q620" s="181">
        <f>P620/$Q$1</f>
        <v/>
      </c>
      <c r="R620" s="122">
        <f>P620*0.2</f>
        <v/>
      </c>
      <c r="S620" s="122">
        <f>Q620*0.8</f>
        <v/>
      </c>
      <c r="T620" s="133" t="n">
        <v>0.5</v>
      </c>
    </row>
    <row r="621" hidden="1" ht="15.75" customHeight="1" s="2">
      <c r="A621" s="194" t="inlineStr">
        <is>
          <t>весна</t>
        </is>
      </c>
      <c r="B621" s="176" t="inlineStr">
        <is>
          <t>Основы сварки и пайки</t>
        </is>
      </c>
      <c r="C621" s="176" t="inlineStr">
        <is>
          <t>Экзамен</t>
        </is>
      </c>
      <c r="D621" s="176" t="inlineStr">
        <is>
          <t>Т11О-301Б-21</t>
        </is>
      </c>
      <c r="E621" s="177" t="n">
        <v>4</v>
      </c>
      <c r="F621" s="176" t="inlineStr">
        <is>
          <t>14668</t>
        </is>
      </c>
      <c r="G621" s="178" t="n"/>
      <c r="H621" s="176" t="inlineStr">
        <is>
          <t>82056</t>
        </is>
      </c>
      <c r="I621" s="176" t="inlineStr">
        <is>
          <t>Никитина Елена Владимировна</t>
        </is>
      </c>
      <c r="J621" s="176" t="n"/>
      <c r="K621" s="176" t="inlineStr">
        <is>
          <t>Нет</t>
        </is>
      </c>
      <c r="L621" s="176" t="n"/>
      <c r="M621" s="176" t="n"/>
      <c r="N621" s="179">
        <f>SUMIFS($E$2:$E$896,$A$2:$A$896,"осень",$I$2:$I$896,I621)</f>
        <v/>
      </c>
      <c r="O621" s="179">
        <f>SUMIFS($E$2:$E$896,$A$2:$A$896,"весна",$I$2:$I$896,I621)</f>
        <v/>
      </c>
      <c r="P621" s="180">
        <f>N621+O621</f>
        <v/>
      </c>
      <c r="Q621" s="181">
        <f>P621/$Q$1</f>
        <v/>
      </c>
      <c r="R621" s="122">
        <f>P621*0.2</f>
        <v/>
      </c>
      <c r="S621" s="122">
        <f>Q621*0.8</f>
        <v/>
      </c>
      <c r="T621" s="133" t="n">
        <v>0.5</v>
      </c>
    </row>
    <row r="622" ht="15.75" customHeight="1" s="2">
      <c r="A622" s="194" t="inlineStr">
        <is>
          <t>весна</t>
        </is>
      </c>
      <c r="B622" s="176" t="inlineStr">
        <is>
          <t>Основы сварки и пайки</t>
        </is>
      </c>
      <c r="C622" s="176" t="inlineStr">
        <is>
          <t>Экзамен</t>
        </is>
      </c>
      <c r="D622" s="176" t="inlineStr">
        <is>
          <t>Т11О-301Б-21</t>
        </is>
      </c>
      <c r="E622" s="177" t="n">
        <v>1</v>
      </c>
      <c r="F622" s="176" t="inlineStr">
        <is>
          <t>14668</t>
        </is>
      </c>
      <c r="G622" s="178" t="n"/>
      <c r="H622" s="176" t="n"/>
      <c r="I622" s="176" t="inlineStr">
        <is>
          <t>Никитина Елена Владимировна</t>
        </is>
      </c>
      <c r="J622" s="176" t="n"/>
      <c r="K622" s="176" t="inlineStr">
        <is>
          <t>Нет</t>
        </is>
      </c>
      <c r="L622" s="176" t="n"/>
      <c r="M622" s="176" t="n"/>
      <c r="N622" s="179">
        <f>SUMIFS($E$2:$E$896,$A$2:$A$896,"осень",$I$2:$I$896,I622)</f>
        <v/>
      </c>
      <c r="O622" s="179">
        <f>SUMIFS($E$2:$E$896,$A$2:$A$896,"весна",$I$2:$I$896,I622)</f>
        <v/>
      </c>
      <c r="P622" s="180">
        <f>N622+O622</f>
        <v/>
      </c>
      <c r="Q622" s="181">
        <f>P622/$Q$1</f>
        <v/>
      </c>
      <c r="R622" s="122">
        <f>P622*0.2</f>
        <v/>
      </c>
      <c r="S622" s="122">
        <f>Q622*0.8</f>
        <v/>
      </c>
      <c r="T622" s="133" t="n">
        <v>0</v>
      </c>
    </row>
    <row r="623" hidden="1" ht="15.75" customHeight="1" s="2">
      <c r="A623" s="194" t="inlineStr">
        <is>
          <t>весна</t>
        </is>
      </c>
      <c r="B623" s="176" t="inlineStr">
        <is>
          <t>Основы сварки и пайки</t>
        </is>
      </c>
      <c r="C623" s="176" t="inlineStr">
        <is>
          <t>Консультация</t>
        </is>
      </c>
      <c r="D623" s="176" t="inlineStr">
        <is>
          <t>Т11О-301Б-21</t>
        </is>
      </c>
      <c r="E623" s="177" t="n">
        <v>2</v>
      </c>
      <c r="F623" s="176" t="inlineStr">
        <is>
          <t>14668</t>
        </is>
      </c>
      <c r="G623" s="178" t="n"/>
      <c r="H623" s="176" t="inlineStr">
        <is>
          <t>82056</t>
        </is>
      </c>
      <c r="I623" s="176" t="inlineStr">
        <is>
          <t>Никитина Елена Владимировна</t>
        </is>
      </c>
      <c r="J623" s="176" t="n"/>
      <c r="K623" s="176" t="inlineStr">
        <is>
          <t>Нет</t>
        </is>
      </c>
      <c r="L623" s="176" t="n"/>
      <c r="M623" s="176" t="n"/>
      <c r="N623" s="179">
        <f>SUMIFS($E$2:$E$896,$A$2:$A$896,"осень",$I$2:$I$896,I623)</f>
        <v/>
      </c>
      <c r="O623" s="179">
        <f>SUMIFS($E$2:$E$896,$A$2:$A$896,"весна",$I$2:$I$896,I623)</f>
        <v/>
      </c>
      <c r="P623" s="180">
        <f>N623+O623</f>
        <v/>
      </c>
      <c r="Q623" s="181">
        <f>P623/$Q$1</f>
        <v/>
      </c>
      <c r="R623" s="122">
        <f>P623*0.2</f>
        <v/>
      </c>
      <c r="S623" s="122">
        <f>Q623*0.8</f>
        <v/>
      </c>
      <c r="T623" s="133" t="n">
        <v>0.5</v>
      </c>
    </row>
    <row r="624" ht="15.75" customHeight="1" s="2">
      <c r="A624" s="194" t="inlineStr">
        <is>
          <t>весна</t>
        </is>
      </c>
      <c r="B624" s="176" t="inlineStr">
        <is>
          <t>Основы сварки и пайки</t>
        </is>
      </c>
      <c r="C624" s="176" t="inlineStr">
        <is>
          <t>Консультация</t>
        </is>
      </c>
      <c r="D624" s="176" t="inlineStr">
        <is>
          <t>Т11О-301Б-21</t>
        </is>
      </c>
      <c r="E624" s="177" t="n">
        <v>1</v>
      </c>
      <c r="F624" s="176" t="inlineStr">
        <is>
          <t>14668</t>
        </is>
      </c>
      <c r="G624" s="178" t="n"/>
      <c r="H624" s="176" t="n"/>
      <c r="I624" s="176" t="inlineStr">
        <is>
          <t>Никитина Елена Владимировна</t>
        </is>
      </c>
      <c r="J624" s="176" t="n"/>
      <c r="K624" s="176" t="inlineStr">
        <is>
          <t>Нет</t>
        </is>
      </c>
      <c r="L624" s="176" t="n"/>
      <c r="M624" s="176" t="n"/>
      <c r="N624" s="179">
        <f>SUMIFS($E$2:$E$896,$A$2:$A$896,"осень",$I$2:$I$896,I624)</f>
        <v/>
      </c>
      <c r="O624" s="179">
        <f>SUMIFS($E$2:$E$896,$A$2:$A$896,"весна",$I$2:$I$896,I624)</f>
        <v/>
      </c>
      <c r="P624" s="180">
        <f>N624+O624</f>
        <v/>
      </c>
      <c r="Q624" s="181">
        <f>P624/$Q$1</f>
        <v/>
      </c>
      <c r="R624" s="122">
        <f>P624*0.2</f>
        <v/>
      </c>
      <c r="S624" s="122">
        <f>Q624*0.8</f>
        <v/>
      </c>
      <c r="T624" s="133" t="n">
        <v>0</v>
      </c>
    </row>
    <row r="625" hidden="1" ht="15.75" customHeight="1" s="2">
      <c r="A625" s="194" t="inlineStr">
        <is>
          <t>весна</t>
        </is>
      </c>
      <c r="B625" s="182" t="inlineStr">
        <is>
          <t>Технология нанесения газотермических покрытий</t>
        </is>
      </c>
      <c r="C625" s="182" t="inlineStr">
        <is>
          <t>ЛК</t>
        </is>
      </c>
      <c r="D625" s="182" t="inlineStr">
        <is>
          <t>Т11О-402Б-20</t>
        </is>
      </c>
      <c r="E625" s="183" t="n">
        <v>34</v>
      </c>
      <c r="F625" s="182" t="inlineStr">
        <is>
          <t>11923</t>
        </is>
      </c>
      <c r="G625" s="183" t="n">
        <v>34</v>
      </c>
      <c r="H625" s="182" t="inlineStr">
        <is>
          <t>93689</t>
        </is>
      </c>
      <c r="I625" s="182" t="inlineStr">
        <is>
          <t>Лозован Александр Александрович</t>
        </is>
      </c>
      <c r="J625" s="176" t="n"/>
      <c r="K625" s="176" t="inlineStr">
        <is>
          <t>Нет</t>
        </is>
      </c>
      <c r="L625" s="176" t="n"/>
      <c r="M625" s="176" t="n"/>
      <c r="N625" s="179">
        <f>SUMIFS($E$2:$E$896,$A$2:$A$896,"осень",$I$2:$I$896,I625)</f>
        <v/>
      </c>
      <c r="O625" s="179">
        <f>SUMIFS($E$2:$E$896,$A$2:$A$896,"весна",$I$2:$I$896,I625)</f>
        <v/>
      </c>
      <c r="P625" s="180">
        <f>N625+O625</f>
        <v/>
      </c>
      <c r="Q625" s="181">
        <f>P625/$Q$1</f>
        <v/>
      </c>
      <c r="R625" s="122">
        <f>P625*0.2</f>
        <v/>
      </c>
      <c r="S625" s="122">
        <f>Q625*0.8</f>
        <v/>
      </c>
      <c r="T625" s="133" t="n">
        <v>0.55</v>
      </c>
    </row>
    <row r="626" hidden="1" ht="15.75" customHeight="1" s="2">
      <c r="A626" s="194" t="inlineStr">
        <is>
          <t>весна</t>
        </is>
      </c>
      <c r="B626" s="182" t="inlineStr">
        <is>
          <t>Технология нанесения газотермических покрытий</t>
        </is>
      </c>
      <c r="C626" s="182" t="inlineStr">
        <is>
          <t>Зачет с оценкой</t>
        </is>
      </c>
      <c r="D626" s="182" t="inlineStr">
        <is>
          <t>Т11О-402Б-20</t>
        </is>
      </c>
      <c r="E626" s="183" t="n">
        <v>2</v>
      </c>
      <c r="F626" s="182" t="inlineStr">
        <is>
          <t>11923</t>
        </is>
      </c>
      <c r="G626" s="187" t="n"/>
      <c r="H626" s="182" t="inlineStr">
        <is>
          <t>93689</t>
        </is>
      </c>
      <c r="I626" s="182" t="inlineStr">
        <is>
          <t>Лозован Александр Александрович</t>
        </is>
      </c>
      <c r="J626" s="176" t="n"/>
      <c r="K626" s="176" t="inlineStr">
        <is>
          <t>Нет</t>
        </is>
      </c>
      <c r="L626" s="176" t="n"/>
      <c r="M626" s="176" t="n"/>
      <c r="N626" s="179">
        <f>SUMIFS($E$2:$E$896,$A$2:$A$896,"осень",$I$2:$I$896,I626)</f>
        <v/>
      </c>
      <c r="O626" s="179">
        <f>SUMIFS($E$2:$E$896,$A$2:$A$896,"весна",$I$2:$I$896,I626)</f>
        <v/>
      </c>
      <c r="P626" s="180">
        <f>N626+O626</f>
        <v/>
      </c>
      <c r="Q626" s="181">
        <f>P626/$Q$1</f>
        <v/>
      </c>
      <c r="R626" s="122">
        <f>P626*0.2</f>
        <v/>
      </c>
      <c r="S626" s="122">
        <f>Q626*0.8</f>
        <v/>
      </c>
      <c r="T626" s="133" t="n">
        <v>0.55</v>
      </c>
    </row>
    <row r="627" ht="15.75" customHeight="1" s="2">
      <c r="A627" s="194" t="inlineStr">
        <is>
          <t>весна</t>
        </is>
      </c>
      <c r="B627" s="176" t="inlineStr">
        <is>
          <t>Технология нанесения газотермических покрытий</t>
        </is>
      </c>
      <c r="C627" s="176" t="inlineStr">
        <is>
          <t>Зачет с оценкой</t>
        </is>
      </c>
      <c r="D627" s="176" t="inlineStr">
        <is>
          <t>Т11О-402Б-20</t>
        </is>
      </c>
      <c r="E627" s="177" t="n">
        <v>1</v>
      </c>
      <c r="F627" s="176" t="inlineStr">
        <is>
          <t>11923</t>
        </is>
      </c>
      <c r="G627" s="178" t="n"/>
      <c r="H627" s="176" t="n"/>
      <c r="I627" s="176" t="inlineStr">
        <is>
          <t>э-резерв</t>
        </is>
      </c>
      <c r="J627" s="176" t="n"/>
      <c r="K627" s="176" t="inlineStr">
        <is>
          <t>Нет</t>
        </is>
      </c>
      <c r="L627" s="176" t="n"/>
      <c r="M627" s="176" t="n"/>
      <c r="N627" s="179">
        <f>SUMIFS($E$2:$E$896,$A$2:$A$896,"осень",$I$2:$I$896,I627)</f>
        <v/>
      </c>
      <c r="O627" s="179">
        <f>SUMIFS($E$2:$E$896,$A$2:$A$896,"весна",$I$2:$I$896,I627)</f>
        <v/>
      </c>
      <c r="P627" s="180">
        <f>N627+O627</f>
        <v/>
      </c>
      <c r="Q627" s="181">
        <f>P627/$Q$1</f>
        <v/>
      </c>
      <c r="R627" s="122">
        <f>P627*0.2</f>
        <v/>
      </c>
      <c r="S627" s="122">
        <f>Q627*0.8</f>
        <v/>
      </c>
      <c r="T627" s="133" t="n">
        <v>0</v>
      </c>
    </row>
    <row r="628" hidden="1" ht="15.75" customHeight="1" s="2">
      <c r="A628" s="194" t="inlineStr">
        <is>
          <t>весна</t>
        </is>
      </c>
      <c r="B628" s="182" t="inlineStr">
        <is>
          <t>Технология нанесения газотермических покрытий</t>
        </is>
      </c>
      <c r="C628" s="182" t="inlineStr">
        <is>
          <t>ПЗ</t>
        </is>
      </c>
      <c r="D628" s="182" t="inlineStr">
        <is>
          <t>Т11О-402Б-20</t>
        </is>
      </c>
      <c r="E628" s="183" t="n">
        <v>22</v>
      </c>
      <c r="F628" s="182" t="inlineStr">
        <is>
          <t>11923</t>
        </is>
      </c>
      <c r="G628" s="183" t="n">
        <v>22</v>
      </c>
      <c r="H628" s="182" t="inlineStr">
        <is>
          <t>93689</t>
        </is>
      </c>
      <c r="I628" s="182" t="inlineStr">
        <is>
          <t>Лозован Александр Александрович</t>
        </is>
      </c>
      <c r="J628" s="176" t="n"/>
      <c r="K628" s="176" t="inlineStr">
        <is>
          <t>Нет</t>
        </is>
      </c>
      <c r="L628" s="176" t="n"/>
      <c r="M628" s="176" t="n"/>
      <c r="N628" s="179">
        <f>SUMIFS($E$2:$E$896,$A$2:$A$896,"осень",$I$2:$I$896,I628)</f>
        <v/>
      </c>
      <c r="O628" s="179">
        <f>SUMIFS($E$2:$E$896,$A$2:$A$896,"весна",$I$2:$I$896,I628)</f>
        <v/>
      </c>
      <c r="P628" s="180">
        <f>N628+O628</f>
        <v/>
      </c>
      <c r="Q628" s="181">
        <f>P628/$Q$1</f>
        <v/>
      </c>
      <c r="R628" s="122">
        <f>P628*0.2</f>
        <v/>
      </c>
      <c r="S628" s="122">
        <f>Q628*0.8</f>
        <v/>
      </c>
      <c r="T628" s="133" t="n">
        <v>0.55</v>
      </c>
    </row>
    <row r="629" hidden="1" ht="15.75" customHeight="1" s="2">
      <c r="A629" s="194" t="inlineStr">
        <is>
          <t>весна</t>
        </is>
      </c>
      <c r="B629" s="176" t="inlineStr">
        <is>
          <t>Технология нанесения газотермических покрытий</t>
        </is>
      </c>
      <c r="C629" s="176" t="inlineStr">
        <is>
          <t>Консультация</t>
        </is>
      </c>
      <c r="D629" s="176" t="inlineStr">
        <is>
          <t>Т11О-402Б-20</t>
        </is>
      </c>
      <c r="E629" s="177" t="n">
        <v>1</v>
      </c>
      <c r="F629" s="176" t="inlineStr">
        <is>
          <t>11923</t>
        </is>
      </c>
      <c r="G629" s="178" t="n"/>
      <c r="H629" s="176" t="inlineStr">
        <is>
          <t>93689</t>
        </is>
      </c>
      <c r="I629" s="176" t="inlineStr">
        <is>
          <t>Ленковец Александр Сергеевич</t>
        </is>
      </c>
      <c r="J629" s="176" t="n"/>
      <c r="K629" s="176" t="inlineStr">
        <is>
          <t>Нет</t>
        </is>
      </c>
      <c r="L629" s="176" t="n"/>
      <c r="M629" s="176" t="n"/>
      <c r="N629" s="179">
        <f>SUMIFS($E$2:$E$896,$A$2:$A$896,"осень",$I$2:$I$896,I629)</f>
        <v/>
      </c>
      <c r="O629" s="179">
        <f>SUMIFS($E$2:$E$896,$A$2:$A$896,"весна",$I$2:$I$896,I629)</f>
        <v/>
      </c>
      <c r="P629" s="180">
        <f>N629+O629</f>
        <v/>
      </c>
      <c r="Q629" s="181">
        <f>P629/$Q$1</f>
        <v/>
      </c>
      <c r="R629" s="122">
        <f>P629*0.2</f>
        <v/>
      </c>
      <c r="S629" s="122">
        <f>Q629*0.8</f>
        <v/>
      </c>
      <c r="T629" s="133" t="n">
        <v>0</v>
      </c>
    </row>
    <row r="630" ht="15.75" customHeight="1" s="2">
      <c r="A630" s="194" t="inlineStr">
        <is>
          <t>весна</t>
        </is>
      </c>
      <c r="B630" s="176" t="inlineStr">
        <is>
          <t>Технология нанесения газотермических покрытий</t>
        </is>
      </c>
      <c r="C630" s="176" t="inlineStr">
        <is>
          <t>Консультация</t>
        </is>
      </c>
      <c r="D630" s="176" t="inlineStr">
        <is>
          <t>Т11О-402Б-20</t>
        </is>
      </c>
      <c r="E630" s="177" t="n">
        <v>1</v>
      </c>
      <c r="F630" s="176" t="inlineStr">
        <is>
          <t>11923</t>
        </is>
      </c>
      <c r="G630" s="178" t="n"/>
      <c r="H630" s="176" t="n"/>
      <c r="I630" s="176" t="inlineStr">
        <is>
          <t>э-резерв</t>
        </is>
      </c>
      <c r="J630" s="176" t="n"/>
      <c r="K630" s="176" t="inlineStr">
        <is>
          <t>Нет</t>
        </is>
      </c>
      <c r="L630" s="176" t="n"/>
      <c r="M630" s="176" t="n"/>
      <c r="N630" s="179">
        <f>SUMIFS($E$2:$E$896,$A$2:$A$896,"осень",$I$2:$I$896,I630)</f>
        <v/>
      </c>
      <c r="O630" s="179">
        <f>SUMIFS($E$2:$E$896,$A$2:$A$896,"весна",$I$2:$I$896,I630)</f>
        <v/>
      </c>
      <c r="P630" s="180">
        <f>N630+O630</f>
        <v/>
      </c>
      <c r="Q630" s="181">
        <f>P630/$Q$1</f>
        <v/>
      </c>
      <c r="R630" s="122">
        <f>P630*0.2</f>
        <v/>
      </c>
      <c r="S630" s="122">
        <f>Q630*0.8</f>
        <v/>
      </c>
      <c r="T630" s="133" t="n">
        <v>0</v>
      </c>
    </row>
    <row r="631" hidden="1" ht="15.75" customHeight="1" s="2">
      <c r="A631" s="194" t="inlineStr">
        <is>
          <t>весна</t>
        </is>
      </c>
      <c r="B631" s="176" t="inlineStr">
        <is>
          <t>Современные методы изготовления технологической оснастки в металлургии</t>
        </is>
      </c>
      <c r="C631" s="176" t="inlineStr">
        <is>
          <t>ЛК</t>
        </is>
      </c>
      <c r="D631" s="176" t="inlineStr">
        <is>
          <t>Т11О-201М-22, Т11О-202М-22</t>
        </is>
      </c>
      <c r="E631" s="177" t="n">
        <v>20</v>
      </c>
      <c r="F631" s="176" t="inlineStr">
        <is>
          <t>16104</t>
        </is>
      </c>
      <c r="G631" s="177" t="n">
        <v>20</v>
      </c>
      <c r="H631" s="176" t="inlineStr">
        <is>
          <t>82020</t>
        </is>
      </c>
      <c r="I631" s="176" t="inlineStr">
        <is>
          <t>Варфоломеев Максим Сергеевич</t>
        </is>
      </c>
      <c r="J631" s="176" t="n"/>
      <c r="K631" s="176" t="inlineStr">
        <is>
          <t>Нет</t>
        </is>
      </c>
      <c r="L631" s="176" t="n"/>
      <c r="M631" s="176" t="n"/>
      <c r="N631" s="179">
        <f>SUMIFS($E$2:$E$896,$A$2:$A$896,"осень",$I$2:$I$896,I631)</f>
        <v/>
      </c>
      <c r="O631" s="179">
        <f>SUMIFS($E$2:$E$896,$A$2:$A$896,"весна",$I$2:$I$896,I631)</f>
        <v/>
      </c>
      <c r="P631" s="180">
        <f>N631+O631</f>
        <v/>
      </c>
      <c r="Q631" s="181">
        <f>P631/$Q$1</f>
        <v/>
      </c>
      <c r="R631" s="122">
        <f>P631*0.2</f>
        <v/>
      </c>
      <c r="S631" s="122">
        <f>Q631*0.8</f>
        <v/>
      </c>
      <c r="T631" s="133" t="n">
        <v>0.7</v>
      </c>
    </row>
    <row r="632" hidden="1" ht="15.75" customHeight="1" s="2">
      <c r="A632" s="194" t="inlineStr">
        <is>
          <t>весна</t>
        </is>
      </c>
      <c r="B632" s="176" t="inlineStr">
        <is>
          <t>Современные методы изготовления технологической оснастки в металлургии</t>
        </is>
      </c>
      <c r="C632" s="176" t="inlineStr">
        <is>
          <t>КР</t>
        </is>
      </c>
      <c r="D632" s="176" t="inlineStr">
        <is>
          <t>Т11О-201М-22</t>
        </is>
      </c>
      <c r="E632" s="177" t="n">
        <v>24</v>
      </c>
      <c r="F632" s="176" t="inlineStr">
        <is>
          <t>16104</t>
        </is>
      </c>
      <c r="G632" s="178" t="n"/>
      <c r="H632" s="176" t="inlineStr">
        <is>
          <t>82020</t>
        </is>
      </c>
      <c r="I632" s="176" t="inlineStr">
        <is>
          <t>Варфоломеев Максим Сергеевич</t>
        </is>
      </c>
      <c r="J632" s="176" t="n"/>
      <c r="K632" s="176" t="inlineStr">
        <is>
          <t>Нет</t>
        </is>
      </c>
      <c r="L632" s="176" t="n"/>
      <c r="M632" s="176" t="n"/>
      <c r="N632" s="179">
        <f>SUMIFS($E$2:$E$896,$A$2:$A$896,"осень",$I$2:$I$896,I632)</f>
        <v/>
      </c>
      <c r="O632" s="179">
        <f>SUMIFS($E$2:$E$896,$A$2:$A$896,"весна",$I$2:$I$896,I632)</f>
        <v/>
      </c>
      <c r="P632" s="180">
        <f>N632+O632</f>
        <v/>
      </c>
      <c r="Q632" s="181">
        <f>P632/$Q$1</f>
        <v/>
      </c>
      <c r="R632" s="122">
        <f>P632*0.2</f>
        <v/>
      </c>
      <c r="S632" s="122">
        <f>Q632*0.8</f>
        <v/>
      </c>
      <c r="T632" s="133" t="n">
        <v>0.7</v>
      </c>
    </row>
    <row r="633" hidden="1" ht="15.75" customHeight="1" s="2">
      <c r="A633" s="194" t="inlineStr">
        <is>
          <t>весна</t>
        </is>
      </c>
      <c r="B633" s="176" t="inlineStr">
        <is>
          <t>Современные методы изготовления технологической оснастки в металлургии</t>
        </is>
      </c>
      <c r="C633" s="176" t="inlineStr">
        <is>
          <t>КР</t>
        </is>
      </c>
      <c r="D633" s="176" t="inlineStr">
        <is>
          <t>Т11О-202М-22</t>
        </is>
      </c>
      <c r="E633" s="177" t="n">
        <v>14</v>
      </c>
      <c r="F633" s="176" t="inlineStr">
        <is>
          <t>16104</t>
        </is>
      </c>
      <c r="G633" s="178" t="n"/>
      <c r="H633" s="176" t="inlineStr">
        <is>
          <t>82020</t>
        </is>
      </c>
      <c r="I633" s="176" t="inlineStr">
        <is>
          <t>Варфоломеев Максим Сергеевич</t>
        </is>
      </c>
      <c r="J633" s="176" t="n"/>
      <c r="K633" s="176" t="inlineStr">
        <is>
          <t>Нет</t>
        </is>
      </c>
      <c r="L633" s="176" t="n"/>
      <c r="M633" s="176" t="n"/>
      <c r="N633" s="179">
        <f>SUMIFS($E$2:$E$896,$A$2:$A$896,"осень",$I$2:$I$896,I633)</f>
        <v/>
      </c>
      <c r="O633" s="179">
        <f>SUMIFS($E$2:$E$896,$A$2:$A$896,"весна",$I$2:$I$896,I633)</f>
        <v/>
      </c>
      <c r="P633" s="180">
        <f>N633+O633</f>
        <v/>
      </c>
      <c r="Q633" s="181">
        <f>P633/$Q$1</f>
        <v/>
      </c>
      <c r="R633" s="122">
        <f>P633*0.2</f>
        <v/>
      </c>
      <c r="S633" s="122">
        <f>Q633*0.8</f>
        <v/>
      </c>
      <c r="T633" s="133" t="n">
        <v>0.7</v>
      </c>
    </row>
    <row r="634" hidden="1" ht="15.75" customHeight="1" s="2">
      <c r="A634" s="194" t="inlineStr">
        <is>
          <t>весна</t>
        </is>
      </c>
      <c r="B634" s="176" t="inlineStr">
        <is>
          <t>Современные методы изготовления технологической оснастки в металлургии</t>
        </is>
      </c>
      <c r="C634" s="176" t="inlineStr">
        <is>
          <t>Зачет с оценкой</t>
        </is>
      </c>
      <c r="D634" s="176" t="inlineStr">
        <is>
          <t>Т11О-201М-22</t>
        </is>
      </c>
      <c r="E634" s="177" t="n">
        <v>3</v>
      </c>
      <c r="F634" s="176" t="inlineStr">
        <is>
          <t>16104</t>
        </is>
      </c>
      <c r="G634" s="178" t="n"/>
      <c r="H634" s="176" t="inlineStr">
        <is>
          <t>82020</t>
        </is>
      </c>
      <c r="I634" s="176" t="inlineStr">
        <is>
          <t>Варфоломеев Максим Сергеевич</t>
        </is>
      </c>
      <c r="J634" s="176" t="n"/>
      <c r="K634" s="176" t="inlineStr">
        <is>
          <t>Нет</t>
        </is>
      </c>
      <c r="L634" s="176" t="n"/>
      <c r="M634" s="176" t="n"/>
      <c r="N634" s="179">
        <f>SUMIFS($E$2:$E$896,$A$2:$A$896,"осень",$I$2:$I$896,I634)</f>
        <v/>
      </c>
      <c r="O634" s="179">
        <f>SUMIFS($E$2:$E$896,$A$2:$A$896,"весна",$I$2:$I$896,I634)</f>
        <v/>
      </c>
      <c r="P634" s="180">
        <f>N634+O634</f>
        <v/>
      </c>
      <c r="Q634" s="181">
        <f>P634/$Q$1</f>
        <v/>
      </c>
      <c r="R634" s="122">
        <f>P634*0.2</f>
        <v/>
      </c>
      <c r="S634" s="122">
        <f>Q634*0.8</f>
        <v/>
      </c>
      <c r="T634" s="133" t="n">
        <v>0.7</v>
      </c>
    </row>
    <row r="635" ht="15.75" customHeight="1" s="2">
      <c r="A635" s="194" t="inlineStr">
        <is>
          <t>весна</t>
        </is>
      </c>
      <c r="B635" s="176" t="inlineStr">
        <is>
          <t>Современные методы изготовления технологической оснастки в металлургии</t>
        </is>
      </c>
      <c r="C635" s="176" t="inlineStr">
        <is>
          <t>Зачет с оценкой</t>
        </is>
      </c>
      <c r="D635" s="176" t="inlineStr">
        <is>
          <t>Т11О-201М-22</t>
        </is>
      </c>
      <c r="E635" s="177" t="n">
        <v>1</v>
      </c>
      <c r="F635" s="176" t="inlineStr">
        <is>
          <t>16104</t>
        </is>
      </c>
      <c r="G635" s="178" t="n"/>
      <c r="H635" s="176" t="n"/>
      <c r="I635" s="176" t="inlineStr">
        <is>
          <t>э-резерв</t>
        </is>
      </c>
      <c r="J635" s="176" t="n"/>
      <c r="K635" s="176" t="inlineStr">
        <is>
          <t>Нет</t>
        </is>
      </c>
      <c r="L635" s="176" t="n"/>
      <c r="M635" s="176" t="n"/>
      <c r="N635" s="179">
        <f>SUMIFS($E$2:$E$896,$A$2:$A$896,"осень",$I$2:$I$896,I635)</f>
        <v/>
      </c>
      <c r="O635" s="179">
        <f>SUMIFS($E$2:$E$896,$A$2:$A$896,"весна",$I$2:$I$896,I635)</f>
        <v/>
      </c>
      <c r="P635" s="180">
        <f>N635+O635</f>
        <v/>
      </c>
      <c r="Q635" s="181">
        <f>P635/$Q$1</f>
        <v/>
      </c>
      <c r="R635" s="122">
        <f>P635*0.2</f>
        <v/>
      </c>
      <c r="S635" s="122">
        <f>Q635*0.8</f>
        <v/>
      </c>
      <c r="T635" s="133" t="n">
        <v>0</v>
      </c>
    </row>
    <row r="636" hidden="1" ht="15.75" customHeight="1" s="2">
      <c r="A636" s="194" t="inlineStr">
        <is>
          <t>весна</t>
        </is>
      </c>
      <c r="B636" s="176" t="inlineStr">
        <is>
          <t>Современные методы изготовления технологической оснастки в металлургии</t>
        </is>
      </c>
      <c r="C636" s="176" t="inlineStr">
        <is>
          <t>Зачет с оценкой</t>
        </is>
      </c>
      <c r="D636" s="176" t="inlineStr">
        <is>
          <t>Т11О-202М-22</t>
        </is>
      </c>
      <c r="E636" s="177" t="n">
        <v>2</v>
      </c>
      <c r="F636" s="176" t="inlineStr">
        <is>
          <t>16104</t>
        </is>
      </c>
      <c r="G636" s="178" t="n"/>
      <c r="H636" s="176" t="inlineStr">
        <is>
          <t>82020</t>
        </is>
      </c>
      <c r="I636" s="176" t="inlineStr">
        <is>
          <t>Варфоломеев Максим Сергеевич</t>
        </is>
      </c>
      <c r="J636" s="176" t="n"/>
      <c r="K636" s="176" t="inlineStr">
        <is>
          <t>Нет</t>
        </is>
      </c>
      <c r="L636" s="176" t="n"/>
      <c r="M636" s="176" t="n"/>
      <c r="N636" s="179">
        <f>SUMIFS($E$2:$E$896,$A$2:$A$896,"осень",$I$2:$I$896,I636)</f>
        <v/>
      </c>
      <c r="O636" s="179">
        <f>SUMIFS($E$2:$E$896,$A$2:$A$896,"весна",$I$2:$I$896,I636)</f>
        <v/>
      </c>
      <c r="P636" s="180">
        <f>N636+O636</f>
        <v/>
      </c>
      <c r="Q636" s="181">
        <f>P636/$Q$1</f>
        <v/>
      </c>
      <c r="R636" s="122">
        <f>P636*0.2</f>
        <v/>
      </c>
      <c r="S636" s="122">
        <f>Q636*0.8</f>
        <v/>
      </c>
      <c r="T636" s="133" t="n">
        <v>0.7</v>
      </c>
    </row>
    <row r="637" hidden="1" ht="15.75" customHeight="1" s="2">
      <c r="A637" s="194" t="inlineStr">
        <is>
          <t>весна</t>
        </is>
      </c>
      <c r="B637" s="176" t="inlineStr">
        <is>
          <t>Современные методы изготовления технологической оснастки в металлургии</t>
        </is>
      </c>
      <c r="C637" s="176" t="inlineStr">
        <is>
          <t>ПЗ</t>
        </is>
      </c>
      <c r="D637" s="176" t="inlineStr">
        <is>
          <t>Т11О-201М-22</t>
        </is>
      </c>
      <c r="E637" s="177" t="n">
        <v>44</v>
      </c>
      <c r="F637" s="176" t="inlineStr">
        <is>
          <t>16104</t>
        </is>
      </c>
      <c r="G637" s="177" t="n">
        <v>44</v>
      </c>
      <c r="H637" s="176" t="inlineStr">
        <is>
          <t>82020</t>
        </is>
      </c>
      <c r="I637" s="176" t="inlineStr">
        <is>
          <t>Варфоломеев Максим Сергеевич</t>
        </is>
      </c>
      <c r="J637" s="176" t="n"/>
      <c r="K637" s="176" t="inlineStr">
        <is>
          <t>Нет</t>
        </is>
      </c>
      <c r="L637" s="176" t="n"/>
      <c r="M637" s="176" t="n"/>
      <c r="N637" s="179">
        <f>SUMIFS($E$2:$E$896,$A$2:$A$896,"осень",$I$2:$I$896,I637)</f>
        <v/>
      </c>
      <c r="O637" s="179">
        <f>SUMIFS($E$2:$E$896,$A$2:$A$896,"весна",$I$2:$I$896,I637)</f>
        <v/>
      </c>
      <c r="P637" s="180">
        <f>N637+O637</f>
        <v/>
      </c>
      <c r="Q637" s="181">
        <f>P637/$Q$1</f>
        <v/>
      </c>
      <c r="R637" s="122">
        <f>P637*0.2</f>
        <v/>
      </c>
      <c r="S637" s="122">
        <f>Q637*0.8</f>
        <v/>
      </c>
      <c r="T637" s="133" t="n">
        <v>0.7</v>
      </c>
    </row>
    <row r="638" hidden="1" ht="15.75" customHeight="1" s="2">
      <c r="A638" s="194" t="inlineStr">
        <is>
          <t>весна</t>
        </is>
      </c>
      <c r="B638" s="176" t="inlineStr">
        <is>
          <t>Современные методы изготовления технологической оснастки в металлургии</t>
        </is>
      </c>
      <c r="C638" s="176" t="inlineStr">
        <is>
          <t>ПЗ</t>
        </is>
      </c>
      <c r="D638" s="176" t="inlineStr">
        <is>
          <t>Т11О-202М-22</t>
        </is>
      </c>
      <c r="E638" s="177" t="n">
        <v>44</v>
      </c>
      <c r="F638" s="176" t="inlineStr">
        <is>
          <t>16104</t>
        </is>
      </c>
      <c r="G638" s="177" t="n">
        <v>44</v>
      </c>
      <c r="H638" s="176" t="inlineStr">
        <is>
          <t>82020</t>
        </is>
      </c>
      <c r="I638" s="176" t="inlineStr">
        <is>
          <t>Варфоломеев Максим Сергеевич</t>
        </is>
      </c>
      <c r="J638" s="176" t="n"/>
      <c r="K638" s="176" t="inlineStr">
        <is>
          <t>Нет</t>
        </is>
      </c>
      <c r="L638" s="176" t="n"/>
      <c r="M638" s="176" t="n"/>
      <c r="N638" s="179">
        <f>SUMIFS($E$2:$E$896,$A$2:$A$896,"осень",$I$2:$I$896,I638)</f>
        <v/>
      </c>
      <c r="O638" s="179">
        <f>SUMIFS($E$2:$E$896,$A$2:$A$896,"весна",$I$2:$I$896,I638)</f>
        <v/>
      </c>
      <c r="P638" s="180">
        <f>N638+O638</f>
        <v/>
      </c>
      <c r="Q638" s="181">
        <f>P638/$Q$1</f>
        <v/>
      </c>
      <c r="R638" s="122">
        <f>P638*0.2</f>
        <v/>
      </c>
      <c r="S638" s="122">
        <f>Q638*0.8</f>
        <v/>
      </c>
      <c r="T638" s="133" t="n">
        <v>0.7</v>
      </c>
    </row>
    <row r="639" hidden="1" ht="15.75" customHeight="1" s="2">
      <c r="A639" s="194" t="inlineStr">
        <is>
          <t>весна</t>
        </is>
      </c>
      <c r="B639" s="176" t="inlineStr">
        <is>
          <t>Современные методы изготовления технологической оснастки в металлургии</t>
        </is>
      </c>
      <c r="C639" s="176" t="inlineStr">
        <is>
          <t>ЛР</t>
        </is>
      </c>
      <c r="D639" s="176" t="inlineStr">
        <is>
          <t>Т11О-201М-22</t>
        </is>
      </c>
      <c r="E639" s="177" t="n">
        <v>8</v>
      </c>
      <c r="F639" s="176" t="inlineStr">
        <is>
          <t>16104</t>
        </is>
      </c>
      <c r="G639" s="177" t="n">
        <v>8</v>
      </c>
      <c r="H639" s="176" t="inlineStr">
        <is>
          <t>82020</t>
        </is>
      </c>
      <c r="I639" s="176" t="inlineStr">
        <is>
          <t>Варфоломеев Максим Сергеевич</t>
        </is>
      </c>
      <c r="J639" s="176" t="n"/>
      <c r="K639" s="176" t="inlineStr">
        <is>
          <t>Нет</t>
        </is>
      </c>
      <c r="L639" s="176" t="n"/>
      <c r="M639" s="176" t="n"/>
      <c r="N639" s="179">
        <f>SUMIFS($E$2:$E$896,$A$2:$A$896,"осень",$I$2:$I$896,I639)</f>
        <v/>
      </c>
      <c r="O639" s="179">
        <f>SUMIFS($E$2:$E$896,$A$2:$A$896,"весна",$I$2:$I$896,I639)</f>
        <v/>
      </c>
      <c r="P639" s="180">
        <f>N639+O639</f>
        <v/>
      </c>
      <c r="Q639" s="181">
        <f>P639/$Q$1</f>
        <v/>
      </c>
      <c r="R639" s="122">
        <f>P639*0.2</f>
        <v/>
      </c>
      <c r="S639" s="122">
        <f>Q639*0.8</f>
        <v/>
      </c>
      <c r="T639" s="133" t="n">
        <v>0.7</v>
      </c>
    </row>
    <row r="640" hidden="1" ht="15.75" customHeight="1" s="2">
      <c r="A640" s="194" t="inlineStr">
        <is>
          <t>весна</t>
        </is>
      </c>
      <c r="B640" s="176" t="inlineStr">
        <is>
          <t>Современные методы изготовления технологической оснастки в металлургии</t>
        </is>
      </c>
      <c r="C640" s="176" t="inlineStr">
        <is>
          <t>ЛР</t>
        </is>
      </c>
      <c r="D640" s="176" t="inlineStr">
        <is>
          <t>Т11О-202М-22</t>
        </is>
      </c>
      <c r="E640" s="177" t="n">
        <v>8</v>
      </c>
      <c r="F640" s="176" t="inlineStr">
        <is>
          <t>16104</t>
        </is>
      </c>
      <c r="G640" s="177" t="n">
        <v>8</v>
      </c>
      <c r="H640" s="176" t="inlineStr">
        <is>
          <t>82020</t>
        </is>
      </c>
      <c r="I640" s="176" t="inlineStr">
        <is>
          <t>Варфоломеев Максим Сергеевич</t>
        </is>
      </c>
      <c r="J640" s="176" t="n"/>
      <c r="K640" s="176" t="inlineStr">
        <is>
          <t>Нет</t>
        </is>
      </c>
      <c r="L640" s="176" t="n"/>
      <c r="M640" s="176" t="n"/>
      <c r="N640" s="179">
        <f>SUMIFS($E$2:$E$896,$A$2:$A$896,"осень",$I$2:$I$896,I640)</f>
        <v/>
      </c>
      <c r="O640" s="179">
        <f>SUMIFS($E$2:$E$896,$A$2:$A$896,"весна",$I$2:$I$896,I640)</f>
        <v/>
      </c>
      <c r="P640" s="180">
        <f>N640+O640</f>
        <v/>
      </c>
      <c r="Q640" s="181">
        <f>P640/$Q$1</f>
        <v/>
      </c>
      <c r="R640" s="122">
        <f>P640*0.2</f>
        <v/>
      </c>
      <c r="S640" s="122">
        <f>Q640*0.8</f>
        <v/>
      </c>
      <c r="T640" s="133" t="n">
        <v>0.7</v>
      </c>
    </row>
    <row r="641" hidden="1" ht="15.75" customHeight="1" s="2">
      <c r="A641" s="194" t="inlineStr">
        <is>
          <t>весна</t>
        </is>
      </c>
      <c r="B641" s="176" t="inlineStr">
        <is>
          <t>Современные методы изготовления технологической оснастки в металлургии</t>
        </is>
      </c>
      <c r="C641" s="176" t="inlineStr">
        <is>
          <t>Консультация</t>
        </is>
      </c>
      <c r="D641" s="176" t="inlineStr">
        <is>
          <t>Т11О-201М-22</t>
        </is>
      </c>
      <c r="E641" s="177" t="n">
        <v>1</v>
      </c>
      <c r="F641" s="176" t="inlineStr">
        <is>
          <t>16104</t>
        </is>
      </c>
      <c r="G641" s="178" t="n"/>
      <c r="H641" s="176" t="inlineStr">
        <is>
          <t>82020</t>
        </is>
      </c>
      <c r="I641" s="176" t="inlineStr">
        <is>
          <t>Варфоломеев Максим Сергеевич</t>
        </is>
      </c>
      <c r="J641" s="176" t="n"/>
      <c r="K641" s="176" t="inlineStr">
        <is>
          <t>Нет</t>
        </is>
      </c>
      <c r="L641" s="176" t="n"/>
      <c r="M641" s="176" t="n"/>
      <c r="N641" s="179">
        <f>SUMIFS($E$2:$E$896,$A$2:$A$896,"осень",$I$2:$I$896,I641)</f>
        <v/>
      </c>
      <c r="O641" s="179">
        <f>SUMIFS($E$2:$E$896,$A$2:$A$896,"весна",$I$2:$I$896,I641)</f>
        <v/>
      </c>
      <c r="P641" s="180">
        <f>N641+O641</f>
        <v/>
      </c>
      <c r="Q641" s="181">
        <f>P641/$Q$1</f>
        <v/>
      </c>
      <c r="R641" s="122">
        <f>P641*0.2</f>
        <v/>
      </c>
      <c r="S641" s="122">
        <f>Q641*0.8</f>
        <v/>
      </c>
      <c r="T641" s="133" t="n">
        <v>0.7</v>
      </c>
    </row>
    <row r="642" hidden="1" ht="15.75" customHeight="1" s="2">
      <c r="A642" s="194" t="inlineStr">
        <is>
          <t>весна</t>
        </is>
      </c>
      <c r="B642" s="176" t="inlineStr">
        <is>
          <t>Современные методы изготовления технологической оснастки в металлургии</t>
        </is>
      </c>
      <c r="C642" s="176" t="inlineStr">
        <is>
          <t>Консультация</t>
        </is>
      </c>
      <c r="D642" s="176" t="inlineStr">
        <is>
          <t>Т11О-202М-22</t>
        </is>
      </c>
      <c r="E642" s="177" t="n">
        <v>1</v>
      </c>
      <c r="F642" s="176" t="inlineStr">
        <is>
          <t>16104</t>
        </is>
      </c>
      <c r="G642" s="178" t="n"/>
      <c r="H642" s="176" t="inlineStr">
        <is>
          <t>82020</t>
        </is>
      </c>
      <c r="I642" s="176" t="inlineStr">
        <is>
          <t>Варфоломеев Максим Сергеевич</t>
        </is>
      </c>
      <c r="J642" s="176" t="n"/>
      <c r="K642" s="176" t="inlineStr">
        <is>
          <t>Нет</t>
        </is>
      </c>
      <c r="L642" s="176" t="n"/>
      <c r="M642" s="176" t="n"/>
      <c r="N642" s="179">
        <f>SUMIFS($E$2:$E$896,$A$2:$A$896,"осень",$I$2:$I$896,I642)</f>
        <v/>
      </c>
      <c r="O642" s="179">
        <f>SUMIFS($E$2:$E$896,$A$2:$A$896,"весна",$I$2:$I$896,I642)</f>
        <v/>
      </c>
      <c r="P642" s="180">
        <f>N642+O642</f>
        <v/>
      </c>
      <c r="Q642" s="181">
        <f>P642/$Q$1</f>
        <v/>
      </c>
      <c r="R642" s="122">
        <f>P642*0.2</f>
        <v/>
      </c>
      <c r="S642" s="122">
        <f>Q642*0.8</f>
        <v/>
      </c>
      <c r="T642" s="133" t="n">
        <v>0.7</v>
      </c>
    </row>
    <row r="643" hidden="1" ht="15.75" customHeight="1" s="2">
      <c r="A643" s="194" t="inlineStr">
        <is>
          <t>весна</t>
        </is>
      </c>
      <c r="B643" s="176" t="inlineStr">
        <is>
          <t>Основы статистического управления технологическими процессами</t>
        </is>
      </c>
      <c r="C643" s="176" t="inlineStr">
        <is>
          <t>ЛК</t>
        </is>
      </c>
      <c r="D643" s="176" t="inlineStr">
        <is>
          <t>Т11О-201М-22, Т11О-202М-22</t>
        </is>
      </c>
      <c r="E643" s="177" t="n">
        <v>22</v>
      </c>
      <c r="F643" s="176" t="inlineStr">
        <is>
          <t>16104</t>
        </is>
      </c>
      <c r="G643" s="177" t="n">
        <v>22</v>
      </c>
      <c r="H643" s="176" t="inlineStr">
        <is>
          <t>82090</t>
        </is>
      </c>
      <c r="I643" s="176" t="inlineStr">
        <is>
          <t>Барабанова Ольга Алексеевна</t>
        </is>
      </c>
      <c r="J643" s="176" t="n"/>
      <c r="K643" s="176" t="inlineStr">
        <is>
          <t>Нет</t>
        </is>
      </c>
      <c r="L643" s="176" t="n"/>
      <c r="M643" s="176" t="n"/>
      <c r="N643" s="179">
        <f>SUMIFS($E$2:$E$896,$A$2:$A$896,"осень",$I$2:$I$896,I643)</f>
        <v/>
      </c>
      <c r="O643" s="179">
        <f>SUMIFS($E$2:$E$896,$A$2:$A$896,"весна",$I$2:$I$896,I643)</f>
        <v/>
      </c>
      <c r="P643" s="180">
        <f>N643+O643</f>
        <v/>
      </c>
      <c r="Q643" s="181">
        <f>P643/$Q$1</f>
        <v/>
      </c>
      <c r="R643" s="122">
        <f>P643*0.2</f>
        <v/>
      </c>
      <c r="S643" s="122">
        <f>Q643*0.8</f>
        <v/>
      </c>
      <c r="T643" s="133" t="n">
        <v>0.25</v>
      </c>
    </row>
    <row r="644" hidden="1" ht="15.75" customHeight="1" s="2">
      <c r="A644" s="194" t="inlineStr">
        <is>
          <t>весна</t>
        </is>
      </c>
      <c r="B644" s="176" t="inlineStr">
        <is>
          <t>Основы статистического управления технологическими процессами</t>
        </is>
      </c>
      <c r="C644" s="176" t="inlineStr">
        <is>
          <t>Зачет с оценкой</t>
        </is>
      </c>
      <c r="D644" s="176" t="inlineStr">
        <is>
          <t>Т11О-201М-22</t>
        </is>
      </c>
      <c r="E644" s="177" t="n">
        <v>3</v>
      </c>
      <c r="F644" s="176" t="inlineStr">
        <is>
          <t>16104</t>
        </is>
      </c>
      <c r="G644" s="178" t="n"/>
      <c r="H644" s="176" t="inlineStr">
        <is>
          <t>82090</t>
        </is>
      </c>
      <c r="I644" s="176" t="inlineStr">
        <is>
          <t>Барабанова Ольга Алексеевна</t>
        </is>
      </c>
      <c r="J644" s="176" t="n"/>
      <c r="K644" s="176" t="inlineStr">
        <is>
          <t>Нет</t>
        </is>
      </c>
      <c r="L644" s="176" t="n"/>
      <c r="M644" s="176" t="n"/>
      <c r="N644" s="179">
        <f>SUMIFS($E$2:$E$896,$A$2:$A$896,"осень",$I$2:$I$896,I644)</f>
        <v/>
      </c>
      <c r="O644" s="179">
        <f>SUMIFS($E$2:$E$896,$A$2:$A$896,"весна",$I$2:$I$896,I644)</f>
        <v/>
      </c>
      <c r="P644" s="180">
        <f>N644+O644</f>
        <v/>
      </c>
      <c r="Q644" s="181">
        <f>P644/$Q$1</f>
        <v/>
      </c>
      <c r="R644" s="122">
        <f>P644*0.2</f>
        <v/>
      </c>
      <c r="S644" s="122">
        <f>Q644*0.8</f>
        <v/>
      </c>
      <c r="T644" s="133" t="n">
        <v>0.25</v>
      </c>
    </row>
    <row r="645" ht="15.75" customHeight="1" s="2">
      <c r="A645" s="194" t="inlineStr">
        <is>
          <t>весна</t>
        </is>
      </c>
      <c r="B645" s="176" t="inlineStr">
        <is>
          <t>Основы статистического управления технологическими процессами</t>
        </is>
      </c>
      <c r="C645" s="176" t="inlineStr">
        <is>
          <t>Зачет с оценкой</t>
        </is>
      </c>
      <c r="D645" s="176" t="inlineStr">
        <is>
          <t>Т11О-201М-22</t>
        </is>
      </c>
      <c r="E645" s="177" t="n">
        <v>1</v>
      </c>
      <c r="F645" s="176" t="inlineStr">
        <is>
          <t>16104</t>
        </is>
      </c>
      <c r="G645" s="178" t="n"/>
      <c r="H645" s="176" t="n"/>
      <c r="I645" s="176" t="inlineStr">
        <is>
          <t>э-резерв</t>
        </is>
      </c>
      <c r="J645" s="176" t="n"/>
      <c r="K645" s="176" t="inlineStr">
        <is>
          <t>Нет</t>
        </is>
      </c>
      <c r="L645" s="176" t="n"/>
      <c r="M645" s="176" t="n"/>
      <c r="N645" s="179">
        <f>SUMIFS($E$2:$E$896,$A$2:$A$896,"осень",$I$2:$I$896,I645)</f>
        <v/>
      </c>
      <c r="O645" s="179">
        <f>SUMIFS($E$2:$E$896,$A$2:$A$896,"весна",$I$2:$I$896,I645)</f>
        <v/>
      </c>
      <c r="P645" s="180">
        <f>N645+O645</f>
        <v/>
      </c>
      <c r="Q645" s="181">
        <f>P645/$Q$1</f>
        <v/>
      </c>
      <c r="R645" s="122">
        <f>P645*0.2</f>
        <v/>
      </c>
      <c r="S645" s="122">
        <f>Q645*0.8</f>
        <v/>
      </c>
      <c r="T645" s="133" t="n">
        <v>0</v>
      </c>
    </row>
    <row r="646" hidden="1" ht="15.75" customHeight="1" s="2">
      <c r="A646" s="194" t="inlineStr">
        <is>
          <t>весна</t>
        </is>
      </c>
      <c r="B646" s="176" t="inlineStr">
        <is>
          <t>Основы статистического управления технологическими процессами</t>
        </is>
      </c>
      <c r="C646" s="176" t="inlineStr">
        <is>
          <t>Зачет с оценкой</t>
        </is>
      </c>
      <c r="D646" s="176" t="inlineStr">
        <is>
          <t>Т11О-202М-22</t>
        </is>
      </c>
      <c r="E646" s="177" t="n">
        <v>1</v>
      </c>
      <c r="F646" s="176" t="inlineStr">
        <is>
          <t>16104</t>
        </is>
      </c>
      <c r="G646" s="178" t="n"/>
      <c r="H646" s="176" t="inlineStr">
        <is>
          <t>82090</t>
        </is>
      </c>
      <c r="I646" s="176" t="inlineStr">
        <is>
          <t>Барабанова Ольга Алексеевна</t>
        </is>
      </c>
      <c r="J646" s="176" t="n"/>
      <c r="K646" s="176" t="inlineStr">
        <is>
          <t>Нет</t>
        </is>
      </c>
      <c r="L646" s="176" t="n"/>
      <c r="M646" s="176" t="n"/>
      <c r="N646" s="179">
        <f>SUMIFS($E$2:$E$896,$A$2:$A$896,"осень",$I$2:$I$896,I646)</f>
        <v/>
      </c>
      <c r="O646" s="179">
        <f>SUMIFS($E$2:$E$896,$A$2:$A$896,"весна",$I$2:$I$896,I646)</f>
        <v/>
      </c>
      <c r="P646" s="180">
        <f>N646+O646</f>
        <v/>
      </c>
      <c r="Q646" s="181">
        <f>P646/$Q$1</f>
        <v/>
      </c>
      <c r="R646" s="122">
        <f>P646*0.2</f>
        <v/>
      </c>
      <c r="S646" s="122">
        <f>Q646*0.8</f>
        <v/>
      </c>
      <c r="T646" s="133" t="n">
        <v>0.25</v>
      </c>
    </row>
    <row r="647" ht="15.75" customHeight="1" s="2">
      <c r="A647" s="194" t="inlineStr">
        <is>
          <t>весна</t>
        </is>
      </c>
      <c r="B647" s="176" t="inlineStr">
        <is>
          <t>Основы статистического управления технологическими процессами</t>
        </is>
      </c>
      <c r="C647" s="176" t="inlineStr">
        <is>
          <t>Зачет с оценкой</t>
        </is>
      </c>
      <c r="D647" s="176" t="inlineStr">
        <is>
          <t>Т11О-202М-22</t>
        </is>
      </c>
      <c r="E647" s="177" t="n">
        <v>1</v>
      </c>
      <c r="F647" s="176" t="inlineStr">
        <is>
          <t>16104</t>
        </is>
      </c>
      <c r="G647" s="178" t="n"/>
      <c r="H647" s="176" t="n"/>
      <c r="I647" s="176" t="inlineStr">
        <is>
          <t>э-резерв</t>
        </is>
      </c>
      <c r="J647" s="176" t="n"/>
      <c r="K647" s="176" t="inlineStr">
        <is>
          <t>Нет</t>
        </is>
      </c>
      <c r="L647" s="176" t="n"/>
      <c r="M647" s="176" t="n"/>
      <c r="N647" s="179">
        <f>SUMIFS($E$2:$E$896,$A$2:$A$896,"осень",$I$2:$I$896,I647)</f>
        <v/>
      </c>
      <c r="O647" s="179">
        <f>SUMIFS($E$2:$E$896,$A$2:$A$896,"весна",$I$2:$I$896,I647)</f>
        <v/>
      </c>
      <c r="P647" s="180">
        <f>N647+O647</f>
        <v/>
      </c>
      <c r="Q647" s="181">
        <f>P647/$Q$1</f>
        <v/>
      </c>
      <c r="R647" s="122">
        <f>P647*0.2</f>
        <v/>
      </c>
      <c r="S647" s="122">
        <f>Q647*0.8</f>
        <v/>
      </c>
      <c r="T647" s="133" t="n">
        <v>0</v>
      </c>
    </row>
    <row r="648" hidden="1" ht="15.75" customHeight="1" s="2">
      <c r="A648" s="194" t="inlineStr">
        <is>
          <t>весна</t>
        </is>
      </c>
      <c r="B648" s="176" t="inlineStr">
        <is>
          <t>Основы статистического управления технологическими процессами</t>
        </is>
      </c>
      <c r="C648" s="176" t="inlineStr">
        <is>
          <t>ПЗ</t>
        </is>
      </c>
      <c r="D648" s="176" t="inlineStr">
        <is>
          <t>Т11О-201М-22</t>
        </is>
      </c>
      <c r="E648" s="177" t="n">
        <v>32</v>
      </c>
      <c r="F648" s="176" t="inlineStr">
        <is>
          <t>16104</t>
        </is>
      </c>
      <c r="G648" s="177" t="n">
        <v>32</v>
      </c>
      <c r="H648" s="176" t="inlineStr">
        <is>
          <t>82090</t>
        </is>
      </c>
      <c r="I648" s="176" t="inlineStr">
        <is>
          <t>Барабанова Ольга Алексеевна</t>
        </is>
      </c>
      <c r="J648" s="176" t="n"/>
      <c r="K648" s="176" t="inlineStr">
        <is>
          <t>Нет</t>
        </is>
      </c>
      <c r="L648" s="176" t="n"/>
      <c r="M648" s="176" t="n"/>
      <c r="N648" s="179">
        <f>SUMIFS($E$2:$E$896,$A$2:$A$896,"осень",$I$2:$I$896,I648)</f>
        <v/>
      </c>
      <c r="O648" s="179">
        <f>SUMIFS($E$2:$E$896,$A$2:$A$896,"весна",$I$2:$I$896,I648)</f>
        <v/>
      </c>
      <c r="P648" s="180">
        <f>N648+O648</f>
        <v/>
      </c>
      <c r="Q648" s="181">
        <f>P648/$Q$1</f>
        <v/>
      </c>
      <c r="R648" s="122">
        <f>P648*0.2</f>
        <v/>
      </c>
      <c r="S648" s="122">
        <f>Q648*0.8</f>
        <v/>
      </c>
      <c r="T648" s="133" t="n">
        <v>0.25</v>
      </c>
    </row>
    <row r="649" hidden="1" ht="15.75" customHeight="1" s="2">
      <c r="A649" s="194" t="inlineStr">
        <is>
          <t>весна</t>
        </is>
      </c>
      <c r="B649" s="176" t="inlineStr">
        <is>
          <t>Основы статистического управления технологическими процессами</t>
        </is>
      </c>
      <c r="C649" s="176" t="inlineStr">
        <is>
          <t>ПЗ</t>
        </is>
      </c>
      <c r="D649" s="176" t="inlineStr">
        <is>
          <t>Т11О-202М-22</t>
        </is>
      </c>
      <c r="E649" s="177" t="n">
        <v>32</v>
      </c>
      <c r="F649" s="176" t="inlineStr">
        <is>
          <t>16104</t>
        </is>
      </c>
      <c r="G649" s="177" t="n">
        <v>32</v>
      </c>
      <c r="H649" s="176" t="inlineStr">
        <is>
          <t>82090</t>
        </is>
      </c>
      <c r="I649" s="176" t="inlineStr">
        <is>
          <t>Барабанова Ольга Алексеевна</t>
        </is>
      </c>
      <c r="J649" s="176" t="n"/>
      <c r="K649" s="176" t="inlineStr">
        <is>
          <t>Нет</t>
        </is>
      </c>
      <c r="L649" s="176" t="n"/>
      <c r="M649" s="176" t="n"/>
      <c r="N649" s="179">
        <f>SUMIFS($E$2:$E$896,$A$2:$A$896,"осень",$I$2:$I$896,I649)</f>
        <v/>
      </c>
      <c r="O649" s="179">
        <f>SUMIFS($E$2:$E$896,$A$2:$A$896,"весна",$I$2:$I$896,I649)</f>
        <v/>
      </c>
      <c r="P649" s="180">
        <f>N649+O649</f>
        <v/>
      </c>
      <c r="Q649" s="181">
        <f>P649/$Q$1</f>
        <v/>
      </c>
      <c r="R649" s="122">
        <f>P649*0.2</f>
        <v/>
      </c>
      <c r="S649" s="122">
        <f>Q649*0.8</f>
        <v/>
      </c>
      <c r="T649" s="133" t="n">
        <v>0.25</v>
      </c>
    </row>
    <row r="650" hidden="1" ht="15.75" customHeight="1" s="2">
      <c r="A650" s="194" t="inlineStr">
        <is>
          <t>весна</t>
        </is>
      </c>
      <c r="B650" s="176" t="inlineStr">
        <is>
          <t>Основы статистического управления технологическими процессами</t>
        </is>
      </c>
      <c r="C650" s="176" t="inlineStr">
        <is>
          <t>Консультация</t>
        </is>
      </c>
      <c r="D650" s="176" t="inlineStr">
        <is>
          <t>Т11О-201М-22</t>
        </is>
      </c>
      <c r="E650" s="177" t="n">
        <v>1</v>
      </c>
      <c r="F650" s="176" t="inlineStr">
        <is>
          <t>16104</t>
        </is>
      </c>
      <c r="G650" s="178" t="n"/>
      <c r="H650" s="176" t="inlineStr">
        <is>
          <t>82090</t>
        </is>
      </c>
      <c r="I650" s="176" t="inlineStr">
        <is>
          <t>Барабанова Ольга Алексеевна</t>
        </is>
      </c>
      <c r="J650" s="176" t="n"/>
      <c r="K650" s="176" t="inlineStr">
        <is>
          <t>Нет</t>
        </is>
      </c>
      <c r="L650" s="176" t="n"/>
      <c r="M650" s="176" t="n"/>
      <c r="N650" s="179">
        <f>SUMIFS($E$2:$E$896,$A$2:$A$896,"осень",$I$2:$I$896,I650)</f>
        <v/>
      </c>
      <c r="O650" s="179">
        <f>SUMIFS($E$2:$E$896,$A$2:$A$896,"весна",$I$2:$I$896,I650)</f>
        <v/>
      </c>
      <c r="P650" s="180">
        <f>N650+O650</f>
        <v/>
      </c>
      <c r="Q650" s="181">
        <f>P650/$Q$1</f>
        <v/>
      </c>
      <c r="R650" s="122">
        <f>P650*0.2</f>
        <v/>
      </c>
      <c r="S650" s="122">
        <f>Q650*0.8</f>
        <v/>
      </c>
      <c r="T650" s="133" t="n">
        <v>0.25</v>
      </c>
    </row>
    <row r="651" hidden="1" ht="15.75" customHeight="1" s="2">
      <c r="A651" s="194" t="inlineStr">
        <is>
          <t>весна</t>
        </is>
      </c>
      <c r="B651" s="176" t="inlineStr">
        <is>
          <t>Основы статистического управления технологическими процессами</t>
        </is>
      </c>
      <c r="C651" s="176" t="inlineStr">
        <is>
          <t>Консультация</t>
        </is>
      </c>
      <c r="D651" s="176" t="inlineStr">
        <is>
          <t>Т11О-202М-22</t>
        </is>
      </c>
      <c r="E651" s="177" t="n">
        <v>1</v>
      </c>
      <c r="F651" s="176" t="inlineStr">
        <is>
          <t>16104</t>
        </is>
      </c>
      <c r="G651" s="178" t="n"/>
      <c r="H651" s="176" t="inlineStr">
        <is>
          <t>82090</t>
        </is>
      </c>
      <c r="I651" s="176" t="inlineStr">
        <is>
          <t>Барабанова Ольга Алексеевна</t>
        </is>
      </c>
      <c r="J651" s="176" t="n"/>
      <c r="K651" s="176" t="inlineStr">
        <is>
          <t>Нет</t>
        </is>
      </c>
      <c r="L651" s="176" t="n"/>
      <c r="M651" s="176" t="n"/>
      <c r="N651" s="179">
        <f>SUMIFS($E$2:$E$896,$A$2:$A$896,"осень",$I$2:$I$896,I651)</f>
        <v/>
      </c>
      <c r="O651" s="179">
        <f>SUMIFS($E$2:$E$896,$A$2:$A$896,"весна",$I$2:$I$896,I651)</f>
        <v/>
      </c>
      <c r="P651" s="180">
        <f>N651+O651</f>
        <v/>
      </c>
      <c r="Q651" s="181">
        <f>P651/$Q$1</f>
        <v/>
      </c>
      <c r="R651" s="122">
        <f>P651*0.2</f>
        <v/>
      </c>
      <c r="S651" s="122">
        <f>Q651*0.8</f>
        <v/>
      </c>
      <c r="T651" s="133" t="n">
        <v>0.25</v>
      </c>
    </row>
    <row r="652" hidden="1" ht="15.75" customHeight="1" s="2">
      <c r="A652" s="194" t="inlineStr">
        <is>
          <t>весна</t>
        </is>
      </c>
      <c r="B652" s="176" t="inlineStr">
        <is>
          <t>Теплотехника и основы теплопередачи</t>
        </is>
      </c>
      <c r="C652" s="176" t="inlineStr">
        <is>
          <t>ЛК</t>
        </is>
      </c>
      <c r="D652" s="176" t="inlineStr">
        <is>
          <t>Т11О-201Б-22, Т11О-202Б-22</t>
        </is>
      </c>
      <c r="E652" s="177" t="n">
        <v>24</v>
      </c>
      <c r="F652" s="176" t="inlineStr">
        <is>
          <t>16442</t>
        </is>
      </c>
      <c r="G652" s="177" t="n">
        <v>24</v>
      </c>
      <c r="H652" s="176" t="inlineStr">
        <is>
          <t>82086</t>
        </is>
      </c>
      <c r="I652" s="176" t="inlineStr">
        <is>
          <t>Смыков Андрей Федорович</t>
        </is>
      </c>
      <c r="J652" s="176" t="n"/>
      <c r="K652" s="176" t="inlineStr">
        <is>
          <t>Нет</t>
        </is>
      </c>
      <c r="L652" s="176" t="n"/>
      <c r="M652" s="176" t="n"/>
      <c r="N652" s="179">
        <f>SUMIFS($E$2:$E$896,$A$2:$A$896,"осень",$I$2:$I$896,I652)</f>
        <v/>
      </c>
      <c r="O652" s="179">
        <f>SUMIFS($E$2:$E$896,$A$2:$A$896,"весна",$I$2:$I$896,I652)</f>
        <v/>
      </c>
      <c r="P652" s="180">
        <f>N652+O652</f>
        <v/>
      </c>
      <c r="Q652" s="181">
        <f>P652/$Q$1</f>
        <v/>
      </c>
      <c r="R652" s="122">
        <f>P652*0.2</f>
        <v/>
      </c>
      <c r="S652" s="122">
        <f>Q652*0.8</f>
        <v/>
      </c>
      <c r="T652" s="133" t="n">
        <v>0.5</v>
      </c>
    </row>
    <row r="653" hidden="1" ht="15.75" customHeight="1" s="2">
      <c r="A653" s="194" t="inlineStr">
        <is>
          <t>весна</t>
        </is>
      </c>
      <c r="B653" s="176" t="inlineStr">
        <is>
          <t>Теплотехника и основы теплопередачи</t>
        </is>
      </c>
      <c r="C653" s="176" t="inlineStr">
        <is>
          <t>ПЗ</t>
        </is>
      </c>
      <c r="D653" s="176" t="inlineStr">
        <is>
          <t>Т11О-201Б-22</t>
        </is>
      </c>
      <c r="E653" s="177" t="n">
        <v>16</v>
      </c>
      <c r="F653" s="176" t="inlineStr">
        <is>
          <t>16442</t>
        </is>
      </c>
      <c r="G653" s="177" t="n">
        <v>16</v>
      </c>
      <c r="H653" s="176" t="inlineStr">
        <is>
          <t>82086</t>
        </is>
      </c>
      <c r="I653" s="176" t="inlineStr">
        <is>
          <t>Смыков Андрей Федорович</t>
        </is>
      </c>
      <c r="J653" s="176" t="n"/>
      <c r="K653" s="176" t="inlineStr">
        <is>
          <t>Нет</t>
        </is>
      </c>
      <c r="L653" s="176" t="n"/>
      <c r="M653" s="176" t="n"/>
      <c r="N653" s="179">
        <f>SUMIFS($E$2:$E$896,$A$2:$A$896,"осень",$I$2:$I$896,I653)</f>
        <v/>
      </c>
      <c r="O653" s="179">
        <f>SUMIFS($E$2:$E$896,$A$2:$A$896,"весна",$I$2:$I$896,I653)</f>
        <v/>
      </c>
      <c r="P653" s="180">
        <f>N653+O653</f>
        <v/>
      </c>
      <c r="Q653" s="181">
        <f>P653/$Q$1</f>
        <v/>
      </c>
      <c r="R653" s="122">
        <f>P653*0.2</f>
        <v/>
      </c>
      <c r="S653" s="122">
        <f>Q653*0.8</f>
        <v/>
      </c>
      <c r="T653" s="133" t="n">
        <v>0.5</v>
      </c>
    </row>
    <row r="654" hidden="1" ht="15.75" customHeight="1" s="2">
      <c r="A654" s="194" t="inlineStr">
        <is>
          <t>весна</t>
        </is>
      </c>
      <c r="B654" s="176" t="inlineStr">
        <is>
          <t>Теплотехника и основы теплопередачи</t>
        </is>
      </c>
      <c r="C654" s="176" t="inlineStr">
        <is>
          <t>ПЗ</t>
        </is>
      </c>
      <c r="D654" s="176" t="inlineStr">
        <is>
          <t>Т11О-202Б-22</t>
        </is>
      </c>
      <c r="E654" s="177" t="n">
        <v>16</v>
      </c>
      <c r="F654" s="176" t="inlineStr">
        <is>
          <t>16442</t>
        </is>
      </c>
      <c r="G654" s="177" t="n">
        <v>16</v>
      </c>
      <c r="H654" s="176" t="inlineStr">
        <is>
          <t>82086</t>
        </is>
      </c>
      <c r="I654" s="176" t="inlineStr">
        <is>
          <t>Смыков Андрей Федорович</t>
        </is>
      </c>
      <c r="J654" s="176" t="n"/>
      <c r="K654" s="176" t="inlineStr">
        <is>
          <t>Нет</t>
        </is>
      </c>
      <c r="L654" s="176" t="n"/>
      <c r="M654" s="176" t="n"/>
      <c r="N654" s="179">
        <f>SUMIFS($E$2:$E$896,$A$2:$A$896,"осень",$I$2:$I$896,I654)</f>
        <v/>
      </c>
      <c r="O654" s="179">
        <f>SUMIFS($E$2:$E$896,$A$2:$A$896,"весна",$I$2:$I$896,I654)</f>
        <v/>
      </c>
      <c r="P654" s="180">
        <f>N654+O654</f>
        <v/>
      </c>
      <c r="Q654" s="181">
        <f>P654/$Q$1</f>
        <v/>
      </c>
      <c r="R654" s="122">
        <f>P654*0.2</f>
        <v/>
      </c>
      <c r="S654" s="122">
        <f>Q654*0.8</f>
        <v/>
      </c>
      <c r="T654" s="133" t="n">
        <v>0.5</v>
      </c>
    </row>
    <row r="655" hidden="1" ht="15.75" customHeight="1" s="2">
      <c r="A655" s="194" t="inlineStr">
        <is>
          <t>весна</t>
        </is>
      </c>
      <c r="B655" s="182" t="inlineStr">
        <is>
          <t>Теплотехника и основы теплопередачи</t>
        </is>
      </c>
      <c r="C655" s="182" t="inlineStr">
        <is>
          <t>ЛР</t>
        </is>
      </c>
      <c r="D655" s="182" t="inlineStr">
        <is>
          <t>Т11О-201Б-22</t>
        </is>
      </c>
      <c r="E655" s="183" t="n">
        <v>24</v>
      </c>
      <c r="F655" s="182" t="inlineStr">
        <is>
          <t>16442</t>
        </is>
      </c>
      <c r="G655" s="183" t="n">
        <v>24</v>
      </c>
      <c r="H655" s="182" t="inlineStr">
        <is>
          <t>82086</t>
        </is>
      </c>
      <c r="I655" s="182" t="inlineStr">
        <is>
          <t>Петров Игорь Алексеевич</t>
        </is>
      </c>
      <c r="J655" s="176" t="n"/>
      <c r="K655" s="176" t="inlineStr">
        <is>
          <t>Нет</t>
        </is>
      </c>
      <c r="L655" s="176" t="n"/>
      <c r="M655" s="176" t="n"/>
      <c r="N655" s="179">
        <f>SUMIFS($E$2:$E$896,$A$2:$A$896,"осень",$I$2:$I$896,I655)</f>
        <v/>
      </c>
      <c r="O655" s="179">
        <f>SUMIFS($E$2:$E$896,$A$2:$A$896,"весна",$I$2:$I$896,I655)</f>
        <v/>
      </c>
      <c r="P655" s="180">
        <f>N655+O655</f>
        <v/>
      </c>
      <c r="Q655" s="181">
        <f>P655/$Q$1</f>
        <v/>
      </c>
      <c r="R655" s="122">
        <f>P655*0.2</f>
        <v/>
      </c>
      <c r="S655" s="122">
        <f>Q655*0.8</f>
        <v/>
      </c>
      <c r="T655" s="133" t="n">
        <v>0.35</v>
      </c>
    </row>
    <row r="656" hidden="1" ht="15.75" customHeight="1" s="2">
      <c r="A656" s="194" t="inlineStr">
        <is>
          <t>весна</t>
        </is>
      </c>
      <c r="B656" s="182" t="inlineStr">
        <is>
          <t>Теплотехника и основы теплопередачи</t>
        </is>
      </c>
      <c r="C656" s="182" t="inlineStr">
        <is>
          <t>ЛР</t>
        </is>
      </c>
      <c r="D656" s="182" t="inlineStr">
        <is>
          <t>Т11О-201Б-22</t>
        </is>
      </c>
      <c r="E656" s="183" t="n">
        <v>24</v>
      </c>
      <c r="F656" s="182" t="inlineStr">
        <is>
          <t>16442</t>
        </is>
      </c>
      <c r="G656" s="183" t="n">
        <v>24</v>
      </c>
      <c r="H656" s="182" t="inlineStr">
        <is>
          <t>82086</t>
        </is>
      </c>
      <c r="I656" s="182" t="inlineStr">
        <is>
          <t>Смыков Андрей Федорович</t>
        </is>
      </c>
      <c r="J656" s="176" t="n"/>
      <c r="K656" s="176" t="inlineStr">
        <is>
          <t>Нет</t>
        </is>
      </c>
      <c r="L656" s="176" t="n"/>
      <c r="M656" s="176" t="n"/>
      <c r="N656" s="179">
        <f>SUMIFS($E$2:$E$896,$A$2:$A$896,"осень",$I$2:$I$896,I656)</f>
        <v/>
      </c>
      <c r="O656" s="179">
        <f>SUMIFS($E$2:$E$896,$A$2:$A$896,"весна",$I$2:$I$896,I656)</f>
        <v/>
      </c>
      <c r="P656" s="180">
        <f>N656+O656</f>
        <v/>
      </c>
      <c r="Q656" s="181">
        <f>P656/$Q$1</f>
        <v/>
      </c>
      <c r="R656" s="122">
        <f>P656*0.2</f>
        <v/>
      </c>
      <c r="S656" s="122">
        <f>Q656*0.8</f>
        <v/>
      </c>
      <c r="T656" s="133" t="n">
        <v>0.5</v>
      </c>
    </row>
    <row r="657" hidden="1" ht="15.75" customHeight="1" s="2">
      <c r="A657" s="194" t="inlineStr">
        <is>
          <t>весна</t>
        </is>
      </c>
      <c r="B657" s="182" t="inlineStr">
        <is>
          <t>Теплотехника и основы теплопередачи</t>
        </is>
      </c>
      <c r="C657" s="182" t="inlineStr">
        <is>
          <t>ЛР</t>
        </is>
      </c>
      <c r="D657" s="182" t="inlineStr">
        <is>
          <t>Т11О-202Б-22</t>
        </is>
      </c>
      <c r="E657" s="183" t="n">
        <v>24</v>
      </c>
      <c r="F657" s="182" t="inlineStr">
        <is>
          <t>16442</t>
        </is>
      </c>
      <c r="G657" s="183" t="n">
        <v>24</v>
      </c>
      <c r="H657" s="182" t="inlineStr">
        <is>
          <t>82086</t>
        </is>
      </c>
      <c r="I657" s="182" t="inlineStr">
        <is>
          <t>Петров Игорь Алексеевич</t>
        </is>
      </c>
      <c r="J657" s="176" t="n"/>
      <c r="K657" s="176" t="inlineStr">
        <is>
          <t>Нет</t>
        </is>
      </c>
      <c r="L657" s="176" t="n"/>
      <c r="M657" s="176" t="n"/>
      <c r="N657" s="179">
        <f>SUMIFS($E$2:$E$896,$A$2:$A$896,"осень",$I$2:$I$896,I657)</f>
        <v/>
      </c>
      <c r="O657" s="179">
        <f>SUMIFS($E$2:$E$896,$A$2:$A$896,"весна",$I$2:$I$896,I657)</f>
        <v/>
      </c>
      <c r="P657" s="180">
        <f>N657+O657</f>
        <v/>
      </c>
      <c r="Q657" s="181">
        <f>P657/$Q$1</f>
        <v/>
      </c>
      <c r="R657" s="122">
        <f>P657*0.2</f>
        <v/>
      </c>
      <c r="S657" s="122">
        <f>Q657*0.8</f>
        <v/>
      </c>
      <c r="T657" s="133" t="n">
        <v>0.35</v>
      </c>
    </row>
    <row r="658" hidden="1" ht="15.75" customHeight="1" s="2">
      <c r="A658" s="194" t="inlineStr">
        <is>
          <t>весна</t>
        </is>
      </c>
      <c r="B658" s="182" t="inlineStr">
        <is>
          <t>Теплотехника и основы теплопередачи</t>
        </is>
      </c>
      <c r="C658" s="182" t="inlineStr">
        <is>
          <t>ЛР</t>
        </is>
      </c>
      <c r="D658" s="182" t="inlineStr">
        <is>
          <t>Т11О-202Б-22</t>
        </is>
      </c>
      <c r="E658" s="183" t="n">
        <v>24</v>
      </c>
      <c r="F658" s="182" t="inlineStr">
        <is>
          <t>16442</t>
        </is>
      </c>
      <c r="G658" s="183" t="n">
        <v>24</v>
      </c>
      <c r="H658" s="182" t="inlineStr">
        <is>
          <t>82086</t>
        </is>
      </c>
      <c r="I658" s="182" t="inlineStr">
        <is>
          <t>Смыков Андрей Федорович</t>
        </is>
      </c>
      <c r="J658" s="176" t="n"/>
      <c r="K658" s="176" t="inlineStr">
        <is>
          <t>Нет</t>
        </is>
      </c>
      <c r="L658" s="176" t="n"/>
      <c r="M658" s="176" t="n"/>
      <c r="N658" s="179">
        <f>SUMIFS($E$2:$E$896,$A$2:$A$896,"осень",$I$2:$I$896,I658)</f>
        <v/>
      </c>
      <c r="O658" s="179">
        <f>SUMIFS($E$2:$E$896,$A$2:$A$896,"весна",$I$2:$I$896,I658)</f>
        <v/>
      </c>
      <c r="P658" s="180">
        <f>N658+O658</f>
        <v/>
      </c>
      <c r="Q658" s="181">
        <f>P658/$Q$1</f>
        <v/>
      </c>
      <c r="R658" s="122">
        <f>P658*0.2</f>
        <v/>
      </c>
      <c r="S658" s="122">
        <f>Q658*0.8</f>
        <v/>
      </c>
      <c r="T658" s="133" t="n">
        <v>0.5</v>
      </c>
    </row>
    <row r="659" hidden="1" ht="15.75" customHeight="1" s="2">
      <c r="A659" s="194" t="inlineStr">
        <is>
          <t>весна</t>
        </is>
      </c>
      <c r="B659" s="176" t="inlineStr">
        <is>
          <t>Теплотехника и основы теплопередачи</t>
        </is>
      </c>
      <c r="C659" s="176" t="inlineStr">
        <is>
          <t>Экзамен</t>
        </is>
      </c>
      <c r="D659" s="176" t="inlineStr">
        <is>
          <t>Т11О-201Б-22</t>
        </is>
      </c>
      <c r="E659" s="177" t="n">
        <v>6</v>
      </c>
      <c r="F659" s="176" t="inlineStr">
        <is>
          <t>16442</t>
        </is>
      </c>
      <c r="G659" s="178" t="n"/>
      <c r="H659" s="176" t="inlineStr">
        <is>
          <t>82086</t>
        </is>
      </c>
      <c r="I659" s="176" t="inlineStr">
        <is>
          <t>Смыков Андрей Федорович</t>
        </is>
      </c>
      <c r="J659" s="176" t="n"/>
      <c r="K659" s="176" t="inlineStr">
        <is>
          <t>Нет</t>
        </is>
      </c>
      <c r="L659" s="176" t="n"/>
      <c r="M659" s="176" t="n"/>
      <c r="N659" s="179">
        <f>SUMIFS($E$2:$E$896,$A$2:$A$896,"осень",$I$2:$I$896,I659)</f>
        <v/>
      </c>
      <c r="O659" s="179">
        <f>SUMIFS($E$2:$E$896,$A$2:$A$896,"весна",$I$2:$I$896,I659)</f>
        <v/>
      </c>
      <c r="P659" s="180">
        <f>N659+O659</f>
        <v/>
      </c>
      <c r="Q659" s="181">
        <f>P659/$Q$1</f>
        <v/>
      </c>
      <c r="R659" s="122">
        <f>P659*0.2</f>
        <v/>
      </c>
      <c r="S659" s="122">
        <f>Q659*0.8</f>
        <v/>
      </c>
      <c r="T659" s="133" t="n">
        <v>0.5</v>
      </c>
    </row>
    <row r="660" ht="15.75" customHeight="1" s="2">
      <c r="A660" s="194" t="inlineStr">
        <is>
          <t>весна</t>
        </is>
      </c>
      <c r="B660" s="176" t="inlineStr">
        <is>
          <t>Теплотехника и основы теплопередачи</t>
        </is>
      </c>
      <c r="C660" s="176" t="inlineStr">
        <is>
          <t>Экзамен</t>
        </is>
      </c>
      <c r="D660" s="176" t="inlineStr">
        <is>
          <t>Т11О-201Б-22</t>
        </is>
      </c>
      <c r="E660" s="177" t="n">
        <v>3</v>
      </c>
      <c r="F660" s="176" t="inlineStr">
        <is>
          <t>16442</t>
        </is>
      </c>
      <c r="G660" s="178" t="n"/>
      <c r="H660" s="176" t="n"/>
      <c r="I660" s="176" t="inlineStr">
        <is>
          <t>э-резерв</t>
        </is>
      </c>
      <c r="J660" s="176" t="n"/>
      <c r="K660" s="176" t="inlineStr">
        <is>
          <t>Нет</t>
        </is>
      </c>
      <c r="L660" s="176" t="n"/>
      <c r="M660" s="176" t="n"/>
      <c r="N660" s="179">
        <f>SUMIFS($E$2:$E$896,$A$2:$A$896,"осень",$I$2:$I$896,I660)</f>
        <v/>
      </c>
      <c r="O660" s="179">
        <f>SUMIFS($E$2:$E$896,$A$2:$A$896,"весна",$I$2:$I$896,I660)</f>
        <v/>
      </c>
      <c r="P660" s="180">
        <f>N660+O660</f>
        <v/>
      </c>
      <c r="Q660" s="181">
        <f>P660/$Q$1</f>
        <v/>
      </c>
      <c r="R660" s="122">
        <f>P660*0.2</f>
        <v/>
      </c>
      <c r="S660" s="122">
        <f>Q660*0.8</f>
        <v/>
      </c>
      <c r="T660" s="133" t="n">
        <v>0</v>
      </c>
    </row>
    <row r="661" hidden="1" ht="15.75" customHeight="1" s="2">
      <c r="A661" s="194" t="inlineStr">
        <is>
          <t>весна</t>
        </is>
      </c>
      <c r="B661" s="176" t="inlineStr">
        <is>
          <t>Теплотехника и основы теплопередачи</t>
        </is>
      </c>
      <c r="C661" s="176" t="inlineStr">
        <is>
          <t>Экзамен</t>
        </is>
      </c>
      <c r="D661" s="176" t="inlineStr">
        <is>
          <t>Т11О-202Б-22</t>
        </is>
      </c>
      <c r="E661" s="177" t="n">
        <v>7</v>
      </c>
      <c r="F661" s="176" t="inlineStr">
        <is>
          <t>16442</t>
        </is>
      </c>
      <c r="G661" s="178" t="n"/>
      <c r="H661" s="176" t="inlineStr">
        <is>
          <t>82086</t>
        </is>
      </c>
      <c r="I661" s="176" t="inlineStr">
        <is>
          <t>Смыков Андрей Федорович</t>
        </is>
      </c>
      <c r="J661" s="176" t="n"/>
      <c r="K661" s="176" t="inlineStr">
        <is>
          <t>Нет</t>
        </is>
      </c>
      <c r="L661" s="176" t="n"/>
      <c r="M661" s="176" t="n"/>
      <c r="N661" s="179">
        <f>SUMIFS($E$2:$E$896,$A$2:$A$896,"осень",$I$2:$I$896,I661)</f>
        <v/>
      </c>
      <c r="O661" s="179">
        <f>SUMIFS($E$2:$E$896,$A$2:$A$896,"весна",$I$2:$I$896,I661)</f>
        <v/>
      </c>
      <c r="P661" s="180">
        <f>N661+O661</f>
        <v/>
      </c>
      <c r="Q661" s="181">
        <f>P661/$Q$1</f>
        <v/>
      </c>
      <c r="R661" s="122">
        <f>P661*0.2</f>
        <v/>
      </c>
      <c r="S661" s="122">
        <f>Q661*0.8</f>
        <v/>
      </c>
      <c r="T661" s="133" t="n">
        <v>0.5</v>
      </c>
    </row>
    <row r="662" ht="15.75" customHeight="1" s="2">
      <c r="A662" s="194" t="inlineStr">
        <is>
          <t>весна</t>
        </is>
      </c>
      <c r="B662" s="176" t="inlineStr">
        <is>
          <t>Теплотехника и основы теплопередачи</t>
        </is>
      </c>
      <c r="C662" s="176" t="inlineStr">
        <is>
          <t>Экзамен</t>
        </is>
      </c>
      <c r="D662" s="176" t="inlineStr">
        <is>
          <t>Т11О-202Б-22</t>
        </is>
      </c>
      <c r="E662" s="177" t="n">
        <v>3</v>
      </c>
      <c r="F662" s="176" t="inlineStr">
        <is>
          <t>16442</t>
        </is>
      </c>
      <c r="G662" s="178" t="n"/>
      <c r="H662" s="176" t="n"/>
      <c r="I662" s="176" t="inlineStr">
        <is>
          <t>э-резерв</t>
        </is>
      </c>
      <c r="J662" s="176" t="n"/>
      <c r="K662" s="176" t="inlineStr">
        <is>
          <t>Нет</t>
        </is>
      </c>
      <c r="L662" s="176" t="n"/>
      <c r="M662" s="176" t="n"/>
      <c r="N662" s="179">
        <f>SUMIFS($E$2:$E$896,$A$2:$A$896,"осень",$I$2:$I$896,I662)</f>
        <v/>
      </c>
      <c r="O662" s="179">
        <f>SUMIFS($E$2:$E$896,$A$2:$A$896,"весна",$I$2:$I$896,I662)</f>
        <v/>
      </c>
      <c r="P662" s="180">
        <f>N662+O662</f>
        <v/>
      </c>
      <c r="Q662" s="181">
        <f>P662/$Q$1</f>
        <v/>
      </c>
      <c r="R662" s="122">
        <f>P662*0.2</f>
        <v/>
      </c>
      <c r="S662" s="122">
        <f>Q662*0.8</f>
        <v/>
      </c>
      <c r="T662" s="133" t="n">
        <v>0</v>
      </c>
    </row>
    <row r="663" hidden="1" ht="15.75" customHeight="1" s="2">
      <c r="A663" s="194" t="inlineStr">
        <is>
          <t>весна</t>
        </is>
      </c>
      <c r="B663" s="176" t="inlineStr">
        <is>
          <t>Теплотехника и основы теплопередачи</t>
        </is>
      </c>
      <c r="C663" s="176" t="inlineStr">
        <is>
          <t>Консультация</t>
        </is>
      </c>
      <c r="D663" s="176" t="inlineStr">
        <is>
          <t>Т11О-201Б-22</t>
        </is>
      </c>
      <c r="E663" s="177" t="n">
        <v>2</v>
      </c>
      <c r="F663" s="176" t="inlineStr">
        <is>
          <t>16442</t>
        </is>
      </c>
      <c r="G663" s="178" t="n"/>
      <c r="H663" s="176" t="inlineStr">
        <is>
          <t>82086</t>
        </is>
      </c>
      <c r="I663" s="176" t="inlineStr">
        <is>
          <t>Смыков Андрей Федорович</t>
        </is>
      </c>
      <c r="J663" s="176" t="n"/>
      <c r="K663" s="176" t="inlineStr">
        <is>
          <t>Нет</t>
        </is>
      </c>
      <c r="L663" s="176" t="n"/>
      <c r="M663" s="176" t="n"/>
      <c r="N663" s="179">
        <f>SUMIFS($E$2:$E$896,$A$2:$A$896,"осень",$I$2:$I$896,I663)</f>
        <v/>
      </c>
      <c r="O663" s="179">
        <f>SUMIFS($E$2:$E$896,$A$2:$A$896,"весна",$I$2:$I$896,I663)</f>
        <v/>
      </c>
      <c r="P663" s="180">
        <f>N663+O663</f>
        <v/>
      </c>
      <c r="Q663" s="181">
        <f>P663/$Q$1</f>
        <v/>
      </c>
      <c r="R663" s="122">
        <f>P663*0.2</f>
        <v/>
      </c>
      <c r="S663" s="122">
        <f>Q663*0.8</f>
        <v/>
      </c>
      <c r="T663" s="133" t="n">
        <v>0.5</v>
      </c>
    </row>
    <row r="664" ht="15.75" customHeight="1" s="2">
      <c r="A664" s="194" t="inlineStr">
        <is>
          <t>весна</t>
        </is>
      </c>
      <c r="B664" s="176" t="inlineStr">
        <is>
          <t>Теплотехника и основы теплопередачи</t>
        </is>
      </c>
      <c r="C664" s="176" t="inlineStr">
        <is>
          <t>Консультация</t>
        </is>
      </c>
      <c r="D664" s="176" t="inlineStr">
        <is>
          <t>Т11О-201Б-22</t>
        </is>
      </c>
      <c r="E664" s="177" t="n">
        <v>1</v>
      </c>
      <c r="F664" s="176" t="inlineStr">
        <is>
          <t>16442</t>
        </is>
      </c>
      <c r="G664" s="178" t="n"/>
      <c r="H664" s="176" t="n"/>
      <c r="I664" s="176" t="inlineStr">
        <is>
          <t>э-резерв</t>
        </is>
      </c>
      <c r="J664" s="176" t="n"/>
      <c r="K664" s="176" t="inlineStr">
        <is>
          <t>Нет</t>
        </is>
      </c>
      <c r="L664" s="176" t="n"/>
      <c r="M664" s="176" t="n"/>
      <c r="N664" s="179">
        <f>SUMIFS($E$2:$E$896,$A$2:$A$896,"осень",$I$2:$I$896,I664)</f>
        <v/>
      </c>
      <c r="O664" s="179">
        <f>SUMIFS($E$2:$E$896,$A$2:$A$896,"весна",$I$2:$I$896,I664)</f>
        <v/>
      </c>
      <c r="P664" s="180">
        <f>N664+O664</f>
        <v/>
      </c>
      <c r="Q664" s="181">
        <f>P664/$Q$1</f>
        <v/>
      </c>
      <c r="R664" s="122">
        <f>P664*0.2</f>
        <v/>
      </c>
      <c r="S664" s="122">
        <f>Q664*0.8</f>
        <v/>
      </c>
      <c r="T664" s="133" t="n">
        <v>0</v>
      </c>
    </row>
    <row r="665" hidden="1" ht="15.75" customHeight="1" s="2">
      <c r="A665" s="194" t="inlineStr">
        <is>
          <t>весна</t>
        </is>
      </c>
      <c r="B665" s="176" t="inlineStr">
        <is>
          <t>Теплотехника и основы теплопередачи</t>
        </is>
      </c>
      <c r="C665" s="176" t="inlineStr">
        <is>
          <t>Консультация</t>
        </is>
      </c>
      <c r="D665" s="176" t="inlineStr">
        <is>
          <t>Т11О-202Б-22</t>
        </is>
      </c>
      <c r="E665" s="177" t="n">
        <v>2</v>
      </c>
      <c r="F665" s="176" t="inlineStr">
        <is>
          <t>16442</t>
        </is>
      </c>
      <c r="G665" s="178" t="n"/>
      <c r="H665" s="176" t="inlineStr">
        <is>
          <t>82086</t>
        </is>
      </c>
      <c r="I665" s="176" t="inlineStr">
        <is>
          <t>Смыков Андрей Федорович</t>
        </is>
      </c>
      <c r="J665" s="176" t="n"/>
      <c r="K665" s="176" t="inlineStr">
        <is>
          <t>Нет</t>
        </is>
      </c>
      <c r="L665" s="176" t="n"/>
      <c r="M665" s="176" t="n"/>
      <c r="N665" s="179">
        <f>SUMIFS($E$2:$E$896,$A$2:$A$896,"осень",$I$2:$I$896,I665)</f>
        <v/>
      </c>
      <c r="O665" s="179">
        <f>SUMIFS($E$2:$E$896,$A$2:$A$896,"весна",$I$2:$I$896,I665)</f>
        <v/>
      </c>
      <c r="P665" s="180">
        <f>N665+O665</f>
        <v/>
      </c>
      <c r="Q665" s="181">
        <f>P665/$Q$1</f>
        <v/>
      </c>
      <c r="R665" s="122">
        <f>P665*0.2</f>
        <v/>
      </c>
      <c r="S665" s="122">
        <f>Q665*0.8</f>
        <v/>
      </c>
      <c r="T665" s="133" t="n">
        <v>0.5</v>
      </c>
    </row>
    <row r="666" ht="15.75" customHeight="1" s="2">
      <c r="A666" s="194" t="inlineStr">
        <is>
          <t>весна</t>
        </is>
      </c>
      <c r="B666" s="176" t="inlineStr">
        <is>
          <t>Теплотехника и основы теплопередачи</t>
        </is>
      </c>
      <c r="C666" s="176" t="inlineStr">
        <is>
          <t>Консультация</t>
        </is>
      </c>
      <c r="D666" s="176" t="inlineStr">
        <is>
          <t>Т11О-202Б-22</t>
        </is>
      </c>
      <c r="E666" s="177" t="n">
        <v>1</v>
      </c>
      <c r="F666" s="176" t="inlineStr">
        <is>
          <t>16442</t>
        </is>
      </c>
      <c r="G666" s="178" t="n"/>
      <c r="H666" s="176" t="n"/>
      <c r="I666" s="176" t="inlineStr">
        <is>
          <t>э-резерв</t>
        </is>
      </c>
      <c r="J666" s="176" t="n"/>
      <c r="K666" s="176" t="inlineStr">
        <is>
          <t>Нет</t>
        </is>
      </c>
      <c r="L666" s="176" t="n"/>
      <c r="M666" s="176" t="n"/>
      <c r="N666" s="179">
        <f>SUMIFS($E$2:$E$896,$A$2:$A$896,"осень",$I$2:$I$896,I666)</f>
        <v/>
      </c>
      <c r="O666" s="179">
        <f>SUMIFS($E$2:$E$896,$A$2:$A$896,"весна",$I$2:$I$896,I666)</f>
        <v/>
      </c>
      <c r="P666" s="180">
        <f>N666+O666</f>
        <v/>
      </c>
      <c r="Q666" s="181">
        <f>P666/$Q$1</f>
        <v/>
      </c>
      <c r="R666" s="122">
        <f>P666*0.2</f>
        <v/>
      </c>
      <c r="S666" s="122">
        <f>Q666*0.8</f>
        <v/>
      </c>
      <c r="T666" s="133" t="n">
        <v>0</v>
      </c>
    </row>
    <row r="667" hidden="1" ht="15.75" customHeight="1" s="2">
      <c r="A667" s="194" t="inlineStr">
        <is>
          <t>весна</t>
        </is>
      </c>
      <c r="B667" s="176" t="inlineStr">
        <is>
          <t>Основы технологии и автоматизации производства продукции методами ОМД</t>
        </is>
      </c>
      <c r="C667" s="176" t="inlineStr">
        <is>
          <t>ЛК</t>
        </is>
      </c>
      <c r="D667" s="176" t="inlineStr">
        <is>
          <t>Т11О-302Б-21</t>
        </is>
      </c>
      <c r="E667" s="177" t="n">
        <v>26</v>
      </c>
      <c r="F667" s="176" t="inlineStr">
        <is>
          <t>14861</t>
        </is>
      </c>
      <c r="G667" s="177" t="n">
        <v>26</v>
      </c>
      <c r="H667" s="176" t="inlineStr">
        <is>
          <t>81720</t>
        </is>
      </c>
      <c r="I667" s="176" t="inlineStr">
        <is>
          <t>Палтиевич Андрей Романович</t>
        </is>
      </c>
      <c r="J667" s="176" t="n"/>
      <c r="K667" s="176" t="inlineStr">
        <is>
          <t>Нет</t>
        </is>
      </c>
      <c r="L667" s="176" t="n"/>
      <c r="M667" s="176" t="n"/>
      <c r="N667" s="179">
        <f>SUMIFS($E$2:$E$896,$A$2:$A$896,"осень",$I$2:$I$896,I667)</f>
        <v/>
      </c>
      <c r="O667" s="179">
        <f>SUMIFS($E$2:$E$896,$A$2:$A$896,"весна",$I$2:$I$896,I667)</f>
        <v/>
      </c>
      <c r="P667" s="180">
        <f>N667+O667</f>
        <v/>
      </c>
      <c r="Q667" s="181">
        <f>P667/$Q$1</f>
        <v/>
      </c>
      <c r="R667" s="122">
        <f>P667*0.2</f>
        <v/>
      </c>
      <c r="S667" s="122">
        <f>Q667*0.8</f>
        <v/>
      </c>
      <c r="T667" s="133" t="n">
        <v>0.65</v>
      </c>
    </row>
    <row r="668" hidden="1" ht="15.75" customHeight="1" s="2">
      <c r="A668" s="194" t="inlineStr">
        <is>
          <t>весна</t>
        </is>
      </c>
      <c r="B668" s="176" t="inlineStr">
        <is>
          <t>Основы технологии и автоматизации производства продукции методами ОМД</t>
        </is>
      </c>
      <c r="C668" s="176" t="inlineStr">
        <is>
          <t>КР</t>
        </is>
      </c>
      <c r="D668" s="176" t="inlineStr">
        <is>
          <t>Т11О-302Б-21</t>
        </is>
      </c>
      <c r="E668" s="177" t="n">
        <v>36</v>
      </c>
      <c r="F668" s="176" t="inlineStr">
        <is>
          <t>14861</t>
        </is>
      </c>
      <c r="G668" s="178" t="n"/>
      <c r="H668" s="176" t="inlineStr">
        <is>
          <t>81720</t>
        </is>
      </c>
      <c r="I668" s="176" t="inlineStr">
        <is>
          <t>Палтиевич Андрей Романович</t>
        </is>
      </c>
      <c r="J668" s="176" t="n"/>
      <c r="K668" s="176" t="inlineStr">
        <is>
          <t>Нет</t>
        </is>
      </c>
      <c r="L668" s="176" t="n"/>
      <c r="M668" s="176" t="n"/>
      <c r="N668" s="179">
        <f>SUMIFS($E$2:$E$896,$A$2:$A$896,"осень",$I$2:$I$896,I668)</f>
        <v/>
      </c>
      <c r="O668" s="179">
        <f>SUMIFS($E$2:$E$896,$A$2:$A$896,"весна",$I$2:$I$896,I668)</f>
        <v/>
      </c>
      <c r="P668" s="180">
        <f>N668+O668</f>
        <v/>
      </c>
      <c r="Q668" s="181">
        <f>P668/$Q$1</f>
        <v/>
      </c>
      <c r="R668" s="122">
        <f>P668*0.2</f>
        <v/>
      </c>
      <c r="S668" s="122">
        <f>Q668*0.8</f>
        <v/>
      </c>
      <c r="T668" s="133" t="n">
        <v>0.65</v>
      </c>
    </row>
    <row r="669" hidden="1" ht="15.75" customHeight="1" s="2">
      <c r="A669" s="194" t="inlineStr">
        <is>
          <t>весна</t>
        </is>
      </c>
      <c r="B669" s="176" t="inlineStr">
        <is>
          <t>Основы технологии и автоматизации производства продукции методами ОМД</t>
        </is>
      </c>
      <c r="C669" s="176" t="inlineStr">
        <is>
          <t>Зачет с оценкой</t>
        </is>
      </c>
      <c r="D669" s="176" t="inlineStr">
        <is>
          <t>Т11О-302Б-21</t>
        </is>
      </c>
      <c r="E669" s="177" t="n">
        <v>4</v>
      </c>
      <c r="F669" s="176" t="inlineStr">
        <is>
          <t>14861</t>
        </is>
      </c>
      <c r="G669" s="178" t="n"/>
      <c r="H669" s="176" t="inlineStr">
        <is>
          <t>81720</t>
        </is>
      </c>
      <c r="I669" s="176" t="inlineStr">
        <is>
          <t>Палтиевич Андрей Романович</t>
        </is>
      </c>
      <c r="J669" s="176" t="n"/>
      <c r="K669" s="176" t="inlineStr">
        <is>
          <t>Нет</t>
        </is>
      </c>
      <c r="L669" s="176" t="n"/>
      <c r="M669" s="176" t="n"/>
      <c r="N669" s="179">
        <f>SUMIFS($E$2:$E$896,$A$2:$A$896,"осень",$I$2:$I$896,I669)</f>
        <v/>
      </c>
      <c r="O669" s="179">
        <f>SUMIFS($E$2:$E$896,$A$2:$A$896,"весна",$I$2:$I$896,I669)</f>
        <v/>
      </c>
      <c r="P669" s="180">
        <f>N669+O669</f>
        <v/>
      </c>
      <c r="Q669" s="181">
        <f>P669/$Q$1</f>
        <v/>
      </c>
      <c r="R669" s="122">
        <f>P669*0.2</f>
        <v/>
      </c>
      <c r="S669" s="122">
        <f>Q669*0.8</f>
        <v/>
      </c>
      <c r="T669" s="133" t="n">
        <v>0.65</v>
      </c>
    </row>
    <row r="670" ht="15.75" customHeight="1" s="2">
      <c r="A670" s="194" t="inlineStr">
        <is>
          <t>весна</t>
        </is>
      </c>
      <c r="B670" s="176" t="inlineStr">
        <is>
          <t>Основы технологии и автоматизации производства продукции методами ОМД</t>
        </is>
      </c>
      <c r="C670" s="176" t="inlineStr">
        <is>
          <t>Зачет с оценкой</t>
        </is>
      </c>
      <c r="D670" s="176" t="inlineStr">
        <is>
          <t>Т11О-302Б-21</t>
        </is>
      </c>
      <c r="E670" s="177" t="n">
        <v>1</v>
      </c>
      <c r="F670" s="176" t="inlineStr">
        <is>
          <t>14861</t>
        </is>
      </c>
      <c r="G670" s="178" t="n"/>
      <c r="H670" s="176" t="n"/>
      <c r="I670" s="176" t="inlineStr">
        <is>
          <t>э-резерв</t>
        </is>
      </c>
      <c r="J670" s="176" t="n"/>
      <c r="K670" s="176" t="inlineStr">
        <is>
          <t>Нет</t>
        </is>
      </c>
      <c r="L670" s="176" t="n"/>
      <c r="M670" s="176" t="n"/>
      <c r="N670" s="179">
        <f>SUMIFS($E$2:$E$896,$A$2:$A$896,"осень",$I$2:$I$896,I670)</f>
        <v/>
      </c>
      <c r="O670" s="179">
        <f>SUMIFS($E$2:$E$896,$A$2:$A$896,"весна",$I$2:$I$896,I670)</f>
        <v/>
      </c>
      <c r="P670" s="180">
        <f>N670+O670</f>
        <v/>
      </c>
      <c r="Q670" s="181">
        <f>P670/$Q$1</f>
        <v/>
      </c>
      <c r="R670" s="122">
        <f>P670*0.2</f>
        <v/>
      </c>
      <c r="S670" s="122">
        <f>Q670*0.8</f>
        <v/>
      </c>
      <c r="T670" s="133" t="n">
        <v>0</v>
      </c>
    </row>
    <row r="671" hidden="1" ht="15.75" customHeight="1" s="2">
      <c r="A671" s="194" t="inlineStr">
        <is>
          <t>весна</t>
        </is>
      </c>
      <c r="B671" s="176" t="inlineStr">
        <is>
          <t>Основы технологии и автоматизации производства продукции методами ОМД</t>
        </is>
      </c>
      <c r="C671" s="176" t="inlineStr">
        <is>
          <t>ПЗ</t>
        </is>
      </c>
      <c r="D671" s="176" t="inlineStr">
        <is>
          <t>Т11О-302Б-21</t>
        </is>
      </c>
      <c r="E671" s="177" t="n">
        <v>32</v>
      </c>
      <c r="F671" s="176" t="inlineStr">
        <is>
          <t>14861</t>
        </is>
      </c>
      <c r="G671" s="177" t="n">
        <v>32</v>
      </c>
      <c r="H671" s="176" t="inlineStr">
        <is>
          <t>81720</t>
        </is>
      </c>
      <c r="I671" s="176" t="inlineStr">
        <is>
          <t>Палтиевич Андрей Романович</t>
        </is>
      </c>
      <c r="J671" s="176" t="n"/>
      <c r="K671" s="176" t="inlineStr">
        <is>
          <t>Нет</t>
        </is>
      </c>
      <c r="L671" s="176" t="n"/>
      <c r="M671" s="176" t="n"/>
      <c r="N671" s="179">
        <f>SUMIFS($E$2:$E$896,$A$2:$A$896,"осень",$I$2:$I$896,I671)</f>
        <v/>
      </c>
      <c r="O671" s="179">
        <f>SUMIFS($E$2:$E$896,$A$2:$A$896,"весна",$I$2:$I$896,I671)</f>
        <v/>
      </c>
      <c r="P671" s="180">
        <f>N671+O671</f>
        <v/>
      </c>
      <c r="Q671" s="181">
        <f>P671/$Q$1</f>
        <v/>
      </c>
      <c r="R671" s="122">
        <f>P671*0.2</f>
        <v/>
      </c>
      <c r="S671" s="122">
        <f>Q671*0.8</f>
        <v/>
      </c>
      <c r="T671" s="133" t="n">
        <v>0.65</v>
      </c>
    </row>
    <row r="672" hidden="1" ht="15.75" customHeight="1" s="2">
      <c r="A672" s="194" t="inlineStr">
        <is>
          <t>весна</t>
        </is>
      </c>
      <c r="B672" s="176" t="inlineStr">
        <is>
          <t>Основы технологии и автоматизации производства продукции методами ОМД</t>
        </is>
      </c>
      <c r="C672" s="176" t="inlineStr">
        <is>
          <t>ЛР</t>
        </is>
      </c>
      <c r="D672" s="176" t="inlineStr">
        <is>
          <t>Т11О-302Б-21</t>
        </is>
      </c>
      <c r="E672" s="177" t="n">
        <v>16</v>
      </c>
      <c r="F672" s="176" t="inlineStr">
        <is>
          <t>14861</t>
        </is>
      </c>
      <c r="G672" s="177" t="n">
        <v>8</v>
      </c>
      <c r="H672" s="176" t="inlineStr">
        <is>
          <t>81720</t>
        </is>
      </c>
      <c r="I672" s="176" t="inlineStr">
        <is>
          <t>Палтиевич Андрей Романович</t>
        </is>
      </c>
      <c r="J672" s="176" t="n"/>
      <c r="K672" s="176" t="inlineStr">
        <is>
          <t>Нет</t>
        </is>
      </c>
      <c r="L672" s="176" t="n"/>
      <c r="M672" s="176" t="n"/>
      <c r="N672" s="179">
        <f>SUMIFS($E$2:$E$896,$A$2:$A$896,"осень",$I$2:$I$896,I672)</f>
        <v/>
      </c>
      <c r="O672" s="179">
        <f>SUMIFS($E$2:$E$896,$A$2:$A$896,"весна",$I$2:$I$896,I672)</f>
        <v/>
      </c>
      <c r="P672" s="180">
        <f>N672+O672</f>
        <v/>
      </c>
      <c r="Q672" s="181">
        <f>P672/$Q$1</f>
        <v/>
      </c>
      <c r="R672" s="122">
        <f>P672*0.2</f>
        <v/>
      </c>
      <c r="S672" s="122">
        <f>Q672*0.8</f>
        <v/>
      </c>
      <c r="T672" s="133" t="n">
        <v>0.65</v>
      </c>
    </row>
    <row r="673" hidden="1" ht="15.75" customHeight="1" s="2">
      <c r="A673" s="194" t="inlineStr">
        <is>
          <t>весна</t>
        </is>
      </c>
      <c r="B673" s="176" t="inlineStr">
        <is>
          <t>Основы технологии и автоматизации производства продукции методами ОМД</t>
        </is>
      </c>
      <c r="C673" s="176" t="inlineStr">
        <is>
          <t>Консультация</t>
        </is>
      </c>
      <c r="D673" s="176" t="inlineStr">
        <is>
          <t>Т11О-302Б-21</t>
        </is>
      </c>
      <c r="E673" s="177" t="n">
        <v>1</v>
      </c>
      <c r="F673" s="176" t="inlineStr">
        <is>
          <t>14861</t>
        </is>
      </c>
      <c r="G673" s="178" t="n"/>
      <c r="H673" s="176" t="inlineStr">
        <is>
          <t>81720</t>
        </is>
      </c>
      <c r="I673" s="176" t="inlineStr">
        <is>
          <t>Палтиевич Андрей Романович</t>
        </is>
      </c>
      <c r="J673" s="176" t="n"/>
      <c r="K673" s="176" t="inlineStr">
        <is>
          <t>Нет</t>
        </is>
      </c>
      <c r="L673" s="176" t="n"/>
      <c r="M673" s="176" t="n"/>
      <c r="N673" s="179">
        <f>SUMIFS($E$2:$E$896,$A$2:$A$896,"осень",$I$2:$I$896,I673)</f>
        <v/>
      </c>
      <c r="O673" s="179">
        <f>SUMIFS($E$2:$E$896,$A$2:$A$896,"весна",$I$2:$I$896,I673)</f>
        <v/>
      </c>
      <c r="P673" s="180">
        <f>N673+O673</f>
        <v/>
      </c>
      <c r="Q673" s="181">
        <f>P673/$Q$1</f>
        <v/>
      </c>
      <c r="R673" s="122">
        <f>P673*0.2</f>
        <v/>
      </c>
      <c r="S673" s="122">
        <f>Q673*0.8</f>
        <v/>
      </c>
      <c r="T673" s="133" t="n">
        <v>0.65</v>
      </c>
    </row>
    <row r="674" hidden="1" ht="15.75" customHeight="1" s="2">
      <c r="A674" s="194" t="inlineStr">
        <is>
          <t>весна</t>
        </is>
      </c>
      <c r="B674" s="176" t="inlineStr">
        <is>
          <t>Основы технологии и автоматизации производства продукции методами ТСП</t>
        </is>
      </c>
      <c r="C674" s="176" t="inlineStr">
        <is>
          <t>ЛК</t>
        </is>
      </c>
      <c r="D674" s="176" t="inlineStr">
        <is>
          <t>Т11О-302Б-21</t>
        </is>
      </c>
      <c r="E674" s="177" t="n">
        <v>36</v>
      </c>
      <c r="F674" s="176" t="inlineStr">
        <is>
          <t>14861</t>
        </is>
      </c>
      <c r="G674" s="177" t="n">
        <v>36</v>
      </c>
      <c r="H674" s="176" t="inlineStr">
        <is>
          <t>89090</t>
        </is>
      </c>
      <c r="I674" s="176" t="inlineStr">
        <is>
          <t>Степанов Владимир Валерьевич</t>
        </is>
      </c>
      <c r="J674" s="176" t="n"/>
      <c r="K674" s="176" t="inlineStr">
        <is>
          <t>Нет</t>
        </is>
      </c>
      <c r="L674" s="176" t="n"/>
      <c r="M674" s="176" t="n"/>
      <c r="N674" s="179">
        <f>SUMIFS($E$2:$E$896,$A$2:$A$896,"осень",$I$2:$I$896,I674)</f>
        <v/>
      </c>
      <c r="O674" s="179">
        <f>SUMIFS($E$2:$E$896,$A$2:$A$896,"весна",$I$2:$I$896,I674)</f>
        <v/>
      </c>
      <c r="P674" s="180">
        <f>N674+O674</f>
        <v/>
      </c>
      <c r="Q674" s="181">
        <f>P674/$Q$1</f>
        <v/>
      </c>
      <c r="R674" s="122">
        <f>P674*0.2</f>
        <v/>
      </c>
      <c r="S674" s="122">
        <f>Q674*0.8</f>
        <v/>
      </c>
      <c r="T674" s="133" t="n">
        <v>0.4</v>
      </c>
    </row>
    <row r="675" hidden="1" ht="15.75" customHeight="1" s="2">
      <c r="A675" s="194" t="inlineStr">
        <is>
          <t>весна</t>
        </is>
      </c>
      <c r="B675" s="176" t="inlineStr">
        <is>
          <t>Основы технологии и автоматизации производства продукции методами ТСП</t>
        </is>
      </c>
      <c r="C675" s="176" t="inlineStr">
        <is>
          <t>ПЗ</t>
        </is>
      </c>
      <c r="D675" s="176" t="inlineStr">
        <is>
          <t>Т11О-302Б-21</t>
        </is>
      </c>
      <c r="E675" s="177" t="n">
        <v>24</v>
      </c>
      <c r="F675" s="176" t="inlineStr">
        <is>
          <t>14861</t>
        </is>
      </c>
      <c r="G675" s="177" t="n">
        <v>24</v>
      </c>
      <c r="H675" s="176" t="inlineStr">
        <is>
          <t>89090</t>
        </is>
      </c>
      <c r="I675" s="176" t="inlineStr">
        <is>
          <t>Степанов Владимир Валерьевич</t>
        </is>
      </c>
      <c r="J675" s="176" t="n"/>
      <c r="K675" s="176" t="inlineStr">
        <is>
          <t>Нет</t>
        </is>
      </c>
      <c r="L675" s="176" t="n"/>
      <c r="M675" s="176" t="n"/>
      <c r="N675" s="179">
        <f>SUMIFS($E$2:$E$896,$A$2:$A$896,"осень",$I$2:$I$896,I675)</f>
        <v/>
      </c>
      <c r="O675" s="179">
        <f>SUMIFS($E$2:$E$896,$A$2:$A$896,"весна",$I$2:$I$896,I675)</f>
        <v/>
      </c>
      <c r="P675" s="180">
        <f>N675+O675</f>
        <v/>
      </c>
      <c r="Q675" s="181">
        <f>P675/$Q$1</f>
        <v/>
      </c>
      <c r="R675" s="122">
        <f>P675*0.2</f>
        <v/>
      </c>
      <c r="S675" s="122">
        <f>Q675*0.8</f>
        <v/>
      </c>
      <c r="T675" s="133" t="n">
        <v>0.4</v>
      </c>
    </row>
    <row r="676" hidden="1" ht="15.75" customHeight="1" s="2">
      <c r="A676" s="194" t="inlineStr">
        <is>
          <t>весна</t>
        </is>
      </c>
      <c r="B676" s="176" t="inlineStr">
        <is>
          <t>Основы технологии и автоматизации производства продукции методами ТСП</t>
        </is>
      </c>
      <c r="C676" s="176" t="inlineStr">
        <is>
          <t>Экзамен</t>
        </is>
      </c>
      <c r="D676" s="176" t="inlineStr">
        <is>
          <t>Т11О-302Б-21</t>
        </is>
      </c>
      <c r="E676" s="177" t="n">
        <v>6</v>
      </c>
      <c r="F676" s="176" t="inlineStr">
        <is>
          <t>14861</t>
        </is>
      </c>
      <c r="G676" s="178" t="n"/>
      <c r="H676" s="176" t="inlineStr">
        <is>
          <t>89090</t>
        </is>
      </c>
      <c r="I676" s="176" t="inlineStr">
        <is>
          <t>Степанов Владимир Валерьевич</t>
        </is>
      </c>
      <c r="J676" s="176" t="n"/>
      <c r="K676" s="176" t="inlineStr">
        <is>
          <t>Нет</t>
        </is>
      </c>
      <c r="L676" s="176" t="n"/>
      <c r="M676" s="176" t="n"/>
      <c r="N676" s="179">
        <f>SUMIFS($E$2:$E$896,$A$2:$A$896,"осень",$I$2:$I$896,I676)</f>
        <v/>
      </c>
      <c r="O676" s="179">
        <f>SUMIFS($E$2:$E$896,$A$2:$A$896,"весна",$I$2:$I$896,I676)</f>
        <v/>
      </c>
      <c r="P676" s="180">
        <f>N676+O676</f>
        <v/>
      </c>
      <c r="Q676" s="181">
        <f>P676/$Q$1</f>
        <v/>
      </c>
      <c r="R676" s="122">
        <f>P676*0.2</f>
        <v/>
      </c>
      <c r="S676" s="122">
        <f>Q676*0.8</f>
        <v/>
      </c>
      <c r="T676" s="133" t="n">
        <v>0.4</v>
      </c>
    </row>
    <row r="677" ht="15.75" customHeight="1" s="2">
      <c r="A677" s="194" t="inlineStr">
        <is>
          <t>весна</t>
        </is>
      </c>
      <c r="B677" s="176" t="inlineStr">
        <is>
          <t>Основы технологии и автоматизации производства продукции методами ТСП</t>
        </is>
      </c>
      <c r="C677" s="176" t="inlineStr">
        <is>
          <t>Экзамен</t>
        </is>
      </c>
      <c r="D677" s="176" t="inlineStr">
        <is>
          <t>Т11О-302Б-21</t>
        </is>
      </c>
      <c r="E677" s="177" t="n">
        <v>3</v>
      </c>
      <c r="F677" s="176" t="inlineStr">
        <is>
          <t>14861</t>
        </is>
      </c>
      <c r="G677" s="178" t="n"/>
      <c r="H677" s="176" t="n"/>
      <c r="I677" s="176" t="inlineStr">
        <is>
          <t>э-резерв</t>
        </is>
      </c>
      <c r="J677" s="176" t="n"/>
      <c r="K677" s="176" t="inlineStr">
        <is>
          <t>Нет</t>
        </is>
      </c>
      <c r="L677" s="176" t="n"/>
      <c r="M677" s="176" t="n"/>
      <c r="N677" s="179">
        <f>SUMIFS($E$2:$E$896,$A$2:$A$896,"осень",$I$2:$I$896,I677)</f>
        <v/>
      </c>
      <c r="O677" s="179">
        <f>SUMIFS($E$2:$E$896,$A$2:$A$896,"весна",$I$2:$I$896,I677)</f>
        <v/>
      </c>
      <c r="P677" s="180">
        <f>N677+O677</f>
        <v/>
      </c>
      <c r="Q677" s="181">
        <f>P677/$Q$1</f>
        <v/>
      </c>
      <c r="R677" s="122">
        <f>P677*0.2</f>
        <v/>
      </c>
      <c r="S677" s="122">
        <f>Q677*0.8</f>
        <v/>
      </c>
      <c r="T677" s="133" t="n">
        <v>0</v>
      </c>
    </row>
    <row r="678" hidden="1" ht="15.75" customHeight="1" s="2">
      <c r="A678" s="194" t="inlineStr">
        <is>
          <t>весна</t>
        </is>
      </c>
      <c r="B678" s="176" t="inlineStr">
        <is>
          <t>Основы технологии и автоматизации производства продукции методами ТСП</t>
        </is>
      </c>
      <c r="C678" s="176" t="inlineStr">
        <is>
          <t>Консультация</t>
        </is>
      </c>
      <c r="D678" s="176" t="inlineStr">
        <is>
          <t>Т11О-302Б-21</t>
        </is>
      </c>
      <c r="E678" s="177" t="n">
        <v>2</v>
      </c>
      <c r="F678" s="176" t="inlineStr">
        <is>
          <t>14861</t>
        </is>
      </c>
      <c r="G678" s="178" t="n"/>
      <c r="H678" s="176" t="inlineStr">
        <is>
          <t>89090</t>
        </is>
      </c>
      <c r="I678" s="176" t="inlineStr">
        <is>
          <t>Степанов Владимир Валерьевич</t>
        </is>
      </c>
      <c r="J678" s="176" t="n"/>
      <c r="K678" s="176" t="inlineStr">
        <is>
          <t>Нет</t>
        </is>
      </c>
      <c r="L678" s="176" t="n"/>
      <c r="M678" s="176" t="n"/>
      <c r="N678" s="179">
        <f>SUMIFS($E$2:$E$896,$A$2:$A$896,"осень",$I$2:$I$896,I678)</f>
        <v/>
      </c>
      <c r="O678" s="179">
        <f>SUMIFS($E$2:$E$896,$A$2:$A$896,"весна",$I$2:$I$896,I678)</f>
        <v/>
      </c>
      <c r="P678" s="180">
        <f>N678+O678</f>
        <v/>
      </c>
      <c r="Q678" s="181">
        <f>P678/$Q$1</f>
        <v/>
      </c>
      <c r="R678" s="122">
        <f>P678*0.2</f>
        <v/>
      </c>
      <c r="S678" s="122">
        <f>Q678*0.8</f>
        <v/>
      </c>
      <c r="T678" s="133" t="n">
        <v>0.4</v>
      </c>
    </row>
    <row r="679" ht="15.75" customHeight="1" s="2">
      <c r="A679" s="194" t="inlineStr">
        <is>
          <t>весна</t>
        </is>
      </c>
      <c r="B679" s="176" t="inlineStr">
        <is>
          <t>Основы технологии и автоматизации производства продукции методами ТСП</t>
        </is>
      </c>
      <c r="C679" s="176" t="inlineStr">
        <is>
          <t>Консультация</t>
        </is>
      </c>
      <c r="D679" s="176" t="inlineStr">
        <is>
          <t>Т11О-302Б-21</t>
        </is>
      </c>
      <c r="E679" s="177" t="n">
        <v>1</v>
      </c>
      <c r="F679" s="176" t="inlineStr">
        <is>
          <t>14861</t>
        </is>
      </c>
      <c r="G679" s="178" t="n"/>
      <c r="H679" s="176" t="n"/>
      <c r="I679" s="176" t="inlineStr">
        <is>
          <t>э-резерв</t>
        </is>
      </c>
      <c r="J679" s="176" t="n"/>
      <c r="K679" s="176" t="inlineStr">
        <is>
          <t>Нет</t>
        </is>
      </c>
      <c r="L679" s="176" t="n"/>
      <c r="M679" s="176" t="n"/>
      <c r="N679" s="179">
        <f>SUMIFS($E$2:$E$896,$A$2:$A$896,"осень",$I$2:$I$896,I679)</f>
        <v/>
      </c>
      <c r="O679" s="179">
        <f>SUMIFS($E$2:$E$896,$A$2:$A$896,"весна",$I$2:$I$896,I679)</f>
        <v/>
      </c>
      <c r="P679" s="180">
        <f>N679+O679</f>
        <v/>
      </c>
      <c r="Q679" s="181">
        <f>P679/$Q$1</f>
        <v/>
      </c>
      <c r="R679" s="122">
        <f>P679*0.2</f>
        <v/>
      </c>
      <c r="S679" s="122">
        <f>Q679*0.8</f>
        <v/>
      </c>
      <c r="T679" s="133" t="n">
        <v>0</v>
      </c>
    </row>
    <row r="680" hidden="1" ht="15.75" customHeight="1" s="2">
      <c r="A680" s="194" t="inlineStr">
        <is>
          <t>весна</t>
        </is>
      </c>
      <c r="B680" s="176" t="inlineStr">
        <is>
          <t>Искусственный интеллект в технологиях материалов</t>
        </is>
      </c>
      <c r="C680" s="176" t="inlineStr">
        <is>
          <t>ЛК</t>
        </is>
      </c>
      <c r="D680" s="176" t="inlineStr">
        <is>
          <t>Т11О-101М-23</t>
        </is>
      </c>
      <c r="E680" s="177" t="n">
        <v>30</v>
      </c>
      <c r="F680" s="176" t="inlineStr">
        <is>
          <t>18008</t>
        </is>
      </c>
      <c r="G680" s="177" t="n">
        <v>30</v>
      </c>
      <c r="H680" s="176" t="inlineStr">
        <is>
          <t>81728</t>
        </is>
      </c>
      <c r="I680" s="176" t="inlineStr">
        <is>
          <t>Галкин Виктор Иванович</t>
        </is>
      </c>
      <c r="J680" s="176" t="n"/>
      <c r="K680" s="176" t="inlineStr">
        <is>
          <t>Нет</t>
        </is>
      </c>
      <c r="L680" s="176" t="n"/>
      <c r="M680" s="176" t="n"/>
      <c r="N680" s="179">
        <f>SUMIFS($E$2:$E$896,$A$2:$A$896,"осень",$I$2:$I$896,I680)</f>
        <v/>
      </c>
      <c r="O680" s="179">
        <f>SUMIFS($E$2:$E$896,$A$2:$A$896,"весна",$I$2:$I$896,I680)</f>
        <v/>
      </c>
      <c r="P680" s="180">
        <f>N680+O680</f>
        <v/>
      </c>
      <c r="Q680" s="181">
        <f>P680/$Q$1</f>
        <v/>
      </c>
      <c r="R680" s="122">
        <f>P680*0.2</f>
        <v/>
      </c>
      <c r="S680" s="122">
        <f>Q680*0.8</f>
        <v/>
      </c>
      <c r="T680" s="133" t="n">
        <v>0.75</v>
      </c>
    </row>
    <row r="681" hidden="1" ht="15.75" customHeight="1" s="2">
      <c r="A681" s="194" t="inlineStr">
        <is>
          <t>весна</t>
        </is>
      </c>
      <c r="B681" s="176" t="inlineStr">
        <is>
          <t>Искусственный интеллект в технологиях материалов</t>
        </is>
      </c>
      <c r="C681" s="176" t="inlineStr">
        <is>
          <t>Зачет с оценкой</t>
        </is>
      </c>
      <c r="D681" s="176" t="inlineStr">
        <is>
          <t>Т11О-101М-23</t>
        </is>
      </c>
      <c r="E681" s="177" t="n">
        <v>3</v>
      </c>
      <c r="F681" s="176" t="inlineStr">
        <is>
          <t>18008</t>
        </is>
      </c>
      <c r="G681" s="178" t="n"/>
      <c r="H681" s="176" t="inlineStr">
        <is>
          <t>81728</t>
        </is>
      </c>
      <c r="I681" s="176" t="inlineStr">
        <is>
          <t>Галкин Виктор Иванович</t>
        </is>
      </c>
      <c r="J681" s="176" t="n"/>
      <c r="K681" s="176" t="inlineStr">
        <is>
          <t>Нет</t>
        </is>
      </c>
      <c r="L681" s="176" t="n"/>
      <c r="M681" s="176" t="n"/>
      <c r="N681" s="179">
        <f>SUMIFS($E$2:$E$896,$A$2:$A$896,"осень",$I$2:$I$896,I681)</f>
        <v/>
      </c>
      <c r="O681" s="179">
        <f>SUMIFS($E$2:$E$896,$A$2:$A$896,"весна",$I$2:$I$896,I681)</f>
        <v/>
      </c>
      <c r="P681" s="180">
        <f>N681+O681</f>
        <v/>
      </c>
      <c r="Q681" s="181">
        <f>P681/$Q$1</f>
        <v/>
      </c>
      <c r="R681" s="122">
        <f>P681*0.2</f>
        <v/>
      </c>
      <c r="S681" s="122">
        <f>Q681*0.8</f>
        <v/>
      </c>
      <c r="T681" s="133" t="n">
        <v>0.75</v>
      </c>
    </row>
    <row r="682" ht="15.75" customHeight="1" s="2">
      <c r="A682" s="194" t="inlineStr">
        <is>
          <t>весна</t>
        </is>
      </c>
      <c r="B682" s="176" t="inlineStr">
        <is>
          <t>Искусственный интеллект в технологиях материалов</t>
        </is>
      </c>
      <c r="C682" s="176" t="inlineStr">
        <is>
          <t>Зачет с оценкой</t>
        </is>
      </c>
      <c r="D682" s="176" t="inlineStr">
        <is>
          <t>Т11О-101М-23</t>
        </is>
      </c>
      <c r="E682" s="177" t="n">
        <v>1</v>
      </c>
      <c r="F682" s="176" t="inlineStr">
        <is>
          <t>18008</t>
        </is>
      </c>
      <c r="G682" s="178" t="n"/>
      <c r="H682" s="176" t="n"/>
      <c r="I682" s="176" t="inlineStr">
        <is>
          <t>э-резерв</t>
        </is>
      </c>
      <c r="J682" s="176" t="n"/>
      <c r="K682" s="176" t="inlineStr">
        <is>
          <t>Нет</t>
        </is>
      </c>
      <c r="L682" s="176" t="n"/>
      <c r="M682" s="176" t="n"/>
      <c r="N682" s="179">
        <f>SUMIFS($E$2:$E$896,$A$2:$A$896,"осень",$I$2:$I$896,I682)</f>
        <v/>
      </c>
      <c r="O682" s="179">
        <f>SUMIFS($E$2:$E$896,$A$2:$A$896,"весна",$I$2:$I$896,I682)</f>
        <v/>
      </c>
      <c r="P682" s="180">
        <f>N682+O682</f>
        <v/>
      </c>
      <c r="Q682" s="181">
        <f>P682/$Q$1</f>
        <v/>
      </c>
      <c r="R682" s="122">
        <f>P682*0.2</f>
        <v/>
      </c>
      <c r="S682" s="122">
        <f>Q682*0.8</f>
        <v/>
      </c>
      <c r="T682" s="133" t="n">
        <v>0</v>
      </c>
    </row>
    <row r="683" hidden="1" ht="15.75" customHeight="1" s="2">
      <c r="A683" s="194" t="inlineStr">
        <is>
          <t>весна</t>
        </is>
      </c>
      <c r="B683" s="176" t="inlineStr">
        <is>
          <t>Искусственный интеллект в технологиях материалов</t>
        </is>
      </c>
      <c r="C683" s="176" t="inlineStr">
        <is>
          <t>Зачет с оценкой</t>
        </is>
      </c>
      <c r="D683" s="176" t="inlineStr">
        <is>
          <t>Т11О-102М-23</t>
        </is>
      </c>
      <c r="E683" s="177" t="n">
        <v>3</v>
      </c>
      <c r="F683" s="176" t="inlineStr">
        <is>
          <t>18009</t>
        </is>
      </c>
      <c r="G683" s="178" t="n"/>
      <c r="H683" s="176" t="inlineStr">
        <is>
          <t>81728</t>
        </is>
      </c>
      <c r="I683" s="176" t="inlineStr">
        <is>
          <t>Галкин Виктор Иванович</t>
        </is>
      </c>
      <c r="J683" s="176" t="n"/>
      <c r="K683" s="176" t="inlineStr">
        <is>
          <t>Нет</t>
        </is>
      </c>
      <c r="L683" s="176" t="n"/>
      <c r="M683" s="176" t="n"/>
      <c r="N683" s="179">
        <f>SUMIFS($E$2:$E$896,$A$2:$A$896,"осень",$I$2:$I$896,I683)</f>
        <v/>
      </c>
      <c r="O683" s="179">
        <f>SUMIFS($E$2:$E$896,$A$2:$A$896,"весна",$I$2:$I$896,I683)</f>
        <v/>
      </c>
      <c r="P683" s="180">
        <f>N683+O683</f>
        <v/>
      </c>
      <c r="Q683" s="181">
        <f>P683/$Q$1</f>
        <v/>
      </c>
      <c r="R683" s="122">
        <f>P683*0.2</f>
        <v/>
      </c>
      <c r="S683" s="122">
        <f>Q683*0.8</f>
        <v/>
      </c>
      <c r="T683" s="133" t="n">
        <v>0.75</v>
      </c>
    </row>
    <row r="684" ht="15.75" customHeight="1" s="2">
      <c r="A684" s="194" t="inlineStr">
        <is>
          <t>весна</t>
        </is>
      </c>
      <c r="B684" s="176" t="inlineStr">
        <is>
          <t>Искусственный интеллект в технологиях материалов</t>
        </is>
      </c>
      <c r="C684" s="176" t="inlineStr">
        <is>
          <t>Зачет с оценкой</t>
        </is>
      </c>
      <c r="D684" s="176" t="inlineStr">
        <is>
          <t>Т11О-102М-23</t>
        </is>
      </c>
      <c r="E684" s="177" t="n">
        <v>1</v>
      </c>
      <c r="F684" s="176" t="inlineStr">
        <is>
          <t>18009</t>
        </is>
      </c>
      <c r="G684" s="178" t="n"/>
      <c r="H684" s="176" t="n"/>
      <c r="I684" s="176" t="inlineStr">
        <is>
          <t>э-резерв</t>
        </is>
      </c>
      <c r="J684" s="176" t="n"/>
      <c r="K684" s="176" t="inlineStr">
        <is>
          <t>Нет</t>
        </is>
      </c>
      <c r="L684" s="176" t="n"/>
      <c r="M684" s="176" t="n"/>
      <c r="N684" s="179">
        <f>SUMIFS($E$2:$E$896,$A$2:$A$896,"осень",$I$2:$I$896,I684)</f>
        <v/>
      </c>
      <c r="O684" s="179">
        <f>SUMIFS($E$2:$E$896,$A$2:$A$896,"весна",$I$2:$I$896,I684)</f>
        <v/>
      </c>
      <c r="P684" s="180">
        <f>N684+O684</f>
        <v/>
      </c>
      <c r="Q684" s="181">
        <f>P684/$Q$1</f>
        <v/>
      </c>
      <c r="R684" s="122">
        <f>P684*0.2</f>
        <v/>
      </c>
      <c r="S684" s="122">
        <f>Q684*0.8</f>
        <v/>
      </c>
      <c r="T684" s="133" t="n">
        <v>0</v>
      </c>
    </row>
    <row r="685" hidden="1" ht="15.75" customHeight="1" s="2">
      <c r="A685" s="194" t="inlineStr">
        <is>
          <t>весна</t>
        </is>
      </c>
      <c r="B685" s="176" t="inlineStr">
        <is>
          <t>Искусственный интеллект в технологиях материалов</t>
        </is>
      </c>
      <c r="C685" s="176" t="inlineStr">
        <is>
          <t>Зачет с оценкой</t>
        </is>
      </c>
      <c r="D685" s="176" t="inlineStr">
        <is>
          <t>Т11О-104М-23</t>
        </is>
      </c>
      <c r="E685" s="177" t="n">
        <v>2</v>
      </c>
      <c r="F685" s="176" t="inlineStr">
        <is>
          <t>18009</t>
        </is>
      </c>
      <c r="G685" s="178" t="n"/>
      <c r="H685" s="176" t="inlineStr">
        <is>
          <t>81728</t>
        </is>
      </c>
      <c r="I685" s="176" t="inlineStr">
        <is>
          <t>Галкин Виктор Иванович</t>
        </is>
      </c>
      <c r="J685" s="176" t="n"/>
      <c r="K685" s="176" t="inlineStr">
        <is>
          <t>Нет</t>
        </is>
      </c>
      <c r="L685" s="176" t="n"/>
      <c r="M685" s="176" t="n"/>
      <c r="N685" s="179">
        <f>SUMIFS($E$2:$E$896,$A$2:$A$896,"осень",$I$2:$I$896,I685)</f>
        <v/>
      </c>
      <c r="O685" s="179">
        <f>SUMIFS($E$2:$E$896,$A$2:$A$896,"весна",$I$2:$I$896,I685)</f>
        <v/>
      </c>
      <c r="P685" s="180">
        <f>N685+O685</f>
        <v/>
      </c>
      <c r="Q685" s="181">
        <f>P685/$Q$1</f>
        <v/>
      </c>
      <c r="R685" s="122">
        <f>P685*0.2</f>
        <v/>
      </c>
      <c r="S685" s="122">
        <f>Q685*0.8</f>
        <v/>
      </c>
      <c r="T685" s="133" t="n">
        <v>0.75</v>
      </c>
    </row>
    <row r="686" ht="15.75" customHeight="1" s="2">
      <c r="A686" s="194" t="inlineStr">
        <is>
          <t>весна</t>
        </is>
      </c>
      <c r="B686" s="176" t="inlineStr">
        <is>
          <t>Искусственный интеллект в технологиях материалов</t>
        </is>
      </c>
      <c r="C686" s="176" t="inlineStr">
        <is>
          <t>Зачет с оценкой</t>
        </is>
      </c>
      <c r="D686" s="176" t="inlineStr">
        <is>
          <t>Т11О-104М-23</t>
        </is>
      </c>
      <c r="E686" s="177" t="n">
        <v>1</v>
      </c>
      <c r="F686" s="176" t="inlineStr">
        <is>
          <t>18009</t>
        </is>
      </c>
      <c r="G686" s="178" t="n"/>
      <c r="H686" s="176" t="n"/>
      <c r="I686" s="176" t="inlineStr">
        <is>
          <t>э-резерв</t>
        </is>
      </c>
      <c r="J686" s="176" t="n"/>
      <c r="K686" s="176" t="inlineStr">
        <is>
          <t>Нет</t>
        </is>
      </c>
      <c r="L686" s="176" t="n"/>
      <c r="M686" s="176" t="n"/>
      <c r="N686" s="179">
        <f>SUMIFS($E$2:$E$896,$A$2:$A$896,"осень",$I$2:$I$896,I686)</f>
        <v/>
      </c>
      <c r="O686" s="179">
        <f>SUMIFS($E$2:$E$896,$A$2:$A$896,"весна",$I$2:$I$896,I686)</f>
        <v/>
      </c>
      <c r="P686" s="180">
        <f>N686+O686</f>
        <v/>
      </c>
      <c r="Q686" s="181">
        <f>P686/$Q$1</f>
        <v/>
      </c>
      <c r="R686" s="122">
        <f>P686*0.2</f>
        <v/>
      </c>
      <c r="S686" s="122">
        <f>Q686*0.8</f>
        <v/>
      </c>
      <c r="T686" s="133" t="n">
        <v>0</v>
      </c>
    </row>
    <row r="687" hidden="1" ht="15.75" customHeight="1" s="2">
      <c r="A687" s="194" t="inlineStr">
        <is>
          <t>весна</t>
        </is>
      </c>
      <c r="B687" s="176" t="inlineStr">
        <is>
          <t>Искусственный интеллект в технологиях материалов</t>
        </is>
      </c>
      <c r="C687" s="176" t="inlineStr">
        <is>
          <t>Зачет с оценкой</t>
        </is>
      </c>
      <c r="D687" s="176" t="inlineStr">
        <is>
          <t>Т11О-105М-23</t>
        </is>
      </c>
      <c r="E687" s="177" t="n">
        <v>2</v>
      </c>
      <c r="F687" s="176" t="inlineStr">
        <is>
          <t>18009</t>
        </is>
      </c>
      <c r="G687" s="178" t="n"/>
      <c r="H687" s="176" t="inlineStr">
        <is>
          <t>81728</t>
        </is>
      </c>
      <c r="I687" s="176" t="inlineStr">
        <is>
          <t>Галкин Виктор Иванович</t>
        </is>
      </c>
      <c r="J687" s="176" t="n"/>
      <c r="K687" s="176" t="inlineStr">
        <is>
          <t>Нет</t>
        </is>
      </c>
      <c r="L687" s="176" t="n"/>
      <c r="M687" s="176" t="n"/>
      <c r="N687" s="179">
        <f>SUMIFS($E$2:$E$896,$A$2:$A$896,"осень",$I$2:$I$896,I687)</f>
        <v/>
      </c>
      <c r="O687" s="179">
        <f>SUMIFS($E$2:$E$896,$A$2:$A$896,"весна",$I$2:$I$896,I687)</f>
        <v/>
      </c>
      <c r="P687" s="180">
        <f>N687+O687</f>
        <v/>
      </c>
      <c r="Q687" s="181">
        <f>P687/$Q$1</f>
        <v/>
      </c>
      <c r="R687" s="122">
        <f>P687*0.2</f>
        <v/>
      </c>
      <c r="S687" s="122">
        <f>Q687*0.8</f>
        <v/>
      </c>
      <c r="T687" s="133" t="n">
        <v>0.75</v>
      </c>
    </row>
    <row r="688" ht="15.75" customHeight="1" s="2">
      <c r="A688" s="194" t="inlineStr">
        <is>
          <t>весна</t>
        </is>
      </c>
      <c r="B688" s="176" t="inlineStr">
        <is>
          <t>Искусственный интеллект в технологиях материалов</t>
        </is>
      </c>
      <c r="C688" s="176" t="inlineStr">
        <is>
          <t>Зачет с оценкой</t>
        </is>
      </c>
      <c r="D688" s="176" t="inlineStr">
        <is>
          <t>Т11О-105М-23</t>
        </is>
      </c>
      <c r="E688" s="177" t="n">
        <v>1</v>
      </c>
      <c r="F688" s="176" t="inlineStr">
        <is>
          <t>18009</t>
        </is>
      </c>
      <c r="G688" s="178" t="n"/>
      <c r="H688" s="176" t="n"/>
      <c r="I688" s="176" t="inlineStr">
        <is>
          <t>э-резерв</t>
        </is>
      </c>
      <c r="J688" s="176" t="n"/>
      <c r="K688" s="176" t="inlineStr">
        <is>
          <t>Нет</t>
        </is>
      </c>
      <c r="L688" s="176" t="n"/>
      <c r="M688" s="176" t="n"/>
      <c r="N688" s="179">
        <f>SUMIFS($E$2:$E$896,$A$2:$A$896,"осень",$I$2:$I$896,I688)</f>
        <v/>
      </c>
      <c r="O688" s="179">
        <f>SUMIFS($E$2:$E$896,$A$2:$A$896,"весна",$I$2:$I$896,I688)</f>
        <v/>
      </c>
      <c r="P688" s="180">
        <f>N688+O688</f>
        <v/>
      </c>
      <c r="Q688" s="181">
        <f>P688/$Q$1</f>
        <v/>
      </c>
      <c r="R688" s="122">
        <f>P688*0.2</f>
        <v/>
      </c>
      <c r="S688" s="122">
        <f>Q688*0.8</f>
        <v/>
      </c>
      <c r="T688" s="133" t="n">
        <v>0</v>
      </c>
    </row>
    <row r="689" hidden="1" ht="15.75" customHeight="1" s="2">
      <c r="A689" s="194" t="inlineStr">
        <is>
          <t>весна</t>
        </is>
      </c>
      <c r="B689" s="182" t="inlineStr">
        <is>
          <t>Искусственный интеллект в технологиях материалов</t>
        </is>
      </c>
      <c r="C689" s="182" t="inlineStr">
        <is>
          <t>ПЗ</t>
        </is>
      </c>
      <c r="D689" s="182" t="inlineStr">
        <is>
          <t>Т11О-101М-23</t>
        </is>
      </c>
      <c r="E689" s="183" t="n">
        <v>2</v>
      </c>
      <c r="F689" s="182" t="inlineStr">
        <is>
          <t>18008</t>
        </is>
      </c>
      <c r="G689" s="183" t="n">
        <v>8</v>
      </c>
      <c r="H689" s="182" t="inlineStr">
        <is>
          <t>82086</t>
        </is>
      </c>
      <c r="I689" s="182" t="inlineStr">
        <is>
          <t>Петров Игорь Алексеевич</t>
        </is>
      </c>
      <c r="J689" s="176" t="n"/>
      <c r="K689" s="176" t="inlineStr">
        <is>
          <t>Нет</t>
        </is>
      </c>
      <c r="L689" s="176" t="n"/>
      <c r="M689" s="176" t="n"/>
      <c r="N689" s="179">
        <f>SUMIFS($E$2:$E$896,$A$2:$A$896,"осень",$I$2:$I$896,I689)</f>
        <v/>
      </c>
      <c r="O689" s="179">
        <f>SUMIFS($E$2:$E$896,$A$2:$A$896,"весна",$I$2:$I$896,I689)</f>
        <v/>
      </c>
      <c r="P689" s="180">
        <f>N689+O689</f>
        <v/>
      </c>
      <c r="Q689" s="181">
        <f>P689/$Q$1</f>
        <v/>
      </c>
      <c r="R689" s="122">
        <f>P689*0.2</f>
        <v/>
      </c>
      <c r="S689" s="122">
        <f>Q689*0.8</f>
        <v/>
      </c>
      <c r="T689" s="133" t="n">
        <v>0.35</v>
      </c>
    </row>
    <row r="690" hidden="1" ht="15.75" customHeight="1" s="2">
      <c r="A690" s="194" t="inlineStr">
        <is>
          <t>весна</t>
        </is>
      </c>
      <c r="B690" s="176" t="inlineStr">
        <is>
          <t>Искусственный интеллект в технологиях материалов</t>
        </is>
      </c>
      <c r="C690" s="176" t="inlineStr">
        <is>
          <t>ПЗ</t>
        </is>
      </c>
      <c r="D690" s="176" t="inlineStr">
        <is>
          <t>Т11О-101М-23</t>
        </is>
      </c>
      <c r="E690" s="177" t="n">
        <v>2</v>
      </c>
      <c r="F690" s="176" t="inlineStr">
        <is>
          <t>18008</t>
        </is>
      </c>
      <c r="G690" s="177" t="n">
        <v>8</v>
      </c>
      <c r="H690" s="176" t="inlineStr">
        <is>
          <t>82066</t>
        </is>
      </c>
      <c r="I690" s="176" t="inlineStr">
        <is>
          <t>Серов Михаил Михайлович</t>
        </is>
      </c>
      <c r="J690" s="176" t="n"/>
      <c r="K690" s="176" t="inlineStr">
        <is>
          <t>Нет</t>
        </is>
      </c>
      <c r="L690" s="176" t="n"/>
      <c r="M690" s="176" t="n"/>
      <c r="N690" s="179">
        <f>SUMIFS($E$2:$E$896,$A$2:$A$896,"осень",$I$2:$I$896,I690)</f>
        <v/>
      </c>
      <c r="O690" s="179">
        <f>SUMIFS($E$2:$E$896,$A$2:$A$896,"весна",$I$2:$I$896,I690)</f>
        <v/>
      </c>
      <c r="P690" s="180">
        <f>N690+O690</f>
        <v/>
      </c>
      <c r="Q690" s="181">
        <f>P690/$Q$1</f>
        <v/>
      </c>
      <c r="R690" s="122">
        <f>P690*0.2</f>
        <v/>
      </c>
      <c r="S690" s="122">
        <f>Q690*0.8</f>
        <v/>
      </c>
      <c r="T690" s="133" t="n">
        <v>0.6</v>
      </c>
    </row>
    <row r="691" hidden="1" ht="15.75" customHeight="1" s="2">
      <c r="A691" s="194" t="inlineStr">
        <is>
          <t>весна</t>
        </is>
      </c>
      <c r="B691" s="176" t="inlineStr">
        <is>
          <t>Искусственный интеллект в технологиях материалов</t>
        </is>
      </c>
      <c r="C691" s="176" t="inlineStr">
        <is>
          <t>ПЗ</t>
        </is>
      </c>
      <c r="D691" s="176" t="inlineStr">
        <is>
          <t>Т11О-101М-23</t>
        </is>
      </c>
      <c r="E691" s="177" t="n">
        <v>2</v>
      </c>
      <c r="F691" s="176" t="inlineStr">
        <is>
          <t>18008</t>
        </is>
      </c>
      <c r="G691" s="177" t="n">
        <v>8</v>
      </c>
      <c r="H691" s="176" t="inlineStr">
        <is>
          <t>81721</t>
        </is>
      </c>
      <c r="I691" s="176" t="inlineStr">
        <is>
          <t>Преображенский Евгений Владимирович</t>
        </is>
      </c>
      <c r="J691" s="176" t="n"/>
      <c r="K691" s="176" t="inlineStr">
        <is>
          <t>Нет</t>
        </is>
      </c>
      <c r="L691" s="176" t="n"/>
      <c r="M691" s="176" t="n"/>
      <c r="N691" s="179">
        <f>SUMIFS($E$2:$E$896,$A$2:$A$896,"осень",$I$2:$I$896,I691)</f>
        <v/>
      </c>
      <c r="O691" s="179">
        <f>SUMIFS($E$2:$E$896,$A$2:$A$896,"весна",$I$2:$I$896,I691)</f>
        <v/>
      </c>
      <c r="P691" s="180">
        <f>N691+O691</f>
        <v/>
      </c>
      <c r="Q691" s="181">
        <f>P691/$Q$1</f>
        <v/>
      </c>
      <c r="R691" s="122">
        <f>P691*0.2</f>
        <v/>
      </c>
      <c r="S691" s="122">
        <f>Q691*0.8</f>
        <v/>
      </c>
      <c r="T691" s="133" t="n">
        <v>0.25</v>
      </c>
    </row>
    <row r="692" hidden="1" ht="15.75" customHeight="1" s="2">
      <c r="A692" s="194" t="inlineStr">
        <is>
          <t>весна</t>
        </is>
      </c>
      <c r="B692" s="176" t="inlineStr">
        <is>
          <t>Искусственный интеллект в технологиях материалов</t>
        </is>
      </c>
      <c r="C692" s="176" t="inlineStr">
        <is>
          <t>ПЗ</t>
        </is>
      </c>
      <c r="D692" s="176" t="inlineStr">
        <is>
          <t>Т11О-101М-23</t>
        </is>
      </c>
      <c r="E692" s="177" t="n">
        <v>2</v>
      </c>
      <c r="F692" s="176" t="inlineStr">
        <is>
          <t>18008</t>
        </is>
      </c>
      <c r="G692" s="177" t="n">
        <v>8</v>
      </c>
      <c r="H692" s="176" t="inlineStr">
        <is>
          <t>92509</t>
        </is>
      </c>
      <c r="I692" s="176" t="inlineStr">
        <is>
          <t>Пашков Игорь Николаевич</t>
        </is>
      </c>
      <c r="J692" s="176" t="n"/>
      <c r="K692" s="176" t="inlineStr">
        <is>
          <t>Нет</t>
        </is>
      </c>
      <c r="L692" s="176" t="n"/>
      <c r="M692" s="176" t="n"/>
      <c r="N692" s="179">
        <f>SUMIFS($E$2:$E$896,$A$2:$A$896,"осень",$I$2:$I$896,I692)</f>
        <v/>
      </c>
      <c r="O692" s="179">
        <f>SUMIFS($E$2:$E$896,$A$2:$A$896,"весна",$I$2:$I$896,I692)</f>
        <v/>
      </c>
      <c r="P692" s="180">
        <f>N692+O692</f>
        <v/>
      </c>
      <c r="Q692" s="181">
        <f>P692/$Q$1</f>
        <v/>
      </c>
      <c r="R692" s="122">
        <f>P692*0.2</f>
        <v/>
      </c>
      <c r="S692" s="122">
        <f>Q692*0.8</f>
        <v/>
      </c>
      <c r="T692" s="133" t="n">
        <v>0.55</v>
      </c>
    </row>
    <row r="693" hidden="1" ht="15.75" customHeight="1" s="2">
      <c r="A693" s="194" t="inlineStr">
        <is>
          <t>весна</t>
        </is>
      </c>
      <c r="B693" s="176" t="inlineStr">
        <is>
          <t>Искусственный интеллект в технологиях материалов</t>
        </is>
      </c>
      <c r="C693" s="176" t="inlineStr">
        <is>
          <t>ПЗ</t>
        </is>
      </c>
      <c r="D693" s="176" t="inlineStr">
        <is>
          <t>Т11О-102М-23</t>
        </is>
      </c>
      <c r="E693" s="177" t="n">
        <v>2</v>
      </c>
      <c r="F693" s="176" t="inlineStr">
        <is>
          <t>18009</t>
        </is>
      </c>
      <c r="G693" s="177" t="n">
        <v>8</v>
      </c>
      <c r="H693" s="176" t="inlineStr">
        <is>
          <t>92509</t>
        </is>
      </c>
      <c r="I693" s="176" t="inlineStr">
        <is>
          <t>Пашков Игорь Николаевич</t>
        </is>
      </c>
      <c r="J693" s="176" t="n"/>
      <c r="K693" s="176" t="inlineStr">
        <is>
          <t>Нет</t>
        </is>
      </c>
      <c r="L693" s="176" t="n"/>
      <c r="M693" s="176" t="n"/>
      <c r="N693" s="179">
        <f>SUMIFS($E$2:$E$896,$A$2:$A$896,"осень",$I$2:$I$896,I693)</f>
        <v/>
      </c>
      <c r="O693" s="179">
        <f>SUMIFS($E$2:$E$896,$A$2:$A$896,"весна",$I$2:$I$896,I693)</f>
        <v/>
      </c>
      <c r="P693" s="180">
        <f>N693+O693</f>
        <v/>
      </c>
      <c r="Q693" s="181">
        <f>P693/$Q$1</f>
        <v/>
      </c>
      <c r="R693" s="122">
        <f>P693*0.2</f>
        <v/>
      </c>
      <c r="S693" s="122">
        <f>Q693*0.8</f>
        <v/>
      </c>
      <c r="T693" s="133" t="n">
        <v>0.55</v>
      </c>
    </row>
    <row r="694" hidden="1" ht="15.75" customHeight="1" s="2">
      <c r="A694" s="194" t="inlineStr">
        <is>
          <t>весна</t>
        </is>
      </c>
      <c r="B694" s="176" t="inlineStr">
        <is>
          <t>Искусственный интеллект в технологиях материалов</t>
        </is>
      </c>
      <c r="C694" s="176" t="inlineStr">
        <is>
          <t>ПЗ</t>
        </is>
      </c>
      <c r="D694" s="176" t="inlineStr">
        <is>
          <t>Т11О-102М-23</t>
        </is>
      </c>
      <c r="E694" s="177" t="n">
        <v>2</v>
      </c>
      <c r="F694" s="176" t="inlineStr">
        <is>
          <t>18009</t>
        </is>
      </c>
      <c r="G694" s="177" t="n">
        <v>8</v>
      </c>
      <c r="H694" s="176" t="inlineStr">
        <is>
          <t>81721</t>
        </is>
      </c>
      <c r="I694" s="176" t="inlineStr">
        <is>
          <t>Преображенский Евгений Владимирович</t>
        </is>
      </c>
      <c r="J694" s="176" t="n"/>
      <c r="K694" s="176" t="inlineStr">
        <is>
          <t>Нет</t>
        </is>
      </c>
      <c r="L694" s="176" t="n"/>
      <c r="M694" s="176" t="n"/>
      <c r="N694" s="179">
        <f>SUMIFS($E$2:$E$896,$A$2:$A$896,"осень",$I$2:$I$896,I694)</f>
        <v/>
      </c>
      <c r="O694" s="179">
        <f>SUMIFS($E$2:$E$896,$A$2:$A$896,"весна",$I$2:$I$896,I694)</f>
        <v/>
      </c>
      <c r="P694" s="180">
        <f>N694+O694</f>
        <v/>
      </c>
      <c r="Q694" s="181">
        <f>P694/$Q$1</f>
        <v/>
      </c>
      <c r="R694" s="122">
        <f>P694*0.2</f>
        <v/>
      </c>
      <c r="S694" s="122">
        <f>Q694*0.8</f>
        <v/>
      </c>
      <c r="T694" s="133" t="n">
        <v>0.25</v>
      </c>
    </row>
    <row r="695" hidden="1" ht="15.75" customHeight="1" s="2">
      <c r="A695" s="194" t="inlineStr">
        <is>
          <t>весна</t>
        </is>
      </c>
      <c r="B695" s="182" t="inlineStr">
        <is>
          <t>Искусственный интеллект в технологиях материалов</t>
        </is>
      </c>
      <c r="C695" s="182" t="inlineStr">
        <is>
          <t>ПЗ</t>
        </is>
      </c>
      <c r="D695" s="182" t="inlineStr">
        <is>
          <t>Т11О-102М-23</t>
        </is>
      </c>
      <c r="E695" s="183" t="n">
        <v>2</v>
      </c>
      <c r="F695" s="182" t="inlineStr">
        <is>
          <t>18009</t>
        </is>
      </c>
      <c r="G695" s="183" t="n">
        <v>8</v>
      </c>
      <c r="H695" s="182" t="inlineStr">
        <is>
          <t>82086</t>
        </is>
      </c>
      <c r="I695" s="182" t="inlineStr">
        <is>
          <t>Петров Игорь Алексеевич</t>
        </is>
      </c>
      <c r="J695" s="176" t="n"/>
      <c r="K695" s="176" t="inlineStr">
        <is>
          <t>Нет</t>
        </is>
      </c>
      <c r="L695" s="176" t="n"/>
      <c r="M695" s="176" t="n"/>
      <c r="N695" s="179">
        <f>SUMIFS($E$2:$E$896,$A$2:$A$896,"осень",$I$2:$I$896,I695)</f>
        <v/>
      </c>
      <c r="O695" s="179">
        <f>SUMIFS($E$2:$E$896,$A$2:$A$896,"весна",$I$2:$I$896,I695)</f>
        <v/>
      </c>
      <c r="P695" s="180">
        <f>N695+O695</f>
        <v/>
      </c>
      <c r="Q695" s="181">
        <f>P695/$Q$1</f>
        <v/>
      </c>
      <c r="R695" s="122">
        <f>P695*0.2</f>
        <v/>
      </c>
      <c r="S695" s="122">
        <f>Q695*0.8</f>
        <v/>
      </c>
      <c r="T695" s="133" t="n">
        <v>0.35</v>
      </c>
    </row>
    <row r="696" hidden="1" ht="15.75" customHeight="1" s="2">
      <c r="A696" s="194" t="inlineStr">
        <is>
          <t>весна</t>
        </is>
      </c>
      <c r="B696" s="176" t="inlineStr">
        <is>
          <t>Искусственный интеллект в технологиях материалов</t>
        </is>
      </c>
      <c r="C696" s="176" t="inlineStr">
        <is>
          <t>ПЗ</t>
        </is>
      </c>
      <c r="D696" s="176" t="inlineStr">
        <is>
          <t>Т11О-102М-23</t>
        </is>
      </c>
      <c r="E696" s="177" t="n">
        <v>2</v>
      </c>
      <c r="F696" s="176" t="inlineStr">
        <is>
          <t>18009</t>
        </is>
      </c>
      <c r="G696" s="177" t="n">
        <v>8</v>
      </c>
      <c r="H696" s="176" t="inlineStr">
        <is>
          <t>82066</t>
        </is>
      </c>
      <c r="I696" s="176" t="inlineStr">
        <is>
          <t>Серов Михаил Михайлович</t>
        </is>
      </c>
      <c r="J696" s="176" t="n"/>
      <c r="K696" s="176" t="inlineStr">
        <is>
          <t>Нет</t>
        </is>
      </c>
      <c r="L696" s="176" t="n"/>
      <c r="M696" s="176" t="n"/>
      <c r="N696" s="179">
        <f>SUMIFS($E$2:$E$896,$A$2:$A$896,"осень",$I$2:$I$896,I696)</f>
        <v/>
      </c>
      <c r="O696" s="179">
        <f>SUMIFS($E$2:$E$896,$A$2:$A$896,"весна",$I$2:$I$896,I696)</f>
        <v/>
      </c>
      <c r="P696" s="180">
        <f>N696+O696</f>
        <v/>
      </c>
      <c r="Q696" s="181">
        <f>P696/$Q$1</f>
        <v/>
      </c>
      <c r="R696" s="122">
        <f>P696*0.2</f>
        <v/>
      </c>
      <c r="S696" s="122">
        <f>Q696*0.8</f>
        <v/>
      </c>
      <c r="T696" s="133" t="n">
        <v>0.6</v>
      </c>
    </row>
    <row r="697" hidden="1" ht="15.75" customHeight="1" s="2">
      <c r="A697" s="194" t="inlineStr">
        <is>
          <t>весна</t>
        </is>
      </c>
      <c r="B697" s="176" t="inlineStr">
        <is>
          <t>Искусственный интеллект в технологиях материалов</t>
        </is>
      </c>
      <c r="C697" s="176" t="inlineStr">
        <is>
          <t>ПЗ</t>
        </is>
      </c>
      <c r="D697" s="176" t="inlineStr">
        <is>
          <t>Т11О-104М-23</t>
        </is>
      </c>
      <c r="E697" s="177" t="n">
        <v>2</v>
      </c>
      <c r="F697" s="176" t="inlineStr">
        <is>
          <t>18009</t>
        </is>
      </c>
      <c r="G697" s="177" t="n">
        <v>8</v>
      </c>
      <c r="H697" s="176" t="inlineStr">
        <is>
          <t>82066</t>
        </is>
      </c>
      <c r="I697" s="176" t="inlineStr">
        <is>
          <t>Серов Михаил Михайлович</t>
        </is>
      </c>
      <c r="J697" s="176" t="n"/>
      <c r="K697" s="176" t="inlineStr">
        <is>
          <t>Нет</t>
        </is>
      </c>
      <c r="L697" s="176" t="n"/>
      <c r="M697" s="176" t="n"/>
      <c r="N697" s="179">
        <f>SUMIFS($E$2:$E$896,$A$2:$A$896,"осень",$I$2:$I$896,I697)</f>
        <v/>
      </c>
      <c r="O697" s="179">
        <f>SUMIFS($E$2:$E$896,$A$2:$A$896,"весна",$I$2:$I$896,I697)</f>
        <v/>
      </c>
      <c r="P697" s="180">
        <f>N697+O697</f>
        <v/>
      </c>
      <c r="Q697" s="181">
        <f>P697/$Q$1</f>
        <v/>
      </c>
      <c r="R697" s="122">
        <f>P697*0.2</f>
        <v/>
      </c>
      <c r="S697" s="122">
        <f>Q697*0.8</f>
        <v/>
      </c>
      <c r="T697" s="133" t="n">
        <v>0.6</v>
      </c>
    </row>
    <row r="698" hidden="1" ht="15.75" customHeight="1" s="2">
      <c r="A698" s="194" t="inlineStr">
        <is>
          <t>весна</t>
        </is>
      </c>
      <c r="B698" s="182" t="inlineStr">
        <is>
          <t>Искусственный интеллект в технологиях материалов</t>
        </is>
      </c>
      <c r="C698" s="182" t="inlineStr">
        <is>
          <t>ПЗ</t>
        </is>
      </c>
      <c r="D698" s="182" t="inlineStr">
        <is>
          <t>Т11О-104М-23</t>
        </is>
      </c>
      <c r="E698" s="183" t="n">
        <v>2</v>
      </c>
      <c r="F698" s="182" t="inlineStr">
        <is>
          <t>18009</t>
        </is>
      </c>
      <c r="G698" s="183" t="n">
        <v>8</v>
      </c>
      <c r="H698" s="182" t="inlineStr">
        <is>
          <t>82086</t>
        </is>
      </c>
      <c r="I698" s="182" t="inlineStr">
        <is>
          <t>Петров Игорь Алексеевич</t>
        </is>
      </c>
      <c r="J698" s="176" t="n"/>
      <c r="K698" s="176" t="inlineStr">
        <is>
          <t>Нет</t>
        </is>
      </c>
      <c r="L698" s="176" t="n"/>
      <c r="M698" s="176" t="n"/>
      <c r="N698" s="179">
        <f>SUMIFS($E$2:$E$896,$A$2:$A$896,"осень",$I$2:$I$896,I698)</f>
        <v/>
      </c>
      <c r="O698" s="179">
        <f>SUMIFS($E$2:$E$896,$A$2:$A$896,"весна",$I$2:$I$896,I698)</f>
        <v/>
      </c>
      <c r="P698" s="180">
        <f>N698+O698</f>
        <v/>
      </c>
      <c r="Q698" s="181">
        <f>P698/$Q$1</f>
        <v/>
      </c>
      <c r="R698" s="122">
        <f>P698*0.2</f>
        <v/>
      </c>
      <c r="S698" s="122">
        <f>Q698*0.8</f>
        <v/>
      </c>
      <c r="T698" s="133" t="n">
        <v>0.35</v>
      </c>
    </row>
    <row r="699" hidden="1" ht="15.75" customHeight="1" s="2">
      <c r="A699" s="194" t="inlineStr">
        <is>
          <t>весна</t>
        </is>
      </c>
      <c r="B699" s="176" t="inlineStr">
        <is>
          <t>Искусственный интеллект в технологиях материалов</t>
        </is>
      </c>
      <c r="C699" s="176" t="inlineStr">
        <is>
          <t>ПЗ</t>
        </is>
      </c>
      <c r="D699" s="176" t="inlineStr">
        <is>
          <t>Т11О-104М-23</t>
        </is>
      </c>
      <c r="E699" s="177" t="n">
        <v>2</v>
      </c>
      <c r="F699" s="176" t="inlineStr">
        <is>
          <t>18009</t>
        </is>
      </c>
      <c r="G699" s="177" t="n">
        <v>8</v>
      </c>
      <c r="H699" s="176" t="inlineStr">
        <is>
          <t>81721</t>
        </is>
      </c>
      <c r="I699" s="176" t="inlineStr">
        <is>
          <t>Преображенский Евгений Владимирович</t>
        </is>
      </c>
      <c r="J699" s="176" t="n"/>
      <c r="K699" s="176" t="inlineStr">
        <is>
          <t>Нет</t>
        </is>
      </c>
      <c r="L699" s="176" t="n"/>
      <c r="M699" s="176" t="n"/>
      <c r="N699" s="179">
        <f>SUMIFS($E$2:$E$896,$A$2:$A$896,"осень",$I$2:$I$896,I699)</f>
        <v/>
      </c>
      <c r="O699" s="179">
        <f>SUMIFS($E$2:$E$896,$A$2:$A$896,"весна",$I$2:$I$896,I699)</f>
        <v/>
      </c>
      <c r="P699" s="180">
        <f>N699+O699</f>
        <v/>
      </c>
      <c r="Q699" s="181">
        <f>P699/$Q$1</f>
        <v/>
      </c>
      <c r="R699" s="122">
        <f>P699*0.2</f>
        <v/>
      </c>
      <c r="S699" s="122">
        <f>Q699*0.8</f>
        <v/>
      </c>
      <c r="T699" s="133" t="n">
        <v>0.25</v>
      </c>
    </row>
    <row r="700" hidden="1" ht="15.75" customHeight="1" s="2">
      <c r="A700" s="194" t="inlineStr">
        <is>
          <t>весна</t>
        </is>
      </c>
      <c r="B700" s="176" t="inlineStr">
        <is>
          <t>Искусственный интеллект в технологиях материалов</t>
        </is>
      </c>
      <c r="C700" s="176" t="inlineStr">
        <is>
          <t>ПЗ</t>
        </is>
      </c>
      <c r="D700" s="176" t="inlineStr">
        <is>
          <t>Т11О-104М-23</t>
        </is>
      </c>
      <c r="E700" s="177" t="n">
        <v>2</v>
      </c>
      <c r="F700" s="176" t="inlineStr">
        <is>
          <t>18009</t>
        </is>
      </c>
      <c r="G700" s="177" t="n">
        <v>8</v>
      </c>
      <c r="H700" s="176" t="inlineStr">
        <is>
          <t>92509</t>
        </is>
      </c>
      <c r="I700" s="176" t="inlineStr">
        <is>
          <t>Пашков Игорь Николаевич</t>
        </is>
      </c>
      <c r="J700" s="176" t="n"/>
      <c r="K700" s="176" t="inlineStr">
        <is>
          <t>Нет</t>
        </is>
      </c>
      <c r="L700" s="176" t="n"/>
      <c r="M700" s="176" t="n"/>
      <c r="N700" s="179">
        <f>SUMIFS($E$2:$E$896,$A$2:$A$896,"осень",$I$2:$I$896,I700)</f>
        <v/>
      </c>
      <c r="O700" s="179">
        <f>SUMIFS($E$2:$E$896,$A$2:$A$896,"весна",$I$2:$I$896,I700)</f>
        <v/>
      </c>
      <c r="P700" s="180">
        <f>N700+O700</f>
        <v/>
      </c>
      <c r="Q700" s="181">
        <f>P700/$Q$1</f>
        <v/>
      </c>
      <c r="R700" s="122">
        <f>P700*0.2</f>
        <v/>
      </c>
      <c r="S700" s="122">
        <f>Q700*0.8</f>
        <v/>
      </c>
      <c r="T700" s="133" t="n">
        <v>0.55</v>
      </c>
    </row>
    <row r="701" hidden="1" ht="15.75" customHeight="1" s="2">
      <c r="A701" s="194" t="inlineStr">
        <is>
          <t>весна</t>
        </is>
      </c>
      <c r="B701" s="176" t="inlineStr">
        <is>
          <t>Искусственный интеллект в технологиях материалов</t>
        </is>
      </c>
      <c r="C701" s="176" t="inlineStr">
        <is>
          <t>ПЗ</t>
        </is>
      </c>
      <c r="D701" s="176" t="inlineStr">
        <is>
          <t>Т11О-105М-23</t>
        </is>
      </c>
      <c r="E701" s="177" t="n">
        <v>2</v>
      </c>
      <c r="F701" s="176" t="inlineStr">
        <is>
          <t>18009</t>
        </is>
      </c>
      <c r="G701" s="177" t="n">
        <v>8</v>
      </c>
      <c r="H701" s="176" t="inlineStr">
        <is>
          <t>92509</t>
        </is>
      </c>
      <c r="I701" s="176" t="inlineStr">
        <is>
          <t>Пашков Игорь Николаевич</t>
        </is>
      </c>
      <c r="J701" s="176" t="n"/>
      <c r="K701" s="176" t="inlineStr">
        <is>
          <t>Нет</t>
        </is>
      </c>
      <c r="L701" s="176" t="n"/>
      <c r="M701" s="176" t="n"/>
      <c r="N701" s="179">
        <f>SUMIFS($E$2:$E$896,$A$2:$A$896,"осень",$I$2:$I$896,I701)</f>
        <v/>
      </c>
      <c r="O701" s="179">
        <f>SUMIFS($E$2:$E$896,$A$2:$A$896,"весна",$I$2:$I$896,I701)</f>
        <v/>
      </c>
      <c r="P701" s="180">
        <f>N701+O701</f>
        <v/>
      </c>
      <c r="Q701" s="181">
        <f>P701/$Q$1</f>
        <v/>
      </c>
      <c r="R701" s="122">
        <f>P701*0.2</f>
        <v/>
      </c>
      <c r="S701" s="122">
        <f>Q701*0.8</f>
        <v/>
      </c>
      <c r="T701" s="133" t="n">
        <v>0.55</v>
      </c>
    </row>
    <row r="702" hidden="1" ht="15.75" customHeight="1" s="2">
      <c r="A702" s="194" t="inlineStr">
        <is>
          <t>весна</t>
        </is>
      </c>
      <c r="B702" s="176" t="inlineStr">
        <is>
          <t>Искусственный интеллект в технологиях материалов</t>
        </is>
      </c>
      <c r="C702" s="176" t="inlineStr">
        <is>
          <t>ПЗ</t>
        </is>
      </c>
      <c r="D702" s="176" t="inlineStr">
        <is>
          <t>Т11О-105М-23</t>
        </is>
      </c>
      <c r="E702" s="177" t="n">
        <v>2</v>
      </c>
      <c r="F702" s="176" t="inlineStr">
        <is>
          <t>18009</t>
        </is>
      </c>
      <c r="G702" s="177" t="n">
        <v>8</v>
      </c>
      <c r="H702" s="176" t="inlineStr">
        <is>
          <t>81721</t>
        </is>
      </c>
      <c r="I702" s="176" t="inlineStr">
        <is>
          <t>Преображенский Евгений Владимирович</t>
        </is>
      </c>
      <c r="J702" s="176" t="n"/>
      <c r="K702" s="176" t="inlineStr">
        <is>
          <t>Нет</t>
        </is>
      </c>
      <c r="L702" s="176" t="n"/>
      <c r="M702" s="176" t="n"/>
      <c r="N702" s="179">
        <f>SUMIFS($E$2:$E$896,$A$2:$A$896,"осень",$I$2:$I$896,I702)</f>
        <v/>
      </c>
      <c r="O702" s="179">
        <f>SUMIFS($E$2:$E$896,$A$2:$A$896,"весна",$I$2:$I$896,I702)</f>
        <v/>
      </c>
      <c r="P702" s="180">
        <f>N702+O702</f>
        <v/>
      </c>
      <c r="Q702" s="181">
        <f>P702/$Q$1</f>
        <v/>
      </c>
      <c r="R702" s="122">
        <f>P702*0.2</f>
        <v/>
      </c>
      <c r="S702" s="122">
        <f>Q702*0.8</f>
        <v/>
      </c>
      <c r="T702" s="133" t="n">
        <v>0.25</v>
      </c>
    </row>
    <row r="703" hidden="1" ht="15.75" customHeight="1" s="2">
      <c r="A703" s="194" t="inlineStr">
        <is>
          <t>весна</t>
        </is>
      </c>
      <c r="B703" s="176" t="inlineStr">
        <is>
          <t>Искусственный интеллект в технологиях материалов</t>
        </is>
      </c>
      <c r="C703" s="176" t="inlineStr">
        <is>
          <t>ПЗ</t>
        </is>
      </c>
      <c r="D703" s="176" t="inlineStr">
        <is>
          <t>Т11О-105М-23</t>
        </is>
      </c>
      <c r="E703" s="177" t="n">
        <v>2</v>
      </c>
      <c r="F703" s="176" t="inlineStr">
        <is>
          <t>18009</t>
        </is>
      </c>
      <c r="G703" s="177" t="n">
        <v>8</v>
      </c>
      <c r="H703" s="176" t="inlineStr">
        <is>
          <t>82066</t>
        </is>
      </c>
      <c r="I703" s="176" t="inlineStr">
        <is>
          <t>Серов Михаил Михайлович</t>
        </is>
      </c>
      <c r="J703" s="176" t="n"/>
      <c r="K703" s="176" t="inlineStr">
        <is>
          <t>Нет</t>
        </is>
      </c>
      <c r="L703" s="176" t="n"/>
      <c r="M703" s="176" t="n"/>
      <c r="N703" s="179">
        <f>SUMIFS($E$2:$E$896,$A$2:$A$896,"осень",$I$2:$I$896,I703)</f>
        <v/>
      </c>
      <c r="O703" s="179">
        <f>SUMIFS($E$2:$E$896,$A$2:$A$896,"весна",$I$2:$I$896,I703)</f>
        <v/>
      </c>
      <c r="P703" s="180">
        <f>N703+O703</f>
        <v/>
      </c>
      <c r="Q703" s="181">
        <f>P703/$Q$1</f>
        <v/>
      </c>
      <c r="R703" s="122">
        <f>P703*0.2</f>
        <v/>
      </c>
      <c r="S703" s="122">
        <f>Q703*0.8</f>
        <v/>
      </c>
      <c r="T703" s="133" t="n">
        <v>0.6</v>
      </c>
    </row>
    <row r="704" hidden="1" ht="15.75" customHeight="1" s="2">
      <c r="A704" s="194" t="inlineStr">
        <is>
          <t>весна</t>
        </is>
      </c>
      <c r="B704" s="182" t="inlineStr">
        <is>
          <t>Искусственный интеллект в технологиях материалов</t>
        </is>
      </c>
      <c r="C704" s="182" t="inlineStr">
        <is>
          <t>ПЗ</t>
        </is>
      </c>
      <c r="D704" s="182" t="inlineStr">
        <is>
          <t>Т11О-105М-23</t>
        </is>
      </c>
      <c r="E704" s="183" t="n">
        <v>2</v>
      </c>
      <c r="F704" s="182" t="inlineStr">
        <is>
          <t>18009</t>
        </is>
      </c>
      <c r="G704" s="183" t="n">
        <v>8</v>
      </c>
      <c r="H704" s="182" t="inlineStr">
        <is>
          <t>82086</t>
        </is>
      </c>
      <c r="I704" s="182" t="inlineStr">
        <is>
          <t>Петров Игорь Алексеевич</t>
        </is>
      </c>
      <c r="J704" s="176" t="n"/>
      <c r="K704" s="176" t="inlineStr">
        <is>
          <t>Нет</t>
        </is>
      </c>
      <c r="L704" s="176" t="n"/>
      <c r="M704" s="176" t="n"/>
      <c r="N704" s="179">
        <f>SUMIFS($E$2:$E$896,$A$2:$A$896,"осень",$I$2:$I$896,I704)</f>
        <v/>
      </c>
      <c r="O704" s="179">
        <f>SUMIFS($E$2:$E$896,$A$2:$A$896,"весна",$I$2:$I$896,I704)</f>
        <v/>
      </c>
      <c r="P704" s="180">
        <f>N704+O704</f>
        <v/>
      </c>
      <c r="Q704" s="181">
        <f>P704/$Q$1</f>
        <v/>
      </c>
      <c r="R704" s="122">
        <f>P704*0.2</f>
        <v/>
      </c>
      <c r="S704" s="122">
        <f>Q704*0.8</f>
        <v/>
      </c>
      <c r="T704" s="133" t="n">
        <v>0.35</v>
      </c>
    </row>
    <row r="705" hidden="1" ht="15.75" customHeight="1" s="2">
      <c r="A705" s="194" t="inlineStr">
        <is>
          <t>весна</t>
        </is>
      </c>
      <c r="B705" s="182" t="inlineStr">
        <is>
          <t>Искусственный интеллект в технологиях материалов</t>
        </is>
      </c>
      <c r="C705" s="182" t="inlineStr">
        <is>
          <t>ЛР</t>
        </is>
      </c>
      <c r="D705" s="182" t="inlineStr">
        <is>
          <t>Т11О-101М-23</t>
        </is>
      </c>
      <c r="E705" s="183" t="n">
        <v>4</v>
      </c>
      <c r="F705" s="182" t="inlineStr">
        <is>
          <t>18008</t>
        </is>
      </c>
      <c r="G705" s="183" t="n">
        <v>12</v>
      </c>
      <c r="H705" s="182" t="inlineStr">
        <is>
          <t>82086</t>
        </is>
      </c>
      <c r="I705" s="182" t="inlineStr">
        <is>
          <t>Петров Игорь Алексеевич</t>
        </is>
      </c>
      <c r="J705" s="176" t="n"/>
      <c r="K705" s="176" t="inlineStr">
        <is>
          <t>Нет</t>
        </is>
      </c>
      <c r="L705" s="176" t="n"/>
      <c r="M705" s="176" t="n"/>
      <c r="N705" s="179">
        <f>SUMIFS($E$2:$E$896,$A$2:$A$896,"осень",$I$2:$I$896,I705)</f>
        <v/>
      </c>
      <c r="O705" s="179">
        <f>SUMIFS($E$2:$E$896,$A$2:$A$896,"весна",$I$2:$I$896,I705)</f>
        <v/>
      </c>
      <c r="P705" s="180">
        <f>N705+O705</f>
        <v/>
      </c>
      <c r="Q705" s="181">
        <f>P705/$Q$1</f>
        <v/>
      </c>
      <c r="R705" s="122">
        <f>P705*0.2</f>
        <v/>
      </c>
      <c r="S705" s="122">
        <f>Q705*0.8</f>
        <v/>
      </c>
      <c r="T705" s="133" t="n">
        <v>0.35</v>
      </c>
    </row>
    <row r="706" hidden="1" ht="15.75" customHeight="1" s="2">
      <c r="A706" s="194" t="inlineStr">
        <is>
          <t>весна</t>
        </is>
      </c>
      <c r="B706" s="176" t="inlineStr">
        <is>
          <t>Искусственный интеллект в технологиях материалов</t>
        </is>
      </c>
      <c r="C706" s="176" t="inlineStr">
        <is>
          <t>ЛР</t>
        </is>
      </c>
      <c r="D706" s="176" t="inlineStr">
        <is>
          <t>Т11О-101М-23</t>
        </is>
      </c>
      <c r="E706" s="177" t="n">
        <v>4</v>
      </c>
      <c r="F706" s="176" t="inlineStr">
        <is>
          <t>18008</t>
        </is>
      </c>
      <c r="G706" s="177" t="n">
        <v>12</v>
      </c>
      <c r="H706" s="176" t="inlineStr">
        <is>
          <t>82066</t>
        </is>
      </c>
      <c r="I706" s="176" t="inlineStr">
        <is>
          <t>Серов Михаил Михайлович</t>
        </is>
      </c>
      <c r="J706" s="176" t="n"/>
      <c r="K706" s="176" t="inlineStr">
        <is>
          <t>Нет</t>
        </is>
      </c>
      <c r="L706" s="176" t="n"/>
      <c r="M706" s="176" t="n"/>
      <c r="N706" s="179">
        <f>SUMIFS($E$2:$E$896,$A$2:$A$896,"осень",$I$2:$I$896,I706)</f>
        <v/>
      </c>
      <c r="O706" s="179">
        <f>SUMIFS($E$2:$E$896,$A$2:$A$896,"весна",$I$2:$I$896,I706)</f>
        <v/>
      </c>
      <c r="P706" s="180">
        <f>N706+O706</f>
        <v/>
      </c>
      <c r="Q706" s="181">
        <f>P706/$Q$1</f>
        <v/>
      </c>
      <c r="R706" s="122">
        <f>P706*0.2</f>
        <v/>
      </c>
      <c r="S706" s="122">
        <f>Q706*0.8</f>
        <v/>
      </c>
      <c r="T706" s="133" t="n">
        <v>0.6</v>
      </c>
    </row>
    <row r="707" hidden="1" ht="15.75" customHeight="1" s="2">
      <c r="A707" s="194" t="inlineStr">
        <is>
          <t>весна</t>
        </is>
      </c>
      <c r="B707" s="176" t="inlineStr">
        <is>
          <t>Искусственный интеллект в технологиях материалов</t>
        </is>
      </c>
      <c r="C707" s="176" t="inlineStr">
        <is>
          <t>ЛР</t>
        </is>
      </c>
      <c r="D707" s="176" t="inlineStr">
        <is>
          <t>Т11О-101М-23</t>
        </is>
      </c>
      <c r="E707" s="177" t="n">
        <v>4</v>
      </c>
      <c r="F707" s="176" t="inlineStr">
        <is>
          <t>18008</t>
        </is>
      </c>
      <c r="G707" s="177" t="n">
        <v>12</v>
      </c>
      <c r="H707" s="176" t="inlineStr">
        <is>
          <t>81721</t>
        </is>
      </c>
      <c r="I707" s="176" t="inlineStr">
        <is>
          <t>Преображенский Евгений Владимирович</t>
        </is>
      </c>
      <c r="J707" s="176" t="n"/>
      <c r="K707" s="176" t="inlineStr">
        <is>
          <t>Нет</t>
        </is>
      </c>
      <c r="L707" s="176" t="n"/>
      <c r="M707" s="176" t="n"/>
      <c r="N707" s="179">
        <f>SUMIFS($E$2:$E$896,$A$2:$A$896,"осень",$I$2:$I$896,I707)</f>
        <v/>
      </c>
      <c r="O707" s="179">
        <f>SUMIFS($E$2:$E$896,$A$2:$A$896,"весна",$I$2:$I$896,I707)</f>
        <v/>
      </c>
      <c r="P707" s="180">
        <f>N707+O707</f>
        <v/>
      </c>
      <c r="Q707" s="181">
        <f>P707/$Q$1</f>
        <v/>
      </c>
      <c r="R707" s="122">
        <f>P707*0.2</f>
        <v/>
      </c>
      <c r="S707" s="122">
        <f>Q707*0.8</f>
        <v/>
      </c>
      <c r="T707" s="133" t="n">
        <v>0.25</v>
      </c>
    </row>
    <row r="708" hidden="1" ht="15.75" customHeight="1" s="2">
      <c r="A708" s="194" t="inlineStr">
        <is>
          <t>весна</t>
        </is>
      </c>
      <c r="B708" s="176" t="inlineStr">
        <is>
          <t>Искусственный интеллект в технологиях материалов</t>
        </is>
      </c>
      <c r="C708" s="176" t="inlineStr">
        <is>
          <t>ЛР</t>
        </is>
      </c>
      <c r="D708" s="176" t="inlineStr">
        <is>
          <t>Т11О-102М-23</t>
        </is>
      </c>
      <c r="E708" s="177" t="n">
        <v>4</v>
      </c>
      <c r="F708" s="176" t="inlineStr">
        <is>
          <t>18009</t>
        </is>
      </c>
      <c r="G708" s="177" t="n">
        <v>12</v>
      </c>
      <c r="H708" s="176" t="inlineStr">
        <is>
          <t>81721</t>
        </is>
      </c>
      <c r="I708" s="176" t="inlineStr">
        <is>
          <t>Преображенский Евгений Владимирович</t>
        </is>
      </c>
      <c r="J708" s="176" t="n"/>
      <c r="K708" s="176" t="inlineStr">
        <is>
          <t>Нет</t>
        </is>
      </c>
      <c r="L708" s="176" t="n"/>
      <c r="M708" s="176" t="n"/>
      <c r="N708" s="179">
        <f>SUMIFS($E$2:$E$896,$A$2:$A$896,"осень",$I$2:$I$896,I708)</f>
        <v/>
      </c>
      <c r="O708" s="179">
        <f>SUMIFS($E$2:$E$896,$A$2:$A$896,"весна",$I$2:$I$896,I708)</f>
        <v/>
      </c>
      <c r="P708" s="180">
        <f>N708+O708</f>
        <v/>
      </c>
      <c r="Q708" s="181">
        <f>P708/$Q$1</f>
        <v/>
      </c>
      <c r="R708" s="122">
        <f>P708*0.2</f>
        <v/>
      </c>
      <c r="S708" s="122">
        <f>Q708*0.8</f>
        <v/>
      </c>
      <c r="T708" s="133" t="n">
        <v>0.25</v>
      </c>
    </row>
    <row r="709" hidden="1" ht="15.75" customHeight="1" s="2">
      <c r="A709" s="194" t="inlineStr">
        <is>
          <t>весна</t>
        </is>
      </c>
      <c r="B709" s="176" t="inlineStr">
        <is>
          <t>Искусственный интеллект в технологиях материалов</t>
        </is>
      </c>
      <c r="C709" s="176" t="inlineStr">
        <is>
          <t>ЛР</t>
        </is>
      </c>
      <c r="D709" s="176" t="inlineStr">
        <is>
          <t>Т11О-102М-23</t>
        </is>
      </c>
      <c r="E709" s="177" t="n">
        <v>4</v>
      </c>
      <c r="F709" s="176" t="inlineStr">
        <is>
          <t>18009</t>
        </is>
      </c>
      <c r="G709" s="177" t="n">
        <v>12</v>
      </c>
      <c r="H709" s="176" t="inlineStr">
        <is>
          <t>82066</t>
        </is>
      </c>
      <c r="I709" s="176" t="inlineStr">
        <is>
          <t>Серов Михаил Михайлович</t>
        </is>
      </c>
      <c r="J709" s="176" t="n"/>
      <c r="K709" s="176" t="inlineStr">
        <is>
          <t>Нет</t>
        </is>
      </c>
      <c r="L709" s="176" t="n"/>
      <c r="M709" s="176" t="n"/>
      <c r="N709" s="179">
        <f>SUMIFS($E$2:$E$896,$A$2:$A$896,"осень",$I$2:$I$896,I709)</f>
        <v/>
      </c>
      <c r="O709" s="179">
        <f>SUMIFS($E$2:$E$896,$A$2:$A$896,"весна",$I$2:$I$896,I709)</f>
        <v/>
      </c>
      <c r="P709" s="180">
        <f>N709+O709</f>
        <v/>
      </c>
      <c r="Q709" s="181">
        <f>P709/$Q$1</f>
        <v/>
      </c>
      <c r="R709" s="122">
        <f>P709*0.2</f>
        <v/>
      </c>
      <c r="S709" s="122">
        <f>Q709*0.8</f>
        <v/>
      </c>
      <c r="T709" s="133" t="n">
        <v>0.6</v>
      </c>
    </row>
    <row r="710" hidden="1" ht="15.75" customHeight="1" s="2">
      <c r="A710" s="194" t="inlineStr">
        <is>
          <t>весна</t>
        </is>
      </c>
      <c r="B710" s="182" t="inlineStr">
        <is>
          <t>Искусственный интеллект в технологиях материалов</t>
        </is>
      </c>
      <c r="C710" s="182" t="inlineStr">
        <is>
          <t>ЛР</t>
        </is>
      </c>
      <c r="D710" s="182" t="inlineStr">
        <is>
          <t>Т11О-102М-23</t>
        </is>
      </c>
      <c r="E710" s="183" t="n">
        <v>4</v>
      </c>
      <c r="F710" s="182" t="inlineStr">
        <is>
          <t>18009</t>
        </is>
      </c>
      <c r="G710" s="183" t="n">
        <v>12</v>
      </c>
      <c r="H710" s="182" t="inlineStr">
        <is>
          <t>82086</t>
        </is>
      </c>
      <c r="I710" s="182" t="inlineStr">
        <is>
          <t>Петров Игорь Алексеевич</t>
        </is>
      </c>
      <c r="J710" s="176" t="n"/>
      <c r="K710" s="176" t="inlineStr">
        <is>
          <t>Нет</t>
        </is>
      </c>
      <c r="L710" s="176" t="n"/>
      <c r="M710" s="176" t="n"/>
      <c r="N710" s="179">
        <f>SUMIFS($E$2:$E$896,$A$2:$A$896,"осень",$I$2:$I$896,I710)</f>
        <v/>
      </c>
      <c r="O710" s="179">
        <f>SUMIFS($E$2:$E$896,$A$2:$A$896,"весна",$I$2:$I$896,I710)</f>
        <v/>
      </c>
      <c r="P710" s="180">
        <f>N710+O710</f>
        <v/>
      </c>
      <c r="Q710" s="181">
        <f>P710/$Q$1</f>
        <v/>
      </c>
      <c r="R710" s="122">
        <f>P710*0.2</f>
        <v/>
      </c>
      <c r="S710" s="122">
        <f>Q710*0.8</f>
        <v/>
      </c>
      <c r="T710" s="133" t="n">
        <v>0.35</v>
      </c>
    </row>
    <row r="711" hidden="1" ht="15.75" customHeight="1" s="2">
      <c r="A711" s="194" t="inlineStr">
        <is>
          <t>весна</t>
        </is>
      </c>
      <c r="B711" s="182" t="inlineStr">
        <is>
          <t>Искусственный интеллект в технологиях материалов</t>
        </is>
      </c>
      <c r="C711" s="182" t="inlineStr">
        <is>
          <t>ЛР</t>
        </is>
      </c>
      <c r="D711" s="182" t="inlineStr">
        <is>
          <t>Т11О-104М-23</t>
        </is>
      </c>
      <c r="E711" s="183" t="n">
        <v>4</v>
      </c>
      <c r="F711" s="182" t="inlineStr">
        <is>
          <t>18009</t>
        </is>
      </c>
      <c r="G711" s="183" t="n">
        <v>12</v>
      </c>
      <c r="H711" s="182" t="inlineStr">
        <is>
          <t>82086</t>
        </is>
      </c>
      <c r="I711" s="182" t="inlineStr">
        <is>
          <t>Петров Игорь Алексеевич</t>
        </is>
      </c>
      <c r="J711" s="176" t="n"/>
      <c r="K711" s="176" t="inlineStr">
        <is>
          <t>Нет</t>
        </is>
      </c>
      <c r="L711" s="176" t="n"/>
      <c r="M711" s="176" t="n"/>
      <c r="N711" s="179">
        <f>SUMIFS($E$2:$E$896,$A$2:$A$896,"осень",$I$2:$I$896,I711)</f>
        <v/>
      </c>
      <c r="O711" s="179">
        <f>SUMIFS($E$2:$E$896,$A$2:$A$896,"весна",$I$2:$I$896,I711)</f>
        <v/>
      </c>
      <c r="P711" s="180">
        <f>N711+O711</f>
        <v/>
      </c>
      <c r="Q711" s="181">
        <f>P711/$Q$1</f>
        <v/>
      </c>
      <c r="R711" s="122">
        <f>P711*0.2</f>
        <v/>
      </c>
      <c r="S711" s="122">
        <f>Q711*0.8</f>
        <v/>
      </c>
      <c r="T711" s="133" t="n">
        <v>0.35</v>
      </c>
    </row>
    <row r="712" hidden="1" ht="15.75" customHeight="1" s="2">
      <c r="A712" s="194" t="inlineStr">
        <is>
          <t>весна</t>
        </is>
      </c>
      <c r="B712" s="176" t="inlineStr">
        <is>
          <t>Искусственный интеллект в технологиях материалов</t>
        </is>
      </c>
      <c r="C712" s="176" t="inlineStr">
        <is>
          <t>ЛР</t>
        </is>
      </c>
      <c r="D712" s="176" t="inlineStr">
        <is>
          <t>Т11О-104М-23</t>
        </is>
      </c>
      <c r="E712" s="177" t="n">
        <v>4</v>
      </c>
      <c r="F712" s="176" t="inlineStr">
        <is>
          <t>18009</t>
        </is>
      </c>
      <c r="G712" s="177" t="n">
        <v>12</v>
      </c>
      <c r="H712" s="176" t="inlineStr">
        <is>
          <t>82066</t>
        </is>
      </c>
      <c r="I712" s="176" t="inlineStr">
        <is>
          <t>Серов Михаил Михайлович</t>
        </is>
      </c>
      <c r="J712" s="176" t="n"/>
      <c r="K712" s="176" t="inlineStr">
        <is>
          <t>Нет</t>
        </is>
      </c>
      <c r="L712" s="176" t="n"/>
      <c r="M712" s="176" t="n"/>
      <c r="N712" s="179">
        <f>SUMIFS($E$2:$E$896,$A$2:$A$896,"осень",$I$2:$I$896,I712)</f>
        <v/>
      </c>
      <c r="O712" s="179">
        <f>SUMIFS($E$2:$E$896,$A$2:$A$896,"весна",$I$2:$I$896,I712)</f>
        <v/>
      </c>
      <c r="P712" s="180">
        <f>N712+O712</f>
        <v/>
      </c>
      <c r="Q712" s="181">
        <f>P712/$Q$1</f>
        <v/>
      </c>
      <c r="R712" s="122">
        <f>P712*0.2</f>
        <v/>
      </c>
      <c r="S712" s="122">
        <f>Q712*0.8</f>
        <v/>
      </c>
      <c r="T712" s="133" t="n">
        <v>0.6</v>
      </c>
    </row>
    <row r="713" hidden="1" ht="15.75" customHeight="1" s="2">
      <c r="A713" s="194" t="inlineStr">
        <is>
          <t>весна</t>
        </is>
      </c>
      <c r="B713" s="176" t="inlineStr">
        <is>
          <t>Искусственный интеллект в технологиях материалов</t>
        </is>
      </c>
      <c r="C713" s="176" t="inlineStr">
        <is>
          <t>ЛР</t>
        </is>
      </c>
      <c r="D713" s="176" t="inlineStr">
        <is>
          <t>Т11О-104М-23</t>
        </is>
      </c>
      <c r="E713" s="177" t="n">
        <v>4</v>
      </c>
      <c r="F713" s="176" t="inlineStr">
        <is>
          <t>18009</t>
        </is>
      </c>
      <c r="G713" s="177" t="n">
        <v>12</v>
      </c>
      <c r="H713" s="176" t="inlineStr">
        <is>
          <t>81721</t>
        </is>
      </c>
      <c r="I713" s="176" t="inlineStr">
        <is>
          <t>Преображенский Евгений Владимирович</t>
        </is>
      </c>
      <c r="J713" s="176" t="n"/>
      <c r="K713" s="176" t="inlineStr">
        <is>
          <t>Нет</t>
        </is>
      </c>
      <c r="L713" s="176" t="n"/>
      <c r="M713" s="176" t="n"/>
      <c r="N713" s="179">
        <f>SUMIFS($E$2:$E$896,$A$2:$A$896,"осень",$I$2:$I$896,I713)</f>
        <v/>
      </c>
      <c r="O713" s="179">
        <f>SUMIFS($E$2:$E$896,$A$2:$A$896,"весна",$I$2:$I$896,I713)</f>
        <v/>
      </c>
      <c r="P713" s="180">
        <f>N713+O713</f>
        <v/>
      </c>
      <c r="Q713" s="181">
        <f>P713/$Q$1</f>
        <v/>
      </c>
      <c r="R713" s="122">
        <f>P713*0.2</f>
        <v/>
      </c>
      <c r="S713" s="122">
        <f>Q713*0.8</f>
        <v/>
      </c>
      <c r="T713" s="133" t="n">
        <v>0.25</v>
      </c>
    </row>
    <row r="714" hidden="1" ht="15.75" customHeight="1" s="2">
      <c r="A714" s="194" t="inlineStr">
        <is>
          <t>весна</t>
        </is>
      </c>
      <c r="B714" s="176" t="inlineStr">
        <is>
          <t>Искусственный интеллект в технологиях материалов</t>
        </is>
      </c>
      <c r="C714" s="176" t="inlineStr">
        <is>
          <t>ЛР</t>
        </is>
      </c>
      <c r="D714" s="176" t="inlineStr">
        <is>
          <t>Т11О-105М-23</t>
        </is>
      </c>
      <c r="E714" s="177" t="n">
        <v>4</v>
      </c>
      <c r="F714" s="176" t="inlineStr">
        <is>
          <t>18009</t>
        </is>
      </c>
      <c r="G714" s="177" t="n">
        <v>12</v>
      </c>
      <c r="H714" s="176" t="inlineStr">
        <is>
          <t>81721</t>
        </is>
      </c>
      <c r="I714" s="176" t="inlineStr">
        <is>
          <t>Преображенский Евгений Владимирович</t>
        </is>
      </c>
      <c r="J714" s="176" t="n"/>
      <c r="K714" s="176" t="inlineStr">
        <is>
          <t>Нет</t>
        </is>
      </c>
      <c r="L714" s="176" t="n"/>
      <c r="M714" s="176" t="n"/>
      <c r="N714" s="179">
        <f>SUMIFS($E$2:$E$896,$A$2:$A$896,"осень",$I$2:$I$896,I714)</f>
        <v/>
      </c>
      <c r="O714" s="179">
        <f>SUMIFS($E$2:$E$896,$A$2:$A$896,"весна",$I$2:$I$896,I714)</f>
        <v/>
      </c>
      <c r="P714" s="180">
        <f>N714+O714</f>
        <v/>
      </c>
      <c r="Q714" s="181">
        <f>P714/$Q$1</f>
        <v/>
      </c>
      <c r="R714" s="122">
        <f>P714*0.2</f>
        <v/>
      </c>
      <c r="S714" s="122">
        <f>Q714*0.8</f>
        <v/>
      </c>
      <c r="T714" s="133" t="n">
        <v>0.25</v>
      </c>
    </row>
    <row r="715" hidden="1" ht="15.75" customHeight="1" s="2">
      <c r="A715" s="194" t="inlineStr">
        <is>
          <t>весна</t>
        </is>
      </c>
      <c r="B715" s="176" t="inlineStr">
        <is>
          <t>Искусственный интеллект в технологиях материалов</t>
        </is>
      </c>
      <c r="C715" s="176" t="inlineStr">
        <is>
          <t>ЛР</t>
        </is>
      </c>
      <c r="D715" s="176" t="inlineStr">
        <is>
          <t>Т11О-105М-23</t>
        </is>
      </c>
      <c r="E715" s="177" t="n">
        <v>4</v>
      </c>
      <c r="F715" s="176" t="inlineStr">
        <is>
          <t>18009</t>
        </is>
      </c>
      <c r="G715" s="177" t="n">
        <v>12</v>
      </c>
      <c r="H715" s="176" t="inlineStr">
        <is>
          <t>82066</t>
        </is>
      </c>
      <c r="I715" s="176" t="inlineStr">
        <is>
          <t>Серов Михаил Михайлович</t>
        </is>
      </c>
      <c r="J715" s="176" t="n"/>
      <c r="K715" s="176" t="inlineStr">
        <is>
          <t>Нет</t>
        </is>
      </c>
      <c r="L715" s="176" t="n"/>
      <c r="M715" s="176" t="n"/>
      <c r="N715" s="179">
        <f>SUMIFS($E$2:$E$896,$A$2:$A$896,"осень",$I$2:$I$896,I715)</f>
        <v/>
      </c>
      <c r="O715" s="179">
        <f>SUMIFS($E$2:$E$896,$A$2:$A$896,"весна",$I$2:$I$896,I715)</f>
        <v/>
      </c>
      <c r="P715" s="180">
        <f>N715+O715</f>
        <v/>
      </c>
      <c r="Q715" s="181">
        <f>P715/$Q$1</f>
        <v/>
      </c>
      <c r="R715" s="122">
        <f>P715*0.2</f>
        <v/>
      </c>
      <c r="S715" s="122">
        <f>Q715*0.8</f>
        <v/>
      </c>
      <c r="T715" s="133" t="n">
        <v>0.6</v>
      </c>
    </row>
    <row r="716" hidden="1" ht="15.75" customHeight="1" s="2">
      <c r="A716" s="194" t="inlineStr">
        <is>
          <t>весна</t>
        </is>
      </c>
      <c r="B716" s="182" t="inlineStr">
        <is>
          <t>Искусственный интеллект в технологиях материалов</t>
        </is>
      </c>
      <c r="C716" s="182" t="inlineStr">
        <is>
          <t>ЛР</t>
        </is>
      </c>
      <c r="D716" s="182" t="inlineStr">
        <is>
          <t>Т11О-105М-23</t>
        </is>
      </c>
      <c r="E716" s="183" t="n">
        <v>4</v>
      </c>
      <c r="F716" s="182" t="inlineStr">
        <is>
          <t>18009</t>
        </is>
      </c>
      <c r="G716" s="183" t="n">
        <v>12</v>
      </c>
      <c r="H716" s="182" t="inlineStr">
        <is>
          <t>82086</t>
        </is>
      </c>
      <c r="I716" s="182" t="inlineStr">
        <is>
          <t>Петров Игорь Алексеевич</t>
        </is>
      </c>
      <c r="J716" s="176" t="n"/>
      <c r="K716" s="176" t="inlineStr">
        <is>
          <t>Нет</t>
        </is>
      </c>
      <c r="L716" s="176" t="n"/>
      <c r="M716" s="176" t="n"/>
      <c r="N716" s="179">
        <f>SUMIFS($E$2:$E$896,$A$2:$A$896,"осень",$I$2:$I$896,I716)</f>
        <v/>
      </c>
      <c r="O716" s="179">
        <f>SUMIFS($E$2:$E$896,$A$2:$A$896,"весна",$I$2:$I$896,I716)</f>
        <v/>
      </c>
      <c r="P716" s="180">
        <f>N716+O716</f>
        <v/>
      </c>
      <c r="Q716" s="181">
        <f>P716/$Q$1</f>
        <v/>
      </c>
      <c r="R716" s="122">
        <f>P716*0.2</f>
        <v/>
      </c>
      <c r="S716" s="122">
        <f>Q716*0.8</f>
        <v/>
      </c>
      <c r="T716" s="133" t="n">
        <v>0.35</v>
      </c>
    </row>
    <row r="717" hidden="1" ht="15.75" customHeight="1" s="2">
      <c r="A717" s="194" t="inlineStr">
        <is>
          <t>весна</t>
        </is>
      </c>
      <c r="B717" s="176" t="inlineStr">
        <is>
          <t>Искусственный интеллект в технологиях материалов</t>
        </is>
      </c>
      <c r="C717" s="176" t="inlineStr">
        <is>
          <t>Консультация</t>
        </is>
      </c>
      <c r="D717" s="176" t="inlineStr">
        <is>
          <t>Т11О-101М-23</t>
        </is>
      </c>
      <c r="E717" s="177" t="n">
        <v>1</v>
      </c>
      <c r="F717" s="176" t="inlineStr">
        <is>
          <t>18008</t>
        </is>
      </c>
      <c r="G717" s="178" t="n"/>
      <c r="H717" s="176" t="inlineStr">
        <is>
          <t>81728</t>
        </is>
      </c>
      <c r="I717" s="176" t="inlineStr">
        <is>
          <t>Галкин Виктор Иванович</t>
        </is>
      </c>
      <c r="J717" s="176" t="n"/>
      <c r="K717" s="176" t="inlineStr">
        <is>
          <t>Нет</t>
        </is>
      </c>
      <c r="L717" s="176" t="n"/>
      <c r="M717" s="176" t="n"/>
      <c r="N717" s="179">
        <f>SUMIFS($E$2:$E$896,$A$2:$A$896,"осень",$I$2:$I$896,I717)</f>
        <v/>
      </c>
      <c r="O717" s="179">
        <f>SUMIFS($E$2:$E$896,$A$2:$A$896,"весна",$I$2:$I$896,I717)</f>
        <v/>
      </c>
      <c r="P717" s="180">
        <f>N717+O717</f>
        <v/>
      </c>
      <c r="Q717" s="181">
        <f>P717/$Q$1</f>
        <v/>
      </c>
      <c r="R717" s="122">
        <f>P717*0.2</f>
        <v/>
      </c>
      <c r="S717" s="122">
        <f>Q717*0.8</f>
        <v/>
      </c>
      <c r="T717" s="133" t="n">
        <v>0.75</v>
      </c>
    </row>
    <row r="718" ht="15.75" customHeight="1" s="2">
      <c r="A718" s="194" t="inlineStr">
        <is>
          <t>весна</t>
        </is>
      </c>
      <c r="B718" s="176" t="inlineStr">
        <is>
          <t>Искусственный интеллект в технологиях материалов</t>
        </is>
      </c>
      <c r="C718" s="176" t="inlineStr">
        <is>
          <t>Консультация</t>
        </is>
      </c>
      <c r="D718" s="176" t="inlineStr">
        <is>
          <t>Т11О-101М-23</t>
        </is>
      </c>
      <c r="E718" s="177" t="n">
        <v>1</v>
      </c>
      <c r="F718" s="176" t="inlineStr">
        <is>
          <t>18008</t>
        </is>
      </c>
      <c r="G718" s="178" t="n"/>
      <c r="H718" s="176" t="n"/>
      <c r="I718" s="176" t="inlineStr">
        <is>
          <t>э-резерв</t>
        </is>
      </c>
      <c r="J718" s="176" t="n"/>
      <c r="K718" s="176" t="inlineStr">
        <is>
          <t>Нет</t>
        </is>
      </c>
      <c r="L718" s="176" t="n"/>
      <c r="M718" s="176" t="n"/>
      <c r="N718" s="179">
        <f>SUMIFS($E$2:$E$896,$A$2:$A$896,"осень",$I$2:$I$896,I718)</f>
        <v/>
      </c>
      <c r="O718" s="179">
        <f>SUMIFS($E$2:$E$896,$A$2:$A$896,"весна",$I$2:$I$896,I718)</f>
        <v/>
      </c>
      <c r="P718" s="180">
        <f>N718+O718</f>
        <v/>
      </c>
      <c r="Q718" s="181">
        <f>P718/$Q$1</f>
        <v/>
      </c>
      <c r="R718" s="122">
        <f>P718*0.2</f>
        <v/>
      </c>
      <c r="S718" s="122">
        <f>Q718*0.8</f>
        <v/>
      </c>
      <c r="T718" s="133" t="n">
        <v>0</v>
      </c>
    </row>
    <row r="719" hidden="1" ht="15.75" customHeight="1" s="2">
      <c r="A719" s="194" t="inlineStr">
        <is>
          <t>весна</t>
        </is>
      </c>
      <c r="B719" s="176" t="inlineStr">
        <is>
          <t>Искусственный интеллект в технологиях материалов</t>
        </is>
      </c>
      <c r="C719" s="176" t="inlineStr">
        <is>
          <t>Консультация</t>
        </is>
      </c>
      <c r="D719" s="176" t="inlineStr">
        <is>
          <t>Т11О-102М-23</t>
        </is>
      </c>
      <c r="E719" s="177" t="n">
        <v>1</v>
      </c>
      <c r="F719" s="176" t="inlineStr">
        <is>
          <t>18009</t>
        </is>
      </c>
      <c r="G719" s="178" t="n"/>
      <c r="H719" s="176" t="inlineStr">
        <is>
          <t>81728</t>
        </is>
      </c>
      <c r="I719" s="176" t="inlineStr">
        <is>
          <t>Галкин Виктор Иванович</t>
        </is>
      </c>
      <c r="J719" s="176" t="n"/>
      <c r="K719" s="176" t="inlineStr">
        <is>
          <t>Нет</t>
        </is>
      </c>
      <c r="L719" s="176" t="n"/>
      <c r="M719" s="176" t="n"/>
      <c r="N719" s="179">
        <f>SUMIFS($E$2:$E$896,$A$2:$A$896,"осень",$I$2:$I$896,I719)</f>
        <v/>
      </c>
      <c r="O719" s="179">
        <f>SUMIFS($E$2:$E$896,$A$2:$A$896,"весна",$I$2:$I$896,I719)</f>
        <v/>
      </c>
      <c r="P719" s="180">
        <f>N719+O719</f>
        <v/>
      </c>
      <c r="Q719" s="181">
        <f>P719/$Q$1</f>
        <v/>
      </c>
      <c r="R719" s="122">
        <f>P719*0.2</f>
        <v/>
      </c>
      <c r="S719" s="122">
        <f>Q719*0.8</f>
        <v/>
      </c>
      <c r="T719" s="133" t="n">
        <v>0.75</v>
      </c>
    </row>
    <row r="720" ht="15.75" customHeight="1" s="2">
      <c r="A720" s="194" t="inlineStr">
        <is>
          <t>весна</t>
        </is>
      </c>
      <c r="B720" s="176" t="inlineStr">
        <is>
          <t>Искусственный интеллект в технологиях материалов</t>
        </is>
      </c>
      <c r="C720" s="176" t="inlineStr">
        <is>
          <t>Консультация</t>
        </is>
      </c>
      <c r="D720" s="176" t="inlineStr">
        <is>
          <t>Т11О-102М-23</t>
        </is>
      </c>
      <c r="E720" s="177" t="n">
        <v>1</v>
      </c>
      <c r="F720" s="176" t="inlineStr">
        <is>
          <t>18009</t>
        </is>
      </c>
      <c r="G720" s="178" t="n"/>
      <c r="H720" s="176" t="n"/>
      <c r="I720" s="176" t="inlineStr">
        <is>
          <t>э-резерв</t>
        </is>
      </c>
      <c r="J720" s="176" t="n"/>
      <c r="K720" s="176" t="inlineStr">
        <is>
          <t>Нет</t>
        </is>
      </c>
      <c r="L720" s="176" t="n"/>
      <c r="M720" s="176" t="n"/>
      <c r="N720" s="179">
        <f>SUMIFS($E$2:$E$896,$A$2:$A$896,"осень",$I$2:$I$896,I720)</f>
        <v/>
      </c>
      <c r="O720" s="179">
        <f>SUMIFS($E$2:$E$896,$A$2:$A$896,"весна",$I$2:$I$896,I720)</f>
        <v/>
      </c>
      <c r="P720" s="180">
        <f>N720+O720</f>
        <v/>
      </c>
      <c r="Q720" s="181">
        <f>P720/$Q$1</f>
        <v/>
      </c>
      <c r="R720" s="122">
        <f>P720*0.2</f>
        <v/>
      </c>
      <c r="S720" s="122">
        <f>Q720*0.8</f>
        <v/>
      </c>
      <c r="T720" s="133" t="n">
        <v>0</v>
      </c>
    </row>
    <row r="721" hidden="1" ht="15.75" customHeight="1" s="2">
      <c r="A721" s="194" t="inlineStr">
        <is>
          <t>весна</t>
        </is>
      </c>
      <c r="B721" s="176" t="inlineStr">
        <is>
          <t>Искусственный интеллект в технологиях материалов</t>
        </is>
      </c>
      <c r="C721" s="176" t="inlineStr">
        <is>
          <t>Консультация</t>
        </is>
      </c>
      <c r="D721" s="176" t="inlineStr">
        <is>
          <t>Т11О-104М-23</t>
        </is>
      </c>
      <c r="E721" s="177" t="n">
        <v>1</v>
      </c>
      <c r="F721" s="176" t="inlineStr">
        <is>
          <t>18009</t>
        </is>
      </c>
      <c r="G721" s="178" t="n"/>
      <c r="H721" s="176" t="inlineStr">
        <is>
          <t>81728</t>
        </is>
      </c>
      <c r="I721" s="176" t="inlineStr">
        <is>
          <t>Галкин Виктор Иванович</t>
        </is>
      </c>
      <c r="J721" s="176" t="n"/>
      <c r="K721" s="176" t="inlineStr">
        <is>
          <t>Нет</t>
        </is>
      </c>
      <c r="L721" s="176" t="n"/>
      <c r="M721" s="176" t="n"/>
      <c r="N721" s="179">
        <f>SUMIFS($E$2:$E$896,$A$2:$A$896,"осень",$I$2:$I$896,I721)</f>
        <v/>
      </c>
      <c r="O721" s="179">
        <f>SUMIFS($E$2:$E$896,$A$2:$A$896,"весна",$I$2:$I$896,I721)</f>
        <v/>
      </c>
      <c r="P721" s="180">
        <f>N721+O721</f>
        <v/>
      </c>
      <c r="Q721" s="181">
        <f>P721/$Q$1</f>
        <v/>
      </c>
      <c r="R721" s="122">
        <f>P721*0.2</f>
        <v/>
      </c>
      <c r="S721" s="122">
        <f>Q721*0.8</f>
        <v/>
      </c>
      <c r="T721" s="133" t="n">
        <v>0.75</v>
      </c>
    </row>
    <row r="722" ht="15.75" customHeight="1" s="2">
      <c r="A722" s="194" t="inlineStr">
        <is>
          <t>весна</t>
        </is>
      </c>
      <c r="B722" s="176" t="inlineStr">
        <is>
          <t>Искусственный интеллект в технологиях материалов</t>
        </is>
      </c>
      <c r="C722" s="176" t="inlineStr">
        <is>
          <t>Консультация</t>
        </is>
      </c>
      <c r="D722" s="176" t="inlineStr">
        <is>
          <t>Т11О-104М-23</t>
        </is>
      </c>
      <c r="E722" s="177" t="n">
        <v>1</v>
      </c>
      <c r="F722" s="176" t="inlineStr">
        <is>
          <t>18009</t>
        </is>
      </c>
      <c r="G722" s="178" t="n"/>
      <c r="H722" s="176" t="n"/>
      <c r="I722" s="176" t="inlineStr">
        <is>
          <t>э-резерв</t>
        </is>
      </c>
      <c r="J722" s="176" t="n"/>
      <c r="K722" s="176" t="inlineStr">
        <is>
          <t>Нет</t>
        </is>
      </c>
      <c r="L722" s="176" t="n"/>
      <c r="M722" s="176" t="n"/>
      <c r="N722" s="179">
        <f>SUMIFS($E$2:$E$896,$A$2:$A$896,"осень",$I$2:$I$896,I722)</f>
        <v/>
      </c>
      <c r="O722" s="179">
        <f>SUMIFS($E$2:$E$896,$A$2:$A$896,"весна",$I$2:$I$896,I722)</f>
        <v/>
      </c>
      <c r="P722" s="180">
        <f>N722+O722</f>
        <v/>
      </c>
      <c r="Q722" s="181">
        <f>P722/$Q$1</f>
        <v/>
      </c>
      <c r="R722" s="122">
        <f>P722*0.2</f>
        <v/>
      </c>
      <c r="S722" s="122">
        <f>Q722*0.8</f>
        <v/>
      </c>
      <c r="T722" s="133" t="n">
        <v>0</v>
      </c>
    </row>
    <row r="723" hidden="1" ht="15.75" customHeight="1" s="2">
      <c r="A723" s="194" t="inlineStr">
        <is>
          <t>весна</t>
        </is>
      </c>
      <c r="B723" s="176" t="inlineStr">
        <is>
          <t>Искусственный интеллект в технологиях материалов</t>
        </is>
      </c>
      <c r="C723" s="176" t="inlineStr">
        <is>
          <t>Консультация</t>
        </is>
      </c>
      <c r="D723" s="176" t="inlineStr">
        <is>
          <t>Т11О-105М-23</t>
        </is>
      </c>
      <c r="E723" s="177" t="n">
        <v>1</v>
      </c>
      <c r="F723" s="176" t="inlineStr">
        <is>
          <t>18009</t>
        </is>
      </c>
      <c r="G723" s="178" t="n"/>
      <c r="H723" s="176" t="inlineStr">
        <is>
          <t>81728</t>
        </is>
      </c>
      <c r="I723" s="176" t="inlineStr">
        <is>
          <t>Галкин Виктор Иванович</t>
        </is>
      </c>
      <c r="J723" s="176" t="n"/>
      <c r="K723" s="176" t="inlineStr">
        <is>
          <t>Нет</t>
        </is>
      </c>
      <c r="L723" s="176" t="n"/>
      <c r="M723" s="176" t="n"/>
      <c r="N723" s="179">
        <f>SUMIFS($E$2:$E$896,$A$2:$A$896,"осень",$I$2:$I$896,I723)</f>
        <v/>
      </c>
      <c r="O723" s="179">
        <f>SUMIFS($E$2:$E$896,$A$2:$A$896,"весна",$I$2:$I$896,I723)</f>
        <v/>
      </c>
      <c r="P723" s="180">
        <f>N723+O723</f>
        <v/>
      </c>
      <c r="Q723" s="181">
        <f>P723/$Q$1</f>
        <v/>
      </c>
      <c r="R723" s="122">
        <f>P723*0.2</f>
        <v/>
      </c>
      <c r="S723" s="122">
        <f>Q723*0.8</f>
        <v/>
      </c>
      <c r="T723" s="133" t="n">
        <v>0.75</v>
      </c>
    </row>
    <row r="724" ht="15.75" customHeight="1" s="2">
      <c r="A724" s="194" t="inlineStr">
        <is>
          <t>весна</t>
        </is>
      </c>
      <c r="B724" s="176" t="inlineStr">
        <is>
          <t>Искусственный интеллект в технологиях материалов</t>
        </is>
      </c>
      <c r="C724" s="176" t="inlineStr">
        <is>
          <t>Консультация</t>
        </is>
      </c>
      <c r="D724" s="176" t="inlineStr">
        <is>
          <t>Т11О-105М-23</t>
        </is>
      </c>
      <c r="E724" s="177" t="n">
        <v>1</v>
      </c>
      <c r="F724" s="176" t="inlineStr">
        <is>
          <t>18009</t>
        </is>
      </c>
      <c r="G724" s="178" t="n"/>
      <c r="H724" s="176" t="n"/>
      <c r="I724" s="176" t="inlineStr">
        <is>
          <t>э-резерв</t>
        </is>
      </c>
      <c r="J724" s="176" t="n"/>
      <c r="K724" s="176" t="inlineStr">
        <is>
          <t>Нет</t>
        </is>
      </c>
      <c r="L724" s="176" t="n"/>
      <c r="M724" s="176" t="n"/>
      <c r="N724" s="179">
        <f>SUMIFS($E$2:$E$896,$A$2:$A$896,"осень",$I$2:$I$896,I724)</f>
        <v/>
      </c>
      <c r="O724" s="179">
        <f>SUMIFS($E$2:$E$896,$A$2:$A$896,"весна",$I$2:$I$896,I724)</f>
        <v/>
      </c>
      <c r="P724" s="180">
        <f>N724+O724</f>
        <v/>
      </c>
      <c r="Q724" s="181">
        <f>P724/$Q$1</f>
        <v/>
      </c>
      <c r="R724" s="122">
        <f>P724*0.2</f>
        <v/>
      </c>
      <c r="S724" s="122">
        <f>Q724*0.8</f>
        <v/>
      </c>
      <c r="T724" s="133" t="n">
        <v>0</v>
      </c>
    </row>
    <row r="725" hidden="1" ht="15.75" customHeight="1" s="2">
      <c r="A725" s="194" t="inlineStr">
        <is>
          <t>весна</t>
        </is>
      </c>
      <c r="B725" s="176" t="inlineStr">
        <is>
          <t>Численные методы</t>
        </is>
      </c>
      <c r="C725" s="176" t="inlineStr">
        <is>
          <t>ЛК</t>
        </is>
      </c>
      <c r="D725" s="176" t="inlineStr">
        <is>
          <t>Т11О-206Б-22</t>
        </is>
      </c>
      <c r="E725" s="177" t="n">
        <v>28</v>
      </c>
      <c r="F725" s="176" t="inlineStr">
        <is>
          <t>16776</t>
        </is>
      </c>
      <c r="G725" s="177" t="n">
        <v>28</v>
      </c>
      <c r="H725" s="176" t="inlineStr">
        <is>
          <t>82026</t>
        </is>
      </c>
      <c r="I725" s="176" t="inlineStr">
        <is>
          <t>Александрова Светлана Сергеевна</t>
        </is>
      </c>
      <c r="J725" s="176" t="n"/>
      <c r="K725" s="176" t="inlineStr">
        <is>
          <t>Нет</t>
        </is>
      </c>
      <c r="L725" s="176" t="n"/>
      <c r="M725" s="176" t="n"/>
      <c r="N725" s="179">
        <f>SUMIFS($E$2:$E$896,$A$2:$A$896,"осень",$I$2:$I$896,I725)</f>
        <v/>
      </c>
      <c r="O725" s="179">
        <f>SUMIFS($E$2:$E$896,$A$2:$A$896,"весна",$I$2:$I$896,I725)</f>
        <v/>
      </c>
      <c r="P725" s="180">
        <f>N725+O725</f>
        <v/>
      </c>
      <c r="Q725" s="181">
        <f>P725/$Q$1</f>
        <v/>
      </c>
      <c r="R725" s="122">
        <f>P725*0.2</f>
        <v/>
      </c>
      <c r="S725" s="122">
        <f>Q725*0.8</f>
        <v/>
      </c>
      <c r="T725" s="133" t="n">
        <v>0.65</v>
      </c>
    </row>
    <row r="726" hidden="1" ht="15.75" customHeight="1" s="2">
      <c r="A726" s="194" t="inlineStr">
        <is>
          <t>весна</t>
        </is>
      </c>
      <c r="B726" s="176" t="inlineStr">
        <is>
          <t>Численные методы</t>
        </is>
      </c>
      <c r="C726" s="176" t="inlineStr">
        <is>
          <t>Зачет с оценкой</t>
        </is>
      </c>
      <c r="D726" s="176" t="inlineStr">
        <is>
          <t>Т11О-206Б-22</t>
        </is>
      </c>
      <c r="E726" s="177" t="n">
        <v>5</v>
      </c>
      <c r="F726" s="176" t="inlineStr">
        <is>
          <t>16776</t>
        </is>
      </c>
      <c r="G726" s="178" t="n"/>
      <c r="H726" s="176" t="inlineStr">
        <is>
          <t>82026</t>
        </is>
      </c>
      <c r="I726" s="176" t="inlineStr">
        <is>
          <t>Александрова Светлана Сергеевна</t>
        </is>
      </c>
      <c r="J726" s="176" t="n"/>
      <c r="K726" s="176" t="inlineStr">
        <is>
          <t>Нет</t>
        </is>
      </c>
      <c r="L726" s="176" t="n"/>
      <c r="M726" s="176" t="n"/>
      <c r="N726" s="179">
        <f>SUMIFS($E$2:$E$896,$A$2:$A$896,"осень",$I$2:$I$896,I726)</f>
        <v/>
      </c>
      <c r="O726" s="179">
        <f>SUMIFS($E$2:$E$896,$A$2:$A$896,"весна",$I$2:$I$896,I726)</f>
        <v/>
      </c>
      <c r="P726" s="180">
        <f>N726+O726</f>
        <v/>
      </c>
      <c r="Q726" s="181">
        <f>P726/$Q$1</f>
        <v/>
      </c>
      <c r="R726" s="122">
        <f>P726*0.2</f>
        <v/>
      </c>
      <c r="S726" s="122">
        <f>Q726*0.8</f>
        <v/>
      </c>
      <c r="T726" s="133" t="n">
        <v>0.65</v>
      </c>
    </row>
    <row r="727" hidden="1" ht="15.75" customHeight="1" s="2">
      <c r="A727" s="194" t="inlineStr">
        <is>
          <t>весна</t>
        </is>
      </c>
      <c r="B727" s="176" t="inlineStr">
        <is>
          <t>Численные методы</t>
        </is>
      </c>
      <c r="C727" s="176" t="inlineStr">
        <is>
          <t>ПЗ</t>
        </is>
      </c>
      <c r="D727" s="176" t="inlineStr">
        <is>
          <t>Т11О-206Б-22</t>
        </is>
      </c>
      <c r="E727" s="177" t="n">
        <v>26</v>
      </c>
      <c r="F727" s="176" t="inlineStr">
        <is>
          <t>16776</t>
        </is>
      </c>
      <c r="G727" s="177" t="n">
        <v>26</v>
      </c>
      <c r="H727" s="176" t="inlineStr">
        <is>
          <t>82026</t>
        </is>
      </c>
      <c r="I727" s="176" t="inlineStr">
        <is>
          <t>Александрова Светлана Сергеевна</t>
        </is>
      </c>
      <c r="J727" s="176" t="n"/>
      <c r="K727" s="176" t="inlineStr">
        <is>
          <t>Нет</t>
        </is>
      </c>
      <c r="L727" s="176" t="n"/>
      <c r="M727" s="176" t="n"/>
      <c r="N727" s="179">
        <f>SUMIFS($E$2:$E$896,$A$2:$A$896,"осень",$I$2:$I$896,I727)</f>
        <v/>
      </c>
      <c r="O727" s="179">
        <f>SUMIFS($E$2:$E$896,$A$2:$A$896,"весна",$I$2:$I$896,I727)</f>
        <v/>
      </c>
      <c r="P727" s="180">
        <f>N727+O727</f>
        <v/>
      </c>
      <c r="Q727" s="181">
        <f>P727/$Q$1</f>
        <v/>
      </c>
      <c r="R727" s="122">
        <f>P727*0.2</f>
        <v/>
      </c>
      <c r="S727" s="122">
        <f>Q727*0.8</f>
        <v/>
      </c>
      <c r="T727" s="133" t="n">
        <v>0.65</v>
      </c>
    </row>
    <row r="728" hidden="1" ht="15.75" customHeight="1" s="2">
      <c r="A728" s="194" t="inlineStr">
        <is>
          <t>весна</t>
        </is>
      </c>
      <c r="B728" s="176" t="inlineStr">
        <is>
          <t>Численные методы</t>
        </is>
      </c>
      <c r="C728" s="176" t="inlineStr">
        <is>
          <t>Консультация</t>
        </is>
      </c>
      <c r="D728" s="176" t="inlineStr">
        <is>
          <t>Т11О-206Б-22</t>
        </is>
      </c>
      <c r="E728" s="177" t="n">
        <v>1</v>
      </c>
      <c r="F728" s="176" t="inlineStr">
        <is>
          <t>16776</t>
        </is>
      </c>
      <c r="G728" s="178" t="n"/>
      <c r="H728" s="176" t="inlineStr">
        <is>
          <t>82026</t>
        </is>
      </c>
      <c r="I728" s="176" t="inlineStr">
        <is>
          <t>Александрова Светлана Сергеевна</t>
        </is>
      </c>
      <c r="J728" s="176" t="n"/>
      <c r="K728" s="176" t="inlineStr">
        <is>
          <t>Нет</t>
        </is>
      </c>
      <c r="L728" s="176" t="n"/>
      <c r="M728" s="176" t="n"/>
      <c r="N728" s="179">
        <f>SUMIFS($E$2:$E$896,$A$2:$A$896,"осень",$I$2:$I$896,I728)</f>
        <v/>
      </c>
      <c r="O728" s="179">
        <f>SUMIFS($E$2:$E$896,$A$2:$A$896,"весна",$I$2:$I$896,I728)</f>
        <v/>
      </c>
      <c r="P728" s="180">
        <f>N728+O728</f>
        <v/>
      </c>
      <c r="Q728" s="181">
        <f>P728/$Q$1</f>
        <v/>
      </c>
      <c r="R728" s="122">
        <f>P728*0.2</f>
        <v/>
      </c>
      <c r="S728" s="122">
        <f>Q728*0.8</f>
        <v/>
      </c>
      <c r="T728" s="133" t="n">
        <v>0.65</v>
      </c>
    </row>
    <row r="729" hidden="1" ht="15.75" customHeight="1" s="2">
      <c r="A729" s="194" t="inlineStr">
        <is>
          <t>весна</t>
        </is>
      </c>
      <c r="B729" s="176" t="inlineStr">
        <is>
          <t>Введение в специальность</t>
        </is>
      </c>
      <c r="C729" s="176" t="inlineStr">
        <is>
          <t>ЛК</t>
        </is>
      </c>
      <c r="D729" s="176" t="inlineStr">
        <is>
          <t>Т11О-101Б-23</t>
        </is>
      </c>
      <c r="E729" s="177" t="n">
        <v>18</v>
      </c>
      <c r="F729" s="176" t="inlineStr">
        <is>
          <t>14668</t>
        </is>
      </c>
      <c r="G729" s="177" t="n">
        <v>18</v>
      </c>
      <c r="H729" s="176" t="inlineStr">
        <is>
          <t>81729</t>
        </is>
      </c>
      <c r="I729" s="176" t="inlineStr">
        <is>
          <t>Соколов Алексей Викторович</t>
        </is>
      </c>
      <c r="J729" s="176" t="n"/>
      <c r="K729" s="176" t="inlineStr">
        <is>
          <t>Нет</t>
        </is>
      </c>
      <c r="L729" s="176" t="n"/>
      <c r="M729" s="176" t="n"/>
      <c r="N729" s="179">
        <f>SUMIFS($E$2:$E$896,$A$2:$A$896,"осень",$I$2:$I$896,I729)</f>
        <v/>
      </c>
      <c r="O729" s="179">
        <f>SUMIFS($E$2:$E$896,$A$2:$A$896,"весна",$I$2:$I$896,I729)</f>
        <v/>
      </c>
      <c r="P729" s="180">
        <f>N729+O729</f>
        <v/>
      </c>
      <c r="Q729" s="181">
        <f>P729/$Q$1</f>
        <v/>
      </c>
      <c r="R729" s="122">
        <f>P729*0.2</f>
        <v/>
      </c>
      <c r="S729" s="122">
        <f>Q729*0.8</f>
        <v/>
      </c>
      <c r="T729" s="133" t="n">
        <v>0.55</v>
      </c>
    </row>
    <row r="730" hidden="1" ht="15.75" customHeight="1" s="2">
      <c r="A730" s="194" t="inlineStr">
        <is>
          <t>весна</t>
        </is>
      </c>
      <c r="B730" s="176" t="inlineStr">
        <is>
          <t>Введение в специальность</t>
        </is>
      </c>
      <c r="C730" s="176" t="inlineStr">
        <is>
          <t>ЛР</t>
        </is>
      </c>
      <c r="D730" s="176" t="inlineStr">
        <is>
          <t>Т11О-101Б-23</t>
        </is>
      </c>
      <c r="E730" s="177" t="n">
        <v>32</v>
      </c>
      <c r="F730" s="176" t="inlineStr">
        <is>
          <t>14668</t>
        </is>
      </c>
      <c r="G730" s="177" t="n">
        <v>16</v>
      </c>
      <c r="H730" s="176" t="inlineStr">
        <is>
          <t>81729</t>
        </is>
      </c>
      <c r="I730" s="176" t="inlineStr">
        <is>
          <t>Соколов Алексей Викторович</t>
        </is>
      </c>
      <c r="J730" s="176" t="n"/>
      <c r="K730" s="176" t="inlineStr">
        <is>
          <t>Нет</t>
        </is>
      </c>
      <c r="L730" s="176" t="n"/>
      <c r="M730" s="176" t="n"/>
      <c r="N730" s="179">
        <f>SUMIFS($E$2:$E$896,$A$2:$A$896,"осень",$I$2:$I$896,I730)</f>
        <v/>
      </c>
      <c r="O730" s="179">
        <f>SUMIFS($E$2:$E$896,$A$2:$A$896,"весна",$I$2:$I$896,I730)</f>
        <v/>
      </c>
      <c r="P730" s="180">
        <f>N730+O730</f>
        <v/>
      </c>
      <c r="Q730" s="181">
        <f>P730/$Q$1</f>
        <v/>
      </c>
      <c r="R730" s="122">
        <f>P730*0.2</f>
        <v/>
      </c>
      <c r="S730" s="122">
        <f>Q730*0.8</f>
        <v/>
      </c>
      <c r="T730" s="133" t="n">
        <v>0.55</v>
      </c>
    </row>
    <row r="731" hidden="1" ht="15.75" customHeight="1" s="2">
      <c r="A731" s="194" t="inlineStr">
        <is>
          <t>весна</t>
        </is>
      </c>
      <c r="B731" s="176" t="inlineStr">
        <is>
          <t>Введение в специальность</t>
        </is>
      </c>
      <c r="C731" s="176" t="inlineStr">
        <is>
          <t>Зачет</t>
        </is>
      </c>
      <c r="D731" s="176" t="inlineStr">
        <is>
          <t>Т11О-101Б-23</t>
        </is>
      </c>
      <c r="E731" s="177" t="n">
        <v>3</v>
      </c>
      <c r="F731" s="176" t="inlineStr">
        <is>
          <t>14668</t>
        </is>
      </c>
      <c r="G731" s="178" t="n"/>
      <c r="H731" s="176" t="inlineStr">
        <is>
          <t>81729</t>
        </is>
      </c>
      <c r="I731" s="176" t="inlineStr">
        <is>
          <t>Соколов Алексей Викторович</t>
        </is>
      </c>
      <c r="J731" s="176" t="n"/>
      <c r="K731" s="176" t="inlineStr">
        <is>
          <t>Нет</t>
        </is>
      </c>
      <c r="L731" s="176" t="n"/>
      <c r="M731" s="176" t="n"/>
      <c r="N731" s="179">
        <f>SUMIFS($E$2:$E$896,$A$2:$A$896,"осень",$I$2:$I$896,I731)</f>
        <v/>
      </c>
      <c r="O731" s="179">
        <f>SUMIFS($E$2:$E$896,$A$2:$A$896,"весна",$I$2:$I$896,I731)</f>
        <v/>
      </c>
      <c r="P731" s="180">
        <f>N731+O731</f>
        <v/>
      </c>
      <c r="Q731" s="181">
        <f>P731/$Q$1</f>
        <v/>
      </c>
      <c r="R731" s="122">
        <f>P731*0.2</f>
        <v/>
      </c>
      <c r="S731" s="122">
        <f>Q731*0.8</f>
        <v/>
      </c>
      <c r="T731" s="133" t="n">
        <v>0.55</v>
      </c>
    </row>
    <row r="732" ht="15.75" customHeight="1" s="2">
      <c r="A732" s="194" t="inlineStr">
        <is>
          <t>весна</t>
        </is>
      </c>
      <c r="B732" s="176" t="inlineStr">
        <is>
          <t>Введение в специальность</t>
        </is>
      </c>
      <c r="C732" s="176" t="inlineStr">
        <is>
          <t>Зачет</t>
        </is>
      </c>
      <c r="D732" s="176" t="inlineStr">
        <is>
          <t>Т11О-101Б-23</t>
        </is>
      </c>
      <c r="E732" s="177" t="n">
        <v>1</v>
      </c>
      <c r="F732" s="176" t="inlineStr">
        <is>
          <t>14668</t>
        </is>
      </c>
      <c r="G732" s="178" t="n"/>
      <c r="H732" s="176" t="n"/>
      <c r="I732" s="176" t="inlineStr">
        <is>
          <t>э-резерв</t>
        </is>
      </c>
      <c r="J732" s="176" t="n"/>
      <c r="K732" s="176" t="inlineStr">
        <is>
          <t>Нет</t>
        </is>
      </c>
      <c r="L732" s="176" t="n"/>
      <c r="M732" s="176" t="n"/>
      <c r="N732" s="179">
        <f>SUMIFS($E$2:$E$896,$A$2:$A$896,"осень",$I$2:$I$896,I732)</f>
        <v/>
      </c>
      <c r="O732" s="179">
        <f>SUMIFS($E$2:$E$896,$A$2:$A$896,"весна",$I$2:$I$896,I732)</f>
        <v/>
      </c>
      <c r="P732" s="180">
        <f>N732+O732</f>
        <v/>
      </c>
      <c r="Q732" s="181">
        <f>P732/$Q$1</f>
        <v/>
      </c>
      <c r="R732" s="122">
        <f>P732*0.2</f>
        <v/>
      </c>
      <c r="S732" s="122">
        <f>Q732*0.8</f>
        <v/>
      </c>
      <c r="T732" s="133" t="n">
        <v>0</v>
      </c>
    </row>
    <row r="733" hidden="1" ht="15.75" customHeight="1" s="2">
      <c r="A733" s="194" t="inlineStr">
        <is>
          <t>весна</t>
        </is>
      </c>
      <c r="B733" s="176" t="inlineStr">
        <is>
          <t>Введение в специальность</t>
        </is>
      </c>
      <c r="C733" s="176" t="inlineStr">
        <is>
          <t>Консультация</t>
        </is>
      </c>
      <c r="D733" s="176" t="inlineStr">
        <is>
          <t>Т11О-101Б-23</t>
        </is>
      </c>
      <c r="E733" s="177" t="n">
        <v>1</v>
      </c>
      <c r="F733" s="176" t="inlineStr">
        <is>
          <t>14668</t>
        </is>
      </c>
      <c r="G733" s="178" t="n"/>
      <c r="H733" s="176" t="inlineStr">
        <is>
          <t>81729</t>
        </is>
      </c>
      <c r="I733" s="176" t="inlineStr">
        <is>
          <t>Соколов Алексей Викторович</t>
        </is>
      </c>
      <c r="J733" s="176" t="n"/>
      <c r="K733" s="176" t="inlineStr">
        <is>
          <t>Нет</t>
        </is>
      </c>
      <c r="L733" s="176" t="n"/>
      <c r="M733" s="176" t="n"/>
      <c r="N733" s="179">
        <f>SUMIFS($E$2:$E$896,$A$2:$A$896,"осень",$I$2:$I$896,I733)</f>
        <v/>
      </c>
      <c r="O733" s="179">
        <f>SUMIFS($E$2:$E$896,$A$2:$A$896,"весна",$I$2:$I$896,I733)</f>
        <v/>
      </c>
      <c r="P733" s="180">
        <f>N733+O733</f>
        <v/>
      </c>
      <c r="Q733" s="181">
        <f>P733/$Q$1</f>
        <v/>
      </c>
      <c r="R733" s="122">
        <f>P733*0.2</f>
        <v/>
      </c>
      <c r="S733" s="122">
        <f>Q733*0.8</f>
        <v/>
      </c>
      <c r="T733" s="133" t="n">
        <v>0.55</v>
      </c>
    </row>
    <row r="734" hidden="1" ht="15.75" customHeight="1" s="2">
      <c r="A734" s="194" t="inlineStr">
        <is>
          <t>весна</t>
        </is>
      </c>
      <c r="B734" s="176" t="inlineStr">
        <is>
          <t>Микрокристаллические и аморфные материалы</t>
        </is>
      </c>
      <c r="C734" s="176" t="inlineStr">
        <is>
          <t>ЛК</t>
        </is>
      </c>
      <c r="D734" s="176" t="inlineStr">
        <is>
          <t>Т11О-101М-23</t>
        </is>
      </c>
      <c r="E734" s="177" t="n">
        <v>24</v>
      </c>
      <c r="F734" s="176" t="inlineStr">
        <is>
          <t>18008</t>
        </is>
      </c>
      <c r="G734" s="177" t="n">
        <v>24</v>
      </c>
      <c r="H734" s="176" t="inlineStr">
        <is>
          <t>82066</t>
        </is>
      </c>
      <c r="I734" s="176" t="inlineStr">
        <is>
          <t>Серов Михаил Михайлович</t>
        </is>
      </c>
      <c r="J734" s="176" t="n"/>
      <c r="K734" s="176" t="inlineStr">
        <is>
          <t>Нет</t>
        </is>
      </c>
      <c r="L734" s="176" t="n"/>
      <c r="M734" s="176" t="n"/>
      <c r="N734" s="179">
        <f>SUMIFS($E$2:$E$896,$A$2:$A$896,"осень",$I$2:$I$896,I734)</f>
        <v/>
      </c>
      <c r="O734" s="179">
        <f>SUMIFS($E$2:$E$896,$A$2:$A$896,"весна",$I$2:$I$896,I734)</f>
        <v/>
      </c>
      <c r="P734" s="180">
        <f>N734+O734</f>
        <v/>
      </c>
      <c r="Q734" s="181">
        <f>P734/$Q$1</f>
        <v/>
      </c>
      <c r="R734" s="122">
        <f>P734*0.2</f>
        <v/>
      </c>
      <c r="S734" s="122">
        <f>Q734*0.8</f>
        <v/>
      </c>
      <c r="T734" s="133" t="n">
        <v>0.6</v>
      </c>
    </row>
    <row r="735" hidden="1" ht="15.75" customHeight="1" s="2">
      <c r="A735" s="194" t="inlineStr">
        <is>
          <t>весна</t>
        </is>
      </c>
      <c r="B735" s="176" t="inlineStr">
        <is>
          <t>Микрокристаллические и аморфные материалы</t>
        </is>
      </c>
      <c r="C735" s="176" t="inlineStr">
        <is>
          <t>Зачет с оценкой</t>
        </is>
      </c>
      <c r="D735" s="176" t="inlineStr">
        <is>
          <t>Т11О-101М-23</t>
        </is>
      </c>
      <c r="E735" s="177" t="n">
        <v>3</v>
      </c>
      <c r="F735" s="176" t="inlineStr">
        <is>
          <t>18008</t>
        </is>
      </c>
      <c r="G735" s="178" t="n"/>
      <c r="H735" s="176" t="inlineStr">
        <is>
          <t>82066</t>
        </is>
      </c>
      <c r="I735" s="176" t="inlineStr">
        <is>
          <t>Серов Михаил Михайлович</t>
        </is>
      </c>
      <c r="J735" s="176" t="n"/>
      <c r="K735" s="176" t="inlineStr">
        <is>
          <t>Нет</t>
        </is>
      </c>
      <c r="L735" s="176" t="n"/>
      <c r="M735" s="176" t="n"/>
      <c r="N735" s="179">
        <f>SUMIFS($E$2:$E$896,$A$2:$A$896,"осень",$I$2:$I$896,I735)</f>
        <v/>
      </c>
      <c r="O735" s="179">
        <f>SUMIFS($E$2:$E$896,$A$2:$A$896,"весна",$I$2:$I$896,I735)</f>
        <v/>
      </c>
      <c r="P735" s="180">
        <f>N735+O735</f>
        <v/>
      </c>
      <c r="Q735" s="181">
        <f>P735/$Q$1</f>
        <v/>
      </c>
      <c r="R735" s="122">
        <f>P735*0.2</f>
        <v/>
      </c>
      <c r="S735" s="122">
        <f>Q735*0.8</f>
        <v/>
      </c>
      <c r="T735" s="133" t="n">
        <v>0.6</v>
      </c>
    </row>
    <row r="736" ht="15.75" customHeight="1" s="2">
      <c r="A736" s="194" t="inlineStr">
        <is>
          <t>весна</t>
        </is>
      </c>
      <c r="B736" s="176" t="inlineStr">
        <is>
          <t>Микрокристаллические и аморфные материалы</t>
        </is>
      </c>
      <c r="C736" s="176" t="inlineStr">
        <is>
          <t>Зачет с оценкой</t>
        </is>
      </c>
      <c r="D736" s="176" t="inlineStr">
        <is>
          <t>Т11О-101М-23</t>
        </is>
      </c>
      <c r="E736" s="177" t="n">
        <v>1</v>
      </c>
      <c r="F736" s="176" t="inlineStr">
        <is>
          <t>18008</t>
        </is>
      </c>
      <c r="G736" s="178" t="n"/>
      <c r="H736" s="176" t="n"/>
      <c r="I736" s="176" t="inlineStr">
        <is>
          <t>э-резерв</t>
        </is>
      </c>
      <c r="J736" s="176" t="n"/>
      <c r="K736" s="176" t="inlineStr">
        <is>
          <t>Нет</t>
        </is>
      </c>
      <c r="L736" s="176" t="n"/>
      <c r="M736" s="176" t="n"/>
      <c r="N736" s="179">
        <f>SUMIFS($E$2:$E$896,$A$2:$A$896,"осень",$I$2:$I$896,I736)</f>
        <v/>
      </c>
      <c r="O736" s="179">
        <f>SUMIFS($E$2:$E$896,$A$2:$A$896,"весна",$I$2:$I$896,I736)</f>
        <v/>
      </c>
      <c r="P736" s="180">
        <f>N736+O736</f>
        <v/>
      </c>
      <c r="Q736" s="181">
        <f>P736/$Q$1</f>
        <v/>
      </c>
      <c r="R736" s="122">
        <f>P736*0.2</f>
        <v/>
      </c>
      <c r="S736" s="122">
        <f>Q736*0.8</f>
        <v/>
      </c>
      <c r="T736" s="133" t="n">
        <v>0</v>
      </c>
    </row>
    <row r="737" hidden="1" ht="15.75" customHeight="1" s="2">
      <c r="A737" s="194" t="inlineStr">
        <is>
          <t>весна</t>
        </is>
      </c>
      <c r="B737" s="176" t="inlineStr">
        <is>
          <t>Микрокристаллические и аморфные материалы</t>
        </is>
      </c>
      <c r="C737" s="176" t="inlineStr">
        <is>
          <t>ПЗ</t>
        </is>
      </c>
      <c r="D737" s="176" t="inlineStr">
        <is>
          <t>Т11О-101М-23</t>
        </is>
      </c>
      <c r="E737" s="177" t="n">
        <v>44</v>
      </c>
      <c r="F737" s="176" t="inlineStr">
        <is>
          <t>18008</t>
        </is>
      </c>
      <c r="G737" s="177" t="n">
        <v>44</v>
      </c>
      <c r="H737" s="176" t="inlineStr">
        <is>
          <t>82066</t>
        </is>
      </c>
      <c r="I737" s="176" t="inlineStr">
        <is>
          <t>Серов Михаил Михайлович</t>
        </is>
      </c>
      <c r="J737" s="176" t="n"/>
      <c r="K737" s="176" t="inlineStr">
        <is>
          <t>Нет</t>
        </is>
      </c>
      <c r="L737" s="176" t="n"/>
      <c r="M737" s="176" t="n"/>
      <c r="N737" s="179">
        <f>SUMIFS($E$2:$E$896,$A$2:$A$896,"осень",$I$2:$I$896,I737)</f>
        <v/>
      </c>
      <c r="O737" s="179">
        <f>SUMIFS($E$2:$E$896,$A$2:$A$896,"весна",$I$2:$I$896,I737)</f>
        <v/>
      </c>
      <c r="P737" s="180">
        <f>N737+O737</f>
        <v/>
      </c>
      <c r="Q737" s="181">
        <f>P737/$Q$1</f>
        <v/>
      </c>
      <c r="R737" s="122">
        <f>P737*0.2</f>
        <v/>
      </c>
      <c r="S737" s="122">
        <f>Q737*0.8</f>
        <v/>
      </c>
      <c r="T737" s="133" t="n">
        <v>0.6</v>
      </c>
    </row>
    <row r="738" hidden="1" ht="15.75" customHeight="1" s="2">
      <c r="A738" s="194" t="inlineStr">
        <is>
          <t>весна</t>
        </is>
      </c>
      <c r="B738" s="176" t="inlineStr">
        <is>
          <t>Микрокристаллические и аморфные материалы</t>
        </is>
      </c>
      <c r="C738" s="176" t="inlineStr">
        <is>
          <t>Консультация</t>
        </is>
      </c>
      <c r="D738" s="176" t="inlineStr">
        <is>
          <t>Т11О-101М-23</t>
        </is>
      </c>
      <c r="E738" s="177" t="n">
        <v>1</v>
      </c>
      <c r="F738" s="176" t="inlineStr">
        <is>
          <t>18008</t>
        </is>
      </c>
      <c r="G738" s="178" t="n"/>
      <c r="H738" s="176" t="inlineStr">
        <is>
          <t>82066</t>
        </is>
      </c>
      <c r="I738" s="176" t="inlineStr">
        <is>
          <t>Серов Михаил Михайлович</t>
        </is>
      </c>
      <c r="J738" s="176" t="n"/>
      <c r="K738" s="176" t="inlineStr">
        <is>
          <t>Нет</t>
        </is>
      </c>
      <c r="L738" s="176" t="n"/>
      <c r="M738" s="176" t="n"/>
      <c r="N738" s="179">
        <f>SUMIFS($E$2:$E$896,$A$2:$A$896,"осень",$I$2:$I$896,I738)</f>
        <v/>
      </c>
      <c r="O738" s="179">
        <f>SUMIFS($E$2:$E$896,$A$2:$A$896,"весна",$I$2:$I$896,I738)</f>
        <v/>
      </c>
      <c r="P738" s="180">
        <f>N738+O738</f>
        <v/>
      </c>
      <c r="Q738" s="181">
        <f>P738/$Q$1</f>
        <v/>
      </c>
      <c r="R738" s="122">
        <f>P738*0.2</f>
        <v/>
      </c>
      <c r="S738" s="122">
        <f>Q738*0.8</f>
        <v/>
      </c>
      <c r="T738" s="133" t="n">
        <v>0.6</v>
      </c>
    </row>
    <row r="739" hidden="1" ht="15.75" customHeight="1" s="2">
      <c r="A739" s="194" t="inlineStr">
        <is>
          <t>весна</t>
        </is>
      </c>
      <c r="B739" s="176" t="inlineStr">
        <is>
          <t>Технология прессования легких сплавов</t>
        </is>
      </c>
      <c r="C739" s="176" t="inlineStr">
        <is>
          <t>ЛК</t>
        </is>
      </c>
      <c r="D739" s="176" t="inlineStr">
        <is>
          <t>Т11О-101М-23</t>
        </is>
      </c>
      <c r="E739" s="177" t="n">
        <v>24</v>
      </c>
      <c r="F739" s="176" t="inlineStr">
        <is>
          <t>18008</t>
        </is>
      </c>
      <c r="G739" s="177" t="n">
        <v>24</v>
      </c>
      <c r="H739" s="176" t="inlineStr">
        <is>
          <t>81731</t>
        </is>
      </c>
      <c r="I739" s="176" t="inlineStr">
        <is>
          <t>Беспалов Александр Владимирович</t>
        </is>
      </c>
      <c r="J739" s="176" t="n"/>
      <c r="K739" s="176" t="inlineStr">
        <is>
          <t>Нет</t>
        </is>
      </c>
      <c r="L739" s="176" t="n"/>
      <c r="M739" s="176" t="n"/>
      <c r="N739" s="179">
        <f>SUMIFS($E$2:$E$896,$A$2:$A$896,"осень",$I$2:$I$896,I739)</f>
        <v/>
      </c>
      <c r="O739" s="179">
        <f>SUMIFS($E$2:$E$896,$A$2:$A$896,"весна",$I$2:$I$896,I739)</f>
        <v/>
      </c>
      <c r="P739" s="180">
        <f>N739+O739</f>
        <v/>
      </c>
      <c r="Q739" s="181">
        <f>P739/$Q$1</f>
        <v/>
      </c>
      <c r="R739" s="122">
        <f>P739*0.2</f>
        <v/>
      </c>
      <c r="S739" s="122">
        <f>Q739*0.8</f>
        <v/>
      </c>
      <c r="T739" s="133" t="n">
        <v>0.15</v>
      </c>
    </row>
    <row r="740" hidden="1" ht="15.75" customHeight="1" s="2">
      <c r="A740" s="194" t="inlineStr">
        <is>
          <t>весна</t>
        </is>
      </c>
      <c r="B740" s="176" t="inlineStr">
        <is>
          <t>Технология прессования легких сплавов</t>
        </is>
      </c>
      <c r="C740" s="176" t="inlineStr">
        <is>
          <t>КР</t>
        </is>
      </c>
      <c r="D740" s="176" t="inlineStr">
        <is>
          <t>Т11О-101М-23</t>
        </is>
      </c>
      <c r="E740" s="177" t="n">
        <v>26</v>
      </c>
      <c r="F740" s="176" t="inlineStr">
        <is>
          <t>18008</t>
        </is>
      </c>
      <c r="G740" s="178" t="n"/>
      <c r="H740" s="176" t="inlineStr">
        <is>
          <t>81731</t>
        </is>
      </c>
      <c r="I740" s="176" t="inlineStr">
        <is>
          <t>Беспалов Александр Владимирович</t>
        </is>
      </c>
      <c r="J740" s="176" t="n"/>
      <c r="K740" s="176" t="inlineStr">
        <is>
          <t>Нет</t>
        </is>
      </c>
      <c r="L740" s="176" t="n"/>
      <c r="M740" s="176" t="n"/>
      <c r="N740" s="179">
        <f>SUMIFS($E$2:$E$896,$A$2:$A$896,"осень",$I$2:$I$896,I740)</f>
        <v/>
      </c>
      <c r="O740" s="179">
        <f>SUMIFS($E$2:$E$896,$A$2:$A$896,"весна",$I$2:$I$896,I740)</f>
        <v/>
      </c>
      <c r="P740" s="180">
        <f>N740+O740</f>
        <v/>
      </c>
      <c r="Q740" s="181">
        <f>P740/$Q$1</f>
        <v/>
      </c>
      <c r="R740" s="122">
        <f>P740*0.2</f>
        <v/>
      </c>
      <c r="S740" s="122">
        <f>Q740*0.8</f>
        <v/>
      </c>
      <c r="T740" s="133" t="n">
        <v>0.15</v>
      </c>
    </row>
    <row r="741" hidden="1" ht="15.75" customHeight="1" s="2">
      <c r="A741" s="194" t="inlineStr">
        <is>
          <t>весна</t>
        </is>
      </c>
      <c r="B741" s="176" t="inlineStr">
        <is>
          <t>Технология прессования легких сплавов</t>
        </is>
      </c>
      <c r="C741" s="176" t="inlineStr">
        <is>
          <t>ПЗ</t>
        </is>
      </c>
      <c r="D741" s="176" t="inlineStr">
        <is>
          <t>Т11О-101М-23</t>
        </is>
      </c>
      <c r="E741" s="177" t="n">
        <v>42</v>
      </c>
      <c r="F741" s="176" t="inlineStr">
        <is>
          <t>18008</t>
        </is>
      </c>
      <c r="G741" s="177" t="n">
        <v>42</v>
      </c>
      <c r="H741" s="176" t="inlineStr">
        <is>
          <t>81731</t>
        </is>
      </c>
      <c r="I741" s="176" t="inlineStr">
        <is>
          <t>Беспалов Александр Владимирович</t>
        </is>
      </c>
      <c r="J741" s="176" t="n"/>
      <c r="K741" s="176" t="inlineStr">
        <is>
          <t>Нет</t>
        </is>
      </c>
      <c r="L741" s="176" t="n"/>
      <c r="M741" s="176" t="n"/>
      <c r="N741" s="179">
        <f>SUMIFS($E$2:$E$896,$A$2:$A$896,"осень",$I$2:$I$896,I741)</f>
        <v/>
      </c>
      <c r="O741" s="179">
        <f>SUMIFS($E$2:$E$896,$A$2:$A$896,"весна",$I$2:$I$896,I741)</f>
        <v/>
      </c>
      <c r="P741" s="180">
        <f>N741+O741</f>
        <v/>
      </c>
      <c r="Q741" s="181">
        <f>P741/$Q$1</f>
        <v/>
      </c>
      <c r="R741" s="122">
        <f>P741*0.2</f>
        <v/>
      </c>
      <c r="S741" s="122">
        <f>Q741*0.8</f>
        <v/>
      </c>
      <c r="T741" s="133" t="n">
        <v>0.15</v>
      </c>
    </row>
    <row r="742" hidden="1" ht="15.75" customHeight="1" s="2">
      <c r="A742" s="194" t="inlineStr">
        <is>
          <t>весна</t>
        </is>
      </c>
      <c r="B742" s="176" t="inlineStr">
        <is>
          <t>Технология прессования легких сплавов</t>
        </is>
      </c>
      <c r="C742" s="176" t="inlineStr">
        <is>
          <t>Экзамен</t>
        </is>
      </c>
      <c r="D742" s="176" t="inlineStr">
        <is>
          <t>Т11О-101М-23</t>
        </is>
      </c>
      <c r="E742" s="177" t="n">
        <v>5</v>
      </c>
      <c r="F742" s="176" t="inlineStr">
        <is>
          <t>18008</t>
        </is>
      </c>
      <c r="G742" s="178" t="n"/>
      <c r="H742" s="176" t="inlineStr">
        <is>
          <t>81731</t>
        </is>
      </c>
      <c r="I742" s="176" t="inlineStr">
        <is>
          <t>Беспалов Александр Владимирович</t>
        </is>
      </c>
      <c r="J742" s="176" t="n"/>
      <c r="K742" s="176" t="inlineStr">
        <is>
          <t>Нет</t>
        </is>
      </c>
      <c r="L742" s="176" t="n"/>
      <c r="M742" s="176" t="n"/>
      <c r="N742" s="179">
        <f>SUMIFS($E$2:$E$896,$A$2:$A$896,"осень",$I$2:$I$896,I742)</f>
        <v/>
      </c>
      <c r="O742" s="179">
        <f>SUMIFS($E$2:$E$896,$A$2:$A$896,"весна",$I$2:$I$896,I742)</f>
        <v/>
      </c>
      <c r="P742" s="180">
        <f>N742+O742</f>
        <v/>
      </c>
      <c r="Q742" s="181">
        <f>P742/$Q$1</f>
        <v/>
      </c>
      <c r="R742" s="122">
        <f>P742*0.2</f>
        <v/>
      </c>
      <c r="S742" s="122">
        <f>Q742*0.8</f>
        <v/>
      </c>
      <c r="T742" s="133" t="n">
        <v>0.15</v>
      </c>
    </row>
    <row r="743" ht="15.75" customHeight="1" s="2">
      <c r="A743" s="194" t="inlineStr">
        <is>
          <t>весна</t>
        </is>
      </c>
      <c r="B743" s="176" t="inlineStr">
        <is>
          <t>Технология прессования легких сплавов</t>
        </is>
      </c>
      <c r="C743" s="176" t="inlineStr">
        <is>
          <t>Экзамен</t>
        </is>
      </c>
      <c r="D743" s="176" t="inlineStr">
        <is>
          <t>Т11О-101М-23</t>
        </is>
      </c>
      <c r="E743" s="177" t="n">
        <v>2</v>
      </c>
      <c r="F743" s="176" t="inlineStr">
        <is>
          <t>18008</t>
        </is>
      </c>
      <c r="G743" s="178" t="n"/>
      <c r="H743" s="176" t="n"/>
      <c r="I743" s="176" t="inlineStr">
        <is>
          <t>э-резерв</t>
        </is>
      </c>
      <c r="J743" s="176" t="n"/>
      <c r="K743" s="176" t="inlineStr">
        <is>
          <t>Нет</t>
        </is>
      </c>
      <c r="L743" s="176" t="n"/>
      <c r="M743" s="176" t="n"/>
      <c r="N743" s="179">
        <f>SUMIFS($E$2:$E$896,$A$2:$A$896,"осень",$I$2:$I$896,I743)</f>
        <v/>
      </c>
      <c r="O743" s="179">
        <f>SUMIFS($E$2:$E$896,$A$2:$A$896,"весна",$I$2:$I$896,I743)</f>
        <v/>
      </c>
      <c r="P743" s="180">
        <f>N743+O743</f>
        <v/>
      </c>
      <c r="Q743" s="181">
        <f>P743/$Q$1</f>
        <v/>
      </c>
      <c r="R743" s="122">
        <f>P743*0.2</f>
        <v/>
      </c>
      <c r="S743" s="122">
        <f>Q743*0.8</f>
        <v/>
      </c>
      <c r="T743" s="133" t="n">
        <v>0</v>
      </c>
    </row>
    <row r="744" hidden="1" ht="15.75" customHeight="1" s="2">
      <c r="A744" s="194" t="inlineStr">
        <is>
          <t>весна</t>
        </is>
      </c>
      <c r="B744" s="176" t="inlineStr">
        <is>
          <t>Технология прессования легких сплавов</t>
        </is>
      </c>
      <c r="C744" s="176" t="inlineStr">
        <is>
          <t>Консультация</t>
        </is>
      </c>
      <c r="D744" s="176" t="inlineStr">
        <is>
          <t>Т11О-101М-23</t>
        </is>
      </c>
      <c r="E744" s="177" t="n">
        <v>2</v>
      </c>
      <c r="F744" s="176" t="inlineStr">
        <is>
          <t>18008</t>
        </is>
      </c>
      <c r="G744" s="178" t="n"/>
      <c r="H744" s="176" t="inlineStr">
        <is>
          <t>81731</t>
        </is>
      </c>
      <c r="I744" s="176" t="inlineStr">
        <is>
          <t>Беспалов Александр Владимирович</t>
        </is>
      </c>
      <c r="J744" s="176" t="n"/>
      <c r="K744" s="176" t="inlineStr">
        <is>
          <t>Нет</t>
        </is>
      </c>
      <c r="L744" s="176" t="n"/>
      <c r="M744" s="176" t="n"/>
      <c r="N744" s="179">
        <f>SUMIFS($E$2:$E$896,$A$2:$A$896,"осень",$I$2:$I$896,I744)</f>
        <v/>
      </c>
      <c r="O744" s="179">
        <f>SUMIFS($E$2:$E$896,$A$2:$A$896,"весна",$I$2:$I$896,I744)</f>
        <v/>
      </c>
      <c r="P744" s="180">
        <f>N744+O744</f>
        <v/>
      </c>
      <c r="Q744" s="181">
        <f>P744/$Q$1</f>
        <v/>
      </c>
      <c r="R744" s="122">
        <f>P744*0.2</f>
        <v/>
      </c>
      <c r="S744" s="122">
        <f>Q744*0.8</f>
        <v/>
      </c>
      <c r="T744" s="133" t="n">
        <v>0.15</v>
      </c>
    </row>
    <row r="745" ht="15.75" customHeight="1" s="2">
      <c r="A745" s="194" t="inlineStr">
        <is>
          <t>весна</t>
        </is>
      </c>
      <c r="B745" s="176" t="inlineStr">
        <is>
          <t>Технология прессования легких сплавов</t>
        </is>
      </c>
      <c r="C745" s="176" t="inlineStr">
        <is>
          <t>Консультация</t>
        </is>
      </c>
      <c r="D745" s="176" t="inlineStr">
        <is>
          <t>Т11О-101М-23</t>
        </is>
      </c>
      <c r="E745" s="177" t="n">
        <v>1</v>
      </c>
      <c r="F745" s="176" t="inlineStr">
        <is>
          <t>18008</t>
        </is>
      </c>
      <c r="G745" s="178" t="n"/>
      <c r="H745" s="176" t="n"/>
      <c r="I745" s="176" t="inlineStr">
        <is>
          <t>э-резерв</t>
        </is>
      </c>
      <c r="J745" s="176" t="n"/>
      <c r="K745" s="176" t="inlineStr">
        <is>
          <t>Нет</t>
        </is>
      </c>
      <c r="L745" s="176" t="n"/>
      <c r="M745" s="176" t="n"/>
      <c r="N745" s="179">
        <f>SUMIFS($E$2:$E$896,$A$2:$A$896,"осень",$I$2:$I$896,I745)</f>
        <v/>
      </c>
      <c r="O745" s="179">
        <f>SUMIFS($E$2:$E$896,$A$2:$A$896,"весна",$I$2:$I$896,I745)</f>
        <v/>
      </c>
      <c r="P745" s="180">
        <f>N745+O745</f>
        <v/>
      </c>
      <c r="Q745" s="181">
        <f>P745/$Q$1</f>
        <v/>
      </c>
      <c r="R745" s="122">
        <f>P745*0.2</f>
        <v/>
      </c>
      <c r="S745" s="122">
        <f>Q745*0.8</f>
        <v/>
      </c>
      <c r="T745" s="133" t="n">
        <v>0</v>
      </c>
    </row>
    <row r="746" hidden="1" ht="15.75" customHeight="1" s="2">
      <c r="A746" s="194" t="inlineStr">
        <is>
          <t>весна</t>
        </is>
      </c>
      <c r="B746" s="176" t="inlineStr">
        <is>
          <t>Теория автоматического управления</t>
        </is>
      </c>
      <c r="C746" s="176" t="inlineStr">
        <is>
          <t>ЛК</t>
        </is>
      </c>
      <c r="D746" s="176" t="inlineStr">
        <is>
          <t>Т11О-302Б-21</t>
        </is>
      </c>
      <c r="E746" s="177" t="n">
        <v>20</v>
      </c>
      <c r="F746" s="176" t="inlineStr">
        <is>
          <t>14861</t>
        </is>
      </c>
      <c r="G746" s="177" t="n">
        <v>20</v>
      </c>
      <c r="H746" s="176" t="inlineStr">
        <is>
          <t>81721</t>
        </is>
      </c>
      <c r="I746" s="176" t="inlineStr">
        <is>
          <t>Преображенский Евгений Владимирович</t>
        </is>
      </c>
      <c r="J746" s="176" t="n"/>
      <c r="K746" s="176" t="inlineStr">
        <is>
          <t>Нет</t>
        </is>
      </c>
      <c r="L746" s="176" t="n"/>
      <c r="M746" s="176" t="n"/>
      <c r="N746" s="179">
        <f>SUMIFS($E$2:$E$896,$A$2:$A$896,"осень",$I$2:$I$896,I746)</f>
        <v/>
      </c>
      <c r="O746" s="179">
        <f>SUMIFS($E$2:$E$896,$A$2:$A$896,"весна",$I$2:$I$896,I746)</f>
        <v/>
      </c>
      <c r="P746" s="180">
        <f>N746+O746</f>
        <v/>
      </c>
      <c r="Q746" s="181">
        <f>P746/$Q$1</f>
        <v/>
      </c>
      <c r="R746" s="122">
        <f>P746*0.2</f>
        <v/>
      </c>
      <c r="S746" s="122">
        <f>Q746*0.8</f>
        <v/>
      </c>
      <c r="T746" s="133" t="n">
        <v>0.25</v>
      </c>
    </row>
    <row r="747" hidden="1" ht="15.75" customHeight="1" s="2">
      <c r="A747" s="194" t="inlineStr">
        <is>
          <t>весна</t>
        </is>
      </c>
      <c r="B747" s="176" t="inlineStr">
        <is>
          <t>Теория автоматического управления</t>
        </is>
      </c>
      <c r="C747" s="176" t="inlineStr">
        <is>
          <t>ПЗ</t>
        </is>
      </c>
      <c r="D747" s="176" t="inlineStr">
        <is>
          <t>Т11О-302Б-21</t>
        </is>
      </c>
      <c r="E747" s="177" t="n">
        <v>48</v>
      </c>
      <c r="F747" s="176" t="inlineStr">
        <is>
          <t>14861</t>
        </is>
      </c>
      <c r="G747" s="177" t="n">
        <v>48</v>
      </c>
      <c r="H747" s="176" t="inlineStr">
        <is>
          <t>81721</t>
        </is>
      </c>
      <c r="I747" s="176" t="inlineStr">
        <is>
          <t>Преображенский Евгений Владимирович</t>
        </is>
      </c>
      <c r="J747" s="176" t="n"/>
      <c r="K747" s="176" t="inlineStr">
        <is>
          <t>Нет</t>
        </is>
      </c>
      <c r="L747" s="176" t="n"/>
      <c r="M747" s="176" t="n"/>
      <c r="N747" s="179">
        <f>SUMIFS($E$2:$E$896,$A$2:$A$896,"осень",$I$2:$I$896,I747)</f>
        <v/>
      </c>
      <c r="O747" s="179">
        <f>SUMIFS($E$2:$E$896,$A$2:$A$896,"весна",$I$2:$I$896,I747)</f>
        <v/>
      </c>
      <c r="P747" s="180">
        <f>N747+O747</f>
        <v/>
      </c>
      <c r="Q747" s="181">
        <f>P747/$Q$1</f>
        <v/>
      </c>
      <c r="R747" s="122">
        <f>P747*0.2</f>
        <v/>
      </c>
      <c r="S747" s="122">
        <f>Q747*0.8</f>
        <v/>
      </c>
      <c r="T747" s="133" t="n">
        <v>0.25</v>
      </c>
    </row>
    <row r="748" hidden="1" ht="15.75" customHeight="1" s="2">
      <c r="A748" s="194" t="inlineStr">
        <is>
          <t>весна</t>
        </is>
      </c>
      <c r="B748" s="176" t="inlineStr">
        <is>
          <t>Теория автоматического управления</t>
        </is>
      </c>
      <c r="C748" s="176" t="inlineStr">
        <is>
          <t>Экзамен</t>
        </is>
      </c>
      <c r="D748" s="176" t="inlineStr">
        <is>
          <t>Т11О-302Б-21</t>
        </is>
      </c>
      <c r="E748" s="177" t="n">
        <v>6</v>
      </c>
      <c r="F748" s="176" t="inlineStr">
        <is>
          <t>14861</t>
        </is>
      </c>
      <c r="G748" s="178" t="n"/>
      <c r="H748" s="176" t="inlineStr">
        <is>
          <t>81721</t>
        </is>
      </c>
      <c r="I748" s="176" t="inlineStr">
        <is>
          <t>Преображенский Евгений Владимирович</t>
        </is>
      </c>
      <c r="J748" s="176" t="n"/>
      <c r="K748" s="176" t="inlineStr">
        <is>
          <t>Нет</t>
        </is>
      </c>
      <c r="L748" s="176" t="n"/>
      <c r="M748" s="176" t="n"/>
      <c r="N748" s="179">
        <f>SUMIFS($E$2:$E$896,$A$2:$A$896,"осень",$I$2:$I$896,I748)</f>
        <v/>
      </c>
      <c r="O748" s="179">
        <f>SUMIFS($E$2:$E$896,$A$2:$A$896,"весна",$I$2:$I$896,I748)</f>
        <v/>
      </c>
      <c r="P748" s="180">
        <f>N748+O748</f>
        <v/>
      </c>
      <c r="Q748" s="181">
        <f>P748/$Q$1</f>
        <v/>
      </c>
      <c r="R748" s="122">
        <f>P748*0.2</f>
        <v/>
      </c>
      <c r="S748" s="122">
        <f>Q748*0.8</f>
        <v/>
      </c>
      <c r="T748" s="133" t="n">
        <v>0.25</v>
      </c>
    </row>
    <row r="749" hidden="1" ht="15.75" customHeight="1" s="2">
      <c r="A749" s="194" t="inlineStr">
        <is>
          <t>весна</t>
        </is>
      </c>
      <c r="B749" s="188" t="inlineStr">
        <is>
          <t>Теория автоматического управления</t>
        </is>
      </c>
      <c r="C749" s="188" t="inlineStr">
        <is>
          <t>Экзамен</t>
        </is>
      </c>
      <c r="D749" s="188" t="inlineStr">
        <is>
          <t>Т11О-302Б-21</t>
        </is>
      </c>
      <c r="E749" s="189" t="n">
        <v>3</v>
      </c>
      <c r="F749" s="188" t="inlineStr">
        <is>
          <t>14861</t>
        </is>
      </c>
      <c r="G749" s="190" t="n"/>
      <c r="H749" s="188" t="n"/>
      <c r="I749" s="188" t="inlineStr">
        <is>
          <t>Преображенский Евгений Владимирович</t>
        </is>
      </c>
      <c r="J749" s="176" t="n"/>
      <c r="K749" s="176" t="inlineStr">
        <is>
          <t>Нет</t>
        </is>
      </c>
      <c r="L749" s="176" t="n"/>
      <c r="M749" s="176" t="n"/>
      <c r="N749" s="179">
        <f>SUMIFS($E$2:$E$896,$A$2:$A$896,"осень",$I$2:$I$896,I749)</f>
        <v/>
      </c>
      <c r="O749" s="179">
        <f>SUMIFS($E$2:$E$896,$A$2:$A$896,"весна",$I$2:$I$896,I749)</f>
        <v/>
      </c>
      <c r="P749" s="180">
        <f>N749+O749</f>
        <v/>
      </c>
      <c r="Q749" s="181">
        <f>P749/$Q$1</f>
        <v/>
      </c>
      <c r="R749" s="122">
        <f>P749*0.2</f>
        <v/>
      </c>
      <c r="S749" s="122">
        <f>Q749*0.8</f>
        <v/>
      </c>
      <c r="T749" s="133" t="n">
        <v>0.65</v>
      </c>
    </row>
    <row r="750" hidden="1" ht="15.75" customHeight="1" s="2">
      <c r="A750" s="194" t="inlineStr">
        <is>
          <t>весна</t>
        </is>
      </c>
      <c r="B750" s="176" t="inlineStr">
        <is>
          <t>Теория автоматического управления</t>
        </is>
      </c>
      <c r="C750" s="176" t="inlineStr">
        <is>
          <t>Консультация</t>
        </is>
      </c>
      <c r="D750" s="176" t="inlineStr">
        <is>
          <t>Т11О-302Б-21</t>
        </is>
      </c>
      <c r="E750" s="177" t="n">
        <v>2</v>
      </c>
      <c r="F750" s="176" t="inlineStr">
        <is>
          <t>14861</t>
        </is>
      </c>
      <c r="G750" s="178" t="n"/>
      <c r="H750" s="176" t="inlineStr">
        <is>
          <t>81721</t>
        </is>
      </c>
      <c r="I750" s="176" t="inlineStr">
        <is>
          <t>Преображенский Евгений Владимирович</t>
        </is>
      </c>
      <c r="J750" s="176" t="n"/>
      <c r="K750" s="176" t="inlineStr">
        <is>
          <t>Нет</t>
        </is>
      </c>
      <c r="L750" s="176" t="n"/>
      <c r="M750" s="176" t="n"/>
      <c r="N750" s="179">
        <f>SUMIFS($E$2:$E$896,$A$2:$A$896,"осень",$I$2:$I$896,I750)</f>
        <v/>
      </c>
      <c r="O750" s="179">
        <f>SUMIFS($E$2:$E$896,$A$2:$A$896,"весна",$I$2:$I$896,I750)</f>
        <v/>
      </c>
      <c r="P750" s="180">
        <f>N750+O750</f>
        <v/>
      </c>
      <c r="Q750" s="181">
        <f>P750/$Q$1</f>
        <v/>
      </c>
      <c r="R750" s="122">
        <f>P750*0.2</f>
        <v/>
      </c>
      <c r="S750" s="122">
        <f>Q750*0.8</f>
        <v/>
      </c>
      <c r="T750" s="133" t="n">
        <v>0.25</v>
      </c>
    </row>
    <row r="751" ht="15.75" customHeight="1" s="2">
      <c r="A751" s="194" t="inlineStr">
        <is>
          <t>весна</t>
        </is>
      </c>
      <c r="B751" s="176" t="inlineStr">
        <is>
          <t>Теория автоматического управления</t>
        </is>
      </c>
      <c r="C751" s="176" t="inlineStr">
        <is>
          <t>Консультация</t>
        </is>
      </c>
      <c r="D751" s="176" t="inlineStr">
        <is>
          <t>Т11О-302Б-21</t>
        </is>
      </c>
      <c r="E751" s="177" t="n">
        <v>1</v>
      </c>
      <c r="F751" s="176" t="inlineStr">
        <is>
          <t>14861</t>
        </is>
      </c>
      <c r="G751" s="178" t="n"/>
      <c r="H751" s="176" t="n"/>
      <c r="I751" s="176" t="inlineStr">
        <is>
          <t>Преображенский Евгений Владимирович</t>
        </is>
      </c>
      <c r="J751" s="176" t="n"/>
      <c r="K751" s="176" t="inlineStr">
        <is>
          <t>Нет</t>
        </is>
      </c>
      <c r="L751" s="176" t="n"/>
      <c r="M751" s="176" t="n"/>
      <c r="N751" s="179">
        <f>SUMIFS($E$2:$E$896,$A$2:$A$896,"осень",$I$2:$I$896,I751)</f>
        <v/>
      </c>
      <c r="O751" s="179">
        <f>SUMIFS($E$2:$E$896,$A$2:$A$896,"весна",$I$2:$I$896,I751)</f>
        <v/>
      </c>
      <c r="P751" s="180">
        <f>N751+O751</f>
        <v/>
      </c>
      <c r="Q751" s="181">
        <f>P751/$Q$1</f>
        <v/>
      </c>
      <c r="R751" s="122">
        <f>P751*0.2</f>
        <v/>
      </c>
      <c r="S751" s="122">
        <f>Q751*0.8</f>
        <v/>
      </c>
      <c r="T751" s="133" t="n">
        <v>0</v>
      </c>
    </row>
    <row r="752" hidden="1" ht="15.75" customHeight="1" s="2">
      <c r="A752" s="194" t="inlineStr">
        <is>
          <t>весна</t>
        </is>
      </c>
      <c r="B752" s="176" t="inlineStr">
        <is>
          <t>Информационные системы и технологии</t>
        </is>
      </c>
      <c r="C752" s="176" t="inlineStr">
        <is>
          <t>ЛК</t>
        </is>
      </c>
      <c r="D752" s="176" t="inlineStr">
        <is>
          <t>Т11О-104Б-23</t>
        </is>
      </c>
      <c r="E752" s="177" t="n">
        <v>24</v>
      </c>
      <c r="F752" s="176" t="inlineStr">
        <is>
          <t>18010</t>
        </is>
      </c>
      <c r="G752" s="177" t="n">
        <v>24</v>
      </c>
      <c r="H752" s="176" t="inlineStr">
        <is>
          <t>81724</t>
        </is>
      </c>
      <c r="I752" s="176" t="inlineStr">
        <is>
          <t>Галкин Евгений Владимирович</t>
        </is>
      </c>
      <c r="J752" s="176" t="n"/>
      <c r="K752" s="176" t="inlineStr">
        <is>
          <t>Нет</t>
        </is>
      </c>
      <c r="L752" s="176" t="n"/>
      <c r="M752" s="176" t="n"/>
      <c r="N752" s="179">
        <f>SUMIFS($E$2:$E$896,$A$2:$A$896,"осень",$I$2:$I$896,I752)</f>
        <v/>
      </c>
      <c r="O752" s="179">
        <f>SUMIFS($E$2:$E$896,$A$2:$A$896,"весна",$I$2:$I$896,I752)</f>
        <v/>
      </c>
      <c r="P752" s="180">
        <f>N752+O752</f>
        <v/>
      </c>
      <c r="Q752" s="181">
        <f>P752/$Q$1</f>
        <v/>
      </c>
      <c r="R752" s="122">
        <f>P752*0.2</f>
        <v/>
      </c>
      <c r="S752" s="122">
        <f>Q752*0.8</f>
        <v/>
      </c>
      <c r="T752" s="133" t="n">
        <v>0.8</v>
      </c>
    </row>
    <row r="753" hidden="1" ht="15.75" customHeight="1" s="2">
      <c r="A753" s="194" t="inlineStr">
        <is>
          <t>весна</t>
        </is>
      </c>
      <c r="B753" s="176" t="inlineStr">
        <is>
          <t>Информационные системы и технологии</t>
        </is>
      </c>
      <c r="C753" s="176" t="inlineStr">
        <is>
          <t>Зачет с оценкой</t>
        </is>
      </c>
      <c r="D753" s="176" t="inlineStr">
        <is>
          <t>Т11О-104Б-23</t>
        </is>
      </c>
      <c r="E753" s="177" t="n">
        <v>4</v>
      </c>
      <c r="F753" s="176" t="inlineStr">
        <is>
          <t>18010</t>
        </is>
      </c>
      <c r="G753" s="178" t="n"/>
      <c r="H753" s="176" t="inlineStr">
        <is>
          <t>81724</t>
        </is>
      </c>
      <c r="I753" s="176" t="inlineStr">
        <is>
          <t>Галкин Евгений Владимирович</t>
        </is>
      </c>
      <c r="J753" s="176" t="n"/>
      <c r="K753" s="176" t="inlineStr">
        <is>
          <t>Нет</t>
        </is>
      </c>
      <c r="L753" s="176" t="n"/>
      <c r="M753" s="176" t="n"/>
      <c r="N753" s="179">
        <f>SUMIFS($E$2:$E$896,$A$2:$A$896,"осень",$I$2:$I$896,I753)</f>
        <v/>
      </c>
      <c r="O753" s="179">
        <f>SUMIFS($E$2:$E$896,$A$2:$A$896,"весна",$I$2:$I$896,I753)</f>
        <v/>
      </c>
      <c r="P753" s="180">
        <f>N753+O753</f>
        <v/>
      </c>
      <c r="Q753" s="181">
        <f>P753/$Q$1</f>
        <v/>
      </c>
      <c r="R753" s="122">
        <f>P753*0.2</f>
        <v/>
      </c>
      <c r="S753" s="122">
        <f>Q753*0.8</f>
        <v/>
      </c>
      <c r="T753" s="133" t="n">
        <v>0.8</v>
      </c>
    </row>
    <row r="754" ht="15.75" customHeight="1" s="2">
      <c r="A754" s="194" t="inlineStr">
        <is>
          <t>весна</t>
        </is>
      </c>
      <c r="B754" s="176" t="inlineStr">
        <is>
          <t>Информационные системы и технологии</t>
        </is>
      </c>
      <c r="C754" s="176" t="inlineStr">
        <is>
          <t>Зачет с оценкой</t>
        </is>
      </c>
      <c r="D754" s="176" t="inlineStr">
        <is>
          <t>Т11О-104Б-23</t>
        </is>
      </c>
      <c r="E754" s="177" t="n">
        <v>2</v>
      </c>
      <c r="F754" s="176" t="inlineStr">
        <is>
          <t>18010</t>
        </is>
      </c>
      <c r="G754" s="178" t="n"/>
      <c r="H754" s="176" t="n"/>
      <c r="I754" s="176" t="inlineStr">
        <is>
          <t>э-резерв</t>
        </is>
      </c>
      <c r="J754" s="176" t="n"/>
      <c r="K754" s="176" t="inlineStr">
        <is>
          <t>Нет</t>
        </is>
      </c>
      <c r="L754" s="176" t="n"/>
      <c r="M754" s="176" t="n"/>
      <c r="N754" s="179">
        <f>SUMIFS($E$2:$E$896,$A$2:$A$896,"осень",$I$2:$I$896,I754)</f>
        <v/>
      </c>
      <c r="O754" s="179">
        <f>SUMIFS($E$2:$E$896,$A$2:$A$896,"весна",$I$2:$I$896,I754)</f>
        <v/>
      </c>
      <c r="P754" s="180">
        <f>N754+O754</f>
        <v/>
      </c>
      <c r="Q754" s="181">
        <f>P754/$Q$1</f>
        <v/>
      </c>
      <c r="R754" s="122">
        <f>P754*0.2</f>
        <v/>
      </c>
      <c r="S754" s="122">
        <f>Q754*0.8</f>
        <v/>
      </c>
      <c r="T754" s="133" t="n">
        <v>0</v>
      </c>
    </row>
    <row r="755" hidden="1" ht="15.75" customHeight="1" s="2">
      <c r="A755" s="194" t="inlineStr">
        <is>
          <t>весна</t>
        </is>
      </c>
      <c r="B755" s="176" t="inlineStr">
        <is>
          <t>Информационные системы и технологии</t>
        </is>
      </c>
      <c r="C755" s="176" t="inlineStr">
        <is>
          <t>ПЗ</t>
        </is>
      </c>
      <c r="D755" s="176" t="inlineStr">
        <is>
          <t>Т11О-104Б-23</t>
        </is>
      </c>
      <c r="E755" s="177" t="n">
        <v>40</v>
      </c>
      <c r="F755" s="176" t="inlineStr">
        <is>
          <t>18010</t>
        </is>
      </c>
      <c r="G755" s="177" t="n">
        <v>40</v>
      </c>
      <c r="H755" s="176" t="inlineStr">
        <is>
          <t>81724</t>
        </is>
      </c>
      <c r="I755" s="176" t="inlineStr">
        <is>
          <t>Галкин Евгений Владимирович</t>
        </is>
      </c>
      <c r="J755" s="176" t="n"/>
      <c r="K755" s="176" t="inlineStr">
        <is>
          <t>Нет</t>
        </is>
      </c>
      <c r="L755" s="176" t="n"/>
      <c r="M755" s="176" t="n"/>
      <c r="N755" s="179">
        <f>SUMIFS($E$2:$E$896,$A$2:$A$896,"осень",$I$2:$I$896,I755)</f>
        <v/>
      </c>
      <c r="O755" s="179">
        <f>SUMIFS($E$2:$E$896,$A$2:$A$896,"весна",$I$2:$I$896,I755)</f>
        <v/>
      </c>
      <c r="P755" s="180">
        <f>N755+O755</f>
        <v/>
      </c>
      <c r="Q755" s="181">
        <f>P755/$Q$1</f>
        <v/>
      </c>
      <c r="R755" s="122">
        <f>P755*0.2</f>
        <v/>
      </c>
      <c r="S755" s="122">
        <f>Q755*0.8</f>
        <v/>
      </c>
      <c r="T755" s="133" t="n">
        <v>0.8</v>
      </c>
    </row>
    <row r="756" hidden="1" ht="15.75" customHeight="1" s="2">
      <c r="A756" s="194" t="inlineStr">
        <is>
          <t>весна</t>
        </is>
      </c>
      <c r="B756" s="176" t="inlineStr">
        <is>
          <t>Информационные системы и технологии</t>
        </is>
      </c>
      <c r="C756" s="176" t="inlineStr">
        <is>
          <t>Консультация</t>
        </is>
      </c>
      <c r="D756" s="176" t="inlineStr">
        <is>
          <t>Т11О-104Б-23</t>
        </is>
      </c>
      <c r="E756" s="177" t="n">
        <v>1</v>
      </c>
      <c r="F756" s="176" t="inlineStr">
        <is>
          <t>18010</t>
        </is>
      </c>
      <c r="G756" s="178" t="n"/>
      <c r="H756" s="176" t="inlineStr">
        <is>
          <t>81724</t>
        </is>
      </c>
      <c r="I756" s="176" t="inlineStr">
        <is>
          <t>Галкин Евгений Владимирович</t>
        </is>
      </c>
      <c r="J756" s="176" t="n"/>
      <c r="K756" s="176" t="inlineStr">
        <is>
          <t>Нет</t>
        </is>
      </c>
      <c r="L756" s="176" t="n"/>
      <c r="M756" s="176" t="n"/>
      <c r="N756" s="179">
        <f>SUMIFS($E$2:$E$896,$A$2:$A$896,"осень",$I$2:$I$896,I756)</f>
        <v/>
      </c>
      <c r="O756" s="179">
        <f>SUMIFS($E$2:$E$896,$A$2:$A$896,"весна",$I$2:$I$896,I756)</f>
        <v/>
      </c>
      <c r="P756" s="180">
        <f>N756+O756</f>
        <v/>
      </c>
      <c r="Q756" s="181">
        <f>P756/$Q$1</f>
        <v/>
      </c>
      <c r="R756" s="122">
        <f>P756*0.2</f>
        <v/>
      </c>
      <c r="S756" s="122">
        <f>Q756*0.8</f>
        <v/>
      </c>
      <c r="T756" s="133" t="n">
        <v>0.8</v>
      </c>
    </row>
    <row r="757" hidden="1" ht="15.75" customHeight="1" s="2">
      <c r="A757" s="194" t="inlineStr">
        <is>
          <t>весна</t>
        </is>
      </c>
      <c r="B757" s="176" t="inlineStr">
        <is>
          <t>Методология научных исследований</t>
        </is>
      </c>
      <c r="C757" s="176" t="inlineStr">
        <is>
          <t>ЛК</t>
        </is>
      </c>
      <c r="D757" s="176" t="inlineStr">
        <is>
          <t>Т11О-101М-23</t>
        </is>
      </c>
      <c r="E757" s="177" t="n">
        <v>12</v>
      </c>
      <c r="F757" s="176" t="inlineStr">
        <is>
          <t>18008</t>
        </is>
      </c>
      <c r="G757" s="177" t="n">
        <v>12</v>
      </c>
      <c r="H757" s="176" t="inlineStr">
        <is>
          <t>81958</t>
        </is>
      </c>
      <c r="I757" s="176" t="inlineStr">
        <is>
          <t>Бобрышев Борис Леонидович</t>
        </is>
      </c>
      <c r="J757" s="176" t="n"/>
      <c r="K757" s="176" t="inlineStr">
        <is>
          <t>Нет</t>
        </is>
      </c>
      <c r="L757" s="176" t="n"/>
      <c r="M757" s="176" t="n"/>
      <c r="N757" s="179">
        <f>SUMIFS($E$2:$E$896,$A$2:$A$896,"осень",$I$2:$I$896,I757)</f>
        <v/>
      </c>
      <c r="O757" s="179">
        <f>SUMIFS($E$2:$E$896,$A$2:$A$896,"весна",$I$2:$I$896,I757)</f>
        <v/>
      </c>
      <c r="P757" s="180">
        <f>N757+O757</f>
        <v/>
      </c>
      <c r="Q757" s="181">
        <f>P757/$Q$1</f>
        <v/>
      </c>
      <c r="R757" s="122">
        <f>P757*0.2</f>
        <v/>
      </c>
      <c r="S757" s="122">
        <f>Q757*0.8</f>
        <v/>
      </c>
      <c r="T757" s="133" t="n">
        <v>0.3</v>
      </c>
    </row>
    <row r="758" hidden="1" ht="15.75" customHeight="1" s="2">
      <c r="A758" s="194" t="inlineStr">
        <is>
          <t>весна</t>
        </is>
      </c>
      <c r="B758" s="176" t="inlineStr">
        <is>
          <t>Методология научных исследований</t>
        </is>
      </c>
      <c r="C758" s="176" t="inlineStr">
        <is>
          <t>ПЗ</t>
        </is>
      </c>
      <c r="D758" s="176" t="inlineStr">
        <is>
          <t>Т11О-101М-23</t>
        </is>
      </c>
      <c r="E758" s="177" t="n">
        <v>24</v>
      </c>
      <c r="F758" s="176" t="inlineStr">
        <is>
          <t>18008</t>
        </is>
      </c>
      <c r="G758" s="177" t="n">
        <v>24</v>
      </c>
      <c r="H758" s="176" t="inlineStr">
        <is>
          <t>81958</t>
        </is>
      </c>
      <c r="I758" s="176" t="inlineStr">
        <is>
          <t>Бецофен Сергей Яковлевич</t>
        </is>
      </c>
      <c r="J758" s="176" t="n"/>
      <c r="K758" s="176" t="inlineStr">
        <is>
          <t>Нет</t>
        </is>
      </c>
      <c r="L758" s="176" t="n"/>
      <c r="M758" s="176" t="n"/>
      <c r="N758" s="179">
        <f>SUMIFS($E$2:$E$896,$A$2:$A$896,"осень",$I$2:$I$896,I758)</f>
        <v/>
      </c>
      <c r="O758" s="179">
        <f>SUMIFS($E$2:$E$896,$A$2:$A$896,"весна",$I$2:$I$896,I758)</f>
        <v/>
      </c>
      <c r="P758" s="180">
        <f>N758+O758</f>
        <v/>
      </c>
      <c r="Q758" s="181">
        <f>P758/$Q$1</f>
        <v/>
      </c>
      <c r="R758" s="122">
        <f>P758*0.2</f>
        <v/>
      </c>
      <c r="S758" s="122">
        <f>Q758*0.8</f>
        <v/>
      </c>
      <c r="T758" s="133" t="n">
        <v>0.3</v>
      </c>
    </row>
    <row r="759" hidden="1" ht="15.75" customHeight="1" s="2">
      <c r="A759" s="194" t="inlineStr">
        <is>
          <t>весна</t>
        </is>
      </c>
      <c r="B759" s="176" t="inlineStr">
        <is>
          <t>Методология научных исследований</t>
        </is>
      </c>
      <c r="C759" s="176" t="inlineStr">
        <is>
          <t>Зачет</t>
        </is>
      </c>
      <c r="D759" s="176" t="inlineStr">
        <is>
          <t>Т11О-101М-23</t>
        </is>
      </c>
      <c r="E759" s="177" t="n">
        <v>2</v>
      </c>
      <c r="F759" s="176" t="inlineStr">
        <is>
          <t>18008</t>
        </is>
      </c>
      <c r="G759" s="178" t="n"/>
      <c r="H759" s="176" t="inlineStr">
        <is>
          <t>81958</t>
        </is>
      </c>
      <c r="I759" s="176" t="inlineStr">
        <is>
          <t>Бецофен Сергей Яковлевич</t>
        </is>
      </c>
      <c r="J759" s="176" t="n"/>
      <c r="K759" s="176" t="inlineStr">
        <is>
          <t>Нет</t>
        </is>
      </c>
      <c r="L759" s="176" t="n"/>
      <c r="M759" s="176" t="n"/>
      <c r="N759" s="179">
        <f>SUMIFS($E$2:$E$896,$A$2:$A$896,"осень",$I$2:$I$896,I759)</f>
        <v/>
      </c>
      <c r="O759" s="179">
        <f>SUMIFS($E$2:$E$896,$A$2:$A$896,"весна",$I$2:$I$896,I759)</f>
        <v/>
      </c>
      <c r="P759" s="180">
        <f>N759+O759</f>
        <v/>
      </c>
      <c r="Q759" s="181">
        <f>P759/$Q$1</f>
        <v/>
      </c>
      <c r="R759" s="122">
        <f>P759*0.2</f>
        <v/>
      </c>
      <c r="S759" s="122">
        <f>Q759*0.8</f>
        <v/>
      </c>
      <c r="T759" s="133" t="n">
        <v>0.3</v>
      </c>
    </row>
    <row r="760" ht="15.75" customHeight="1" s="2">
      <c r="A760" s="194" t="inlineStr">
        <is>
          <t>весна</t>
        </is>
      </c>
      <c r="B760" s="176" t="inlineStr">
        <is>
          <t>Методология научных исследований</t>
        </is>
      </c>
      <c r="C760" s="176" t="inlineStr">
        <is>
          <t>Зачет</t>
        </is>
      </c>
      <c r="D760" s="176" t="inlineStr">
        <is>
          <t>Т11О-101М-23</t>
        </is>
      </c>
      <c r="E760" s="177" t="n">
        <v>1</v>
      </c>
      <c r="F760" s="176" t="inlineStr">
        <is>
          <t>18008</t>
        </is>
      </c>
      <c r="G760" s="178" t="n"/>
      <c r="H760" s="176" t="n"/>
      <c r="I760" s="176" t="inlineStr">
        <is>
          <t>э-резерв</t>
        </is>
      </c>
      <c r="J760" s="176" t="n"/>
      <c r="K760" s="176" t="inlineStr">
        <is>
          <t>Нет</t>
        </is>
      </c>
      <c r="L760" s="176" t="n"/>
      <c r="M760" s="176" t="n"/>
      <c r="N760" s="179">
        <f>SUMIFS($E$2:$E$896,$A$2:$A$896,"осень",$I$2:$I$896,I760)</f>
        <v/>
      </c>
      <c r="O760" s="179">
        <f>SUMIFS($E$2:$E$896,$A$2:$A$896,"весна",$I$2:$I$896,I760)</f>
        <v/>
      </c>
      <c r="P760" s="180">
        <f>N760+O760</f>
        <v/>
      </c>
      <c r="Q760" s="181">
        <f>P760/$Q$1</f>
        <v/>
      </c>
      <c r="R760" s="122">
        <f>P760*0.2</f>
        <v/>
      </c>
      <c r="S760" s="122">
        <f>Q760*0.8</f>
        <v/>
      </c>
      <c r="T760" s="133" t="n">
        <v>0</v>
      </c>
    </row>
    <row r="761" hidden="1" ht="15.75" customHeight="1" s="2">
      <c r="A761" s="194" t="inlineStr">
        <is>
          <t>весна</t>
        </is>
      </c>
      <c r="B761" s="176" t="inlineStr">
        <is>
          <t>Методология научных исследований</t>
        </is>
      </c>
      <c r="C761" s="176" t="inlineStr">
        <is>
          <t>Консультация</t>
        </is>
      </c>
      <c r="D761" s="176" t="inlineStr">
        <is>
          <t>Т11О-101М-23</t>
        </is>
      </c>
      <c r="E761" s="177" t="n">
        <v>1</v>
      </c>
      <c r="F761" s="176" t="inlineStr">
        <is>
          <t>18008</t>
        </is>
      </c>
      <c r="G761" s="178" t="n"/>
      <c r="H761" s="176" t="inlineStr">
        <is>
          <t>81958</t>
        </is>
      </c>
      <c r="I761" s="176" t="inlineStr">
        <is>
          <t>Бобрышев Борис Леонидович</t>
        </is>
      </c>
      <c r="J761" s="176" t="n"/>
      <c r="K761" s="176" t="inlineStr">
        <is>
          <t>Нет</t>
        </is>
      </c>
      <c r="L761" s="176" t="n"/>
      <c r="M761" s="176" t="n"/>
      <c r="N761" s="179">
        <f>SUMIFS($E$2:$E$896,$A$2:$A$896,"осень",$I$2:$I$896,I761)</f>
        <v/>
      </c>
      <c r="O761" s="179">
        <f>SUMIFS($E$2:$E$896,$A$2:$A$896,"весна",$I$2:$I$896,I761)</f>
        <v/>
      </c>
      <c r="P761" s="180">
        <f>N761+O761</f>
        <v/>
      </c>
      <c r="Q761" s="181">
        <f>P761/$Q$1</f>
        <v/>
      </c>
      <c r="R761" s="122">
        <f>P761*0.2</f>
        <v/>
      </c>
      <c r="S761" s="122">
        <f>Q761*0.8</f>
        <v/>
      </c>
      <c r="T761" s="133" t="n">
        <v>0.3</v>
      </c>
    </row>
    <row r="762" hidden="1" ht="15.75" customHeight="1" s="2">
      <c r="A762" s="194" t="inlineStr">
        <is>
          <t>весна</t>
        </is>
      </c>
      <c r="B762" s="188" t="inlineStr">
        <is>
          <t>Итоговая гос. аттестация</t>
        </is>
      </c>
      <c r="C762" s="188" t="inlineStr">
        <is>
          <t>ИГА</t>
        </is>
      </c>
      <c r="D762" s="188" t="inlineStr">
        <is>
          <t>Т11О-401Б-20</t>
        </is>
      </c>
      <c r="E762" s="189" t="n">
        <v>18</v>
      </c>
      <c r="F762" s="188" t="n"/>
      <c r="G762" s="190" t="n"/>
      <c r="H762" s="188" t="n"/>
      <c r="I762" s="188" t="inlineStr">
        <is>
          <t>Александрова Светлана Сергеевна</t>
        </is>
      </c>
      <c r="J762" s="176" t="n"/>
      <c r="K762" s="176" t="inlineStr">
        <is>
          <t>Нет</t>
        </is>
      </c>
      <c r="L762" s="176" t="n"/>
      <c r="M762" s="176" t="n"/>
      <c r="N762" s="179">
        <f>SUMIFS($E$2:$E$896,$A$2:$A$896,"осень",$I$2:$I$896,I762)</f>
        <v/>
      </c>
      <c r="O762" s="179">
        <f>SUMIFS($E$2:$E$896,$A$2:$A$896,"весна",$I$2:$I$896,I762)</f>
        <v/>
      </c>
      <c r="P762" s="180">
        <f>N762+O762</f>
        <v/>
      </c>
      <c r="Q762" s="181">
        <f>P762/$Q$1</f>
        <v/>
      </c>
      <c r="R762" s="122">
        <f>P762*0.2</f>
        <v/>
      </c>
      <c r="S762" s="122">
        <f>Q762*0.8</f>
        <v/>
      </c>
      <c r="T762" s="133" t="n">
        <v>0.65</v>
      </c>
    </row>
    <row r="763" hidden="1" ht="15.75" customHeight="1" s="2">
      <c r="A763" s="194" t="inlineStr">
        <is>
          <t>весна</t>
        </is>
      </c>
      <c r="B763" s="188" t="inlineStr">
        <is>
          <t>Итоговая гос. аттестация</t>
        </is>
      </c>
      <c r="C763" s="188" t="inlineStr">
        <is>
          <t>ИГА</t>
        </is>
      </c>
      <c r="D763" s="188" t="inlineStr">
        <is>
          <t>Т11О-402Б-20</t>
        </is>
      </c>
      <c r="E763" s="189" t="n">
        <v>14</v>
      </c>
      <c r="F763" s="188" t="n"/>
      <c r="G763" s="190" t="n"/>
      <c r="H763" s="188" t="n"/>
      <c r="I763" s="188" t="inlineStr">
        <is>
          <t>Александрова Светлана Сергеевна</t>
        </is>
      </c>
      <c r="J763" s="176" t="n"/>
      <c r="K763" s="176" t="inlineStr">
        <is>
          <t>Нет</t>
        </is>
      </c>
      <c r="L763" s="176" t="n"/>
      <c r="M763" s="176" t="n"/>
      <c r="N763" s="179">
        <f>SUMIFS($E$2:$E$896,$A$2:$A$896,"осень",$I$2:$I$896,I763)</f>
        <v/>
      </c>
      <c r="O763" s="179">
        <f>SUMIFS($E$2:$E$896,$A$2:$A$896,"весна",$I$2:$I$896,I763)</f>
        <v/>
      </c>
      <c r="P763" s="180">
        <f>N763+O763</f>
        <v/>
      </c>
      <c r="Q763" s="181">
        <f>P763/$Q$1</f>
        <v/>
      </c>
      <c r="R763" s="122">
        <f>P763*0.2</f>
        <v/>
      </c>
      <c r="S763" s="122">
        <f>Q763*0.8</f>
        <v/>
      </c>
      <c r="T763" s="133" t="n">
        <v>0.65</v>
      </c>
    </row>
    <row r="764" hidden="1" ht="15.75" customHeight="1" s="2">
      <c r="A764" s="194" t="inlineStr">
        <is>
          <t>весна</t>
        </is>
      </c>
      <c r="B764" s="188" t="inlineStr">
        <is>
          <t>Итоговая гос. аттестация</t>
        </is>
      </c>
      <c r="C764" s="188" t="inlineStr">
        <is>
          <t>ИГА</t>
        </is>
      </c>
      <c r="D764" s="188" t="inlineStr">
        <is>
          <t>Т11О-403Б-20</t>
        </is>
      </c>
      <c r="E764" s="189" t="n">
        <v>18</v>
      </c>
      <c r="F764" s="188" t="n"/>
      <c r="G764" s="190" t="n"/>
      <c r="H764" s="188" t="n"/>
      <c r="I764" s="188" t="inlineStr">
        <is>
          <t>Александрова Светлана Сергеевна</t>
        </is>
      </c>
      <c r="J764" s="176" t="n"/>
      <c r="K764" s="176" t="inlineStr">
        <is>
          <t>Нет</t>
        </is>
      </c>
      <c r="L764" s="176" t="n"/>
      <c r="M764" s="176" t="n"/>
      <c r="N764" s="179">
        <f>SUMIFS($E$2:$E$896,$A$2:$A$896,"осень",$I$2:$I$896,I764)</f>
        <v/>
      </c>
      <c r="O764" s="179">
        <f>SUMIFS($E$2:$E$896,$A$2:$A$896,"весна",$I$2:$I$896,I764)</f>
        <v/>
      </c>
      <c r="P764" s="180">
        <f>N764+O764</f>
        <v/>
      </c>
      <c r="Q764" s="181">
        <f>P764/$Q$1</f>
        <v/>
      </c>
      <c r="R764" s="122">
        <f>P764*0.2</f>
        <v/>
      </c>
      <c r="S764" s="122">
        <f>Q764*0.8</f>
        <v/>
      </c>
      <c r="T764" s="133" t="n">
        <v>0.65</v>
      </c>
    </row>
    <row r="765" hidden="1" ht="15.75" customHeight="1" s="2">
      <c r="A765" s="194" t="inlineStr">
        <is>
          <t>весна</t>
        </is>
      </c>
      <c r="B765" s="176" t="inlineStr">
        <is>
          <t>Практика аспиранта</t>
        </is>
      </c>
      <c r="C765" s="176" t="inlineStr">
        <is>
          <t>Практика</t>
        </is>
      </c>
      <c r="D765" s="176" t="inlineStr">
        <is>
          <t>Т11О-203А-22</t>
        </is>
      </c>
      <c r="E765" s="177" t="n">
        <v>10</v>
      </c>
      <c r="F765" s="176" t="n"/>
      <c r="G765" s="178" t="n"/>
      <c r="H765" s="176" t="inlineStr">
        <is>
          <t>92509</t>
        </is>
      </c>
      <c r="I765" s="176" t="inlineStr">
        <is>
          <t>Пашков Игорь Николаевич</t>
        </is>
      </c>
      <c r="J765" s="176" t="n"/>
      <c r="K765" s="176" t="inlineStr">
        <is>
          <t>Нет</t>
        </is>
      </c>
      <c r="L765" s="176" t="n"/>
      <c r="M765" s="176" t="inlineStr">
        <is>
          <t>Гаджиев Магомед Ражабович</t>
        </is>
      </c>
      <c r="N765" s="179">
        <f>SUMIFS($E$2:$E$896,$A$2:$A$896,"осень",$I$2:$I$896,I765)</f>
        <v/>
      </c>
      <c r="O765" s="179">
        <f>SUMIFS($E$2:$E$896,$A$2:$A$896,"весна",$I$2:$I$896,I765)</f>
        <v/>
      </c>
      <c r="P765" s="180">
        <f>N765+O765</f>
        <v/>
      </c>
      <c r="Q765" s="181">
        <f>P765/$Q$1</f>
        <v/>
      </c>
      <c r="R765" s="122">
        <f>P765*0.2</f>
        <v/>
      </c>
      <c r="S765" s="122">
        <f>Q765*0.8</f>
        <v/>
      </c>
      <c r="T765" s="133" t="n">
        <v>0.55</v>
      </c>
    </row>
    <row r="766" hidden="1" ht="15.75" customHeight="1" s="2">
      <c r="A766" s="194" t="inlineStr">
        <is>
          <t>весна</t>
        </is>
      </c>
      <c r="B766" s="176" t="inlineStr">
        <is>
          <t>Практика аспиранта</t>
        </is>
      </c>
      <c r="C766" s="176" t="inlineStr">
        <is>
          <t>Практика</t>
        </is>
      </c>
      <c r="D766" s="176" t="inlineStr">
        <is>
          <t>Т11О-203А-22</t>
        </is>
      </c>
      <c r="E766" s="177" t="n">
        <v>10</v>
      </c>
      <c r="F766" s="176" t="n"/>
      <c r="G766" s="178" t="n"/>
      <c r="H766" s="176" t="inlineStr">
        <is>
          <t>81958</t>
        </is>
      </c>
      <c r="I766" s="176" t="inlineStr">
        <is>
          <t>Бецофен Сергей Яковлевич</t>
        </is>
      </c>
      <c r="J766" s="176" t="n"/>
      <c r="K766" s="176" t="inlineStr">
        <is>
          <t>Нет</t>
        </is>
      </c>
      <c r="L766" s="176" t="n"/>
      <c r="M766" s="176" t="inlineStr">
        <is>
          <t>Максименко Екатерина Игоревна</t>
        </is>
      </c>
      <c r="N766" s="179">
        <f>SUMIFS($E$2:$E$896,$A$2:$A$896,"осень",$I$2:$I$896,I766)</f>
        <v/>
      </c>
      <c r="O766" s="179">
        <f>SUMIFS($E$2:$E$896,$A$2:$A$896,"весна",$I$2:$I$896,I766)</f>
        <v/>
      </c>
      <c r="P766" s="180">
        <f>N766+O766</f>
        <v/>
      </c>
      <c r="Q766" s="181">
        <f>P766/$Q$1</f>
        <v/>
      </c>
      <c r="R766" s="122">
        <f>P766*0.2</f>
        <v/>
      </c>
      <c r="S766" s="122">
        <f>Q766*0.8</f>
        <v/>
      </c>
      <c r="T766" s="133" t="n">
        <v>0.3</v>
      </c>
    </row>
    <row r="767" hidden="1" ht="15.75" customHeight="1" s="2">
      <c r="A767" s="194" t="inlineStr">
        <is>
          <t>весна</t>
        </is>
      </c>
      <c r="B767" s="176" t="inlineStr">
        <is>
          <t>Практика аспиранта</t>
        </is>
      </c>
      <c r="C767" s="176" t="inlineStr">
        <is>
          <t>Практика</t>
        </is>
      </c>
      <c r="D767" s="176" t="inlineStr">
        <is>
          <t>Т11О-205А-22</t>
        </is>
      </c>
      <c r="E767" s="177" t="n">
        <v>20</v>
      </c>
      <c r="F767" s="176" t="n"/>
      <c r="G767" s="178" t="n"/>
      <c r="H767" s="176" t="inlineStr">
        <is>
          <t>81891</t>
        </is>
      </c>
      <c r="I767" s="176" t="inlineStr">
        <is>
          <t>Ряховский Александр Павлович</t>
        </is>
      </c>
      <c r="J767" s="176" t="n"/>
      <c r="K767" s="176" t="inlineStr">
        <is>
          <t>Нет</t>
        </is>
      </c>
      <c r="L767" s="176" t="n"/>
      <c r="M767" s="176" t="inlineStr">
        <is>
          <t>Федорцов Руслан Сергеевич</t>
        </is>
      </c>
      <c r="N767" s="179">
        <f>SUMIFS($E$2:$E$896,$A$2:$A$896,"осень",$I$2:$I$896,I767)</f>
        <v/>
      </c>
      <c r="O767" s="179">
        <f>SUMIFS($E$2:$E$896,$A$2:$A$896,"весна",$I$2:$I$896,I767)</f>
        <v/>
      </c>
      <c r="P767" s="180">
        <f>N767+O767</f>
        <v/>
      </c>
      <c r="Q767" s="181">
        <f>P767/$Q$1</f>
        <v/>
      </c>
      <c r="R767" s="122">
        <f>P767*0.2</f>
        <v/>
      </c>
      <c r="S767" s="122">
        <f>Q767*0.8</f>
        <v/>
      </c>
      <c r="T767" s="133" t="n">
        <v>0.5</v>
      </c>
    </row>
    <row r="768" hidden="1" ht="15.75" customHeight="1" s="2">
      <c r="A768" s="194" t="inlineStr">
        <is>
          <t>весна</t>
        </is>
      </c>
      <c r="B768" s="176" t="inlineStr">
        <is>
          <t>Практика аспиранта</t>
        </is>
      </c>
      <c r="C768" s="176" t="inlineStr">
        <is>
          <t>Практика</t>
        </is>
      </c>
      <c r="D768" s="176" t="inlineStr">
        <is>
          <t>Т11О-206А-22</t>
        </is>
      </c>
      <c r="E768" s="177" t="n">
        <v>20</v>
      </c>
      <c r="F768" s="176" t="n"/>
      <c r="G768" s="178" t="n"/>
      <c r="H768" s="176" t="inlineStr">
        <is>
          <t>81728</t>
        </is>
      </c>
      <c r="I768" s="176" t="inlineStr">
        <is>
          <t>Галкин Виктор Иванович</t>
        </is>
      </c>
      <c r="J768" s="176" t="n"/>
      <c r="K768" s="176" t="inlineStr">
        <is>
          <t>Нет</t>
        </is>
      </c>
      <c r="L768" s="176" t="n"/>
      <c r="M768" s="176" t="inlineStr">
        <is>
          <t>Батталов Тагир Хакимьянович</t>
        </is>
      </c>
      <c r="N768" s="179">
        <f>SUMIFS($E$2:$E$896,$A$2:$A$896,"осень",$I$2:$I$896,I768)</f>
        <v/>
      </c>
      <c r="O768" s="179">
        <f>SUMIFS($E$2:$E$896,$A$2:$A$896,"весна",$I$2:$I$896,I768)</f>
        <v/>
      </c>
      <c r="P768" s="180">
        <f>N768+O768</f>
        <v/>
      </c>
      <c r="Q768" s="181">
        <f>P768/$Q$1</f>
        <v/>
      </c>
      <c r="R768" s="122">
        <f>P768*0.2</f>
        <v/>
      </c>
      <c r="S768" s="122">
        <f>Q768*0.8</f>
        <v/>
      </c>
      <c r="T768" s="133" t="n">
        <v>0.75</v>
      </c>
    </row>
    <row r="769" hidden="1" ht="15.75" customHeight="1" s="2">
      <c r="A769" s="194" t="inlineStr">
        <is>
          <t>весна</t>
        </is>
      </c>
      <c r="B769" s="176" t="inlineStr">
        <is>
          <t>Практика аспиранта</t>
        </is>
      </c>
      <c r="C769" s="176" t="inlineStr">
        <is>
          <t>Практика</t>
        </is>
      </c>
      <c r="D769" s="176" t="inlineStr">
        <is>
          <t>Т11О-207А-22</t>
        </is>
      </c>
      <c r="E769" s="177" t="n">
        <v>20</v>
      </c>
      <c r="F769" s="176" t="n"/>
      <c r="G769" s="178" t="n"/>
      <c r="H769" s="176" t="inlineStr">
        <is>
          <t>82060</t>
        </is>
      </c>
      <c r="I769" s="176" t="inlineStr">
        <is>
          <t>Лозован Александр Александрович</t>
        </is>
      </c>
      <c r="J769" s="176" t="n"/>
      <c r="K769" s="176" t="inlineStr">
        <is>
          <t>Нет</t>
        </is>
      </c>
      <c r="L769" s="176" t="n"/>
      <c r="M769" s="176" t="inlineStr">
        <is>
          <t>Рыбаков Егор Михайлович</t>
        </is>
      </c>
      <c r="N769" s="179">
        <f>SUMIFS($E$2:$E$896,$A$2:$A$896,"осень",$I$2:$I$896,I769)</f>
        <v/>
      </c>
      <c r="O769" s="179">
        <f>SUMIFS($E$2:$E$896,$A$2:$A$896,"весна",$I$2:$I$896,I769)</f>
        <v/>
      </c>
      <c r="P769" s="180">
        <f>N769+O769</f>
        <v/>
      </c>
      <c r="Q769" s="181">
        <f>P769/$Q$1</f>
        <v/>
      </c>
      <c r="R769" s="122">
        <f>P769*0.2</f>
        <v/>
      </c>
      <c r="S769" s="122">
        <f>Q769*0.8</f>
        <v/>
      </c>
      <c r="T769" s="133" t="n">
        <v>0.55</v>
      </c>
    </row>
    <row r="770" hidden="1" ht="15.75" customHeight="1" s="2">
      <c r="A770" s="194" t="inlineStr">
        <is>
          <t>весна</t>
        </is>
      </c>
      <c r="B770" s="176" t="inlineStr">
        <is>
          <t>Производственная практика</t>
        </is>
      </c>
      <c r="C770" s="176" t="inlineStr">
        <is>
          <t>Практика</t>
        </is>
      </c>
      <c r="D770" s="176" t="inlineStr">
        <is>
          <t>Т11О-301Б-21</t>
        </is>
      </c>
      <c r="E770" s="177" t="n">
        <v>30</v>
      </c>
      <c r="F770" s="176" t="n"/>
      <c r="G770" s="178" t="n"/>
      <c r="H770" s="176" t="inlineStr">
        <is>
          <t>82020</t>
        </is>
      </c>
      <c r="I770" s="176" t="inlineStr">
        <is>
          <t>Варфоломеев Максим Сергеевич</t>
        </is>
      </c>
      <c r="J770" s="176" t="n"/>
      <c r="K770" s="176" t="inlineStr">
        <is>
          <t>Нет</t>
        </is>
      </c>
      <c r="L770" s="176" t="n"/>
      <c r="M770" s="176" t="n"/>
      <c r="N770" s="179">
        <f>SUMIFS($E$2:$E$896,$A$2:$A$896,"осень",$I$2:$I$896,I770)</f>
        <v/>
      </c>
      <c r="O770" s="179">
        <f>SUMIFS($E$2:$E$896,$A$2:$A$896,"весна",$I$2:$I$896,I770)</f>
        <v/>
      </c>
      <c r="P770" s="180">
        <f>N770+O770</f>
        <v/>
      </c>
      <c r="Q770" s="181">
        <f>P770/$Q$1</f>
        <v/>
      </c>
      <c r="R770" s="122">
        <f>P770*0.2</f>
        <v/>
      </c>
      <c r="S770" s="122">
        <f>Q770*0.8</f>
        <v/>
      </c>
      <c r="T770" s="133" t="n">
        <v>0.7</v>
      </c>
    </row>
    <row r="771" hidden="1" ht="15.75" customHeight="1" s="2">
      <c r="A771" s="194" t="inlineStr">
        <is>
          <t>весна</t>
        </is>
      </c>
      <c r="B771" s="176" t="inlineStr">
        <is>
          <t>Производственная практика</t>
        </is>
      </c>
      <c r="C771" s="176" t="inlineStr">
        <is>
          <t>Практика</t>
        </is>
      </c>
      <c r="D771" s="176" t="inlineStr">
        <is>
          <t>Т11О-302Б-21</t>
        </is>
      </c>
      <c r="E771" s="177" t="n">
        <v>30</v>
      </c>
      <c r="F771" s="176" t="n"/>
      <c r="G771" s="178" t="n"/>
      <c r="H771" s="176" t="inlineStr">
        <is>
          <t>81724</t>
        </is>
      </c>
      <c r="I771" s="176" t="inlineStr">
        <is>
          <t>Галкин Евгений Владимирович</t>
        </is>
      </c>
      <c r="J771" s="176" t="n"/>
      <c r="K771" s="176" t="inlineStr">
        <is>
          <t>Нет</t>
        </is>
      </c>
      <c r="L771" s="176" t="n"/>
      <c r="M771" s="176" t="n"/>
      <c r="N771" s="179">
        <f>SUMIFS($E$2:$E$896,$A$2:$A$896,"осень",$I$2:$I$896,I771)</f>
        <v/>
      </c>
      <c r="O771" s="179">
        <f>SUMIFS($E$2:$E$896,$A$2:$A$896,"весна",$I$2:$I$896,I771)</f>
        <v/>
      </c>
      <c r="P771" s="180">
        <f>N771+O771</f>
        <v/>
      </c>
      <c r="Q771" s="181">
        <f>P771/$Q$1</f>
        <v/>
      </c>
      <c r="R771" s="122">
        <f>P771*0.2</f>
        <v/>
      </c>
      <c r="S771" s="122">
        <f>Q771*0.8</f>
        <v/>
      </c>
      <c r="T771" s="133" t="n">
        <v>0.8</v>
      </c>
    </row>
    <row r="772" hidden="1" ht="15.75" customHeight="1" s="2">
      <c r="A772" s="194" t="inlineStr">
        <is>
          <t>весна</t>
        </is>
      </c>
      <c r="B772" s="176" t="inlineStr">
        <is>
          <t>Ознакомительная практика</t>
        </is>
      </c>
      <c r="C772" s="176" t="inlineStr">
        <is>
          <t>Практика</t>
        </is>
      </c>
      <c r="D772" s="176" t="inlineStr">
        <is>
          <t>Т11О-104Б-23</t>
        </is>
      </c>
      <c r="E772" s="177" t="n">
        <v>60</v>
      </c>
      <c r="F772" s="176" t="n"/>
      <c r="G772" s="178" t="n"/>
      <c r="H772" s="176" t="inlineStr">
        <is>
          <t>81724</t>
        </is>
      </c>
      <c r="I772" s="176" t="inlineStr">
        <is>
          <t>Галкин Евгений Владимирович</t>
        </is>
      </c>
      <c r="J772" s="176" t="n"/>
      <c r="K772" s="176" t="inlineStr">
        <is>
          <t>Нет</t>
        </is>
      </c>
      <c r="L772" s="176" t="n"/>
      <c r="M772" s="176" t="n"/>
      <c r="N772" s="179">
        <f>SUMIFS($E$2:$E$896,$A$2:$A$896,"осень",$I$2:$I$896,I772)</f>
        <v/>
      </c>
      <c r="O772" s="179">
        <f>SUMIFS($E$2:$E$896,$A$2:$A$896,"весна",$I$2:$I$896,I772)</f>
        <v/>
      </c>
      <c r="P772" s="180">
        <f>N772+O772</f>
        <v/>
      </c>
      <c r="Q772" s="181">
        <f>P772/$Q$1</f>
        <v/>
      </c>
      <c r="R772" s="122">
        <f>P772*0.2</f>
        <v/>
      </c>
      <c r="S772" s="122">
        <f>Q772*0.8</f>
        <v/>
      </c>
      <c r="T772" s="133" t="n">
        <v>0.8</v>
      </c>
    </row>
    <row r="773" hidden="1" ht="15.75" customHeight="1" s="2">
      <c r="A773" s="194" t="inlineStr">
        <is>
          <t>весна</t>
        </is>
      </c>
      <c r="B773" s="176" t="inlineStr">
        <is>
          <t>Научно-исследовательская работа</t>
        </is>
      </c>
      <c r="C773" s="176" t="inlineStr">
        <is>
          <t>Практика</t>
        </is>
      </c>
      <c r="D773" s="176" t="inlineStr">
        <is>
          <t>Т11О-302Б-21</t>
        </is>
      </c>
      <c r="E773" s="177" t="n">
        <v>30</v>
      </c>
      <c r="F773" s="176" t="n"/>
      <c r="G773" s="178" t="n"/>
      <c r="H773" s="176" t="inlineStr">
        <is>
          <t>81724</t>
        </is>
      </c>
      <c r="I773" s="176" t="inlineStr">
        <is>
          <t>Галкин Евгений Владимирович</t>
        </is>
      </c>
      <c r="J773" s="176" t="n"/>
      <c r="K773" s="176" t="inlineStr">
        <is>
          <t>Нет</t>
        </is>
      </c>
      <c r="L773" s="176" t="n"/>
      <c r="M773" s="176" t="n"/>
      <c r="N773" s="179">
        <f>SUMIFS($E$2:$E$896,$A$2:$A$896,"осень",$I$2:$I$896,I773)</f>
        <v/>
      </c>
      <c r="O773" s="179">
        <f>SUMIFS($E$2:$E$896,$A$2:$A$896,"весна",$I$2:$I$896,I773)</f>
        <v/>
      </c>
      <c r="P773" s="180">
        <f>N773+O773</f>
        <v/>
      </c>
      <c r="Q773" s="181">
        <f>P773/$Q$1</f>
        <v/>
      </c>
      <c r="R773" s="122">
        <f>P773*0.2</f>
        <v/>
      </c>
      <c r="S773" s="122">
        <f>Q773*0.8</f>
        <v/>
      </c>
      <c r="T773" s="133" t="n">
        <v>0.8</v>
      </c>
    </row>
    <row r="774" hidden="1" ht="15.75" customHeight="1" s="2">
      <c r="A774" s="194" t="inlineStr">
        <is>
          <t>весна</t>
        </is>
      </c>
      <c r="B774" s="176" t="inlineStr">
        <is>
          <t>Научно-исследовательская работа</t>
        </is>
      </c>
      <c r="C774" s="176" t="inlineStr">
        <is>
          <t>Практика</t>
        </is>
      </c>
      <c r="D774" s="176" t="inlineStr">
        <is>
          <t>Т11О-206Б-22</t>
        </is>
      </c>
      <c r="E774" s="177" t="n">
        <v>60</v>
      </c>
      <c r="F774" s="176" t="n"/>
      <c r="G774" s="178" t="n"/>
      <c r="H774" s="176" t="inlineStr">
        <is>
          <t>81720</t>
        </is>
      </c>
      <c r="I774" s="176" t="inlineStr">
        <is>
          <t>Палтиевич Андрей Романович</t>
        </is>
      </c>
      <c r="J774" s="176" t="n"/>
      <c r="K774" s="176" t="inlineStr">
        <is>
          <t>Нет</t>
        </is>
      </c>
      <c r="L774" s="176" t="n"/>
      <c r="M774" s="176" t="n"/>
      <c r="N774" s="179">
        <f>SUMIFS($E$2:$E$896,$A$2:$A$896,"осень",$I$2:$I$896,I774)</f>
        <v/>
      </c>
      <c r="O774" s="179">
        <f>SUMIFS($E$2:$E$896,$A$2:$A$896,"весна",$I$2:$I$896,I774)</f>
        <v/>
      </c>
      <c r="P774" s="180">
        <f>N774+O774</f>
        <v/>
      </c>
      <c r="Q774" s="181">
        <f>P774/$Q$1</f>
        <v/>
      </c>
      <c r="R774" s="122">
        <f>P774*0.2</f>
        <v/>
      </c>
      <c r="S774" s="122">
        <f>Q774*0.8</f>
        <v/>
      </c>
      <c r="T774" s="133" t="n">
        <v>0.65</v>
      </c>
    </row>
    <row r="775" hidden="1" ht="15.75" customHeight="1" s="2">
      <c r="A775" s="194" t="inlineStr">
        <is>
          <t>весна</t>
        </is>
      </c>
      <c r="B775" s="176" t="inlineStr">
        <is>
          <t>Учебная практика</t>
        </is>
      </c>
      <c r="C775" s="176" t="inlineStr">
        <is>
          <t>Практика</t>
        </is>
      </c>
      <c r="D775" s="176" t="inlineStr">
        <is>
          <t>Т11О-201Б-22</t>
        </is>
      </c>
      <c r="E775" s="177" t="n">
        <v>60</v>
      </c>
      <c r="F775" s="176" t="n"/>
      <c r="G775" s="178" t="n"/>
      <c r="H775" s="176" t="inlineStr">
        <is>
          <t>94221</t>
        </is>
      </c>
      <c r="I775" s="176" t="inlineStr">
        <is>
          <t>Шляпцева Анастасия Дмитриевна</t>
        </is>
      </c>
      <c r="J775" s="176" t="n"/>
      <c r="K775" s="176" t="inlineStr">
        <is>
          <t>Нет</t>
        </is>
      </c>
      <c r="L775" s="176" t="n"/>
      <c r="M775" s="176" t="n"/>
      <c r="N775" s="179">
        <f>SUMIFS($E$2:$E$896,$A$2:$A$896,"осень",$I$2:$I$896,I775)</f>
        <v/>
      </c>
      <c r="O775" s="179">
        <f>SUMIFS($E$2:$E$896,$A$2:$A$896,"весна",$I$2:$I$896,I775)</f>
        <v/>
      </c>
      <c r="P775" s="180">
        <f>N775+O775</f>
        <v/>
      </c>
      <c r="Q775" s="181">
        <f>P775/$Q$1</f>
        <v/>
      </c>
      <c r="R775" s="122">
        <f>P775*0.2</f>
        <v/>
      </c>
      <c r="S775" s="122">
        <f>Q775*0.8</f>
        <v/>
      </c>
      <c r="T775" s="133" t="n">
        <v>0.45</v>
      </c>
    </row>
    <row r="776" hidden="1" ht="15.75" customHeight="1" s="2">
      <c r="A776" s="194" t="inlineStr">
        <is>
          <t>весна</t>
        </is>
      </c>
      <c r="B776" s="176" t="inlineStr">
        <is>
          <t>Педагогическая практика</t>
        </is>
      </c>
      <c r="C776" s="176" t="inlineStr">
        <is>
          <t>Практика</t>
        </is>
      </c>
      <c r="D776" s="176" t="inlineStr">
        <is>
          <t>Т11О-302А-21</t>
        </is>
      </c>
      <c r="E776" s="177" t="n">
        <v>30</v>
      </c>
      <c r="F776" s="176" t="n"/>
      <c r="G776" s="178" t="n"/>
      <c r="H776" s="176" t="inlineStr">
        <is>
          <t>92509</t>
        </is>
      </c>
      <c r="I776" s="176" t="inlineStr">
        <is>
          <t>Пашков Игорь Николаевич</t>
        </is>
      </c>
      <c r="J776" s="176" t="n"/>
      <c r="K776" s="176" t="inlineStr">
        <is>
          <t>Нет</t>
        </is>
      </c>
      <c r="L776" s="176" t="n"/>
      <c r="M776" s="176" t="inlineStr">
        <is>
          <t>Жуков Евгений Юрьевич</t>
        </is>
      </c>
      <c r="N776" s="179">
        <f>SUMIFS($E$2:$E$896,$A$2:$A$896,"осень",$I$2:$I$896,I776)</f>
        <v/>
      </c>
      <c r="O776" s="179">
        <f>SUMIFS($E$2:$E$896,$A$2:$A$896,"весна",$I$2:$I$896,I776)</f>
        <v/>
      </c>
      <c r="P776" s="180">
        <f>N776+O776</f>
        <v/>
      </c>
      <c r="Q776" s="181">
        <f>P776/$Q$1</f>
        <v/>
      </c>
      <c r="R776" s="122">
        <f>P776*0.2</f>
        <v/>
      </c>
      <c r="S776" s="122">
        <f>Q776*0.8</f>
        <v/>
      </c>
      <c r="T776" s="133" t="n">
        <v>0.55</v>
      </c>
    </row>
    <row r="777" hidden="1" ht="15.75" customHeight="1" s="2">
      <c r="A777" s="194" t="inlineStr">
        <is>
          <t>весна</t>
        </is>
      </c>
      <c r="B777" s="182" t="inlineStr">
        <is>
          <t>Педагогическая практика</t>
        </is>
      </c>
      <c r="C777" s="182" t="inlineStr">
        <is>
          <t>Практика</t>
        </is>
      </c>
      <c r="D777" s="182" t="inlineStr">
        <is>
          <t>Т11О-306А-21</t>
        </is>
      </c>
      <c r="E777" s="183" t="n">
        <v>30</v>
      </c>
      <c r="F777" s="182" t="n"/>
      <c r="G777" s="187" t="n"/>
      <c r="H777" s="182" t="inlineStr">
        <is>
          <t>82056</t>
        </is>
      </c>
      <c r="I777" s="182" t="inlineStr">
        <is>
          <t>Александрова Светлана Сергеевна</t>
        </is>
      </c>
      <c r="J777" s="176" t="n"/>
      <c r="K777" s="176" t="inlineStr">
        <is>
          <t>Нет</t>
        </is>
      </c>
      <c r="L777" s="176" t="n"/>
      <c r="M777" s="176" t="inlineStr">
        <is>
          <t>Федотов Александр Юрьевич а/о</t>
        </is>
      </c>
      <c r="N777" s="179">
        <f>SUMIFS($E$2:$E$896,$A$2:$A$896,"осень",$I$2:$I$896,I777)</f>
        <v/>
      </c>
      <c r="O777" s="179">
        <f>SUMIFS($E$2:$E$896,$A$2:$A$896,"весна",$I$2:$I$896,I777)</f>
        <v/>
      </c>
      <c r="P777" s="180">
        <f>N777+O777</f>
        <v/>
      </c>
      <c r="Q777" s="181">
        <f>P777/$Q$1</f>
        <v/>
      </c>
      <c r="R777" s="122">
        <f>P777*0.2</f>
        <v/>
      </c>
      <c r="S777" s="122">
        <f>Q777*0.8</f>
        <v/>
      </c>
      <c r="T777" s="133" t="n">
        <v>0.65</v>
      </c>
    </row>
    <row r="778" hidden="1" ht="15.75" customHeight="1" s="2">
      <c r="A778" s="194" t="inlineStr">
        <is>
          <t>весна</t>
        </is>
      </c>
      <c r="B778" s="176" t="inlineStr">
        <is>
          <t>Педагогическая практика</t>
        </is>
      </c>
      <c r="C778" s="176" t="inlineStr">
        <is>
          <t>Преддипломная практика</t>
        </is>
      </c>
      <c r="D778" s="176" t="inlineStr">
        <is>
          <t>Т11О-407А-20</t>
        </is>
      </c>
      <c r="E778" s="177" t="n">
        <v>1</v>
      </c>
      <c r="F778" s="176" t="n"/>
      <c r="G778" s="178" t="n"/>
      <c r="H778" s="176" t="inlineStr">
        <is>
          <t>81958</t>
        </is>
      </c>
      <c r="I778" s="176" t="inlineStr">
        <is>
          <t>Бецофен Сергей Яковлевич</t>
        </is>
      </c>
      <c r="J778" s="176" t="n"/>
      <c r="K778" s="176" t="inlineStr">
        <is>
          <t>Нет</t>
        </is>
      </c>
      <c r="L778" s="176" t="n"/>
      <c r="M778" s="176" t="inlineStr">
        <is>
          <t>Прокопенко Денис Алексеевич</t>
        </is>
      </c>
      <c r="N778" s="179">
        <f>SUMIFS($E$2:$E$896,$A$2:$A$896,"осень",$I$2:$I$896,I778)</f>
        <v/>
      </c>
      <c r="O778" s="179">
        <f>SUMIFS($E$2:$E$896,$A$2:$A$896,"весна",$I$2:$I$896,I778)</f>
        <v/>
      </c>
      <c r="P778" s="180">
        <f>N778+O778</f>
        <v/>
      </c>
      <c r="Q778" s="181">
        <f>P778/$Q$1</f>
        <v/>
      </c>
      <c r="R778" s="122">
        <f>P778*0.2</f>
        <v/>
      </c>
      <c r="S778" s="122">
        <f>Q778*0.8</f>
        <v/>
      </c>
      <c r="T778" s="133" t="n">
        <v>0.3</v>
      </c>
    </row>
    <row r="779" hidden="1" ht="15.75" customHeight="1" s="2">
      <c r="A779" s="194" t="inlineStr">
        <is>
          <t>весна</t>
        </is>
      </c>
      <c r="B779" s="176" t="inlineStr">
        <is>
          <t>Педагогическая практика</t>
        </is>
      </c>
      <c r="C779" s="176" t="inlineStr">
        <is>
          <t>Преддипломная практика</t>
        </is>
      </c>
      <c r="D779" s="176" t="inlineStr">
        <is>
          <t>Т11О-407А-20</t>
        </is>
      </c>
      <c r="E779" s="177" t="n">
        <v>1</v>
      </c>
      <c r="F779" s="176" t="n"/>
      <c r="G779" s="178" t="n"/>
      <c r="H779" s="176" t="inlineStr">
        <is>
          <t>82060</t>
        </is>
      </c>
      <c r="I779" s="176" t="inlineStr">
        <is>
          <t>Лозован Александр Александрович</t>
        </is>
      </c>
      <c r="J779" s="176" t="n"/>
      <c r="K779" s="176" t="inlineStr">
        <is>
          <t>Нет</t>
        </is>
      </c>
      <c r="L779" s="176" t="n"/>
      <c r="M779" s="176" t="inlineStr">
        <is>
          <t>Митрофанов Андрей Леонидович</t>
        </is>
      </c>
      <c r="N779" s="179">
        <f>SUMIFS($E$2:$E$896,$A$2:$A$896,"осень",$I$2:$I$896,I779)</f>
        <v/>
      </c>
      <c r="O779" s="179">
        <f>SUMIFS($E$2:$E$896,$A$2:$A$896,"весна",$I$2:$I$896,I779)</f>
        <v/>
      </c>
      <c r="P779" s="180">
        <f>N779+O779</f>
        <v/>
      </c>
      <c r="Q779" s="181">
        <f>P779/$Q$1</f>
        <v/>
      </c>
      <c r="R779" s="122">
        <f>P779*0.2</f>
        <v/>
      </c>
      <c r="S779" s="122">
        <f>Q779*0.8</f>
        <v/>
      </c>
      <c r="T779" s="133" t="n">
        <v>0.55</v>
      </c>
    </row>
    <row r="780" hidden="1" ht="15.75" customHeight="1" s="2">
      <c r="A780" s="194" t="inlineStr">
        <is>
          <t>весна</t>
        </is>
      </c>
      <c r="B780" s="176" t="inlineStr">
        <is>
          <t>Учебно-ознакомительная практика</t>
        </is>
      </c>
      <c r="C780" s="176" t="inlineStr">
        <is>
          <t>Практика</t>
        </is>
      </c>
      <c r="D780" s="176" t="inlineStr">
        <is>
          <t>Т11О-101Б-23</t>
        </is>
      </c>
      <c r="E780" s="177" t="n">
        <v>60</v>
      </c>
      <c r="F780" s="176" t="n"/>
      <c r="G780" s="178" t="n"/>
      <c r="H780" s="176" t="inlineStr">
        <is>
          <t>94221</t>
        </is>
      </c>
      <c r="I780" s="176" t="inlineStr">
        <is>
          <t>Шляпцева Анастасия Дмитриевна</t>
        </is>
      </c>
      <c r="J780" s="176" t="n"/>
      <c r="K780" s="176" t="inlineStr">
        <is>
          <t>Нет</t>
        </is>
      </c>
      <c r="L780" s="176" t="n"/>
      <c r="M780" s="176" t="n"/>
      <c r="N780" s="179">
        <f>SUMIFS($E$2:$E$896,$A$2:$A$896,"осень",$I$2:$I$896,I780)</f>
        <v/>
      </c>
      <c r="O780" s="179">
        <f>SUMIFS($E$2:$E$896,$A$2:$A$896,"весна",$I$2:$I$896,I780)</f>
        <v/>
      </c>
      <c r="P780" s="180">
        <f>N780+O780</f>
        <v/>
      </c>
      <c r="Q780" s="181">
        <f>P780/$Q$1</f>
        <v/>
      </c>
      <c r="R780" s="122">
        <f>P780*0.2</f>
        <v/>
      </c>
      <c r="S780" s="122">
        <f>Q780*0.8</f>
        <v/>
      </c>
      <c r="T780" s="133" t="n">
        <v>0.45</v>
      </c>
    </row>
    <row r="781" hidden="1" ht="15.75" customHeight="1" s="2">
      <c r="A781" s="194" t="inlineStr">
        <is>
          <t>весна</t>
        </is>
      </c>
      <c r="B781" s="176" t="inlineStr">
        <is>
          <t>Государственный экзамен</t>
        </is>
      </c>
      <c r="C781" s="176" t="inlineStr">
        <is>
          <t>Преддипломная практика</t>
        </is>
      </c>
      <c r="D781" s="176" t="inlineStr">
        <is>
          <t>Т11О-407А-20</t>
        </is>
      </c>
      <c r="E781" s="177" t="n">
        <v>1</v>
      </c>
      <c r="F781" s="176" t="n"/>
      <c r="G781" s="178" t="n"/>
      <c r="H781" s="176" t="inlineStr">
        <is>
          <t>81958</t>
        </is>
      </c>
      <c r="I781" s="176" t="inlineStr">
        <is>
          <t>Бецофен Сергей Яковлевич</t>
        </is>
      </c>
      <c r="J781" s="176" t="n"/>
      <c r="K781" s="176" t="inlineStr">
        <is>
          <t>Нет</t>
        </is>
      </c>
      <c r="L781" s="176" t="n"/>
      <c r="M781" s="176" t="inlineStr">
        <is>
          <t>Прокопенко Денис Алексеевич</t>
        </is>
      </c>
      <c r="N781" s="179">
        <f>SUMIFS($E$2:$E$896,$A$2:$A$896,"осень",$I$2:$I$896,I781)</f>
        <v/>
      </c>
      <c r="O781" s="179">
        <f>SUMIFS($E$2:$E$896,$A$2:$A$896,"весна",$I$2:$I$896,I781)</f>
        <v/>
      </c>
      <c r="P781" s="180">
        <f>N781+O781</f>
        <v/>
      </c>
      <c r="Q781" s="181">
        <f>P781/$Q$1</f>
        <v/>
      </c>
      <c r="R781" s="122">
        <f>P781*0.2</f>
        <v/>
      </c>
      <c r="S781" s="122">
        <f>Q781*0.8</f>
        <v/>
      </c>
      <c r="T781" s="133" t="n">
        <v>0.3</v>
      </c>
    </row>
    <row r="782" hidden="1" ht="15.75" customHeight="1" s="2">
      <c r="A782" s="194" t="inlineStr">
        <is>
          <t>весна</t>
        </is>
      </c>
      <c r="B782" s="176" t="inlineStr">
        <is>
          <t>Государственный экзамен</t>
        </is>
      </c>
      <c r="C782" s="176" t="inlineStr">
        <is>
          <t>Преддипломная практика</t>
        </is>
      </c>
      <c r="D782" s="176" t="inlineStr">
        <is>
          <t>Т11О-407А-20</t>
        </is>
      </c>
      <c r="E782" s="177" t="n">
        <v>1</v>
      </c>
      <c r="F782" s="176" t="n"/>
      <c r="G782" s="178" t="n"/>
      <c r="H782" s="176" t="inlineStr">
        <is>
          <t>82060</t>
        </is>
      </c>
      <c r="I782" s="176" t="inlineStr">
        <is>
          <t>Лозован Александр Александрович</t>
        </is>
      </c>
      <c r="J782" s="176" t="n"/>
      <c r="K782" s="176" t="inlineStr">
        <is>
          <t>Нет</t>
        </is>
      </c>
      <c r="L782" s="176" t="n"/>
      <c r="M782" s="176" t="inlineStr">
        <is>
          <t>Митрофанов Андрей Леонидович</t>
        </is>
      </c>
      <c r="N782" s="179">
        <f>SUMIFS($E$2:$E$896,$A$2:$A$896,"осень",$I$2:$I$896,I782)</f>
        <v/>
      </c>
      <c r="O782" s="179">
        <f>SUMIFS($E$2:$E$896,$A$2:$A$896,"весна",$I$2:$I$896,I782)</f>
        <v/>
      </c>
      <c r="P782" s="180">
        <f>N782+O782</f>
        <v/>
      </c>
      <c r="Q782" s="181">
        <f>P782/$Q$1</f>
        <v/>
      </c>
      <c r="R782" s="122">
        <f>P782*0.2</f>
        <v/>
      </c>
      <c r="S782" s="122">
        <f>Q782*0.8</f>
        <v/>
      </c>
      <c r="T782" s="133" t="n">
        <v>0.55</v>
      </c>
    </row>
    <row r="783" hidden="1" ht="15.75" customHeight="1" s="2">
      <c r="A783" s="194" t="inlineStr">
        <is>
          <t>весна</t>
        </is>
      </c>
      <c r="B783" s="176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783" s="176" t="inlineStr">
        <is>
          <t>Преддипломная практика</t>
        </is>
      </c>
      <c r="D783" s="176" t="inlineStr">
        <is>
          <t>Т11О-407А-20</t>
        </is>
      </c>
      <c r="E783" s="177" t="n">
        <v>2</v>
      </c>
      <c r="F783" s="176" t="n"/>
      <c r="G783" s="178" t="n"/>
      <c r="H783" s="176" t="inlineStr">
        <is>
          <t>82060</t>
        </is>
      </c>
      <c r="I783" s="176" t="inlineStr">
        <is>
          <t>Лозован Александр Александрович</t>
        </is>
      </c>
      <c r="J783" s="176" t="n"/>
      <c r="K783" s="176" t="inlineStr">
        <is>
          <t>Нет</t>
        </is>
      </c>
      <c r="L783" s="176" t="n"/>
      <c r="M783" s="176" t="inlineStr">
        <is>
          <t>Митрофанов Андрей Леонидович</t>
        </is>
      </c>
      <c r="N783" s="179">
        <f>SUMIFS($E$2:$E$896,$A$2:$A$896,"осень",$I$2:$I$896,I783)</f>
        <v/>
      </c>
      <c r="O783" s="179">
        <f>SUMIFS($E$2:$E$896,$A$2:$A$896,"весна",$I$2:$I$896,I783)</f>
        <v/>
      </c>
      <c r="P783" s="180">
        <f>N783+O783</f>
        <v/>
      </c>
      <c r="Q783" s="181">
        <f>P783/$Q$1</f>
        <v/>
      </c>
      <c r="R783" s="122">
        <f>P783*0.2</f>
        <v/>
      </c>
      <c r="S783" s="122">
        <f>Q783*0.8</f>
        <v/>
      </c>
      <c r="T783" s="133" t="n">
        <v>0.55</v>
      </c>
    </row>
    <row r="784" hidden="1" ht="15.75" customHeight="1" s="2">
      <c r="A784" s="194" t="inlineStr">
        <is>
          <t>весна</t>
        </is>
      </c>
      <c r="B784" s="176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784" s="176" t="inlineStr">
        <is>
          <t>Преддипломная практика</t>
        </is>
      </c>
      <c r="D784" s="176" t="inlineStr">
        <is>
          <t>Т11О-407А-20</t>
        </is>
      </c>
      <c r="E784" s="177" t="n">
        <v>2</v>
      </c>
      <c r="F784" s="176" t="n"/>
      <c r="G784" s="178" t="n"/>
      <c r="H784" s="176" t="inlineStr">
        <is>
          <t>81958</t>
        </is>
      </c>
      <c r="I784" s="176" t="inlineStr">
        <is>
          <t>Бецофен Сергей Яковлевич</t>
        </is>
      </c>
      <c r="J784" s="176" t="n"/>
      <c r="K784" s="176" t="inlineStr">
        <is>
          <t>Нет</t>
        </is>
      </c>
      <c r="L784" s="176" t="n"/>
      <c r="M784" s="176" t="inlineStr">
        <is>
          <t>Прокопенко Денис Алексеевич</t>
        </is>
      </c>
      <c r="N784" s="179">
        <f>SUMIFS($E$2:$E$896,$A$2:$A$896,"осень",$I$2:$I$896,I784)</f>
        <v/>
      </c>
      <c r="O784" s="179">
        <f>SUMIFS($E$2:$E$896,$A$2:$A$896,"весна",$I$2:$I$896,I784)</f>
        <v/>
      </c>
      <c r="P784" s="180">
        <f>N784+O784</f>
        <v/>
      </c>
      <c r="Q784" s="181">
        <f>P784/$Q$1</f>
        <v/>
      </c>
      <c r="R784" s="122">
        <f>P784*0.2</f>
        <v/>
      </c>
      <c r="S784" s="122">
        <f>Q784*0.8</f>
        <v/>
      </c>
      <c r="T784" s="133" t="n">
        <v>0.3</v>
      </c>
    </row>
    <row r="785" hidden="1" ht="15.75" customHeight="1" s="2">
      <c r="A785" s="194" t="inlineStr">
        <is>
          <t>весна</t>
        </is>
      </c>
      <c r="B785" s="176" t="inlineStr">
        <is>
          <t>Преддипломная практика</t>
        </is>
      </c>
      <c r="C785" s="176" t="inlineStr">
        <is>
          <t>Преддипломная практика</t>
        </is>
      </c>
      <c r="D785" s="176" t="inlineStr">
        <is>
          <t>Т11О-201М-22</t>
        </is>
      </c>
      <c r="E785" s="177" t="n">
        <v>2</v>
      </c>
      <c r="F785" s="176" t="n"/>
      <c r="G785" s="178" t="n"/>
      <c r="H785" s="176" t="inlineStr">
        <is>
          <t>81728</t>
        </is>
      </c>
      <c r="I785" s="176" t="inlineStr">
        <is>
          <t>Галкин Виктор Иванович</t>
        </is>
      </c>
      <c r="J785" s="176" t="n"/>
      <c r="K785" s="176" t="inlineStr">
        <is>
          <t>Нет</t>
        </is>
      </c>
      <c r="L785" s="176" t="n"/>
      <c r="M785" s="176" t="inlineStr">
        <is>
          <t>1чел, Александров Антон Васильевич</t>
        </is>
      </c>
      <c r="N785" s="179">
        <f>SUMIFS($E$2:$E$896,$A$2:$A$896,"осень",$I$2:$I$896,I785)</f>
        <v/>
      </c>
      <c r="O785" s="179">
        <f>SUMIFS($E$2:$E$896,$A$2:$A$896,"весна",$I$2:$I$896,I785)</f>
        <v/>
      </c>
      <c r="P785" s="180">
        <f>N785+O785</f>
        <v/>
      </c>
      <c r="Q785" s="181">
        <f>P785/$Q$1</f>
        <v/>
      </c>
      <c r="R785" s="122">
        <f>P785*0.2</f>
        <v/>
      </c>
      <c r="S785" s="122">
        <f>Q785*0.8</f>
        <v/>
      </c>
      <c r="T785" s="133" t="n">
        <v>0.75</v>
      </c>
    </row>
    <row r="786" hidden="1" ht="15.75" customHeight="1" s="2">
      <c r="A786" s="194" t="inlineStr">
        <is>
          <t>весна</t>
        </is>
      </c>
      <c r="B786" s="176" t="inlineStr">
        <is>
          <t>Преддипломная практика</t>
        </is>
      </c>
      <c r="C786" s="176" t="inlineStr">
        <is>
          <t>Преддипломная практика</t>
        </is>
      </c>
      <c r="D786" s="176" t="inlineStr">
        <is>
          <t>Т11О-201М-22</t>
        </is>
      </c>
      <c r="E786" s="177" t="n">
        <v>3</v>
      </c>
      <c r="F786" s="176" t="n"/>
      <c r="G786" s="178" t="n"/>
      <c r="H786" s="176" t="inlineStr">
        <is>
          <t>81732</t>
        </is>
      </c>
      <c r="I786" s="176" t="inlineStr">
        <is>
          <t>Петров Анатолий Павлович</t>
        </is>
      </c>
      <c r="J786" s="176" t="n"/>
      <c r="K786" s="176" t="inlineStr">
        <is>
          <t>Нет</t>
        </is>
      </c>
      <c r="L786" s="176" t="n"/>
      <c r="M786" s="176" t="inlineStr">
        <is>
          <t xml:space="preserve">    2 чел Барбанакова Чалый</t>
        </is>
      </c>
      <c r="N786" s="179">
        <f>SUMIFS($E$2:$E$896,$A$2:$A$896,"осень",$I$2:$I$896,I786)</f>
        <v/>
      </c>
      <c r="O786" s="179">
        <f>SUMIFS($E$2:$E$896,$A$2:$A$896,"весна",$I$2:$I$896,I786)</f>
        <v/>
      </c>
      <c r="P786" s="180">
        <f>N786+O786</f>
        <v/>
      </c>
      <c r="Q786" s="181">
        <f>P786/$Q$1</f>
        <v/>
      </c>
      <c r="R786" s="122">
        <f>P786*0.2</f>
        <v/>
      </c>
      <c r="S786" s="122">
        <f>Q786*0.8</f>
        <v/>
      </c>
      <c r="T786" s="133" t="n">
        <v>0.25</v>
      </c>
    </row>
    <row r="787" hidden="1" ht="15.75" customHeight="1" s="2">
      <c r="A787" s="194" t="inlineStr">
        <is>
          <t>весна</t>
        </is>
      </c>
      <c r="B787" s="176" t="inlineStr">
        <is>
          <t>Преддипломная практика</t>
        </is>
      </c>
      <c r="C787" s="176" t="inlineStr">
        <is>
          <t>Преддипломная практика</t>
        </is>
      </c>
      <c r="D787" s="176" t="inlineStr">
        <is>
          <t>Т11О-201М-22</t>
        </is>
      </c>
      <c r="E787" s="177" t="n">
        <v>2</v>
      </c>
      <c r="F787" s="176" t="n"/>
      <c r="G787" s="178" t="n"/>
      <c r="H787" s="176" t="inlineStr">
        <is>
          <t>81720</t>
        </is>
      </c>
      <c r="I787" s="176" t="inlineStr">
        <is>
          <t>Палтиевич Андрей Романович</t>
        </is>
      </c>
      <c r="J787" s="176" t="n"/>
      <c r="K787" s="176" t="inlineStr">
        <is>
          <t>Нет</t>
        </is>
      </c>
      <c r="L787" s="176" t="n"/>
      <c r="M787" s="176" t="inlineStr">
        <is>
          <t>1 чел Булатов Асадбек Улугбек угли</t>
        </is>
      </c>
      <c r="N787" s="179">
        <f>SUMIFS($E$2:$E$896,$A$2:$A$896,"осень",$I$2:$I$896,I787)</f>
        <v/>
      </c>
      <c r="O787" s="179">
        <f>SUMIFS($E$2:$E$896,$A$2:$A$896,"весна",$I$2:$I$896,I787)</f>
        <v/>
      </c>
      <c r="P787" s="180">
        <f>N787+O787</f>
        <v/>
      </c>
      <c r="Q787" s="181">
        <f>P787/$Q$1</f>
        <v/>
      </c>
      <c r="R787" s="122">
        <f>P787*0.2</f>
        <v/>
      </c>
      <c r="S787" s="122">
        <f>Q787*0.8</f>
        <v/>
      </c>
      <c r="T787" s="133" t="n">
        <v>0.65</v>
      </c>
    </row>
    <row r="788" hidden="1" ht="15.75" customHeight="1" s="2">
      <c r="A788" s="194" t="inlineStr">
        <is>
          <t>весна</t>
        </is>
      </c>
      <c r="B788" s="176" t="inlineStr">
        <is>
          <t>Преддипломная практика</t>
        </is>
      </c>
      <c r="C788" s="176" t="inlineStr">
        <is>
          <t>Преддипломная практика</t>
        </is>
      </c>
      <c r="D788" s="176" t="inlineStr">
        <is>
          <t>Т11О-201М-22</t>
        </is>
      </c>
      <c r="E788" s="177" t="n">
        <v>2</v>
      </c>
      <c r="F788" s="176" t="n"/>
      <c r="G788" s="178" t="n"/>
      <c r="H788" s="176" t="inlineStr">
        <is>
          <t>81731</t>
        </is>
      </c>
      <c r="I788" s="176" t="inlineStr">
        <is>
          <t>Беспалов Александр Владимирович</t>
        </is>
      </c>
      <c r="J788" s="176" t="n"/>
      <c r="K788" s="176" t="inlineStr">
        <is>
          <t>Нет</t>
        </is>
      </c>
      <c r="L788" s="176" t="n"/>
      <c r="M788" s="176" t="inlineStr">
        <is>
          <t>1 чел Голубев Константин Михайлович</t>
        </is>
      </c>
      <c r="N788" s="179">
        <f>SUMIFS($E$2:$E$896,$A$2:$A$896,"осень",$I$2:$I$896,I788)</f>
        <v/>
      </c>
      <c r="O788" s="179">
        <f>SUMIFS($E$2:$E$896,$A$2:$A$896,"весна",$I$2:$I$896,I788)</f>
        <v/>
      </c>
      <c r="P788" s="180">
        <f>N788+O788</f>
        <v/>
      </c>
      <c r="Q788" s="181">
        <f>P788/$Q$1</f>
        <v/>
      </c>
      <c r="R788" s="122">
        <f>P788*0.2</f>
        <v/>
      </c>
      <c r="S788" s="122">
        <f>Q788*0.8</f>
        <v/>
      </c>
      <c r="T788" s="133" t="n">
        <v>0.15</v>
      </c>
    </row>
    <row r="789" hidden="1" ht="15.75" customHeight="1" s="2">
      <c r="A789" s="194" t="inlineStr">
        <is>
          <t>весна</t>
        </is>
      </c>
      <c r="B789" s="176" t="inlineStr">
        <is>
          <t>Преддипломная практика</t>
        </is>
      </c>
      <c r="C789" s="176" t="inlineStr">
        <is>
          <t>Преддипломная практика</t>
        </is>
      </c>
      <c r="D789" s="176" t="inlineStr">
        <is>
          <t>Т11О-201М-22</t>
        </is>
      </c>
      <c r="E789" s="177" t="n">
        <v>2</v>
      </c>
      <c r="F789" s="176" t="n"/>
      <c r="G789" s="178" t="n"/>
      <c r="H789" s="176" t="inlineStr">
        <is>
          <t>82056</t>
        </is>
      </c>
      <c r="I789" s="176" t="inlineStr">
        <is>
          <t>Никитина Елена Владимировна</t>
        </is>
      </c>
      <c r="J789" s="176" t="n"/>
      <c r="K789" s="176" t="inlineStr">
        <is>
          <t>Нет</t>
        </is>
      </c>
      <c r="L789" s="176" t="n"/>
      <c r="M789" s="176" t="inlineStr">
        <is>
          <t>1 чел Диесперов Сергей Николаевич</t>
        </is>
      </c>
      <c r="N789" s="179">
        <f>SUMIFS($E$2:$E$896,$A$2:$A$896,"осень",$I$2:$I$896,I789)</f>
        <v/>
      </c>
      <c r="O789" s="179">
        <f>SUMIFS($E$2:$E$896,$A$2:$A$896,"весна",$I$2:$I$896,I789)</f>
        <v/>
      </c>
      <c r="P789" s="180">
        <f>N789+O789</f>
        <v/>
      </c>
      <c r="Q789" s="181">
        <f>P789/$Q$1</f>
        <v/>
      </c>
      <c r="R789" s="122">
        <f>P789*0.2</f>
        <v/>
      </c>
      <c r="S789" s="122">
        <f>Q789*0.8</f>
        <v/>
      </c>
      <c r="T789" s="133" t="n">
        <v>0.5</v>
      </c>
    </row>
    <row r="790" hidden="1" ht="15.75" customHeight="1" s="2">
      <c r="A790" s="194" t="inlineStr">
        <is>
          <t>весна</t>
        </is>
      </c>
      <c r="B790" s="176" t="inlineStr">
        <is>
          <t>Преддипломная практика</t>
        </is>
      </c>
      <c r="C790" s="176" t="inlineStr">
        <is>
          <t>Преддипломная практика</t>
        </is>
      </c>
      <c r="D790" s="176" t="inlineStr">
        <is>
          <t>Т11О-201М-22</t>
        </is>
      </c>
      <c r="E790" s="177" t="n">
        <v>2</v>
      </c>
      <c r="F790" s="176" t="n"/>
      <c r="G790" s="178" t="n"/>
      <c r="H790" s="176" t="inlineStr">
        <is>
          <t>92509</t>
        </is>
      </c>
      <c r="I790" s="176" t="inlineStr">
        <is>
          <t>Пашков Игорь Николаевич</t>
        </is>
      </c>
      <c r="J790" s="176" t="n"/>
      <c r="K790" s="176" t="inlineStr">
        <is>
          <t>Нет</t>
        </is>
      </c>
      <c r="L790" s="176" t="n"/>
      <c r="M790" s="176" t="inlineStr">
        <is>
          <t>1 чел Редьков Евгений Алексеевич</t>
        </is>
      </c>
      <c r="N790" s="179">
        <f>SUMIFS($E$2:$E$896,$A$2:$A$896,"осень",$I$2:$I$896,I790)</f>
        <v/>
      </c>
      <c r="O790" s="179">
        <f>SUMIFS($E$2:$E$896,$A$2:$A$896,"весна",$I$2:$I$896,I790)</f>
        <v/>
      </c>
      <c r="P790" s="180">
        <f>N790+O790</f>
        <v/>
      </c>
      <c r="Q790" s="181">
        <f>P790/$Q$1</f>
        <v/>
      </c>
      <c r="R790" s="122">
        <f>P790*0.2</f>
        <v/>
      </c>
      <c r="S790" s="122">
        <f>Q790*0.8</f>
        <v/>
      </c>
      <c r="T790" s="133" t="n">
        <v>0.55</v>
      </c>
    </row>
    <row r="791" hidden="1" ht="15.75" customHeight="1" s="2">
      <c r="A791" s="194" t="inlineStr">
        <is>
          <t>весна</t>
        </is>
      </c>
      <c r="B791" s="176" t="inlineStr">
        <is>
          <t>Преддипломная практика</t>
        </is>
      </c>
      <c r="C791" s="176" t="inlineStr">
        <is>
          <t>Преддипломная практика</t>
        </is>
      </c>
      <c r="D791" s="176" t="inlineStr">
        <is>
          <t>Т11О-201М-22</t>
        </is>
      </c>
      <c r="E791" s="177" t="n">
        <v>2</v>
      </c>
      <c r="F791" s="176" t="n"/>
      <c r="G791" s="178" t="n"/>
      <c r="H791" s="176" t="inlineStr">
        <is>
          <t>81730</t>
        </is>
      </c>
      <c r="I791" s="176" t="inlineStr">
        <is>
          <t>Федоров Анатолий Александрович</t>
        </is>
      </c>
      <c r="J791" s="176" t="n"/>
      <c r="K791" s="176" t="inlineStr">
        <is>
          <t>Нет</t>
        </is>
      </c>
      <c r="L791" s="176" t="n"/>
      <c r="M791" s="176" t="inlineStr">
        <is>
          <t>1чел Хайрутдинова Раиса Рустамовна</t>
        </is>
      </c>
      <c r="N791" s="179">
        <f>SUMIFS($E$2:$E$896,$A$2:$A$896,"осень",$I$2:$I$896,I791)</f>
        <v/>
      </c>
      <c r="O791" s="179">
        <f>SUMIFS($E$2:$E$896,$A$2:$A$896,"весна",$I$2:$I$896,I791)</f>
        <v/>
      </c>
      <c r="P791" s="180">
        <f>N791+O791</f>
        <v/>
      </c>
      <c r="Q791" s="181">
        <f>P791/$Q$1</f>
        <v/>
      </c>
      <c r="R791" s="122">
        <f>P791*0.2</f>
        <v/>
      </c>
      <c r="S791" s="122">
        <f>Q791*0.8</f>
        <v/>
      </c>
      <c r="T791" s="133" t="n">
        <v>0.2</v>
      </c>
    </row>
    <row r="792" hidden="1" ht="15.75" customHeight="1" s="2">
      <c r="A792" s="194" t="inlineStr">
        <is>
          <t>весна</t>
        </is>
      </c>
      <c r="B792" s="176" t="inlineStr">
        <is>
          <t>Преддипломная практика</t>
        </is>
      </c>
      <c r="C792" s="176" t="inlineStr">
        <is>
          <t>Преддипломная практика</t>
        </is>
      </c>
      <c r="D792" s="176" t="inlineStr">
        <is>
          <t>Т11О-201М-22</t>
        </is>
      </c>
      <c r="E792" s="177" t="n">
        <v>2</v>
      </c>
      <c r="F792" s="176" t="n"/>
      <c r="G792" s="178" t="n"/>
      <c r="H792" s="176" t="inlineStr">
        <is>
          <t>89090</t>
        </is>
      </c>
      <c r="I792" s="176" t="inlineStr">
        <is>
          <t>Степанов Владимир Валерьевич</t>
        </is>
      </c>
      <c r="J792" s="176" t="n"/>
      <c r="K792" s="176" t="inlineStr">
        <is>
          <t>Нет</t>
        </is>
      </c>
      <c r="L792" s="176" t="n"/>
      <c r="M792" s="176" t="inlineStr">
        <is>
          <t>1 чел Чугункин Никита Игоревич</t>
        </is>
      </c>
      <c r="N792" s="179">
        <f>SUMIFS($E$2:$E$896,$A$2:$A$896,"осень",$I$2:$I$896,I792)</f>
        <v/>
      </c>
      <c r="O792" s="179">
        <f>SUMIFS($E$2:$E$896,$A$2:$A$896,"весна",$I$2:$I$896,I792)</f>
        <v/>
      </c>
      <c r="P792" s="180">
        <f>N792+O792</f>
        <v/>
      </c>
      <c r="Q792" s="181">
        <f>P792/$Q$1</f>
        <v/>
      </c>
      <c r="R792" s="122">
        <f>P792*0.2</f>
        <v/>
      </c>
      <c r="S792" s="122">
        <f>Q792*0.8</f>
        <v/>
      </c>
      <c r="T792" s="133" t="n">
        <v>0.4</v>
      </c>
    </row>
    <row r="793" hidden="1" ht="15.75" customHeight="1" s="2">
      <c r="A793" s="194" t="inlineStr">
        <is>
          <t>весна</t>
        </is>
      </c>
      <c r="B793" s="176" t="inlineStr">
        <is>
          <t>Преддипломная практика</t>
        </is>
      </c>
      <c r="C793" s="176" t="inlineStr">
        <is>
          <t>Преддипломная практика</t>
        </is>
      </c>
      <c r="D793" s="176" t="inlineStr">
        <is>
          <t>Т11О-201М-22</t>
        </is>
      </c>
      <c r="E793" s="177" t="n">
        <v>4</v>
      </c>
      <c r="F793" s="176" t="n"/>
      <c r="G793" s="178" t="n"/>
      <c r="H793" s="176" t="inlineStr">
        <is>
          <t>0000065837</t>
        </is>
      </c>
      <c r="I793" s="176" t="inlineStr">
        <is>
          <t>Рипецкий Андрей Владимирович</t>
        </is>
      </c>
      <c r="J793" s="176" t="n"/>
      <c r="K793" s="176" t="inlineStr">
        <is>
          <t>Нет</t>
        </is>
      </c>
      <c r="L793" s="176" t="n"/>
      <c r="M793" s="176" t="inlineStr">
        <is>
          <t>3 чел  Лепешкин Мардеев Прунский</t>
        </is>
      </c>
      <c r="N793" s="179">
        <f>SUMIFS($E$2:$E$896,$A$2:$A$896,"осень",$I$2:$I$896,I793)</f>
        <v/>
      </c>
      <c r="O793" s="179">
        <f>SUMIFS($E$2:$E$896,$A$2:$A$896,"весна",$I$2:$I$896,I793)</f>
        <v/>
      </c>
      <c r="P793" s="180">
        <f>N793+O793</f>
        <v/>
      </c>
      <c r="Q793" s="181">
        <f>P793/$Q$1</f>
        <v/>
      </c>
      <c r="R793" s="122">
        <f>P793*0.2</f>
        <v/>
      </c>
      <c r="S793" s="122">
        <f>Q793*0.8</f>
        <v/>
      </c>
      <c r="T793" s="133" t="n">
        <v>0</v>
      </c>
    </row>
    <row r="794" hidden="1" ht="15.75" customHeight="1" s="2">
      <c r="A794" s="194" t="inlineStr">
        <is>
          <t>весна</t>
        </is>
      </c>
      <c r="B794" s="176" t="inlineStr">
        <is>
          <t>Преддипломная практика</t>
        </is>
      </c>
      <c r="C794" s="176" t="inlineStr">
        <is>
          <t>Преддипломная практика</t>
        </is>
      </c>
      <c r="D794" s="176" t="inlineStr">
        <is>
          <t>Т11О-202М-22</t>
        </is>
      </c>
      <c r="E794" s="177" t="n">
        <v>1</v>
      </c>
      <c r="F794" s="176" t="n"/>
      <c r="G794" s="178" t="n"/>
      <c r="H794" s="176" t="inlineStr">
        <is>
          <t>81891</t>
        </is>
      </c>
      <c r="I794" s="176" t="inlineStr">
        <is>
          <t>Ряховский Александр Павлович</t>
        </is>
      </c>
      <c r="J794" s="176" t="n"/>
      <c r="K794" s="176" t="inlineStr">
        <is>
          <t>Нет</t>
        </is>
      </c>
      <c r="L794" s="176" t="n"/>
      <c r="M794" s="176" t="inlineStr">
        <is>
          <t>1 чел Акулов Михаил Андреевич</t>
        </is>
      </c>
      <c r="N794" s="179">
        <f>SUMIFS($E$2:$E$896,$A$2:$A$896,"осень",$I$2:$I$896,I794)</f>
        <v/>
      </c>
      <c r="O794" s="179">
        <f>SUMIFS($E$2:$E$896,$A$2:$A$896,"весна",$I$2:$I$896,I794)</f>
        <v/>
      </c>
      <c r="P794" s="180">
        <f>N794+O794</f>
        <v/>
      </c>
      <c r="Q794" s="181">
        <f>P794/$Q$1</f>
        <v/>
      </c>
      <c r="R794" s="122">
        <f>P794*0.2</f>
        <v/>
      </c>
      <c r="S794" s="122">
        <f>Q794*0.8</f>
        <v/>
      </c>
      <c r="T794" s="133" t="n">
        <v>0.5</v>
      </c>
    </row>
    <row r="795" hidden="1" ht="15.75" customHeight="1" s="2">
      <c r="A795" s="194" t="inlineStr">
        <is>
          <t>весна</t>
        </is>
      </c>
      <c r="B795" s="176" t="inlineStr">
        <is>
          <t>Преддипломная практика</t>
        </is>
      </c>
      <c r="C795" s="176" t="inlineStr">
        <is>
          <t>Преддипломная практика</t>
        </is>
      </c>
      <c r="D795" s="176" t="inlineStr">
        <is>
          <t>Т11О-202М-22</t>
        </is>
      </c>
      <c r="E795" s="177" t="n">
        <v>1</v>
      </c>
      <c r="F795" s="176" t="n"/>
      <c r="G795" s="178" t="n"/>
      <c r="H795" s="176" t="inlineStr">
        <is>
          <t>82086</t>
        </is>
      </c>
      <c r="I795" s="176" t="inlineStr">
        <is>
          <t>Смыков Андрей Федорович</t>
        </is>
      </c>
      <c r="J795" s="176" t="n"/>
      <c r="K795" s="176" t="inlineStr">
        <is>
          <t>Нет</t>
        </is>
      </c>
      <c r="L795" s="176" t="n"/>
      <c r="M795" s="176" t="inlineStr">
        <is>
          <t>1 чел Вилонов Андрей Сергеевич</t>
        </is>
      </c>
      <c r="N795" s="179">
        <f>SUMIFS($E$2:$E$896,$A$2:$A$896,"осень",$I$2:$I$896,I795)</f>
        <v/>
      </c>
      <c r="O795" s="179">
        <f>SUMIFS($E$2:$E$896,$A$2:$A$896,"весна",$I$2:$I$896,I795)</f>
        <v/>
      </c>
      <c r="P795" s="180">
        <f>N795+O795</f>
        <v/>
      </c>
      <c r="Q795" s="181">
        <f>P795/$Q$1</f>
        <v/>
      </c>
      <c r="R795" s="122">
        <f>P795*0.2</f>
        <v/>
      </c>
      <c r="S795" s="122">
        <f>Q795*0.8</f>
        <v/>
      </c>
      <c r="T795" s="133" t="n">
        <v>0.5</v>
      </c>
    </row>
    <row r="796" hidden="1" ht="15.75" customHeight="1" s="2">
      <c r="A796" s="194" t="inlineStr">
        <is>
          <t>весна</t>
        </is>
      </c>
      <c r="B796" s="176" t="inlineStr">
        <is>
          <t>Преддипломная практика</t>
        </is>
      </c>
      <c r="C796" s="176" t="inlineStr">
        <is>
          <t>Преддипломная практика</t>
        </is>
      </c>
      <c r="D796" s="176" t="inlineStr">
        <is>
          <t>Т11О-202М-22</t>
        </is>
      </c>
      <c r="E796" s="177" t="n">
        <v>3</v>
      </c>
      <c r="F796" s="176" t="n"/>
      <c r="G796" s="178" t="n"/>
      <c r="H796" s="176" t="inlineStr">
        <is>
          <t>89068</t>
        </is>
      </c>
      <c r="I796" s="195" t="inlineStr">
        <is>
          <t>Петров Игорь Алексеевич</t>
        </is>
      </c>
      <c r="J796" s="176" t="n"/>
      <c r="K796" s="176" t="inlineStr">
        <is>
          <t>Нет</t>
        </is>
      </c>
      <c r="L796" s="176" t="n"/>
      <c r="M796" s="176" t="inlineStr">
        <is>
          <t>1 чел Майоров Дмитрий Игоревич</t>
        </is>
      </c>
      <c r="N796" s="179">
        <f>SUMIFS($E$2:$E$896,$A$2:$A$896,"осень",$I$2:$I$896,I796)</f>
        <v/>
      </c>
      <c r="O796" s="179">
        <f>SUMIFS($E$2:$E$896,$A$2:$A$896,"весна",$I$2:$I$896,I796)</f>
        <v/>
      </c>
      <c r="P796" s="180">
        <f>N796+O796</f>
        <v/>
      </c>
      <c r="Q796" s="181">
        <f>P796/$Q$1</f>
        <v/>
      </c>
      <c r="R796" s="122">
        <f>P796*0.2</f>
        <v/>
      </c>
      <c r="S796" s="122">
        <f>Q796*0.8</f>
        <v/>
      </c>
      <c r="T796" s="133" t="n">
        <v>0.35</v>
      </c>
    </row>
    <row r="797" hidden="1" ht="15.75" customHeight="1" s="2">
      <c r="A797" s="194" t="inlineStr">
        <is>
          <t>весна</t>
        </is>
      </c>
      <c r="B797" s="176" t="inlineStr">
        <is>
          <t>Преддипломная практика</t>
        </is>
      </c>
      <c r="C797" s="176" t="inlineStr">
        <is>
          <t>Преддипломная практика</t>
        </is>
      </c>
      <c r="D797" s="176" t="inlineStr">
        <is>
          <t>Т11О-202М-22</t>
        </is>
      </c>
      <c r="E797" s="177" t="n">
        <v>1</v>
      </c>
      <c r="F797" s="176" t="n"/>
      <c r="G797" s="178" t="n"/>
      <c r="H797" s="176" t="inlineStr">
        <is>
          <t>82018</t>
        </is>
      </c>
      <c r="I797" s="176" t="inlineStr">
        <is>
          <t>Бережной Дмитрий Васильевич</t>
        </is>
      </c>
      <c r="J797" s="176" t="n"/>
      <c r="K797" s="176" t="inlineStr">
        <is>
          <t>Нет</t>
        </is>
      </c>
      <c r="L797" s="176" t="n"/>
      <c r="M797" s="176" t="inlineStr">
        <is>
          <t>1 чел Мамаева Дарья Геннадьевна</t>
        </is>
      </c>
      <c r="N797" s="179">
        <f>SUMIFS($E$2:$E$896,$A$2:$A$896,"осень",$I$2:$I$896,I797)</f>
        <v/>
      </c>
      <c r="O797" s="179">
        <f>SUMIFS($E$2:$E$896,$A$2:$A$896,"весна",$I$2:$I$896,I797)</f>
        <v/>
      </c>
      <c r="P797" s="180">
        <f>N797+O797</f>
        <v/>
      </c>
      <c r="Q797" s="181">
        <f>P797/$Q$1</f>
        <v/>
      </c>
      <c r="R797" s="122">
        <f>P797*0.2</f>
        <v/>
      </c>
      <c r="S797" s="122">
        <f>Q797*0.8</f>
        <v/>
      </c>
      <c r="T797" s="185" t="n">
        <v>0.5</v>
      </c>
    </row>
    <row r="798" hidden="1" ht="15.75" customHeight="1" s="2">
      <c r="A798" s="194" t="inlineStr">
        <is>
          <t>весна</t>
        </is>
      </c>
      <c r="B798" s="176" t="inlineStr">
        <is>
          <t>Преддипломная практика</t>
        </is>
      </c>
      <c r="C798" s="176" t="inlineStr">
        <is>
          <t>Преддипломная практика</t>
        </is>
      </c>
      <c r="D798" s="176" t="inlineStr">
        <is>
          <t>Т11О-202М-22</t>
        </is>
      </c>
      <c r="E798" s="177" t="n">
        <v>1</v>
      </c>
      <c r="F798" s="176" t="n"/>
      <c r="G798" s="178" t="n"/>
      <c r="H798" s="176" t="inlineStr">
        <is>
          <t>82020</t>
        </is>
      </c>
      <c r="I798" s="176" t="inlineStr">
        <is>
          <t>Варфоломеев Максим Сергеевич</t>
        </is>
      </c>
      <c r="J798" s="176" t="n"/>
      <c r="K798" s="176" t="inlineStr">
        <is>
          <t>Нет</t>
        </is>
      </c>
      <c r="L798" s="176" t="n"/>
      <c r="M798" s="176" t="inlineStr">
        <is>
          <t>1 чел Овчинников Алексей Денисович</t>
        </is>
      </c>
      <c r="N798" s="179">
        <f>SUMIFS($E$2:$E$896,$A$2:$A$896,"осень",$I$2:$I$896,I798)</f>
        <v/>
      </c>
      <c r="O798" s="179">
        <f>SUMIFS($E$2:$E$896,$A$2:$A$896,"весна",$I$2:$I$896,I798)</f>
        <v/>
      </c>
      <c r="P798" s="180">
        <f>N798+O798</f>
        <v/>
      </c>
      <c r="Q798" s="181">
        <f>P798/$Q$1</f>
        <v/>
      </c>
      <c r="R798" s="122">
        <f>P798*0.2</f>
        <v/>
      </c>
      <c r="S798" s="122">
        <f>Q798*0.8</f>
        <v/>
      </c>
      <c r="T798" s="133" t="n">
        <v>0.7</v>
      </c>
    </row>
    <row r="799" hidden="1" ht="15.75" customHeight="1" s="2">
      <c r="A799" s="194" t="inlineStr">
        <is>
          <t>весна</t>
        </is>
      </c>
      <c r="B799" s="176" t="inlineStr">
        <is>
          <t>Преддипломная практика</t>
        </is>
      </c>
      <c r="C799" s="176" t="inlineStr">
        <is>
          <t>Преддипломная практика</t>
        </is>
      </c>
      <c r="D799" s="176" t="inlineStr">
        <is>
          <t>Т11О-202М-22</t>
        </is>
      </c>
      <c r="E799" s="177" t="n">
        <v>1</v>
      </c>
      <c r="F799" s="176" t="n"/>
      <c r="G799" s="178" t="n"/>
      <c r="H799" s="176" t="inlineStr">
        <is>
          <t>82066</t>
        </is>
      </c>
      <c r="I799" s="176" t="inlineStr">
        <is>
          <t>Серов Михаил Михайлович</t>
        </is>
      </c>
      <c r="J799" s="176" t="n"/>
      <c r="K799" s="176" t="inlineStr">
        <is>
          <t>Нет</t>
        </is>
      </c>
      <c r="L799" s="176" t="n"/>
      <c r="M799" s="176" t="inlineStr">
        <is>
          <t>1 чел Скрыпченко Егор Николаевич</t>
        </is>
      </c>
      <c r="N799" s="179">
        <f>SUMIFS($E$2:$E$896,$A$2:$A$896,"осень",$I$2:$I$896,I799)</f>
        <v/>
      </c>
      <c r="O799" s="179">
        <f>SUMIFS($E$2:$E$896,$A$2:$A$896,"весна",$I$2:$I$896,I799)</f>
        <v/>
      </c>
      <c r="P799" s="180">
        <f>N799+O799</f>
        <v/>
      </c>
      <c r="Q799" s="181">
        <f>P799/$Q$1</f>
        <v/>
      </c>
      <c r="R799" s="122">
        <f>P799*0.2</f>
        <v/>
      </c>
      <c r="S799" s="122">
        <f>Q799*0.8</f>
        <v/>
      </c>
      <c r="T799" s="133" t="n">
        <v>0.6</v>
      </c>
    </row>
    <row r="800" hidden="1" ht="15.75" customHeight="1" s="2">
      <c r="A800" s="194" t="inlineStr">
        <is>
          <t>весна</t>
        </is>
      </c>
      <c r="B800" s="176" t="inlineStr">
        <is>
          <t>Преддипломная практика</t>
        </is>
      </c>
      <c r="C800" s="176" t="inlineStr">
        <is>
          <t>Преддипломная практика</t>
        </is>
      </c>
      <c r="D800" s="176" t="inlineStr">
        <is>
          <t>Т11О-202М-22</t>
        </is>
      </c>
      <c r="E800" s="177" t="n">
        <v>4</v>
      </c>
      <c r="F800" s="176" t="n"/>
      <c r="G800" s="178" t="n"/>
      <c r="H800" s="176" t="inlineStr">
        <is>
          <t>94221</t>
        </is>
      </c>
      <c r="I800" s="176" t="inlineStr">
        <is>
          <t>Шляпцева Анастасия Дмитриевна</t>
        </is>
      </c>
      <c r="J800" s="176" t="n"/>
      <c r="K800" s="176" t="inlineStr">
        <is>
          <t>Нет</t>
        </is>
      </c>
      <c r="L800" s="176" t="n"/>
      <c r="M800" s="176" t="inlineStr">
        <is>
          <t>1 чел Солдатов Павел Александрович</t>
        </is>
      </c>
      <c r="N800" s="179">
        <f>SUMIFS($E$2:$E$896,$A$2:$A$896,"осень",$I$2:$I$896,I800)</f>
        <v/>
      </c>
      <c r="O800" s="179">
        <f>SUMIFS($E$2:$E$896,$A$2:$A$896,"весна",$I$2:$I$896,I800)</f>
        <v/>
      </c>
      <c r="P800" s="180">
        <f>N800+O800</f>
        <v/>
      </c>
      <c r="Q800" s="181">
        <f>P800/$Q$1</f>
        <v/>
      </c>
      <c r="R800" s="122">
        <f>P800*0.2</f>
        <v/>
      </c>
      <c r="S800" s="122">
        <f>Q800*0.8</f>
        <v/>
      </c>
      <c r="T800" s="133" t="n">
        <v>0.45</v>
      </c>
    </row>
    <row r="801" hidden="1" ht="15.75" customHeight="1" s="2">
      <c r="A801" s="194" t="inlineStr">
        <is>
          <t>весна</t>
        </is>
      </c>
      <c r="B801" s="176" t="inlineStr">
        <is>
          <t>Преддипломная практика</t>
        </is>
      </c>
      <c r="C801" s="176" t="inlineStr">
        <is>
          <t>Преддипломная практика</t>
        </is>
      </c>
      <c r="D801" s="176" t="inlineStr">
        <is>
          <t>Т11О-401Б-20</t>
        </is>
      </c>
      <c r="E801" s="177" t="n">
        <v>12</v>
      </c>
      <c r="F801" s="176" t="n"/>
      <c r="G801" s="178" t="n"/>
      <c r="H801" s="176" t="inlineStr">
        <is>
          <t>81729</t>
        </is>
      </c>
      <c r="I801" s="176" t="inlineStr">
        <is>
          <t>Соколов Алексей Викторович</t>
        </is>
      </c>
      <c r="J801" s="176" t="n"/>
      <c r="K801" s="176" t="inlineStr">
        <is>
          <t>Нет</t>
        </is>
      </c>
      <c r="L801" s="176" t="n"/>
      <c r="M801" s="176" t="n"/>
      <c r="N801" s="179">
        <f>SUMIFS($E$2:$E$896,$A$2:$A$896,"осень",$I$2:$I$896,I801)</f>
        <v/>
      </c>
      <c r="O801" s="179">
        <f>SUMIFS($E$2:$E$896,$A$2:$A$896,"весна",$I$2:$I$896,I801)</f>
        <v/>
      </c>
      <c r="P801" s="180">
        <f>N801+O801</f>
        <v/>
      </c>
      <c r="Q801" s="181">
        <f>P801/$Q$1</f>
        <v/>
      </c>
      <c r="R801" s="122">
        <f>P801*0.2</f>
        <v/>
      </c>
      <c r="S801" s="122">
        <f>Q801*0.8</f>
        <v/>
      </c>
      <c r="T801" s="133" t="n">
        <v>0.55</v>
      </c>
    </row>
    <row r="802" hidden="1" ht="15.75" customHeight="1" s="2">
      <c r="A802" s="194" t="inlineStr">
        <is>
          <t>весна</t>
        </is>
      </c>
      <c r="B802" s="176" t="inlineStr">
        <is>
          <t>Преддипломная практика</t>
        </is>
      </c>
      <c r="C802" s="176" t="inlineStr">
        <is>
          <t>Преддипломная практика</t>
        </is>
      </c>
      <c r="D802" s="176" t="inlineStr">
        <is>
          <t>Т11О-402Б-20</t>
        </is>
      </c>
      <c r="E802" s="177" t="n">
        <v>9</v>
      </c>
      <c r="F802" s="176" t="n"/>
      <c r="G802" s="178" t="n"/>
      <c r="H802" s="176" t="inlineStr">
        <is>
          <t>82020</t>
        </is>
      </c>
      <c r="I802" s="176" t="inlineStr">
        <is>
          <t>Варфоломеев Максим Сергеевич</t>
        </is>
      </c>
      <c r="J802" s="176" t="n"/>
      <c r="K802" s="176" t="inlineStr">
        <is>
          <t>Нет</t>
        </is>
      </c>
      <c r="L802" s="176" t="n"/>
      <c r="M802" s="176" t="n"/>
      <c r="N802" s="179">
        <f>SUMIFS($E$2:$E$896,$A$2:$A$896,"осень",$I$2:$I$896,I802)</f>
        <v/>
      </c>
      <c r="O802" s="179">
        <f>SUMIFS($E$2:$E$896,$A$2:$A$896,"весна",$I$2:$I$896,I802)</f>
        <v/>
      </c>
      <c r="P802" s="180">
        <f>N802+O802</f>
        <v/>
      </c>
      <c r="Q802" s="181">
        <f>P802/$Q$1</f>
        <v/>
      </c>
      <c r="R802" s="122">
        <f>P802*0.2</f>
        <v/>
      </c>
      <c r="S802" s="122">
        <f>Q802*0.8</f>
        <v/>
      </c>
      <c r="T802" s="133" t="n">
        <v>0.7</v>
      </c>
    </row>
    <row r="803" hidden="1" ht="15.75" customHeight="1" s="2">
      <c r="A803" s="194" t="inlineStr">
        <is>
          <t>весна</t>
        </is>
      </c>
      <c r="B803" s="176" t="inlineStr">
        <is>
          <t>Преддипломная практика</t>
        </is>
      </c>
      <c r="C803" s="176" t="inlineStr">
        <is>
          <t>Преддипломная практика</t>
        </is>
      </c>
      <c r="D803" s="176" t="inlineStr">
        <is>
          <t>Т11О-403Б-20</t>
        </is>
      </c>
      <c r="E803" s="177" t="n">
        <v>12</v>
      </c>
      <c r="F803" s="176" t="n"/>
      <c r="G803" s="178" t="n"/>
      <c r="H803" s="176" t="inlineStr">
        <is>
          <t>81720</t>
        </is>
      </c>
      <c r="I803" s="176" t="inlineStr">
        <is>
          <t>Палтиевич Андрей Романович</t>
        </is>
      </c>
      <c r="J803" s="176" t="n"/>
      <c r="K803" s="176" t="inlineStr">
        <is>
          <t>Нет</t>
        </is>
      </c>
      <c r="L803" s="176" t="n"/>
      <c r="M803" s="176" t="n"/>
      <c r="N803" s="179">
        <f>SUMIFS($E$2:$E$896,$A$2:$A$896,"осень",$I$2:$I$896,I803)</f>
        <v/>
      </c>
      <c r="O803" s="179">
        <f>SUMIFS($E$2:$E$896,$A$2:$A$896,"весна",$I$2:$I$896,I803)</f>
        <v/>
      </c>
      <c r="P803" s="180">
        <f>N803+O803</f>
        <v/>
      </c>
      <c r="Q803" s="181">
        <f>P803/$Q$1</f>
        <v/>
      </c>
      <c r="R803" s="122">
        <f>P803*0.2</f>
        <v/>
      </c>
      <c r="S803" s="122">
        <f>Q803*0.8</f>
        <v/>
      </c>
      <c r="T803" s="133" t="n">
        <v>0.65</v>
      </c>
    </row>
    <row r="804" hidden="1" ht="15.75" customHeight="1" s="2">
      <c r="A804" s="194" t="inlineStr">
        <is>
          <t>весна</t>
        </is>
      </c>
      <c r="B804" s="176" t="inlineStr">
        <is>
          <t>Научно-исследовательская практика</t>
        </is>
      </c>
      <c r="C804" s="176" t="inlineStr">
        <is>
          <t>Преддипломная практика</t>
        </is>
      </c>
      <c r="D804" s="176" t="inlineStr">
        <is>
          <t>Т11О-407А-20</t>
        </is>
      </c>
      <c r="E804" s="177" t="n">
        <v>1</v>
      </c>
      <c r="F804" s="176" t="n"/>
      <c r="G804" s="178" t="n"/>
      <c r="H804" s="176" t="inlineStr">
        <is>
          <t>81958</t>
        </is>
      </c>
      <c r="I804" s="176" t="inlineStr">
        <is>
          <t>Бецофен Сергей Яковлевич</t>
        </is>
      </c>
      <c r="J804" s="176" t="n"/>
      <c r="K804" s="176" t="inlineStr">
        <is>
          <t>Нет</t>
        </is>
      </c>
      <c r="L804" s="176" t="n"/>
      <c r="M804" s="176" t="inlineStr">
        <is>
          <t>Прокопенко Денис Алексеевич</t>
        </is>
      </c>
      <c r="N804" s="179">
        <f>SUMIFS($E$2:$E$896,$A$2:$A$896,"осень",$I$2:$I$896,I804)</f>
        <v/>
      </c>
      <c r="O804" s="179">
        <f>SUMIFS($E$2:$E$896,$A$2:$A$896,"весна",$I$2:$I$896,I804)</f>
        <v/>
      </c>
      <c r="P804" s="180">
        <f>N804+O804</f>
        <v/>
      </c>
      <c r="Q804" s="181">
        <f>P804/$Q$1</f>
        <v/>
      </c>
      <c r="R804" s="122">
        <f>P804*0.2</f>
        <v/>
      </c>
      <c r="S804" s="122">
        <f>Q804*0.8</f>
        <v/>
      </c>
      <c r="T804" s="133" t="n">
        <v>0.3</v>
      </c>
    </row>
    <row r="805" hidden="1" ht="15.75" customHeight="1" s="2">
      <c r="A805" s="194" t="inlineStr">
        <is>
          <t>весна</t>
        </is>
      </c>
      <c r="B805" s="176" t="inlineStr">
        <is>
          <t>Научно-исследовательская практика</t>
        </is>
      </c>
      <c r="C805" s="176" t="inlineStr">
        <is>
          <t>Преддипломная практика</t>
        </is>
      </c>
      <c r="D805" s="176" t="inlineStr">
        <is>
          <t>Т11О-407А-20</t>
        </is>
      </c>
      <c r="E805" s="177" t="n">
        <v>1</v>
      </c>
      <c r="F805" s="176" t="n"/>
      <c r="G805" s="178" t="n"/>
      <c r="H805" s="176" t="inlineStr">
        <is>
          <t>82060</t>
        </is>
      </c>
      <c r="I805" s="176" t="inlineStr">
        <is>
          <t>Лозован Александр Александрович</t>
        </is>
      </c>
      <c r="J805" s="176" t="n"/>
      <c r="K805" s="176" t="inlineStr">
        <is>
          <t>Нет</t>
        </is>
      </c>
      <c r="L805" s="176" t="n"/>
      <c r="M805" s="176" t="inlineStr">
        <is>
          <t>Митрофанов Андрей Леонидович</t>
        </is>
      </c>
      <c r="N805" s="179">
        <f>SUMIFS($E$2:$E$896,$A$2:$A$896,"осень",$I$2:$I$896,I805)</f>
        <v/>
      </c>
      <c r="O805" s="179">
        <f>SUMIFS($E$2:$E$896,$A$2:$A$896,"весна",$I$2:$I$896,I805)</f>
        <v/>
      </c>
      <c r="P805" s="180">
        <f>N805+O805</f>
        <v/>
      </c>
      <c r="Q805" s="181">
        <f>P805/$Q$1</f>
        <v/>
      </c>
      <c r="R805" s="122">
        <f>P805*0.2</f>
        <v/>
      </c>
      <c r="S805" s="122">
        <f>Q805*0.8</f>
        <v/>
      </c>
      <c r="T805" s="133" t="n">
        <v>0.55</v>
      </c>
    </row>
    <row r="806" hidden="1" ht="15.75" customHeight="1" s="2">
      <c r="A806" s="194" t="inlineStr">
        <is>
          <t>весна</t>
        </is>
      </c>
      <c r="B806" s="193" t="inlineStr">
        <is>
          <t>Руководство магистрами</t>
        </is>
      </c>
      <c r="C806" s="176" t="inlineStr">
        <is>
          <t>Руководство магистрами</t>
        </is>
      </c>
      <c r="D806" s="176" t="inlineStr">
        <is>
          <t>Т11О-101М-23</t>
        </is>
      </c>
      <c r="E806" s="177" t="n">
        <v>15</v>
      </c>
      <c r="F806" s="176" t="n"/>
      <c r="G806" s="178" t="n"/>
      <c r="H806" s="176" t="n"/>
      <c r="I806" s="176" t="inlineStr">
        <is>
          <t>Моисеев Виктор Сергеевич</t>
        </is>
      </c>
      <c r="J806" s="176" t="n"/>
      <c r="K806" s="176" t="n"/>
      <c r="L806" s="176" t="n"/>
      <c r="M806" s="176" t="n"/>
      <c r="N806" s="179">
        <f>SUMIFS($E$2:$E$896,$A$2:$A$896,"осень",$I$2:$I$896,I806)</f>
        <v/>
      </c>
      <c r="O806" s="179">
        <f>SUMIFS($E$2:$E$896,$A$2:$A$896,"весна",$I$2:$I$896,I806)</f>
        <v/>
      </c>
      <c r="P806" s="180">
        <f>N806+O806</f>
        <v/>
      </c>
      <c r="Q806" s="181">
        <f>P806/$Q$1</f>
        <v/>
      </c>
      <c r="R806" s="122">
        <f>P806*0.2</f>
        <v/>
      </c>
      <c r="S806" s="122">
        <f>Q806*0.8</f>
        <v/>
      </c>
      <c r="T806" s="133" t="n">
        <v>0.2</v>
      </c>
    </row>
    <row r="807" hidden="1" ht="15.75" customHeight="1" s="2">
      <c r="A807" s="194" t="inlineStr">
        <is>
          <t>весна</t>
        </is>
      </c>
      <c r="B807" s="193" t="inlineStr">
        <is>
          <t>Руководство магистрами</t>
        </is>
      </c>
      <c r="C807" s="176" t="inlineStr">
        <is>
          <t>Руководство магистрами</t>
        </is>
      </c>
      <c r="D807" s="176" t="inlineStr">
        <is>
          <t>Т11О-101М-23</t>
        </is>
      </c>
      <c r="E807" s="177" t="n">
        <v>15</v>
      </c>
      <c r="F807" s="176" t="n"/>
      <c r="G807" s="178" t="n"/>
      <c r="H807" s="176" t="n"/>
      <c r="I807" s="176" t="inlineStr">
        <is>
          <t>Лозован Александр Александрович</t>
        </is>
      </c>
      <c r="J807" s="176" t="n"/>
      <c r="K807" s="176" t="n"/>
      <c r="L807" s="176" t="n"/>
      <c r="M807" s="176" t="n"/>
      <c r="N807" s="179">
        <f>SUMIFS($E$2:$E$896,$A$2:$A$896,"осень",$I$2:$I$896,I807)</f>
        <v/>
      </c>
      <c r="O807" s="179">
        <f>SUMIFS($E$2:$E$896,$A$2:$A$896,"весна",$I$2:$I$896,I807)</f>
        <v/>
      </c>
      <c r="P807" s="180">
        <f>N807+O807</f>
        <v/>
      </c>
      <c r="Q807" s="181">
        <f>P807/$Q$1</f>
        <v/>
      </c>
      <c r="R807" s="122">
        <f>P807*0.2</f>
        <v/>
      </c>
      <c r="S807" s="122">
        <f>Q807*0.8</f>
        <v/>
      </c>
      <c r="T807" s="133" t="n">
        <v>0.55</v>
      </c>
    </row>
    <row r="808" hidden="1" ht="15.75" customHeight="1" s="2">
      <c r="A808" s="194" t="inlineStr">
        <is>
          <t>весна</t>
        </is>
      </c>
      <c r="B808" s="193" t="inlineStr">
        <is>
          <t>Руководство магистрами</t>
        </is>
      </c>
      <c r="C808" s="176" t="inlineStr">
        <is>
          <t>Руководство магистрами</t>
        </is>
      </c>
      <c r="D808" s="176" t="inlineStr">
        <is>
          <t>Т11О-101М-23</t>
        </is>
      </c>
      <c r="E808" s="177" t="n">
        <v>15</v>
      </c>
      <c r="F808" s="176" t="n"/>
      <c r="G808" s="178" t="n"/>
      <c r="H808" s="176" t="n"/>
      <c r="I808" s="176" t="inlineStr">
        <is>
          <t>Варфоломеев Максим Сергеевич</t>
        </is>
      </c>
      <c r="J808" s="176" t="n"/>
      <c r="K808" s="176" t="n"/>
      <c r="L808" s="176" t="n"/>
      <c r="M808" s="176" t="n"/>
      <c r="N808" s="179">
        <f>SUMIFS($E$2:$E$896,$A$2:$A$896,"осень",$I$2:$I$896,I808)</f>
        <v/>
      </c>
      <c r="O808" s="179">
        <f>SUMIFS($E$2:$E$896,$A$2:$A$896,"весна",$I$2:$I$896,I808)</f>
        <v/>
      </c>
      <c r="P808" s="180">
        <f>N808+O808</f>
        <v/>
      </c>
      <c r="Q808" s="181">
        <f>P808/$Q$1</f>
        <v/>
      </c>
      <c r="R808" s="122">
        <f>P808*0.2</f>
        <v/>
      </c>
      <c r="S808" s="122">
        <f>Q808*0.8</f>
        <v/>
      </c>
      <c r="T808" s="133" t="n">
        <v>0.7</v>
      </c>
    </row>
    <row r="809" hidden="1" ht="15.75" customHeight="1" s="2">
      <c r="A809" s="194" t="inlineStr">
        <is>
          <t>весна</t>
        </is>
      </c>
      <c r="B809" s="193" t="inlineStr">
        <is>
          <t>Руководство магистрами</t>
        </is>
      </c>
      <c r="C809" s="176" t="inlineStr">
        <is>
          <t>Руководство магистрами</t>
        </is>
      </c>
      <c r="D809" s="176" t="inlineStr">
        <is>
          <t>Т11О-101М-23</t>
        </is>
      </c>
      <c r="E809" s="177" t="n">
        <v>15</v>
      </c>
      <c r="F809" s="176" t="n"/>
      <c r="G809" s="178" t="n"/>
      <c r="H809" s="176" t="n"/>
      <c r="I809" s="176" t="inlineStr">
        <is>
          <t>Бережной Дмитрий Васильевич</t>
        </is>
      </c>
      <c r="J809" s="176" t="n"/>
      <c r="K809" s="176" t="n"/>
      <c r="L809" s="176" t="n"/>
      <c r="M809" s="176" t="n"/>
      <c r="N809" s="179">
        <f>SUMIFS($E$2:$E$896,$A$2:$A$896,"осень",$I$2:$I$896,I809)</f>
        <v/>
      </c>
      <c r="O809" s="179">
        <f>SUMIFS($E$2:$E$896,$A$2:$A$896,"весна",$I$2:$I$896,I809)</f>
        <v/>
      </c>
      <c r="P809" s="180">
        <f>N809+O809</f>
        <v/>
      </c>
      <c r="Q809" s="181">
        <f>P809/$Q$1</f>
        <v/>
      </c>
      <c r="R809" s="122">
        <f>P809*0.2</f>
        <v/>
      </c>
      <c r="S809" s="122">
        <f>Q809*0.8</f>
        <v/>
      </c>
      <c r="T809" s="185" t="n">
        <v>0.5</v>
      </c>
    </row>
    <row r="810" hidden="1" ht="15.75" customHeight="1" s="2">
      <c r="A810" s="194" t="inlineStr">
        <is>
          <t>весна</t>
        </is>
      </c>
      <c r="B810" s="193" t="inlineStr">
        <is>
          <t>Руководство магистрами</t>
        </is>
      </c>
      <c r="C810" s="176" t="inlineStr">
        <is>
          <t>Руководство магистрами</t>
        </is>
      </c>
      <c r="D810" s="176" t="inlineStr">
        <is>
          <t>Т11О-101М-23</t>
        </is>
      </c>
      <c r="E810" s="177" t="n">
        <v>15</v>
      </c>
      <c r="F810" s="176" t="n"/>
      <c r="G810" s="178" t="n"/>
      <c r="H810" s="176" t="n"/>
      <c r="I810" s="176" t="inlineStr">
        <is>
          <t>Серов Михаил Михайлович</t>
        </is>
      </c>
      <c r="J810" s="176" t="n"/>
      <c r="K810" s="176" t="n"/>
      <c r="L810" s="176" t="n"/>
      <c r="M810" s="176" t="n"/>
      <c r="N810" s="179">
        <f>SUMIFS($E$2:$E$896,$A$2:$A$896,"осень",$I$2:$I$896,I810)</f>
        <v/>
      </c>
      <c r="O810" s="179">
        <f>SUMIFS($E$2:$E$896,$A$2:$A$896,"весна",$I$2:$I$896,I810)</f>
        <v/>
      </c>
      <c r="P810" s="180">
        <f>N810+O810</f>
        <v/>
      </c>
      <c r="Q810" s="181">
        <f>P810/$Q$1</f>
        <v/>
      </c>
      <c r="R810" s="122">
        <f>P810*0.2</f>
        <v/>
      </c>
      <c r="S810" s="122">
        <f>Q810*0.8</f>
        <v/>
      </c>
      <c r="T810" s="133" t="n">
        <v>0.6</v>
      </c>
    </row>
    <row r="811" hidden="1" ht="15.75" customHeight="1" s="2">
      <c r="A811" s="194" t="inlineStr">
        <is>
          <t>весна</t>
        </is>
      </c>
      <c r="B811" s="193" t="inlineStr">
        <is>
          <t>Руководство магистрами</t>
        </is>
      </c>
      <c r="C811" s="176" t="inlineStr">
        <is>
          <t>Руководство магистрами</t>
        </is>
      </c>
      <c r="D811" s="176" t="inlineStr">
        <is>
          <t>Т11О-101М-23</t>
        </is>
      </c>
      <c r="E811" s="177" t="n">
        <v>15</v>
      </c>
      <c r="F811" s="176" t="n"/>
      <c r="G811" s="178" t="n"/>
      <c r="H811" s="176" t="n"/>
      <c r="I811" s="176" t="inlineStr">
        <is>
          <t>Никитина Елена Владимировна</t>
        </is>
      </c>
      <c r="J811" s="176" t="n"/>
      <c r="K811" s="176" t="n"/>
      <c r="L811" s="176" t="n"/>
      <c r="M811" s="176" t="n"/>
      <c r="N811" s="179">
        <f>SUMIFS($E$2:$E$896,$A$2:$A$896,"осень",$I$2:$I$896,I811)</f>
        <v/>
      </c>
      <c r="O811" s="179">
        <f>SUMIFS($E$2:$E$896,$A$2:$A$896,"весна",$I$2:$I$896,I811)</f>
        <v/>
      </c>
      <c r="P811" s="180">
        <f>N811+O811</f>
        <v/>
      </c>
      <c r="Q811" s="181">
        <f>P811/$Q$1</f>
        <v/>
      </c>
      <c r="R811" s="122">
        <f>P811*0.2</f>
        <v/>
      </c>
      <c r="S811" s="122">
        <f>Q811*0.8</f>
        <v/>
      </c>
      <c r="T811" s="133" t="n">
        <v>0.5</v>
      </c>
    </row>
    <row r="812" hidden="1" ht="15.75" customHeight="1" s="2">
      <c r="A812" s="194" t="inlineStr">
        <is>
          <t>весна</t>
        </is>
      </c>
      <c r="B812" s="193" t="inlineStr">
        <is>
          <t>Руководство магистрами</t>
        </is>
      </c>
      <c r="C812" s="176" t="inlineStr">
        <is>
          <t>Руководство магистрами</t>
        </is>
      </c>
      <c r="D812" s="176" t="inlineStr">
        <is>
          <t>Т11О-101М-23</t>
        </is>
      </c>
      <c r="E812" s="177" t="n">
        <v>15</v>
      </c>
      <c r="F812" s="176" t="n"/>
      <c r="G812" s="178" t="n"/>
      <c r="H812" s="176" t="n"/>
      <c r="I812" s="176" t="inlineStr">
        <is>
          <t>Петров Анатолий Павлович</t>
        </is>
      </c>
      <c r="J812" s="176" t="n"/>
      <c r="K812" s="176" t="n"/>
      <c r="L812" s="176" t="n"/>
      <c r="M812" s="176" t="n"/>
      <c r="N812" s="179">
        <f>SUMIFS($E$2:$E$896,$A$2:$A$896,"осень",$I$2:$I$896,I812)</f>
        <v/>
      </c>
      <c r="O812" s="179">
        <f>SUMIFS($E$2:$E$896,$A$2:$A$896,"весна",$I$2:$I$896,I812)</f>
        <v/>
      </c>
      <c r="P812" s="180">
        <f>N812+O812</f>
        <v/>
      </c>
      <c r="Q812" s="181">
        <f>P812/$Q$1</f>
        <v/>
      </c>
      <c r="R812" s="122">
        <f>P812*0.2</f>
        <v/>
      </c>
      <c r="S812" s="122">
        <f>Q812*0.8</f>
        <v/>
      </c>
      <c r="T812" s="133" t="n">
        <v>0.25</v>
      </c>
    </row>
    <row r="813" hidden="1" ht="15.75" customHeight="1" s="2">
      <c r="A813" s="194" t="inlineStr">
        <is>
          <t>весна</t>
        </is>
      </c>
      <c r="B813" s="193" t="inlineStr">
        <is>
          <t>Руководство магистрами</t>
        </is>
      </c>
      <c r="C813" s="176" t="inlineStr">
        <is>
          <t>Руководство магистрами</t>
        </is>
      </c>
      <c r="D813" s="176" t="inlineStr">
        <is>
          <t>Т11О-101М-23</t>
        </is>
      </c>
      <c r="E813" s="177" t="n">
        <v>15</v>
      </c>
      <c r="F813" s="176" t="n"/>
      <c r="G813" s="178" t="n"/>
      <c r="H813" s="176" t="n"/>
      <c r="I813" s="176" t="inlineStr">
        <is>
          <t>Федоров Анатолий Александрович</t>
        </is>
      </c>
      <c r="J813" s="176" t="n"/>
      <c r="K813" s="176" t="n"/>
      <c r="L813" s="176" t="n"/>
      <c r="M813" s="176" t="n"/>
      <c r="N813" s="179">
        <f>SUMIFS($E$2:$E$896,$A$2:$A$896,"осень",$I$2:$I$896,I813)</f>
        <v/>
      </c>
      <c r="O813" s="179">
        <f>SUMIFS($E$2:$E$896,$A$2:$A$896,"весна",$I$2:$I$896,I813)</f>
        <v/>
      </c>
      <c r="P813" s="180">
        <f>N813+O813</f>
        <v/>
      </c>
      <c r="Q813" s="181">
        <f>P813/$Q$1</f>
        <v/>
      </c>
      <c r="R813" s="122">
        <f>P813*0.2</f>
        <v/>
      </c>
      <c r="S813" s="122">
        <f>Q813*0.8</f>
        <v/>
      </c>
      <c r="T813" s="133" t="n">
        <v>0.2</v>
      </c>
    </row>
    <row r="814" hidden="1" ht="15.75" customHeight="1" s="2">
      <c r="A814" s="194" t="inlineStr">
        <is>
          <t>весна</t>
        </is>
      </c>
      <c r="B814" s="193" t="inlineStr">
        <is>
          <t>Руководство магистрами</t>
        </is>
      </c>
      <c r="C814" s="176" t="inlineStr">
        <is>
          <t>Руководство магистрами</t>
        </is>
      </c>
      <c r="D814" s="176" t="inlineStr">
        <is>
          <t>Т11О-101М-23</t>
        </is>
      </c>
      <c r="E814" s="177" t="n">
        <v>15</v>
      </c>
      <c r="F814" s="176" t="n"/>
      <c r="G814" s="178" t="n"/>
      <c r="H814" s="176" t="n"/>
      <c r="I814" s="195" t="inlineStr">
        <is>
          <t>Петров Игорь Алексеевич</t>
        </is>
      </c>
      <c r="J814" s="176" t="n"/>
      <c r="K814" s="176" t="n"/>
      <c r="L814" s="176" t="n"/>
      <c r="M814" s="176" t="n"/>
      <c r="N814" s="179">
        <f>SUMIFS($E$2:$E$896,$A$2:$A$896,"осень",$I$2:$I$896,I814)</f>
        <v/>
      </c>
      <c r="O814" s="179">
        <f>SUMIFS($E$2:$E$896,$A$2:$A$896,"весна",$I$2:$I$896,I814)</f>
        <v/>
      </c>
      <c r="P814" s="180">
        <f>N814+O814</f>
        <v/>
      </c>
      <c r="Q814" s="181">
        <f>P814/$Q$1</f>
        <v/>
      </c>
      <c r="R814" s="122">
        <f>P814*0.2</f>
        <v/>
      </c>
      <c r="S814" s="122">
        <f>Q814*0.8</f>
        <v/>
      </c>
      <c r="T814" s="133" t="n">
        <v>0.35</v>
      </c>
    </row>
    <row r="815" hidden="1" ht="15.75" customHeight="1" s="2">
      <c r="A815" s="194" t="inlineStr">
        <is>
          <t>весна</t>
        </is>
      </c>
      <c r="B815" s="193" t="inlineStr">
        <is>
          <t>Руководство магистрами</t>
        </is>
      </c>
      <c r="C815" s="176" t="inlineStr">
        <is>
          <t>Руководство магистрами</t>
        </is>
      </c>
      <c r="D815" s="176" t="inlineStr">
        <is>
          <t>Т11О-101М-23</t>
        </is>
      </c>
      <c r="E815" s="177" t="n">
        <v>15</v>
      </c>
      <c r="F815" s="176" t="n"/>
      <c r="G815" s="178" t="n"/>
      <c r="H815" s="176" t="n"/>
      <c r="I815" s="176" t="inlineStr">
        <is>
          <t>Соколов Алексей Викторович</t>
        </is>
      </c>
      <c r="J815" s="176" t="n"/>
      <c r="K815" s="176" t="n"/>
      <c r="L815" s="176" t="n"/>
      <c r="M815" s="176" t="n"/>
      <c r="N815" s="179">
        <f>SUMIFS($E$2:$E$896,$A$2:$A$896,"осень",$I$2:$I$896,I815)</f>
        <v/>
      </c>
      <c r="O815" s="179">
        <f>SUMIFS($E$2:$E$896,$A$2:$A$896,"весна",$I$2:$I$896,I815)</f>
        <v/>
      </c>
      <c r="P815" s="180">
        <f>N815+O815</f>
        <v/>
      </c>
      <c r="Q815" s="181">
        <f>P815/$Q$1</f>
        <v/>
      </c>
      <c r="R815" s="122">
        <f>P815*0.2</f>
        <v/>
      </c>
      <c r="S815" s="122">
        <f>Q815*0.8</f>
        <v/>
      </c>
      <c r="T815" s="133" t="n">
        <v>0.55</v>
      </c>
    </row>
    <row r="816" hidden="1" ht="15.75" customHeight="1" s="2">
      <c r="A816" s="194" t="inlineStr">
        <is>
          <t>весна</t>
        </is>
      </c>
      <c r="B816" s="193" t="inlineStr">
        <is>
          <t>Руководство магистрами</t>
        </is>
      </c>
      <c r="C816" s="176" t="inlineStr">
        <is>
          <t>Руководство магистрами</t>
        </is>
      </c>
      <c r="D816" s="176" t="inlineStr">
        <is>
          <t>Т11О-101М-23</t>
        </is>
      </c>
      <c r="E816" s="177" t="n">
        <v>15</v>
      </c>
      <c r="F816" s="176" t="n"/>
      <c r="G816" s="178" t="n"/>
      <c r="H816" s="176" t="n"/>
      <c r="I816" s="176" t="inlineStr">
        <is>
          <t>Галкин Виктор Иванович</t>
        </is>
      </c>
      <c r="J816" s="176" t="n"/>
      <c r="K816" s="176" t="n"/>
      <c r="L816" s="176" t="n"/>
      <c r="M816" s="176" t="n"/>
      <c r="N816" s="179">
        <f>SUMIFS($E$2:$E$896,$A$2:$A$896,"осень",$I$2:$I$896,I816)</f>
        <v/>
      </c>
      <c r="O816" s="179">
        <f>SUMIFS($E$2:$E$896,$A$2:$A$896,"весна",$I$2:$I$896,I816)</f>
        <v/>
      </c>
      <c r="P816" s="180">
        <f>N816+O816</f>
        <v/>
      </c>
      <c r="Q816" s="181">
        <f>P816/$Q$1</f>
        <v/>
      </c>
      <c r="R816" s="122">
        <f>P816*0.2</f>
        <v/>
      </c>
      <c r="S816" s="122">
        <f>Q816*0.8</f>
        <v/>
      </c>
      <c r="T816" s="133" t="n">
        <v>0.75</v>
      </c>
    </row>
    <row r="817" hidden="1" ht="15.75" customHeight="1" s="2">
      <c r="A817" s="194" t="inlineStr">
        <is>
          <t>весна</t>
        </is>
      </c>
      <c r="B817" s="182" t="inlineStr">
        <is>
          <t>Руководство магистрами</t>
        </is>
      </c>
      <c r="C817" s="182" t="inlineStr">
        <is>
          <t>Руководство магистрами</t>
        </is>
      </c>
      <c r="D817" s="182" t="inlineStr">
        <is>
          <t>Т11О-101М-23</t>
        </is>
      </c>
      <c r="E817" s="183" t="n">
        <v>15</v>
      </c>
      <c r="F817" s="182" t="n"/>
      <c r="G817" s="187" t="n"/>
      <c r="H817" s="182" t="n"/>
      <c r="I817" s="182" t="inlineStr">
        <is>
          <t>Лозован Александр Александрович</t>
        </is>
      </c>
      <c r="J817" s="176" t="n"/>
      <c r="K817" s="176" t="n"/>
      <c r="L817" s="176" t="n"/>
      <c r="M817" s="176" t="n"/>
      <c r="N817" s="179">
        <f>SUMIFS($E$2:$E$896,$A$2:$A$896,"осень",$I$2:$I$896,I817)</f>
        <v/>
      </c>
      <c r="O817" s="179">
        <f>SUMIFS($E$2:$E$896,$A$2:$A$896,"весна",$I$2:$I$896,I817)</f>
        <v/>
      </c>
      <c r="P817" s="180">
        <f>N817+O817</f>
        <v/>
      </c>
      <c r="Q817" s="181">
        <f>P817/$Q$1</f>
        <v/>
      </c>
      <c r="R817" s="122">
        <f>P817*0.2</f>
        <v/>
      </c>
      <c r="S817" s="122">
        <f>Q817*0.8</f>
        <v/>
      </c>
      <c r="T817" s="133" t="n">
        <v>0.55</v>
      </c>
    </row>
    <row r="818" hidden="1" ht="15.75" customHeight="1" s="2">
      <c r="A818" s="194" t="inlineStr">
        <is>
          <t>весна</t>
        </is>
      </c>
      <c r="B818" s="182" t="inlineStr">
        <is>
          <t>Руководство магистрами</t>
        </is>
      </c>
      <c r="C818" s="182" t="inlineStr">
        <is>
          <t>Руководство магистрами</t>
        </is>
      </c>
      <c r="D818" s="182" t="inlineStr">
        <is>
          <t>Т11О-101М-23</t>
        </is>
      </c>
      <c r="E818" s="183" t="n">
        <v>15</v>
      </c>
      <c r="F818" s="182" t="n"/>
      <c r="G818" s="187" t="n"/>
      <c r="H818" s="182" t="n"/>
      <c r="I818" s="182" t="inlineStr">
        <is>
          <t>Шленский Алексей Геннадьевич</t>
        </is>
      </c>
      <c r="J818" s="176" t="n"/>
      <c r="K818" s="176" t="inlineStr">
        <is>
          <t>Нет</t>
        </is>
      </c>
      <c r="L818" s="176" t="n"/>
      <c r="M818" s="176" t="n"/>
      <c r="N818" s="179">
        <f>SUMIFS($E$2:$E$896,$A$2:$A$896,"осень",$I$2:$I$896,I818)</f>
        <v/>
      </c>
      <c r="O818" s="179">
        <f>SUMIFS($E$2:$E$896,$A$2:$A$896,"весна",$I$2:$I$896,I818)</f>
        <v/>
      </c>
      <c r="P818" s="180">
        <f>N818+O818</f>
        <v/>
      </c>
      <c r="Q818" s="181">
        <f>P818/$Q$1</f>
        <v/>
      </c>
      <c r="R818" s="122">
        <f>P818*0.2</f>
        <v/>
      </c>
      <c r="S818" s="122">
        <f>Q818*0.8</f>
        <v/>
      </c>
      <c r="T818" s="133" t="n">
        <v>0.7</v>
      </c>
    </row>
    <row r="819" hidden="1" ht="15.75" customHeight="1" s="2">
      <c r="A819" s="194" t="inlineStr">
        <is>
          <t>весна</t>
        </is>
      </c>
      <c r="B819" s="176" t="inlineStr">
        <is>
          <t>Руководство аспирантами</t>
        </is>
      </c>
      <c r="C819" s="176" t="inlineStr">
        <is>
          <t>Руководство аспирантами</t>
        </is>
      </c>
      <c r="D819" s="176" t="inlineStr">
        <is>
          <t>Т11О-302А-21</t>
        </is>
      </c>
      <c r="E819" s="177" t="n">
        <v>25</v>
      </c>
      <c r="F819" s="176" t="n"/>
      <c r="G819" s="178" t="n"/>
      <c r="H819" s="176" t="inlineStr">
        <is>
          <t>92509</t>
        </is>
      </c>
      <c r="I819" s="176" t="inlineStr">
        <is>
          <t>Пашков Игорь Николаевич</t>
        </is>
      </c>
      <c r="J819" s="176" t="n"/>
      <c r="K819" s="176" t="inlineStr">
        <is>
          <t>Нет</t>
        </is>
      </c>
      <c r="L819" s="176" t="n"/>
      <c r="M819" s="176" t="inlineStr">
        <is>
          <t>Жуков Евгений Юрьевич</t>
        </is>
      </c>
      <c r="N819" s="179">
        <f>SUMIFS($E$2:$E$896,$A$2:$A$896,"осень",$I$2:$I$896,I819)</f>
        <v/>
      </c>
      <c r="O819" s="179">
        <f>SUMIFS($E$2:$E$896,$A$2:$A$896,"весна",$I$2:$I$896,I819)</f>
        <v/>
      </c>
      <c r="P819" s="180">
        <f>N819+O819</f>
        <v/>
      </c>
      <c r="Q819" s="181">
        <f>P819/$Q$1</f>
        <v/>
      </c>
      <c r="R819" s="122">
        <f>P819*0.2</f>
        <v/>
      </c>
      <c r="S819" s="122">
        <f>Q819*0.8</f>
        <v/>
      </c>
      <c r="T819" s="133" t="n">
        <v>0.55</v>
      </c>
    </row>
    <row r="820" hidden="1" ht="15.75" customHeight="1" s="2">
      <c r="A820" s="194" t="inlineStr">
        <is>
          <t>весна</t>
        </is>
      </c>
      <c r="B820" s="182" t="inlineStr">
        <is>
          <t>Руководство аспирантами</t>
        </is>
      </c>
      <c r="C820" s="182" t="inlineStr">
        <is>
          <t>Руководство аспирантами</t>
        </is>
      </c>
      <c r="D820" s="182" t="inlineStr">
        <is>
          <t>Т11О-306А-21</t>
        </is>
      </c>
      <c r="E820" s="183" t="n">
        <v>25</v>
      </c>
      <c r="F820" s="182" t="n"/>
      <c r="G820" s="187" t="n"/>
      <c r="H820" s="182" t="inlineStr">
        <is>
          <t>82056</t>
        </is>
      </c>
      <c r="I820" s="182" t="inlineStr">
        <is>
          <t>Александрова Светлана Сергеевна</t>
        </is>
      </c>
      <c r="J820" s="176" t="n"/>
      <c r="K820" s="176" t="inlineStr">
        <is>
          <t>Нет</t>
        </is>
      </c>
      <c r="L820" s="176" t="n"/>
      <c r="M820" s="176" t="inlineStr">
        <is>
          <t>Федотов Александр Юрьевич а/о</t>
        </is>
      </c>
      <c r="N820" s="179">
        <f>SUMIFS($E$2:$E$896,$A$2:$A$896,"осень",$I$2:$I$896,I820)</f>
        <v/>
      </c>
      <c r="O820" s="179">
        <f>SUMIFS($E$2:$E$896,$A$2:$A$896,"весна",$I$2:$I$896,I820)</f>
        <v/>
      </c>
      <c r="P820" s="180">
        <f>N820+O820</f>
        <v/>
      </c>
      <c r="Q820" s="181">
        <f>P820/$Q$1</f>
        <v/>
      </c>
      <c r="R820" s="122">
        <f>P820*0.2</f>
        <v/>
      </c>
      <c r="S820" s="122">
        <f>Q820*0.8</f>
        <v/>
      </c>
      <c r="T820" s="133" t="n">
        <v>0.65</v>
      </c>
    </row>
    <row r="821" hidden="1" ht="15.75" customHeight="1" s="2">
      <c r="A821" s="194" t="inlineStr">
        <is>
          <t>весна</t>
        </is>
      </c>
      <c r="B821" s="176" t="inlineStr">
        <is>
          <t>Руководство аспирантами</t>
        </is>
      </c>
      <c r="C821" s="176" t="inlineStr">
        <is>
          <t>Руководство аспирантами</t>
        </is>
      </c>
      <c r="D821" s="176" t="inlineStr">
        <is>
          <t>Т11О-203А-22</t>
        </is>
      </c>
      <c r="E821" s="177" t="n">
        <v>50</v>
      </c>
      <c r="F821" s="176" t="n"/>
      <c r="G821" s="178" t="n"/>
      <c r="H821" s="176" t="inlineStr">
        <is>
          <t>92509</t>
        </is>
      </c>
      <c r="I821" s="176" t="inlineStr">
        <is>
          <t>Пашков Игорь Николаевич</t>
        </is>
      </c>
      <c r="J821" s="176" t="n"/>
      <c r="K821" s="176" t="inlineStr">
        <is>
          <t>Нет</t>
        </is>
      </c>
      <c r="L821" s="176" t="n"/>
      <c r="M821" s="176" t="inlineStr">
        <is>
          <t>Гаджиев Магомед Ражабович</t>
        </is>
      </c>
      <c r="N821" s="179">
        <f>SUMIFS($E$2:$E$896,$A$2:$A$896,"осень",$I$2:$I$896,I821)</f>
        <v/>
      </c>
      <c r="O821" s="179">
        <f>SUMIFS($E$2:$E$896,$A$2:$A$896,"весна",$I$2:$I$896,I821)</f>
        <v/>
      </c>
      <c r="P821" s="180">
        <f>N821+O821</f>
        <v/>
      </c>
      <c r="Q821" s="181">
        <f>P821/$Q$1</f>
        <v/>
      </c>
      <c r="R821" s="122">
        <f>P821*0.2</f>
        <v/>
      </c>
      <c r="S821" s="122">
        <f>Q821*0.8</f>
        <v/>
      </c>
      <c r="T821" s="133" t="n">
        <v>0.55</v>
      </c>
    </row>
    <row r="822" hidden="1" ht="15.75" customHeight="1" s="2">
      <c r="A822" s="194" t="inlineStr">
        <is>
          <t>весна</t>
        </is>
      </c>
      <c r="B822" s="176" t="inlineStr">
        <is>
          <t>Руководство аспирантами</t>
        </is>
      </c>
      <c r="C822" s="176" t="inlineStr">
        <is>
          <t>Руководство аспирантами</t>
        </is>
      </c>
      <c r="D822" s="176" t="inlineStr">
        <is>
          <t>Т11О-203А-22</t>
        </is>
      </c>
      <c r="E822" s="177" t="n">
        <v>50</v>
      </c>
      <c r="F822" s="176" t="n"/>
      <c r="G822" s="178" t="n"/>
      <c r="H822" s="176" t="inlineStr">
        <is>
          <t>81958</t>
        </is>
      </c>
      <c r="I822" s="176" t="inlineStr">
        <is>
          <t>Бецофен Сергей Яковлевич</t>
        </is>
      </c>
      <c r="J822" s="176" t="n"/>
      <c r="K822" s="176" t="inlineStr">
        <is>
          <t>Нет</t>
        </is>
      </c>
      <c r="L822" s="176" t="n"/>
      <c r="M822" s="176" t="inlineStr">
        <is>
          <t>Максименко Екатерина Игоревна</t>
        </is>
      </c>
      <c r="N822" s="179">
        <f>SUMIFS($E$2:$E$896,$A$2:$A$896,"осень",$I$2:$I$896,I822)</f>
        <v/>
      </c>
      <c r="O822" s="179">
        <f>SUMIFS($E$2:$E$896,$A$2:$A$896,"весна",$I$2:$I$896,I822)</f>
        <v/>
      </c>
      <c r="P822" s="180">
        <f>N822+O822</f>
        <v/>
      </c>
      <c r="Q822" s="181">
        <f>P822/$Q$1</f>
        <v/>
      </c>
      <c r="R822" s="122">
        <f>P822*0.2</f>
        <v/>
      </c>
      <c r="S822" s="122">
        <f>Q822*0.8</f>
        <v/>
      </c>
      <c r="T822" s="133" t="n">
        <v>0.3</v>
      </c>
    </row>
    <row r="823" hidden="1" ht="15.75" customHeight="1" s="2">
      <c r="A823" s="194" t="inlineStr">
        <is>
          <t>весна</t>
        </is>
      </c>
      <c r="B823" s="176" t="inlineStr">
        <is>
          <t>Руководство аспирантами</t>
        </is>
      </c>
      <c r="C823" s="176" t="inlineStr">
        <is>
          <t>Руководство аспирантами</t>
        </is>
      </c>
      <c r="D823" s="176" t="inlineStr">
        <is>
          <t>Т11О-205А-22</t>
        </is>
      </c>
      <c r="E823" s="177" t="n">
        <v>50</v>
      </c>
      <c r="F823" s="176" t="n"/>
      <c r="G823" s="178" t="n"/>
      <c r="H823" s="176" t="inlineStr">
        <is>
          <t>81891</t>
        </is>
      </c>
      <c r="I823" s="176" t="inlineStr">
        <is>
          <t>Ряховский Александр Павлович</t>
        </is>
      </c>
      <c r="J823" s="176" t="n"/>
      <c r="K823" s="176" t="inlineStr">
        <is>
          <t>Нет</t>
        </is>
      </c>
      <c r="L823" s="176" t="n"/>
      <c r="M823" s="176" t="inlineStr">
        <is>
          <t>Федорцов Руслан Сергеевич</t>
        </is>
      </c>
      <c r="N823" s="179">
        <f>SUMIFS($E$2:$E$896,$A$2:$A$896,"осень",$I$2:$I$896,I823)</f>
        <v/>
      </c>
      <c r="O823" s="179">
        <f>SUMIFS($E$2:$E$896,$A$2:$A$896,"весна",$I$2:$I$896,I823)</f>
        <v/>
      </c>
      <c r="P823" s="180">
        <f>N823+O823</f>
        <v/>
      </c>
      <c r="Q823" s="181">
        <f>P823/$Q$1</f>
        <v/>
      </c>
      <c r="R823" s="122">
        <f>P823*0.2</f>
        <v/>
      </c>
      <c r="S823" s="122">
        <f>Q823*0.8</f>
        <v/>
      </c>
      <c r="T823" s="133" t="n">
        <v>0.5</v>
      </c>
    </row>
    <row r="824" hidden="1" ht="15.75" customHeight="1" s="2">
      <c r="A824" s="194" t="inlineStr">
        <is>
          <t>весна</t>
        </is>
      </c>
      <c r="B824" s="176" t="inlineStr">
        <is>
          <t>Руководство аспирантами</t>
        </is>
      </c>
      <c r="C824" s="176" t="inlineStr">
        <is>
          <t>Руководство аспирантами</t>
        </is>
      </c>
      <c r="D824" s="176" t="inlineStr">
        <is>
          <t>Т11О-206А-22</t>
        </is>
      </c>
      <c r="E824" s="177" t="n">
        <v>50</v>
      </c>
      <c r="F824" s="176" t="n"/>
      <c r="G824" s="178" t="n"/>
      <c r="H824" s="176" t="inlineStr">
        <is>
          <t>81728</t>
        </is>
      </c>
      <c r="I824" s="176" t="inlineStr">
        <is>
          <t>Галкин Виктор Иванович</t>
        </is>
      </c>
      <c r="J824" s="176" t="n"/>
      <c r="K824" s="176" t="inlineStr">
        <is>
          <t>Нет</t>
        </is>
      </c>
      <c r="L824" s="176" t="n"/>
      <c r="M824" s="176" t="inlineStr">
        <is>
          <t>Батталов Тагир Хакимовия</t>
        </is>
      </c>
      <c r="N824" s="179">
        <f>SUMIFS($E$2:$E$896,$A$2:$A$896,"осень",$I$2:$I$896,I824)</f>
        <v/>
      </c>
      <c r="O824" s="179">
        <f>SUMIFS($E$2:$E$896,$A$2:$A$896,"весна",$I$2:$I$896,I824)</f>
        <v/>
      </c>
      <c r="P824" s="180">
        <f>N824+O824</f>
        <v/>
      </c>
      <c r="Q824" s="181">
        <f>P824/$Q$1</f>
        <v/>
      </c>
      <c r="R824" s="122">
        <f>P824*0.2</f>
        <v/>
      </c>
      <c r="S824" s="122">
        <f>Q824*0.8</f>
        <v/>
      </c>
      <c r="T824" s="133" t="n">
        <v>0.75</v>
      </c>
    </row>
    <row r="825" hidden="1" ht="15.75" customHeight="1" s="2">
      <c r="A825" s="194" t="inlineStr">
        <is>
          <t>весна</t>
        </is>
      </c>
      <c r="B825" s="176" t="inlineStr">
        <is>
          <t>Руководство аспирантами</t>
        </is>
      </c>
      <c r="C825" s="176" t="inlineStr">
        <is>
          <t>Руководство аспирантами</t>
        </is>
      </c>
      <c r="D825" s="176" t="inlineStr">
        <is>
          <t>Т11О-207А-22</t>
        </is>
      </c>
      <c r="E825" s="177" t="n">
        <v>50</v>
      </c>
      <c r="F825" s="176" t="n"/>
      <c r="G825" s="178" t="n"/>
      <c r="H825" s="176" t="inlineStr">
        <is>
          <t>82060</t>
        </is>
      </c>
      <c r="I825" s="176" t="inlineStr">
        <is>
          <t>Лозован Александр Александрович</t>
        </is>
      </c>
      <c r="J825" s="176" t="n"/>
      <c r="K825" s="176" t="inlineStr">
        <is>
          <t>Нет</t>
        </is>
      </c>
      <c r="L825" s="176" t="n"/>
      <c r="M825" s="176" t="inlineStr">
        <is>
          <t>Рыбаков Егор Михайлович</t>
        </is>
      </c>
      <c r="N825" s="179">
        <f>SUMIFS($E$2:$E$896,$A$2:$A$896,"осень",$I$2:$I$896,I825)</f>
        <v/>
      </c>
      <c r="O825" s="179">
        <f>SUMIFS($E$2:$E$896,$A$2:$A$896,"весна",$I$2:$I$896,I825)</f>
        <v/>
      </c>
      <c r="P825" s="180">
        <f>N825+O825</f>
        <v/>
      </c>
      <c r="Q825" s="181">
        <f>P825/$Q$1</f>
        <v/>
      </c>
      <c r="R825" s="122">
        <f>P825*0.2</f>
        <v/>
      </c>
      <c r="S825" s="122">
        <f>Q825*0.8</f>
        <v/>
      </c>
      <c r="T825" s="133" t="n">
        <v>0.55</v>
      </c>
    </row>
    <row r="826" hidden="1" ht="15.75" customHeight="1" s="2">
      <c r="A826" s="194" t="inlineStr">
        <is>
          <t>весна</t>
        </is>
      </c>
      <c r="B826" s="176" t="inlineStr">
        <is>
          <t>Диплом</t>
        </is>
      </c>
      <c r="C826" s="176" t="inlineStr">
        <is>
          <t>Диплом</t>
        </is>
      </c>
      <c r="D826" s="176" t="inlineStr">
        <is>
          <t>Т11О-201М-22</t>
        </is>
      </c>
      <c r="E826" s="177" t="n">
        <v>25</v>
      </c>
      <c r="F826" s="176" t="n"/>
      <c r="G826" s="178" t="n"/>
      <c r="H826" s="176" t="inlineStr">
        <is>
          <t>81728</t>
        </is>
      </c>
      <c r="I826" s="176" t="inlineStr">
        <is>
          <t>Галкин Виктор Иванович</t>
        </is>
      </c>
      <c r="J826" s="176" t="n"/>
      <c r="K826" s="176" t="inlineStr">
        <is>
          <t>Нет</t>
        </is>
      </c>
      <c r="L826" s="176" t="n"/>
      <c r="M826" s="176" t="inlineStr">
        <is>
          <t>1чел, Александров Антон Васильевич</t>
        </is>
      </c>
      <c r="N826" s="179">
        <f>SUMIFS($E$2:$E$896,$A$2:$A$896,"осень",$I$2:$I$896,I826)</f>
        <v/>
      </c>
      <c r="O826" s="179">
        <f>SUMIFS($E$2:$E$896,$A$2:$A$896,"весна",$I$2:$I$896,I826)</f>
        <v/>
      </c>
      <c r="P826" s="180">
        <f>N826+O826</f>
        <v/>
      </c>
      <c r="Q826" s="181">
        <f>P826/$Q$1</f>
        <v/>
      </c>
      <c r="R826" s="122">
        <f>P826*0.2</f>
        <v/>
      </c>
      <c r="S826" s="122">
        <f>Q826*0.8</f>
        <v/>
      </c>
      <c r="T826" s="133" t="n">
        <v>0.75</v>
      </c>
    </row>
    <row r="827" hidden="1" ht="15.75" customHeight="1" s="2">
      <c r="A827" s="194" t="inlineStr">
        <is>
          <t>весна</t>
        </is>
      </c>
      <c r="B827" s="176" t="inlineStr">
        <is>
          <t>Диплом</t>
        </is>
      </c>
      <c r="C827" s="176" t="inlineStr">
        <is>
          <t>Диплом</t>
        </is>
      </c>
      <c r="D827" s="176" t="inlineStr">
        <is>
          <t>Т11О-201М-22</t>
        </is>
      </c>
      <c r="E827" s="177" t="n">
        <v>50</v>
      </c>
      <c r="F827" s="176" t="n"/>
      <c r="G827" s="178" t="n"/>
      <c r="H827" s="176" t="inlineStr">
        <is>
          <t>81732</t>
        </is>
      </c>
      <c r="I827" s="176" t="inlineStr">
        <is>
          <t>Петров Анатолий Павлович</t>
        </is>
      </c>
      <c r="J827" s="176" t="n"/>
      <c r="K827" s="176" t="inlineStr">
        <is>
          <t>Нет</t>
        </is>
      </c>
      <c r="L827" s="176" t="n"/>
      <c r="M827" s="176" t="inlineStr">
        <is>
          <t>2 чел Барбанакова Чалый</t>
        </is>
      </c>
      <c r="N827" s="179">
        <f>SUMIFS($E$2:$E$896,$A$2:$A$896,"осень",$I$2:$I$896,I827)</f>
        <v/>
      </c>
      <c r="O827" s="179">
        <f>SUMIFS($E$2:$E$896,$A$2:$A$896,"весна",$I$2:$I$896,I827)</f>
        <v/>
      </c>
      <c r="P827" s="180">
        <f>N827+O827</f>
        <v/>
      </c>
      <c r="Q827" s="181">
        <f>P827/$Q$1</f>
        <v/>
      </c>
      <c r="R827" s="122">
        <f>P827*0.2</f>
        <v/>
      </c>
      <c r="S827" s="122">
        <f>Q827*0.8</f>
        <v/>
      </c>
      <c r="T827" s="133" t="n">
        <v>0.25</v>
      </c>
    </row>
    <row r="828" hidden="1" ht="15.75" customHeight="1" s="2">
      <c r="A828" s="194" t="inlineStr">
        <is>
          <t>весна</t>
        </is>
      </c>
      <c r="B828" s="176" t="inlineStr">
        <is>
          <t>Диплом</t>
        </is>
      </c>
      <c r="C828" s="176" t="inlineStr">
        <is>
          <t>Диплом</t>
        </is>
      </c>
      <c r="D828" s="176" t="inlineStr">
        <is>
          <t>Т11О-201М-22</t>
        </is>
      </c>
      <c r="E828" s="177" t="n">
        <v>25</v>
      </c>
      <c r="F828" s="176" t="n"/>
      <c r="G828" s="178" t="n"/>
      <c r="H828" s="176" t="inlineStr">
        <is>
          <t>81720</t>
        </is>
      </c>
      <c r="I828" s="176" t="inlineStr">
        <is>
          <t>Палтиевич Андрей Романович</t>
        </is>
      </c>
      <c r="J828" s="176" t="n"/>
      <c r="K828" s="176" t="inlineStr">
        <is>
          <t>Нет</t>
        </is>
      </c>
      <c r="L828" s="176" t="n"/>
      <c r="M828" s="176" t="inlineStr">
        <is>
          <t>1 чел Булатов Асадбек Улугбек угли</t>
        </is>
      </c>
      <c r="N828" s="179">
        <f>SUMIFS($E$2:$E$896,$A$2:$A$896,"осень",$I$2:$I$896,I828)</f>
        <v/>
      </c>
      <c r="O828" s="179">
        <f>SUMIFS($E$2:$E$896,$A$2:$A$896,"весна",$I$2:$I$896,I828)</f>
        <v/>
      </c>
      <c r="P828" s="180">
        <f>N828+O828</f>
        <v/>
      </c>
      <c r="Q828" s="181">
        <f>P828/$Q$1</f>
        <v/>
      </c>
      <c r="R828" s="122">
        <f>P828*0.2</f>
        <v/>
      </c>
      <c r="S828" s="122">
        <f>Q828*0.8</f>
        <v/>
      </c>
      <c r="T828" s="133" t="n">
        <v>0.65</v>
      </c>
    </row>
    <row r="829" hidden="1" ht="15.75" customHeight="1" s="2">
      <c r="A829" s="194" t="inlineStr">
        <is>
          <t>весна</t>
        </is>
      </c>
      <c r="B829" s="176" t="inlineStr">
        <is>
          <t>Диплом</t>
        </is>
      </c>
      <c r="C829" s="176" t="inlineStr">
        <is>
          <t>Диплом</t>
        </is>
      </c>
      <c r="D829" s="176" t="inlineStr">
        <is>
          <t>Т11О-201М-22</t>
        </is>
      </c>
      <c r="E829" s="177" t="n">
        <v>25</v>
      </c>
      <c r="F829" s="176" t="n"/>
      <c r="G829" s="178" t="n"/>
      <c r="H829" s="176" t="inlineStr">
        <is>
          <t>81731</t>
        </is>
      </c>
      <c r="I829" s="176" t="inlineStr">
        <is>
          <t>Беспалов Александр Владимирович</t>
        </is>
      </c>
      <c r="J829" s="176" t="n"/>
      <c r="K829" s="176" t="inlineStr">
        <is>
          <t>Нет</t>
        </is>
      </c>
      <c r="L829" s="176" t="n"/>
      <c r="M829" s="176" t="inlineStr">
        <is>
          <t>1 чел Голубев Константин Михайлович</t>
        </is>
      </c>
      <c r="N829" s="179">
        <f>SUMIFS($E$2:$E$896,$A$2:$A$896,"осень",$I$2:$I$896,I829)</f>
        <v/>
      </c>
      <c r="O829" s="179">
        <f>SUMIFS($E$2:$E$896,$A$2:$A$896,"весна",$I$2:$I$896,I829)</f>
        <v/>
      </c>
      <c r="P829" s="180">
        <f>N829+O829</f>
        <v/>
      </c>
      <c r="Q829" s="181">
        <f>P829/$Q$1</f>
        <v/>
      </c>
      <c r="R829" s="122">
        <f>P829*0.2</f>
        <v/>
      </c>
      <c r="S829" s="122">
        <f>Q829*0.8</f>
        <v/>
      </c>
      <c r="T829" s="133" t="n">
        <v>0.15</v>
      </c>
    </row>
    <row r="830" hidden="1" ht="15.75" customHeight="1" s="2">
      <c r="A830" s="194" t="inlineStr">
        <is>
          <t>весна</t>
        </is>
      </c>
      <c r="B830" s="176" t="inlineStr">
        <is>
          <t>Диплом</t>
        </is>
      </c>
      <c r="C830" s="176" t="inlineStr">
        <is>
          <t>Диплом</t>
        </is>
      </c>
      <c r="D830" s="176" t="inlineStr">
        <is>
          <t>Т11О-201М-22</t>
        </is>
      </c>
      <c r="E830" s="177" t="n">
        <v>25</v>
      </c>
      <c r="F830" s="176" t="n"/>
      <c r="G830" s="178" t="n"/>
      <c r="H830" s="176" t="inlineStr">
        <is>
          <t>82056</t>
        </is>
      </c>
      <c r="I830" s="176" t="inlineStr">
        <is>
          <t>Никитина Елена Владимировна</t>
        </is>
      </c>
      <c r="J830" s="176" t="n"/>
      <c r="K830" s="176" t="inlineStr">
        <is>
          <t>Нет</t>
        </is>
      </c>
      <c r="L830" s="176" t="n"/>
      <c r="M830" s="176" t="inlineStr">
        <is>
          <t>1 чел Диесперов Сергей Николаевич</t>
        </is>
      </c>
      <c r="N830" s="179">
        <f>SUMIFS($E$2:$E$896,$A$2:$A$896,"осень",$I$2:$I$896,I830)</f>
        <v/>
      </c>
      <c r="O830" s="179">
        <f>SUMIFS($E$2:$E$896,$A$2:$A$896,"весна",$I$2:$I$896,I830)</f>
        <v/>
      </c>
      <c r="P830" s="180">
        <f>N830+O830</f>
        <v/>
      </c>
      <c r="Q830" s="181">
        <f>P830/$Q$1</f>
        <v/>
      </c>
      <c r="R830" s="122">
        <f>P830*0.2</f>
        <v/>
      </c>
      <c r="S830" s="122">
        <f>Q830*0.8</f>
        <v/>
      </c>
      <c r="T830" s="133" t="n">
        <v>0.5</v>
      </c>
    </row>
    <row r="831" hidden="1" ht="15.75" customHeight="1" s="2">
      <c r="A831" s="194" t="inlineStr">
        <is>
          <t>весна</t>
        </is>
      </c>
      <c r="B831" s="176" t="inlineStr">
        <is>
          <t>Диплом</t>
        </is>
      </c>
      <c r="C831" s="176" t="inlineStr">
        <is>
          <t>Диплом</t>
        </is>
      </c>
      <c r="D831" s="176" t="inlineStr">
        <is>
          <t>Т11О-201М-22</t>
        </is>
      </c>
      <c r="E831" s="177" t="n">
        <v>25</v>
      </c>
      <c r="F831" s="176" t="n"/>
      <c r="G831" s="178" t="n"/>
      <c r="H831" s="176" t="inlineStr">
        <is>
          <t>92509</t>
        </is>
      </c>
      <c r="I831" s="176" t="inlineStr">
        <is>
          <t>Пашков Игорь Николаевич</t>
        </is>
      </c>
      <c r="J831" s="176" t="n"/>
      <c r="K831" s="176" t="inlineStr">
        <is>
          <t>Нет</t>
        </is>
      </c>
      <c r="L831" s="176" t="n"/>
      <c r="M831" s="176" t="inlineStr">
        <is>
          <t>1 чел Редьков Евгений Алексеевич</t>
        </is>
      </c>
      <c r="N831" s="179">
        <f>SUMIFS($E$2:$E$896,$A$2:$A$896,"осень",$I$2:$I$896,I831)</f>
        <v/>
      </c>
      <c r="O831" s="179">
        <f>SUMIFS($E$2:$E$896,$A$2:$A$896,"весна",$I$2:$I$896,I831)</f>
        <v/>
      </c>
      <c r="P831" s="180">
        <f>N831+O831</f>
        <v/>
      </c>
      <c r="Q831" s="181">
        <f>P831/$Q$1</f>
        <v/>
      </c>
      <c r="R831" s="122">
        <f>P831*0.2</f>
        <v/>
      </c>
      <c r="S831" s="122">
        <f>Q831*0.8</f>
        <v/>
      </c>
      <c r="T831" s="133" t="n">
        <v>0.55</v>
      </c>
    </row>
    <row r="832" hidden="1" ht="15.75" customHeight="1" s="2">
      <c r="A832" s="194" t="inlineStr">
        <is>
          <t>весна</t>
        </is>
      </c>
      <c r="B832" s="176" t="inlineStr">
        <is>
          <t>Диплом</t>
        </is>
      </c>
      <c r="C832" s="176" t="inlineStr">
        <is>
          <t>Диплом</t>
        </is>
      </c>
      <c r="D832" s="176" t="inlineStr">
        <is>
          <t>Т11О-201М-22</t>
        </is>
      </c>
      <c r="E832" s="177" t="n">
        <v>25</v>
      </c>
      <c r="F832" s="176" t="n"/>
      <c r="G832" s="178" t="n"/>
      <c r="H832" s="176" t="inlineStr">
        <is>
          <t>81730</t>
        </is>
      </c>
      <c r="I832" s="176" t="inlineStr">
        <is>
          <t>Федоров Анатолий Александрович</t>
        </is>
      </c>
      <c r="J832" s="176" t="n"/>
      <c r="K832" s="176" t="inlineStr">
        <is>
          <t>Нет</t>
        </is>
      </c>
      <c r="L832" s="176" t="n"/>
      <c r="M832" s="176" t="inlineStr">
        <is>
          <t>1чел Хайрутдинова Раиса Рустамовна</t>
        </is>
      </c>
      <c r="N832" s="179">
        <f>SUMIFS($E$2:$E$896,$A$2:$A$896,"осень",$I$2:$I$896,I832)</f>
        <v/>
      </c>
      <c r="O832" s="179">
        <f>SUMIFS($E$2:$E$896,$A$2:$A$896,"весна",$I$2:$I$896,I832)</f>
        <v/>
      </c>
      <c r="P832" s="180">
        <f>N832+O832</f>
        <v/>
      </c>
      <c r="Q832" s="181">
        <f>P832/$Q$1</f>
        <v/>
      </c>
      <c r="R832" s="122">
        <f>P832*0.2</f>
        <v/>
      </c>
      <c r="S832" s="122">
        <f>Q832*0.8</f>
        <v/>
      </c>
      <c r="T832" s="133" t="n">
        <v>0.2</v>
      </c>
    </row>
    <row r="833" hidden="1" ht="15.75" customHeight="1" s="2">
      <c r="A833" s="194" t="inlineStr">
        <is>
          <t>весна</t>
        </is>
      </c>
      <c r="B833" s="176" t="inlineStr">
        <is>
          <t>Диплом</t>
        </is>
      </c>
      <c r="C833" s="176" t="inlineStr">
        <is>
          <t>Диплом</t>
        </is>
      </c>
      <c r="D833" s="176" t="inlineStr">
        <is>
          <t>Т11О-201М-22</t>
        </is>
      </c>
      <c r="E833" s="177" t="n">
        <v>25</v>
      </c>
      <c r="F833" s="176" t="n"/>
      <c r="G833" s="178" t="n"/>
      <c r="H833" s="176" t="inlineStr">
        <is>
          <t>89090</t>
        </is>
      </c>
      <c r="I833" s="176" t="inlineStr">
        <is>
          <t>Степанов Владимир Валерьевич</t>
        </is>
      </c>
      <c r="J833" s="176" t="n"/>
      <c r="K833" s="176" t="inlineStr">
        <is>
          <t>Нет</t>
        </is>
      </c>
      <c r="L833" s="176" t="n"/>
      <c r="M833" s="176" t="inlineStr">
        <is>
          <t>1 чел Чугункин Никита Игоревич</t>
        </is>
      </c>
      <c r="N833" s="179">
        <f>SUMIFS($E$2:$E$896,$A$2:$A$896,"осень",$I$2:$I$896,I833)</f>
        <v/>
      </c>
      <c r="O833" s="179">
        <f>SUMIFS($E$2:$E$896,$A$2:$A$896,"весна",$I$2:$I$896,I833)</f>
        <v/>
      </c>
      <c r="P833" s="180">
        <f>N833+O833</f>
        <v/>
      </c>
      <c r="Q833" s="181">
        <f>P833/$Q$1</f>
        <v/>
      </c>
      <c r="R833" s="122">
        <f>P833*0.2</f>
        <v/>
      </c>
      <c r="S833" s="122">
        <f>Q833*0.8</f>
        <v/>
      </c>
      <c r="T833" s="133" t="n">
        <v>0.4</v>
      </c>
    </row>
    <row r="834" hidden="1" ht="15.75" customHeight="1" s="2">
      <c r="A834" s="196" t="inlineStr">
        <is>
          <t>весна</t>
        </is>
      </c>
      <c r="B834" s="182" t="inlineStr">
        <is>
          <t>Диплом</t>
        </is>
      </c>
      <c r="C834" s="182" t="inlineStr">
        <is>
          <t>Диплом</t>
        </is>
      </c>
      <c r="D834" s="182" t="inlineStr">
        <is>
          <t>Т11О-201М-22</t>
        </is>
      </c>
      <c r="E834" s="183" t="n">
        <v>24</v>
      </c>
      <c r="F834" s="176" t="n"/>
      <c r="G834" s="178" t="n"/>
      <c r="H834" s="176" t="n"/>
      <c r="I834" s="176" t="inlineStr">
        <is>
          <t>э-пустое</t>
        </is>
      </c>
      <c r="J834" s="176" t="n"/>
      <c r="K834" s="176" t="inlineStr">
        <is>
          <t>Нет</t>
        </is>
      </c>
      <c r="L834" s="176" t="n"/>
      <c r="M834" s="197" t="inlineStr">
        <is>
          <t>комиссия внешняя</t>
        </is>
      </c>
      <c r="N834" s="179">
        <f>SUMIFS($E$2:$E$896,$A$2:$A$896,"осень",$I$2:$I$896,I834)</f>
        <v/>
      </c>
      <c r="O834" s="179">
        <f>SUMIFS($E$2:$E$896,$A$2:$A$896,"весна",$I$2:$I$896,I834)</f>
        <v/>
      </c>
      <c r="P834" s="180">
        <f>N834+O834</f>
        <v/>
      </c>
      <c r="Q834" s="181">
        <f>P834/$Q$1</f>
        <v/>
      </c>
      <c r="R834" s="122">
        <f>P834*0.2</f>
        <v/>
      </c>
      <c r="S834" s="122">
        <f>Q834*0.8</f>
        <v/>
      </c>
      <c r="T834" s="185" t="n">
        <v>0</v>
      </c>
    </row>
    <row r="835" hidden="1" ht="15.75" customHeight="1" s="2">
      <c r="A835" s="198" t="inlineStr">
        <is>
          <t>весна</t>
        </is>
      </c>
      <c r="B835" s="182" t="inlineStr">
        <is>
          <t>Диплом</t>
        </is>
      </c>
      <c r="C835" s="182" t="inlineStr">
        <is>
          <t>Диплом</t>
        </is>
      </c>
      <c r="D835" s="182" t="inlineStr">
        <is>
          <t>Т11О-201М-22</t>
        </is>
      </c>
      <c r="E835" s="183" t="n">
        <v>18</v>
      </c>
      <c r="F835" s="176" t="n"/>
      <c r="G835" s="178" t="n"/>
      <c r="H835" s="176" t="n"/>
      <c r="I835" s="176" t="inlineStr">
        <is>
          <t>Соколов Алексей Викторович</t>
        </is>
      </c>
      <c r="J835" s="176" t="n"/>
      <c r="K835" s="176" t="inlineStr">
        <is>
          <t>Нет</t>
        </is>
      </c>
      <c r="L835" s="176" t="n"/>
      <c r="M835" s="192" t="inlineStr">
        <is>
          <t>комиссия нормоконтроль + секретарь</t>
        </is>
      </c>
      <c r="N835" s="179">
        <f>SUMIFS($E$2:$E$896,$A$2:$A$896,"осень",$I$2:$I$896,I835)</f>
        <v/>
      </c>
      <c r="O835" s="179">
        <f>SUMIFS($E$2:$E$896,$A$2:$A$896,"весна",$I$2:$I$896,I835)</f>
        <v/>
      </c>
      <c r="P835" s="180">
        <f>N835+O835</f>
        <v/>
      </c>
      <c r="Q835" s="181">
        <f>P835/$Q$1</f>
        <v/>
      </c>
      <c r="R835" s="122">
        <f>P835*0.2</f>
        <v/>
      </c>
      <c r="S835" s="122">
        <f>Q835*0.8</f>
        <v/>
      </c>
      <c r="T835" s="133" t="n">
        <v>0.55</v>
      </c>
    </row>
    <row r="836" hidden="1" ht="15.75" customHeight="1" s="2">
      <c r="A836" s="198" t="inlineStr">
        <is>
          <t>весна</t>
        </is>
      </c>
      <c r="B836" s="182" t="inlineStr">
        <is>
          <t>Диплом</t>
        </is>
      </c>
      <c r="C836" s="182" t="inlineStr">
        <is>
          <t>Диплом</t>
        </is>
      </c>
      <c r="D836" s="182" t="inlineStr">
        <is>
          <t>Т11О-201М-22</t>
        </is>
      </c>
      <c r="E836" s="183" t="n">
        <v>6</v>
      </c>
      <c r="F836" s="176" t="n"/>
      <c r="G836" s="178" t="n"/>
      <c r="H836" s="176" t="n"/>
      <c r="I836" s="176" t="inlineStr">
        <is>
          <t>Шленский Алексей Геннадьевич</t>
        </is>
      </c>
      <c r="J836" s="176" t="n"/>
      <c r="K836" s="176" t="inlineStr">
        <is>
          <t>Нет</t>
        </is>
      </c>
      <c r="L836" s="176" t="n"/>
      <c r="M836" s="192" t="inlineStr">
        <is>
          <t>комиссия наша</t>
        </is>
      </c>
      <c r="N836" s="179">
        <f>SUMIFS($E$2:$E$896,$A$2:$A$896,"осень",$I$2:$I$896,I836)</f>
        <v/>
      </c>
      <c r="O836" s="179">
        <f>SUMIFS($E$2:$E$896,$A$2:$A$896,"весна",$I$2:$I$896,I836)</f>
        <v/>
      </c>
      <c r="P836" s="180">
        <f>N836+O836</f>
        <v/>
      </c>
      <c r="Q836" s="181">
        <f>P836/$Q$1</f>
        <v/>
      </c>
      <c r="R836" s="122">
        <f>P836*0.2</f>
        <v/>
      </c>
      <c r="S836" s="122">
        <f>Q836*0.8</f>
        <v/>
      </c>
      <c r="T836" s="133" t="n">
        <v>0.7</v>
      </c>
    </row>
    <row r="837" hidden="1" ht="15.75" customHeight="1" s="2">
      <c r="A837" s="198" t="inlineStr">
        <is>
          <t>весна</t>
        </is>
      </c>
      <c r="B837" s="182" t="inlineStr">
        <is>
          <t>Диплом</t>
        </is>
      </c>
      <c r="C837" s="182" t="inlineStr">
        <is>
          <t>Диплом</t>
        </is>
      </c>
      <c r="D837" s="182" t="inlineStr">
        <is>
          <t>Т11О-201М-22</t>
        </is>
      </c>
      <c r="E837" s="183" t="n">
        <v>6</v>
      </c>
      <c r="F837" s="176" t="n"/>
      <c r="G837" s="178" t="n"/>
      <c r="H837" s="176" t="n"/>
      <c r="I837" s="176" t="inlineStr">
        <is>
          <t>Никитина Елена Владимировна</t>
        </is>
      </c>
      <c r="J837" s="176" t="n"/>
      <c r="K837" s="176" t="inlineStr">
        <is>
          <t>Нет</t>
        </is>
      </c>
      <c r="L837" s="176" t="n"/>
      <c r="M837" s="192" t="inlineStr">
        <is>
          <t>комиссия наша</t>
        </is>
      </c>
      <c r="N837" s="179">
        <f>SUMIFS($E$2:$E$896,$A$2:$A$896,"осень",$I$2:$I$896,I837)</f>
        <v/>
      </c>
      <c r="O837" s="179">
        <f>SUMIFS($E$2:$E$896,$A$2:$A$896,"весна",$I$2:$I$896,I837)</f>
        <v/>
      </c>
      <c r="P837" s="180">
        <f>N837+O837</f>
        <v/>
      </c>
      <c r="Q837" s="181">
        <f>P837/$Q$1</f>
        <v/>
      </c>
      <c r="R837" s="122">
        <f>P837*0.2</f>
        <v/>
      </c>
      <c r="S837" s="122">
        <f>Q837*0.8</f>
        <v/>
      </c>
      <c r="T837" s="133" t="n">
        <v>0.5</v>
      </c>
    </row>
    <row r="838" hidden="1" ht="15.75" customHeight="1" s="2">
      <c r="A838" s="194" t="inlineStr">
        <is>
          <t>весна</t>
        </is>
      </c>
      <c r="B838" s="182" t="inlineStr">
        <is>
          <t>Диплом</t>
        </is>
      </c>
      <c r="C838" s="182" t="inlineStr">
        <is>
          <t>Диплом</t>
        </is>
      </c>
      <c r="D838" s="182" t="inlineStr">
        <is>
          <t>Т11О-201М-22</t>
        </is>
      </c>
      <c r="E838" s="183" t="n">
        <v>6</v>
      </c>
      <c r="F838" s="176" t="n"/>
      <c r="G838" s="178" t="n"/>
      <c r="H838" s="176" t="n"/>
      <c r="I838" s="176" t="inlineStr">
        <is>
          <t>Степанов Владимир Валерьевич</t>
        </is>
      </c>
      <c r="J838" s="176" t="n"/>
      <c r="K838" s="176" t="inlineStr">
        <is>
          <t>Нет</t>
        </is>
      </c>
      <c r="L838" s="176" t="n"/>
      <c r="M838" s="176" t="inlineStr">
        <is>
          <t>комиссия наша</t>
        </is>
      </c>
      <c r="N838" s="179">
        <f>SUMIFS($E$2:$E$896,$A$2:$A$896,"осень",$I$2:$I$896,I838)</f>
        <v/>
      </c>
      <c r="O838" s="179">
        <f>SUMIFS($E$2:$E$896,$A$2:$A$896,"весна",$I$2:$I$896,I838)</f>
        <v/>
      </c>
      <c r="P838" s="180">
        <f>N838+O838</f>
        <v/>
      </c>
      <c r="Q838" s="181">
        <f>P838/$Q$1</f>
        <v/>
      </c>
      <c r="R838" s="122">
        <f>P838*0.2</f>
        <v/>
      </c>
      <c r="S838" s="122">
        <f>Q838*0.8</f>
        <v/>
      </c>
      <c r="T838" s="133" t="n">
        <v>0.4</v>
      </c>
    </row>
    <row r="839" hidden="1" ht="15.75" customHeight="1" s="2">
      <c r="A839" s="194" t="inlineStr">
        <is>
          <t>весна</t>
        </is>
      </c>
      <c r="B839" s="176" t="inlineStr">
        <is>
          <t>Диплом</t>
        </is>
      </c>
      <c r="C839" s="176" t="inlineStr">
        <is>
          <t>Диплом</t>
        </is>
      </c>
      <c r="D839" s="176" t="inlineStr">
        <is>
          <t>Т11О-201М-22</t>
        </is>
      </c>
      <c r="E839" s="177" t="n">
        <v>75</v>
      </c>
      <c r="F839" s="176" t="n"/>
      <c r="G839" s="178" t="n"/>
      <c r="H839" s="176" t="inlineStr">
        <is>
          <t>0000065837</t>
        </is>
      </c>
      <c r="I839" s="176" t="inlineStr">
        <is>
          <t>Рипецкий Андрей Владимирович</t>
        </is>
      </c>
      <c r="J839" s="176" t="n"/>
      <c r="K839" s="176" t="inlineStr">
        <is>
          <t>Нет</t>
        </is>
      </c>
      <c r="L839" s="176" t="n"/>
      <c r="M839" s="176" t="inlineStr">
        <is>
          <t>3 чел  Лепешкин Мардеев Прунский</t>
        </is>
      </c>
      <c r="N839" s="179">
        <f>SUMIFS($E$2:$E$896,$A$2:$A$896,"осень",$I$2:$I$896,I839)</f>
        <v/>
      </c>
      <c r="O839" s="179">
        <f>SUMIFS($E$2:$E$896,$A$2:$A$896,"весна",$I$2:$I$896,I839)</f>
        <v/>
      </c>
      <c r="P839" s="180">
        <f>N839+O839</f>
        <v/>
      </c>
      <c r="Q839" s="181">
        <f>P839/$Q$1</f>
        <v/>
      </c>
      <c r="R839" s="122">
        <f>P839*0.2</f>
        <v/>
      </c>
      <c r="S839" s="122">
        <f>Q839*0.8</f>
        <v/>
      </c>
      <c r="T839" s="133" t="n">
        <v>0</v>
      </c>
    </row>
    <row r="840" hidden="1" ht="15.75" customHeight="1" s="2">
      <c r="A840" s="194" t="inlineStr">
        <is>
          <t>весна</t>
        </is>
      </c>
      <c r="B840" s="176" t="inlineStr">
        <is>
          <t>Диплом</t>
        </is>
      </c>
      <c r="C840" s="176" t="inlineStr">
        <is>
          <t>Диплом</t>
        </is>
      </c>
      <c r="D840" s="176" t="inlineStr">
        <is>
          <t>Т11О-202М-22</t>
        </is>
      </c>
      <c r="E840" s="177" t="n">
        <v>25</v>
      </c>
      <c r="F840" s="176" t="n"/>
      <c r="G840" s="178" t="n"/>
      <c r="H840" s="176" t="inlineStr">
        <is>
          <t>81891</t>
        </is>
      </c>
      <c r="I840" s="176" t="inlineStr">
        <is>
          <t>Ряховский Александр Павлович</t>
        </is>
      </c>
      <c r="J840" s="176" t="n"/>
      <c r="K840" s="176" t="inlineStr">
        <is>
          <t>Нет</t>
        </is>
      </c>
      <c r="L840" s="176" t="n"/>
      <c r="M840" s="176" t="inlineStr">
        <is>
          <t>1 чел Акулов Михаил Андреевич</t>
        </is>
      </c>
      <c r="N840" s="179">
        <f>SUMIFS($E$2:$E$896,$A$2:$A$896,"осень",$I$2:$I$896,I840)</f>
        <v/>
      </c>
      <c r="O840" s="179">
        <f>SUMIFS($E$2:$E$896,$A$2:$A$896,"весна",$I$2:$I$896,I840)</f>
        <v/>
      </c>
      <c r="P840" s="180">
        <f>N840+O840</f>
        <v/>
      </c>
      <c r="Q840" s="181">
        <f>P840/$Q$1</f>
        <v/>
      </c>
      <c r="R840" s="122">
        <f>P840*0.2</f>
        <v/>
      </c>
      <c r="S840" s="122">
        <f>Q840*0.8</f>
        <v/>
      </c>
      <c r="T840" s="133" t="n">
        <v>0.5</v>
      </c>
    </row>
    <row r="841" hidden="1" ht="15.75" customHeight="1" s="2">
      <c r="A841" s="194" t="inlineStr">
        <is>
          <t>весна</t>
        </is>
      </c>
      <c r="B841" s="176" t="inlineStr">
        <is>
          <t>Диплом</t>
        </is>
      </c>
      <c r="C841" s="176" t="inlineStr">
        <is>
          <t>Диплом</t>
        </is>
      </c>
      <c r="D841" s="176" t="inlineStr">
        <is>
          <t>Т11О-202М-22</t>
        </is>
      </c>
      <c r="E841" s="177" t="n">
        <v>25</v>
      </c>
      <c r="F841" s="176" t="n"/>
      <c r="G841" s="178" t="n"/>
      <c r="H841" s="176" t="inlineStr">
        <is>
          <t>82086</t>
        </is>
      </c>
      <c r="I841" s="176" t="inlineStr">
        <is>
          <t>Смыков Андрей Федорович</t>
        </is>
      </c>
      <c r="J841" s="176" t="n"/>
      <c r="K841" s="176" t="inlineStr">
        <is>
          <t>Нет</t>
        </is>
      </c>
      <c r="L841" s="176" t="n"/>
      <c r="M841" s="176" t="inlineStr">
        <is>
          <t>1 чел Вилонов Андрей Сергеевич</t>
        </is>
      </c>
      <c r="N841" s="179">
        <f>SUMIFS($E$2:$E$896,$A$2:$A$896,"осень",$I$2:$I$896,I841)</f>
        <v/>
      </c>
      <c r="O841" s="179">
        <f>SUMIFS($E$2:$E$896,$A$2:$A$896,"весна",$I$2:$I$896,I841)</f>
        <v/>
      </c>
      <c r="P841" s="180">
        <f>N841+O841</f>
        <v/>
      </c>
      <c r="Q841" s="181">
        <f>P841/$Q$1</f>
        <v/>
      </c>
      <c r="R841" s="122">
        <f>P841*0.2</f>
        <v/>
      </c>
      <c r="S841" s="122">
        <f>Q841*0.8</f>
        <v/>
      </c>
      <c r="T841" s="133" t="n">
        <v>0.5</v>
      </c>
    </row>
    <row r="842" hidden="1" ht="15.75" customHeight="1" s="2">
      <c r="A842" s="194" t="inlineStr">
        <is>
          <t>весна</t>
        </is>
      </c>
      <c r="B842" s="176" t="inlineStr">
        <is>
          <t>Диплом</t>
        </is>
      </c>
      <c r="C842" s="176" t="inlineStr">
        <is>
          <t>Диплом</t>
        </is>
      </c>
      <c r="D842" s="176" t="inlineStr">
        <is>
          <t>Т11О-202М-22</t>
        </is>
      </c>
      <c r="E842" s="177" t="n">
        <v>25</v>
      </c>
      <c r="F842" s="176" t="n"/>
      <c r="G842" s="178" t="n"/>
      <c r="H842" s="176" t="inlineStr">
        <is>
          <t>82027</t>
        </is>
      </c>
      <c r="I842" s="195" t="inlineStr">
        <is>
          <t>Петров Игорь Алексеевич</t>
        </is>
      </c>
      <c r="J842" s="176" t="n"/>
      <c r="K842" s="176" t="inlineStr">
        <is>
          <t>Нет</t>
        </is>
      </c>
      <c r="L842" s="176" t="n"/>
      <c r="M842" s="176" t="inlineStr">
        <is>
          <t xml:space="preserve">    1 чел Майоров Дмитрий Игоревич</t>
        </is>
      </c>
      <c r="N842" s="179">
        <f>SUMIFS($E$2:$E$896,$A$2:$A$896,"осень",$I$2:$I$896,I842)</f>
        <v/>
      </c>
      <c r="O842" s="179">
        <f>SUMIFS($E$2:$E$896,$A$2:$A$896,"весна",$I$2:$I$896,I842)</f>
        <v/>
      </c>
      <c r="P842" s="180">
        <f>N842+O842</f>
        <v/>
      </c>
      <c r="Q842" s="181">
        <f>P842/$Q$1</f>
        <v/>
      </c>
      <c r="R842" s="122">
        <f>P842*0.2</f>
        <v/>
      </c>
      <c r="S842" s="122">
        <f>Q842*0.8</f>
        <v/>
      </c>
      <c r="T842" s="133" t="n">
        <v>0.35</v>
      </c>
    </row>
    <row r="843" hidden="1" ht="15.75" customHeight="1" s="2">
      <c r="A843" s="194" t="inlineStr">
        <is>
          <t>весна</t>
        </is>
      </c>
      <c r="B843" s="176" t="inlineStr">
        <is>
          <t>Диплом</t>
        </is>
      </c>
      <c r="C843" s="176" t="inlineStr">
        <is>
          <t>Диплом</t>
        </is>
      </c>
      <c r="D843" s="176" t="inlineStr">
        <is>
          <t>Т11О-202М-22</t>
        </is>
      </c>
      <c r="E843" s="177" t="n">
        <v>25</v>
      </c>
      <c r="F843" s="176" t="n"/>
      <c r="G843" s="178" t="n"/>
      <c r="H843" s="176" t="inlineStr">
        <is>
          <t>82018</t>
        </is>
      </c>
      <c r="I843" s="176" t="inlineStr">
        <is>
          <t>Бережной Дмитрий Васильевич</t>
        </is>
      </c>
      <c r="J843" s="176" t="n"/>
      <c r="K843" s="176" t="inlineStr">
        <is>
          <t>Нет</t>
        </is>
      </c>
      <c r="L843" s="176" t="n"/>
      <c r="M843" s="176" t="inlineStr">
        <is>
          <t>1 чел Мамаева Дарья Геннадьевна</t>
        </is>
      </c>
      <c r="N843" s="179">
        <f>SUMIFS($E$2:$E$896,$A$2:$A$896,"осень",$I$2:$I$896,I843)</f>
        <v/>
      </c>
      <c r="O843" s="179">
        <f>SUMIFS($E$2:$E$896,$A$2:$A$896,"весна",$I$2:$I$896,I843)</f>
        <v/>
      </c>
      <c r="P843" s="180">
        <f>N843+O843</f>
        <v/>
      </c>
      <c r="Q843" s="181">
        <f>P843/$Q$1</f>
        <v/>
      </c>
      <c r="R843" s="122">
        <f>P843*0.2</f>
        <v/>
      </c>
      <c r="S843" s="122">
        <f>Q843*0.8</f>
        <v/>
      </c>
      <c r="T843" s="185" t="n">
        <v>0.5</v>
      </c>
    </row>
    <row r="844" hidden="1" ht="15.75" customHeight="1" s="2">
      <c r="A844" s="194" t="inlineStr">
        <is>
          <t>весна</t>
        </is>
      </c>
      <c r="B844" s="176" t="inlineStr">
        <is>
          <t>Диплом</t>
        </is>
      </c>
      <c r="C844" s="176" t="inlineStr">
        <is>
          <t>Диплом</t>
        </is>
      </c>
      <c r="D844" s="176" t="inlineStr">
        <is>
          <t>Т11О-202М-22</t>
        </is>
      </c>
      <c r="E844" s="177" t="n">
        <v>25</v>
      </c>
      <c r="F844" s="176" t="n"/>
      <c r="G844" s="178" t="n"/>
      <c r="H844" s="176" t="inlineStr">
        <is>
          <t>82020</t>
        </is>
      </c>
      <c r="I844" s="176" t="inlineStr">
        <is>
          <t>Варфоломеев Максим Сергеевич</t>
        </is>
      </c>
      <c r="J844" s="176" t="n"/>
      <c r="K844" s="176" t="inlineStr">
        <is>
          <t>Нет</t>
        </is>
      </c>
      <c r="L844" s="176" t="n"/>
      <c r="M844" s="176" t="inlineStr">
        <is>
          <t>1 чел Овчинников Алексей Денисович</t>
        </is>
      </c>
      <c r="N844" s="179">
        <f>SUMIFS($E$2:$E$896,$A$2:$A$896,"осень",$I$2:$I$896,I844)</f>
        <v/>
      </c>
      <c r="O844" s="179">
        <f>SUMIFS($E$2:$E$896,$A$2:$A$896,"весна",$I$2:$I$896,I844)</f>
        <v/>
      </c>
      <c r="P844" s="180">
        <f>N844+O844</f>
        <v/>
      </c>
      <c r="Q844" s="181">
        <f>P844/$Q$1</f>
        <v/>
      </c>
      <c r="R844" s="122">
        <f>P844*0.2</f>
        <v/>
      </c>
      <c r="S844" s="122">
        <f>Q844*0.8</f>
        <v/>
      </c>
      <c r="T844" s="133" t="n">
        <v>0.7</v>
      </c>
    </row>
    <row r="845" hidden="1" ht="15.75" customHeight="1" s="2">
      <c r="A845" s="194" t="inlineStr">
        <is>
          <t>весна</t>
        </is>
      </c>
      <c r="B845" s="176" t="inlineStr">
        <is>
          <t>Диплом</t>
        </is>
      </c>
      <c r="C845" s="176" t="inlineStr">
        <is>
          <t>Диплом</t>
        </is>
      </c>
      <c r="D845" s="176" t="inlineStr">
        <is>
          <t>Т11О-202М-22</t>
        </is>
      </c>
      <c r="E845" s="177" t="n">
        <v>25</v>
      </c>
      <c r="F845" s="176" t="n"/>
      <c r="G845" s="178" t="n"/>
      <c r="H845" s="176" t="inlineStr">
        <is>
          <t>82066</t>
        </is>
      </c>
      <c r="I845" s="176" t="inlineStr">
        <is>
          <t>Серов Михаил Михайлович</t>
        </is>
      </c>
      <c r="J845" s="176" t="n"/>
      <c r="K845" s="176" t="inlineStr">
        <is>
          <t>Нет</t>
        </is>
      </c>
      <c r="L845" s="176" t="n"/>
      <c r="M845" s="176" t="inlineStr">
        <is>
          <t>1 чел Скрыпченко Егор Николаевич</t>
        </is>
      </c>
      <c r="N845" s="179">
        <f>SUMIFS($E$2:$E$896,$A$2:$A$896,"осень",$I$2:$I$896,I845)</f>
        <v/>
      </c>
      <c r="O845" s="179">
        <f>SUMIFS($E$2:$E$896,$A$2:$A$896,"весна",$I$2:$I$896,I845)</f>
        <v/>
      </c>
      <c r="P845" s="180">
        <f>N845+O845</f>
        <v/>
      </c>
      <c r="Q845" s="181">
        <f>P845/$Q$1</f>
        <v/>
      </c>
      <c r="R845" s="122">
        <f>P845*0.2</f>
        <v/>
      </c>
      <c r="S845" s="122">
        <f>Q845*0.8</f>
        <v/>
      </c>
      <c r="T845" s="133" t="n">
        <v>0.6</v>
      </c>
    </row>
    <row r="846" hidden="1" ht="15.75" customHeight="1" s="2">
      <c r="A846" s="194" t="inlineStr">
        <is>
          <t>весна</t>
        </is>
      </c>
      <c r="B846" s="176" t="inlineStr">
        <is>
          <t>Диплом</t>
        </is>
      </c>
      <c r="C846" s="176" t="inlineStr">
        <is>
          <t>Диплом</t>
        </is>
      </c>
      <c r="D846" s="176" t="inlineStr">
        <is>
          <t>Т11О-202М-22</t>
        </is>
      </c>
      <c r="E846" s="177" t="n">
        <v>25</v>
      </c>
      <c r="F846" s="176" t="n"/>
      <c r="G846" s="178" t="n"/>
      <c r="H846" s="176" t="inlineStr">
        <is>
          <t>94221</t>
        </is>
      </c>
      <c r="I846" s="176" t="inlineStr">
        <is>
          <t>Шляпцева Анастасия Дмитриевна</t>
        </is>
      </c>
      <c r="J846" s="176" t="n"/>
      <c r="K846" s="176" t="inlineStr">
        <is>
          <t>Нет</t>
        </is>
      </c>
      <c r="L846" s="176" t="n"/>
      <c r="M846" s="176" t="inlineStr">
        <is>
          <t>1 чел Солдатов Павел Александрович</t>
        </is>
      </c>
      <c r="N846" s="179">
        <f>SUMIFS($E$2:$E$896,$A$2:$A$896,"осень",$I$2:$I$896,I846)</f>
        <v/>
      </c>
      <c r="O846" s="179">
        <f>SUMIFS($E$2:$E$896,$A$2:$A$896,"весна",$I$2:$I$896,I846)</f>
        <v/>
      </c>
      <c r="P846" s="180">
        <f>N846+O846</f>
        <v/>
      </c>
      <c r="Q846" s="181">
        <f>P846/$Q$1</f>
        <v/>
      </c>
      <c r="R846" s="122">
        <f>P846*0.2</f>
        <v/>
      </c>
      <c r="S846" s="122">
        <f>Q846*0.8</f>
        <v/>
      </c>
      <c r="T846" s="133" t="n">
        <v>0.45</v>
      </c>
    </row>
    <row r="847" hidden="1" ht="15.75" customHeight="1" s="2">
      <c r="A847" s="198" t="inlineStr">
        <is>
          <t>весна</t>
        </is>
      </c>
      <c r="B847" s="182" t="inlineStr">
        <is>
          <t>Диплом</t>
        </is>
      </c>
      <c r="C847" s="182" t="inlineStr">
        <is>
          <t>Диплом</t>
        </is>
      </c>
      <c r="D847" s="182" t="inlineStr">
        <is>
          <t>Т11О-202М-22</t>
        </is>
      </c>
      <c r="E847" s="183" t="n">
        <v>14</v>
      </c>
      <c r="F847" s="176" t="n"/>
      <c r="G847" s="178" t="n"/>
      <c r="H847" s="176" t="n"/>
      <c r="I847" s="176" t="inlineStr">
        <is>
          <t>э-пустое</t>
        </is>
      </c>
      <c r="J847" s="176" t="n"/>
      <c r="K847" s="176" t="inlineStr">
        <is>
          <t>Нет</t>
        </is>
      </c>
      <c r="L847" s="176" t="n"/>
      <c r="M847" s="192" t="inlineStr">
        <is>
          <t>комиссия внешн</t>
        </is>
      </c>
      <c r="N847" s="179">
        <f>SUMIFS($E$2:$E$896,$A$2:$A$896,"осень",$I$2:$I$896,I847)</f>
        <v/>
      </c>
      <c r="O847" s="179">
        <f>SUMIFS($E$2:$E$896,$A$2:$A$896,"весна",$I$2:$I$896,I847)</f>
        <v/>
      </c>
      <c r="P847" s="180">
        <f>N847+O847</f>
        <v/>
      </c>
      <c r="Q847" s="181">
        <f>P847/$Q$1</f>
        <v/>
      </c>
      <c r="R847" s="122">
        <f>P847*0.2</f>
        <v/>
      </c>
      <c r="S847" s="122">
        <f>Q847*0.8</f>
        <v/>
      </c>
      <c r="T847" s="185" t="n">
        <v>0</v>
      </c>
    </row>
    <row r="848" hidden="1" ht="15.75" customHeight="1" s="2">
      <c r="A848" s="198" t="inlineStr">
        <is>
          <t>весна</t>
        </is>
      </c>
      <c r="B848" s="182" t="inlineStr">
        <is>
          <t>Диплом</t>
        </is>
      </c>
      <c r="C848" s="182" t="inlineStr">
        <is>
          <t>Диплом</t>
        </is>
      </c>
      <c r="D848" s="182" t="inlineStr">
        <is>
          <t>Т11О-202М-22</t>
        </is>
      </c>
      <c r="E848" s="183" t="n">
        <v>7</v>
      </c>
      <c r="F848" s="176" t="n"/>
      <c r="G848" s="178" t="n"/>
      <c r="H848" s="176" t="n"/>
      <c r="I848" s="176" t="inlineStr">
        <is>
          <t>Шляпцева Анастасия Дмитриевна</t>
        </is>
      </c>
      <c r="J848" s="176" t="n"/>
      <c r="K848" s="176" t="inlineStr">
        <is>
          <t>Нет</t>
        </is>
      </c>
      <c r="L848" s="176" t="n"/>
      <c r="M848" s="192" t="inlineStr">
        <is>
          <t>комиссия Нормаконтролер</t>
        </is>
      </c>
      <c r="N848" s="179">
        <f>SUMIFS($E$2:$E$896,$A$2:$A$896,"осень",$I$2:$I$896,I848)</f>
        <v/>
      </c>
      <c r="O848" s="179">
        <f>SUMIFS($E$2:$E$896,$A$2:$A$896,"весна",$I$2:$I$896,I848)</f>
        <v/>
      </c>
      <c r="P848" s="180">
        <f>N848+O848</f>
        <v/>
      </c>
      <c r="Q848" s="181">
        <f>P848/$Q$1</f>
        <v/>
      </c>
      <c r="R848" s="122">
        <f>P848*0.2</f>
        <v/>
      </c>
      <c r="S848" s="122">
        <f>Q848*0.8</f>
        <v/>
      </c>
      <c r="T848" s="133" t="n">
        <v>0.45</v>
      </c>
    </row>
    <row r="849" hidden="1" ht="15.75" customHeight="1" s="2">
      <c r="A849" s="198" t="inlineStr">
        <is>
          <t>весна</t>
        </is>
      </c>
      <c r="B849" s="182" t="inlineStr">
        <is>
          <t>Диплом</t>
        </is>
      </c>
      <c r="C849" s="182" t="inlineStr">
        <is>
          <t>Диплом</t>
        </is>
      </c>
      <c r="D849" s="182" t="inlineStr">
        <is>
          <t>Т11О-202М-22</t>
        </is>
      </c>
      <c r="E849" s="183" t="n">
        <v>7</v>
      </c>
      <c r="F849" s="176" t="n"/>
      <c r="G849" s="178" t="n"/>
      <c r="H849" s="176" t="n"/>
      <c r="I849" s="176" t="inlineStr">
        <is>
          <t>Петров Игорь Алексеевич</t>
        </is>
      </c>
      <c r="J849" s="176" t="n"/>
      <c r="K849" s="176" t="inlineStr">
        <is>
          <t>Нет</t>
        </is>
      </c>
      <c r="L849" s="176" t="n"/>
      <c r="M849" s="192" t="inlineStr">
        <is>
          <t>комиссия секретарь</t>
        </is>
      </c>
      <c r="N849" s="179">
        <f>SUMIFS($E$2:$E$896,$A$2:$A$896,"осень",$I$2:$I$896,I849)</f>
        <v/>
      </c>
      <c r="O849" s="179">
        <f>SUMIFS($E$2:$E$896,$A$2:$A$896,"весна",$I$2:$I$896,I849)</f>
        <v/>
      </c>
      <c r="P849" s="180">
        <f>N849+O849</f>
        <v/>
      </c>
      <c r="Q849" s="181">
        <f>P849/$Q$1</f>
        <v/>
      </c>
      <c r="R849" s="122">
        <f>P849*0.2</f>
        <v/>
      </c>
      <c r="S849" s="122">
        <f>Q849*0.8</f>
        <v/>
      </c>
      <c r="T849" s="133" t="n">
        <v>0.35</v>
      </c>
    </row>
    <row r="850" hidden="1" ht="15.75" customHeight="1" s="2">
      <c r="A850" s="198" t="inlineStr">
        <is>
          <t>весна</t>
        </is>
      </c>
      <c r="B850" s="182" t="inlineStr">
        <is>
          <t>Диплом</t>
        </is>
      </c>
      <c r="C850" s="182" t="inlineStr">
        <is>
          <t>Диплом</t>
        </is>
      </c>
      <c r="D850" s="182" t="inlineStr">
        <is>
          <t>Т11О-202М-22</t>
        </is>
      </c>
      <c r="E850" s="183" t="n">
        <v>3.5</v>
      </c>
      <c r="F850" s="176" t="n"/>
      <c r="G850" s="178" t="n"/>
      <c r="H850" s="176" t="n"/>
      <c r="I850" s="176" t="inlineStr">
        <is>
          <t>Бережной Дмитрий Васильевич</t>
        </is>
      </c>
      <c r="J850" s="176" t="n"/>
      <c r="K850" s="176" t="inlineStr">
        <is>
          <t>Нет</t>
        </is>
      </c>
      <c r="L850" s="176" t="n"/>
      <c r="M850" s="192" t="inlineStr">
        <is>
          <t>комиссия наша</t>
        </is>
      </c>
      <c r="N850" s="179">
        <f>SUMIFS($E$2:$E$896,$A$2:$A$896,"осень",$I$2:$I$896,I850)</f>
        <v/>
      </c>
      <c r="O850" s="179">
        <f>SUMIFS($E$2:$E$896,$A$2:$A$896,"весна",$I$2:$I$896,I850)</f>
        <v/>
      </c>
      <c r="P850" s="180">
        <f>N850+O850</f>
        <v/>
      </c>
      <c r="Q850" s="181">
        <f>P850/$Q$1</f>
        <v/>
      </c>
      <c r="R850" s="122">
        <f>P850*0.2</f>
        <v/>
      </c>
      <c r="S850" s="122">
        <f>Q850*0.8</f>
        <v/>
      </c>
      <c r="T850" s="185" t="n">
        <v>0.5</v>
      </c>
    </row>
    <row r="851" hidden="1" ht="15.75" customHeight="1" s="2">
      <c r="A851" s="198" t="inlineStr">
        <is>
          <t>весна</t>
        </is>
      </c>
      <c r="B851" s="182" t="inlineStr">
        <is>
          <t>Диплом</t>
        </is>
      </c>
      <c r="C851" s="182" t="inlineStr">
        <is>
          <t>Диплом</t>
        </is>
      </c>
      <c r="D851" s="182" t="inlineStr">
        <is>
          <t>Т11О-202М-22</t>
        </is>
      </c>
      <c r="E851" s="183" t="n">
        <v>3.5</v>
      </c>
      <c r="F851" s="176" t="n"/>
      <c r="G851" s="178" t="n"/>
      <c r="H851" s="176" t="n"/>
      <c r="I851" s="176" t="inlineStr">
        <is>
          <t>Серов Михаил Михайлович</t>
        </is>
      </c>
      <c r="J851" s="176" t="n"/>
      <c r="K851" s="176" t="inlineStr">
        <is>
          <t>Нет</t>
        </is>
      </c>
      <c r="L851" s="176" t="n"/>
      <c r="M851" s="192" t="inlineStr">
        <is>
          <t>комиссия наша</t>
        </is>
      </c>
      <c r="N851" s="179">
        <f>SUMIFS($E$2:$E$896,$A$2:$A$896,"осень",$I$2:$I$896,I851)</f>
        <v/>
      </c>
      <c r="O851" s="179">
        <f>SUMIFS($E$2:$E$896,$A$2:$A$896,"весна",$I$2:$I$896,I851)</f>
        <v/>
      </c>
      <c r="P851" s="180">
        <f>N851+O851</f>
        <v/>
      </c>
      <c r="Q851" s="181">
        <f>P851/$Q$1</f>
        <v/>
      </c>
      <c r="R851" s="122">
        <f>P851*0.2</f>
        <v/>
      </c>
      <c r="S851" s="122">
        <f>Q851*0.8</f>
        <v/>
      </c>
      <c r="T851" s="133" t="n">
        <v>0.6</v>
      </c>
    </row>
    <row r="852" hidden="1" ht="15.75" customHeight="1" s="2">
      <c r="A852" s="194" t="inlineStr">
        <is>
          <t>весна</t>
        </is>
      </c>
      <c r="B852" s="182" t="inlineStr">
        <is>
          <t>Диплом</t>
        </is>
      </c>
      <c r="C852" s="182" t="inlineStr">
        <is>
          <t>Диплом</t>
        </is>
      </c>
      <c r="D852" s="182" t="inlineStr">
        <is>
          <t>Т11О-202М-22</t>
        </is>
      </c>
      <c r="E852" s="183" t="n">
        <v>3.5</v>
      </c>
      <c r="F852" s="176" t="n"/>
      <c r="G852" s="178" t="n"/>
      <c r="H852" s="176" t="n"/>
      <c r="I852" s="176" t="inlineStr">
        <is>
          <t>Лозован Александр Александрович</t>
        </is>
      </c>
      <c r="J852" s="176" t="n"/>
      <c r="K852" s="176" t="inlineStr">
        <is>
          <t>Нет</t>
        </is>
      </c>
      <c r="L852" s="176" t="n"/>
      <c r="M852" s="192" t="inlineStr">
        <is>
          <t>комиссия наша</t>
        </is>
      </c>
      <c r="N852" s="179">
        <f>SUMIFS($E$2:$E$896,$A$2:$A$896,"осень",$I$2:$I$896,I852)</f>
        <v/>
      </c>
      <c r="O852" s="179">
        <f>SUMIFS($E$2:$E$896,$A$2:$A$896,"весна",$I$2:$I$896,I852)</f>
        <v/>
      </c>
      <c r="P852" s="180">
        <f>N852+O852</f>
        <v/>
      </c>
      <c r="Q852" s="181">
        <f>P852/$Q$1</f>
        <v/>
      </c>
      <c r="R852" s="122">
        <f>P852*0.2</f>
        <v/>
      </c>
      <c r="S852" s="122">
        <f>Q852*0.8</f>
        <v/>
      </c>
      <c r="T852" s="133" t="n">
        <v>0.55</v>
      </c>
    </row>
    <row r="853" hidden="1" ht="15.75" customHeight="1" s="2">
      <c r="A853" s="194" t="inlineStr">
        <is>
          <t>весна</t>
        </is>
      </c>
      <c r="B853" s="176" t="inlineStr">
        <is>
          <t>Диплом</t>
        </is>
      </c>
      <c r="C853" s="176" t="inlineStr">
        <is>
          <t>Диплом</t>
        </is>
      </c>
      <c r="D853" s="176" t="inlineStr">
        <is>
          <t>Т11О-401Б-20</t>
        </is>
      </c>
      <c r="E853" s="177" t="n">
        <v>20</v>
      </c>
      <c r="F853" s="176" t="n"/>
      <c r="G853" s="178" t="n"/>
      <c r="H853" s="176" t="inlineStr">
        <is>
          <t>81731</t>
        </is>
      </c>
      <c r="I853" s="176" t="inlineStr">
        <is>
          <t>Беспалов Александр Владимирович</t>
        </is>
      </c>
      <c r="J853" s="176" t="n"/>
      <c r="K853" s="176" t="inlineStr">
        <is>
          <t>Нет</t>
        </is>
      </c>
      <c r="L853" s="176" t="n"/>
      <c r="M853" s="176" t="inlineStr">
        <is>
          <t>Стариннова</t>
        </is>
      </c>
      <c r="N853" s="179">
        <f>SUMIFS($E$2:$E$896,$A$2:$A$896,"осень",$I$2:$I$896,I853)</f>
        <v/>
      </c>
      <c r="O853" s="179">
        <f>SUMIFS($E$2:$E$896,$A$2:$A$896,"весна",$I$2:$I$896,I853)</f>
        <v/>
      </c>
      <c r="P853" s="180">
        <f>N853+O853</f>
        <v/>
      </c>
      <c r="Q853" s="181">
        <f>P853/$Q$1</f>
        <v/>
      </c>
      <c r="R853" s="122">
        <f>P853*0.2</f>
        <v/>
      </c>
      <c r="S853" s="122">
        <f>Q853*0.8</f>
        <v/>
      </c>
      <c r="T853" s="133" t="n">
        <v>0.15</v>
      </c>
    </row>
    <row r="854" hidden="1" ht="15.75" customHeight="1" s="2">
      <c r="A854" s="194" t="inlineStr">
        <is>
          <t>весна</t>
        </is>
      </c>
      <c r="B854" s="176" t="inlineStr">
        <is>
          <t>Диплом</t>
        </is>
      </c>
      <c r="C854" s="176" t="inlineStr">
        <is>
          <t>Диплом</t>
        </is>
      </c>
      <c r="D854" s="176" t="inlineStr">
        <is>
          <t>Т11О-401Б-20</t>
        </is>
      </c>
      <c r="E854" s="177" t="n">
        <v>20</v>
      </c>
      <c r="F854" s="176" t="n"/>
      <c r="G854" s="178" t="n"/>
      <c r="H854" s="176" t="inlineStr">
        <is>
          <t>81728</t>
        </is>
      </c>
      <c r="I854" s="176" t="inlineStr">
        <is>
          <t>Галкин Виктор Иванович</t>
        </is>
      </c>
      <c r="J854" s="176" t="n"/>
      <c r="K854" s="176" t="inlineStr">
        <is>
          <t>Нет</t>
        </is>
      </c>
      <c r="L854" s="176" t="n"/>
      <c r="M854" s="176" t="inlineStr">
        <is>
          <t>Филинов</t>
        </is>
      </c>
      <c r="N854" s="179">
        <f>SUMIFS($E$2:$E$896,$A$2:$A$896,"осень",$I$2:$I$896,I854)</f>
        <v/>
      </c>
      <c r="O854" s="179">
        <f>SUMIFS($E$2:$E$896,$A$2:$A$896,"весна",$I$2:$I$896,I854)</f>
        <v/>
      </c>
      <c r="P854" s="180">
        <f>N854+O854</f>
        <v/>
      </c>
      <c r="Q854" s="181">
        <f>P854/$Q$1</f>
        <v/>
      </c>
      <c r="R854" s="122">
        <f>P854*0.2</f>
        <v/>
      </c>
      <c r="S854" s="122">
        <f>Q854*0.8</f>
        <v/>
      </c>
      <c r="T854" s="133" t="n">
        <v>0.75</v>
      </c>
    </row>
    <row r="855" hidden="1" ht="15.75" customHeight="1" s="2">
      <c r="A855" s="194" t="inlineStr">
        <is>
          <t>весна</t>
        </is>
      </c>
      <c r="B855" s="176" t="inlineStr">
        <is>
          <t>Диплом</t>
        </is>
      </c>
      <c r="C855" s="176" t="inlineStr">
        <is>
          <t>Диплом</t>
        </is>
      </c>
      <c r="D855" s="176" t="inlineStr">
        <is>
          <t>Т11О-401Б-20</t>
        </is>
      </c>
      <c r="E855" s="177" t="n">
        <v>40</v>
      </c>
      <c r="F855" s="176" t="n"/>
      <c r="G855" s="178" t="n"/>
      <c r="H855" s="176" t="inlineStr">
        <is>
          <t>82056</t>
        </is>
      </c>
      <c r="I855" s="176" t="inlineStr">
        <is>
          <t>Никитина Елена Владимировна</t>
        </is>
      </c>
      <c r="J855" s="176" t="n"/>
      <c r="K855" s="176" t="inlineStr">
        <is>
          <t>Нет</t>
        </is>
      </c>
      <c r="L855" s="176" t="n"/>
      <c r="M855" s="176" t="inlineStr">
        <is>
          <t>Андреева, Разговоров</t>
        </is>
      </c>
      <c r="N855" s="179">
        <f>SUMIFS($E$2:$E$896,$A$2:$A$896,"осень",$I$2:$I$896,I855)</f>
        <v/>
      </c>
      <c r="O855" s="179">
        <f>SUMIFS($E$2:$E$896,$A$2:$A$896,"весна",$I$2:$I$896,I855)</f>
        <v/>
      </c>
      <c r="P855" s="180">
        <f>N855+O855</f>
        <v/>
      </c>
      <c r="Q855" s="181">
        <f>P855/$Q$1</f>
        <v/>
      </c>
      <c r="R855" s="122">
        <f>P855*0.2</f>
        <v/>
      </c>
      <c r="S855" s="122">
        <f>Q855*0.8</f>
        <v/>
      </c>
      <c r="T855" s="133" t="n">
        <v>0.5</v>
      </c>
    </row>
    <row r="856" hidden="1" ht="15.75" customHeight="1" s="2">
      <c r="A856" s="194" t="inlineStr">
        <is>
          <t>весна</t>
        </is>
      </c>
      <c r="B856" s="176" t="inlineStr">
        <is>
          <t>Диплом</t>
        </is>
      </c>
      <c r="C856" s="176" t="inlineStr">
        <is>
          <t>Диплом</t>
        </is>
      </c>
      <c r="D856" s="176" t="inlineStr">
        <is>
          <t>Т11О-401Б-20</t>
        </is>
      </c>
      <c r="E856" s="177" t="n">
        <v>60</v>
      </c>
      <c r="F856" s="176" t="n"/>
      <c r="G856" s="178" t="n"/>
      <c r="H856" s="176" t="inlineStr">
        <is>
          <t>81720</t>
        </is>
      </c>
      <c r="I856" s="176" t="inlineStr">
        <is>
          <t>Палтиевич Андрей Романович</t>
        </is>
      </c>
      <c r="J856" s="176" t="n"/>
      <c r="K856" s="176" t="inlineStr">
        <is>
          <t>Нет</t>
        </is>
      </c>
      <c r="L856" s="176" t="n"/>
      <c r="M856" s="176" t="inlineStr">
        <is>
          <t>Емельянов, Попова, Ческидов</t>
        </is>
      </c>
      <c r="N856" s="179">
        <f>SUMIFS($E$2:$E$896,$A$2:$A$896,"осень",$I$2:$I$896,I856)</f>
        <v/>
      </c>
      <c r="O856" s="179">
        <f>SUMIFS($E$2:$E$896,$A$2:$A$896,"весна",$I$2:$I$896,I856)</f>
        <v/>
      </c>
      <c r="P856" s="180">
        <f>N856+O856</f>
        <v/>
      </c>
      <c r="Q856" s="181">
        <f>P856/$Q$1</f>
        <v/>
      </c>
      <c r="R856" s="122">
        <f>P856*0.2</f>
        <v/>
      </c>
      <c r="S856" s="122">
        <f>Q856*0.8</f>
        <v/>
      </c>
      <c r="T856" s="133" t="n">
        <v>0.65</v>
      </c>
    </row>
    <row r="857" hidden="1" ht="15.75" customHeight="1" s="2">
      <c r="A857" s="194" t="inlineStr">
        <is>
          <t>весна</t>
        </is>
      </c>
      <c r="B857" s="176" t="inlineStr">
        <is>
          <t>Диплом</t>
        </is>
      </c>
      <c r="C857" s="176" t="inlineStr">
        <is>
          <t>Диплом</t>
        </is>
      </c>
      <c r="D857" s="176" t="inlineStr">
        <is>
          <t>Т11О-401Б-20</t>
        </is>
      </c>
      <c r="E857" s="177" t="n">
        <v>20</v>
      </c>
      <c r="F857" s="176" t="n"/>
      <c r="G857" s="178" t="n"/>
      <c r="H857" s="176" t="inlineStr">
        <is>
          <t>81732</t>
        </is>
      </c>
      <c r="I857" s="176" t="inlineStr">
        <is>
          <t>Петров Анатолий Павлович</t>
        </is>
      </c>
      <c r="J857" s="176" t="n"/>
      <c r="K857" s="176" t="inlineStr">
        <is>
          <t>Нет</t>
        </is>
      </c>
      <c r="L857" s="176" t="n"/>
      <c r="M857" s="176" t="inlineStr">
        <is>
          <t>Лукашин</t>
        </is>
      </c>
      <c r="N857" s="179">
        <f>SUMIFS($E$2:$E$896,$A$2:$A$896,"осень",$I$2:$I$896,I857)</f>
        <v/>
      </c>
      <c r="O857" s="179">
        <f>SUMIFS($E$2:$E$896,$A$2:$A$896,"весна",$I$2:$I$896,I857)</f>
        <v/>
      </c>
      <c r="P857" s="180">
        <f>N857+O857</f>
        <v/>
      </c>
      <c r="Q857" s="181">
        <f>P857/$Q$1</f>
        <v/>
      </c>
      <c r="R857" s="122">
        <f>P857*0.2</f>
        <v/>
      </c>
      <c r="S857" s="122">
        <f>Q857*0.8</f>
        <v/>
      </c>
      <c r="T857" s="133" t="n">
        <v>0.25</v>
      </c>
    </row>
    <row r="858" hidden="1" ht="15.75" customHeight="1" s="2">
      <c r="A858" s="194" t="inlineStr">
        <is>
          <t>весна</t>
        </is>
      </c>
      <c r="B858" s="176" t="inlineStr">
        <is>
          <t>Диплом</t>
        </is>
      </c>
      <c r="C858" s="176" t="inlineStr">
        <is>
          <t>Диплом</t>
        </is>
      </c>
      <c r="D858" s="176" t="inlineStr">
        <is>
          <t>Т11О-401Б-20</t>
        </is>
      </c>
      <c r="E858" s="177" t="n">
        <v>20</v>
      </c>
      <c r="F858" s="176" t="n"/>
      <c r="G858" s="178" t="n"/>
      <c r="H858" s="176" t="inlineStr">
        <is>
          <t>81729</t>
        </is>
      </c>
      <c r="I858" s="176" t="inlineStr">
        <is>
          <t>Соколов Алексей Викторович</t>
        </is>
      </c>
      <c r="J858" s="176" t="n"/>
      <c r="K858" s="176" t="inlineStr">
        <is>
          <t>Нет</t>
        </is>
      </c>
      <c r="L858" s="176" t="n"/>
      <c r="M858" s="176" t="inlineStr">
        <is>
          <t>Дыбашев</t>
        </is>
      </c>
      <c r="N858" s="179">
        <f>SUMIFS($E$2:$E$896,$A$2:$A$896,"осень",$I$2:$I$896,I858)</f>
        <v/>
      </c>
      <c r="O858" s="179">
        <f>SUMIFS($E$2:$E$896,$A$2:$A$896,"весна",$I$2:$I$896,I858)</f>
        <v/>
      </c>
      <c r="P858" s="180">
        <f>N858+O858</f>
        <v/>
      </c>
      <c r="Q858" s="181">
        <f>P858/$Q$1</f>
        <v/>
      </c>
      <c r="R858" s="122">
        <f>P858*0.2</f>
        <v/>
      </c>
      <c r="S858" s="122">
        <f>Q858*0.8</f>
        <v/>
      </c>
      <c r="T858" s="133" t="n">
        <v>0.55</v>
      </c>
    </row>
    <row r="859" hidden="1" ht="15.75" customHeight="1" s="2">
      <c r="A859" s="194" t="inlineStr">
        <is>
          <t>весна</t>
        </is>
      </c>
      <c r="B859" s="182" t="inlineStr">
        <is>
          <t>Диплом</t>
        </is>
      </c>
      <c r="C859" s="182" t="inlineStr">
        <is>
          <t>Диплом</t>
        </is>
      </c>
      <c r="D859" s="182" t="inlineStr">
        <is>
          <t>Т11О-401Б-20</t>
        </is>
      </c>
      <c r="E859" s="183" t="n">
        <v>20</v>
      </c>
      <c r="F859" s="182" t="n"/>
      <c r="G859" s="187" t="n"/>
      <c r="H859" s="182" t="inlineStr">
        <is>
          <t>89090</t>
        </is>
      </c>
      <c r="I859" s="182" t="inlineStr">
        <is>
          <t>Никитина Елена Владимировна</t>
        </is>
      </c>
      <c r="J859" s="182" t="n"/>
      <c r="K859" s="182" t="inlineStr">
        <is>
          <t>Нет</t>
        </is>
      </c>
      <c r="L859" s="182" t="n"/>
      <c r="M859" s="182" t="inlineStr">
        <is>
          <t>Шадрунов</t>
        </is>
      </c>
      <c r="N859" s="179">
        <f>SUMIFS($E$2:$E$896,$A$2:$A$896,"осень",$I$2:$I$896,I859)</f>
        <v/>
      </c>
      <c r="O859" s="179">
        <f>SUMIFS($E$2:$E$896,$A$2:$A$896,"весна",$I$2:$I$896,I859)</f>
        <v/>
      </c>
      <c r="P859" s="180">
        <f>N859+O859</f>
        <v/>
      </c>
      <c r="Q859" s="181">
        <f>P859/$Q$1</f>
        <v/>
      </c>
      <c r="R859" s="122">
        <f>P859*0.2</f>
        <v/>
      </c>
      <c r="S859" s="122">
        <f>Q859*0.8</f>
        <v/>
      </c>
      <c r="T859" s="133" t="n">
        <v>0.5</v>
      </c>
    </row>
    <row r="860" hidden="1" ht="15.75" customHeight="1" s="2">
      <c r="A860" s="194" t="inlineStr">
        <is>
          <t>весна</t>
        </is>
      </c>
      <c r="B860" s="176" t="inlineStr">
        <is>
          <t>Диплом</t>
        </is>
      </c>
      <c r="C860" s="176" t="inlineStr">
        <is>
          <t>Диплом</t>
        </is>
      </c>
      <c r="D860" s="176" t="inlineStr">
        <is>
          <t>Т11О-401Б-20</t>
        </is>
      </c>
      <c r="E860" s="177" t="n">
        <v>20</v>
      </c>
      <c r="F860" s="176" t="n"/>
      <c r="G860" s="178" t="n"/>
      <c r="H860" s="176" t="inlineStr">
        <is>
          <t>81722</t>
        </is>
      </c>
      <c r="I860" s="176" t="inlineStr">
        <is>
          <t>Шленский Алексей Геннадьевич</t>
        </is>
      </c>
      <c r="J860" s="176" t="n"/>
      <c r="K860" s="176" t="inlineStr">
        <is>
          <t>Нет</t>
        </is>
      </c>
      <c r="L860" s="176" t="n"/>
      <c r="M860" s="176" t="inlineStr">
        <is>
          <t>Александров</t>
        </is>
      </c>
      <c r="N860" s="179">
        <f>SUMIFS($E$2:$E$896,$A$2:$A$896,"осень",$I$2:$I$896,I860)</f>
        <v/>
      </c>
      <c r="O860" s="179">
        <f>SUMIFS($E$2:$E$896,$A$2:$A$896,"весна",$I$2:$I$896,I860)</f>
        <v/>
      </c>
      <c r="P860" s="180">
        <f>N860+O860</f>
        <v/>
      </c>
      <c r="Q860" s="181">
        <f>P860/$Q$1</f>
        <v/>
      </c>
      <c r="R860" s="122">
        <f>P860*0.2</f>
        <v/>
      </c>
      <c r="S860" s="122">
        <f>Q860*0.8</f>
        <v/>
      </c>
      <c r="T860" s="133" t="n">
        <v>0.7</v>
      </c>
    </row>
    <row r="861" hidden="1" ht="15.75" customHeight="1" s="2">
      <c r="A861" s="194" t="inlineStr">
        <is>
          <t>весна</t>
        </is>
      </c>
      <c r="B861" s="182" t="inlineStr">
        <is>
          <t>Диплом</t>
        </is>
      </c>
      <c r="C861" s="182" t="inlineStr">
        <is>
          <t>Диплом</t>
        </is>
      </c>
      <c r="D861" s="182" t="inlineStr">
        <is>
          <t>Т11О-401Б-20</t>
        </is>
      </c>
      <c r="E861" s="183" t="n">
        <v>20</v>
      </c>
      <c r="F861" s="182" t="n"/>
      <c r="G861" s="187" t="n"/>
      <c r="H861" s="182" t="inlineStr">
        <is>
          <t>92509</t>
        </is>
      </c>
      <c r="I861" s="182" t="inlineStr">
        <is>
          <t>Соколов Алексей Викторович</t>
        </is>
      </c>
      <c r="J861" s="176" t="n"/>
      <c r="K861" s="176" t="inlineStr">
        <is>
          <t>Нет</t>
        </is>
      </c>
      <c r="L861" s="176" t="n"/>
      <c r="M861" s="176" t="inlineStr">
        <is>
          <t>Жумабоев</t>
        </is>
      </c>
      <c r="N861" s="179">
        <f>SUMIFS($E$2:$E$896,$A$2:$A$896,"осень",$I$2:$I$896,I861)</f>
        <v/>
      </c>
      <c r="O861" s="179">
        <f>SUMIFS($E$2:$E$896,$A$2:$A$896,"весна",$I$2:$I$896,I861)</f>
        <v/>
      </c>
      <c r="P861" s="180">
        <f>N861+O861</f>
        <v/>
      </c>
      <c r="Q861" s="181">
        <f>P861/$Q$1</f>
        <v/>
      </c>
      <c r="R861" s="122">
        <f>P861*0.2</f>
        <v/>
      </c>
      <c r="S861" s="122">
        <f>Q861*0.8</f>
        <v/>
      </c>
      <c r="T861" s="133" t="n">
        <v>0.55</v>
      </c>
    </row>
    <row r="862" hidden="1" ht="15.75" customHeight="1" s="2">
      <c r="A862" s="198" t="inlineStr">
        <is>
          <t>весна</t>
        </is>
      </c>
      <c r="B862" s="182" t="inlineStr">
        <is>
          <t>Диплом</t>
        </is>
      </c>
      <c r="C862" s="182" t="inlineStr">
        <is>
          <t>Диплом</t>
        </is>
      </c>
      <c r="D862" s="182" t="inlineStr">
        <is>
          <t>Т11О-401Б-20</t>
        </is>
      </c>
      <c r="E862" s="183" t="n">
        <v>24</v>
      </c>
      <c r="F862" s="176" t="n"/>
      <c r="G862" s="178" t="n"/>
      <c r="H862" s="176" t="n"/>
      <c r="I862" s="176" t="inlineStr">
        <is>
          <t>э-пустое</t>
        </is>
      </c>
      <c r="J862" s="176" t="n"/>
      <c r="K862" s="176" t="inlineStr">
        <is>
          <t>Нет</t>
        </is>
      </c>
      <c r="L862" s="176" t="n"/>
      <c r="M862" s="192" t="inlineStr">
        <is>
          <t>комиссия внешн</t>
        </is>
      </c>
      <c r="N862" s="179">
        <f>SUMIFS($E$2:$E$896,$A$2:$A$896,"осень",$I$2:$I$896,I862)</f>
        <v/>
      </c>
      <c r="O862" s="179">
        <f>SUMIFS($E$2:$E$896,$A$2:$A$896,"весна",$I$2:$I$896,I862)</f>
        <v/>
      </c>
      <c r="P862" s="180">
        <f>N862+O862</f>
        <v/>
      </c>
      <c r="Q862" s="181">
        <f>P862/$Q$1</f>
        <v/>
      </c>
      <c r="R862" s="122">
        <f>P862*0.2</f>
        <v/>
      </c>
      <c r="S862" s="122">
        <f>Q862*0.8</f>
        <v/>
      </c>
      <c r="T862" s="185" t="n">
        <v>0</v>
      </c>
    </row>
    <row r="863" hidden="1" ht="15.75" customHeight="1" s="2">
      <c r="A863" s="198" t="inlineStr">
        <is>
          <t>весна</t>
        </is>
      </c>
      <c r="B863" s="182" t="inlineStr">
        <is>
          <t>Диплом</t>
        </is>
      </c>
      <c r="C863" s="182" t="inlineStr">
        <is>
          <t>Диплом</t>
        </is>
      </c>
      <c r="D863" s="182" t="inlineStr">
        <is>
          <t>Т11О-401Б-20</t>
        </is>
      </c>
      <c r="E863" s="183" t="n">
        <v>12</v>
      </c>
      <c r="F863" s="176" t="n"/>
      <c r="G863" s="178" t="n"/>
      <c r="H863" s="176" t="n"/>
      <c r="I863" s="176" t="inlineStr">
        <is>
          <t>Соколов Алексей Викторович</t>
        </is>
      </c>
      <c r="J863" s="176" t="n"/>
      <c r="K863" s="176" t="inlineStr">
        <is>
          <t>Нет</t>
        </is>
      </c>
      <c r="L863" s="176" t="n"/>
      <c r="M863" s="192" t="inlineStr">
        <is>
          <t>комиссия Нормаконтролер</t>
        </is>
      </c>
      <c r="N863" s="179">
        <f>SUMIFS($E$2:$E$896,$A$2:$A$896,"осень",$I$2:$I$896,I863)</f>
        <v/>
      </c>
      <c r="O863" s="179">
        <f>SUMIFS($E$2:$E$896,$A$2:$A$896,"весна",$I$2:$I$896,I863)</f>
        <v/>
      </c>
      <c r="P863" s="180">
        <f>N863+O863</f>
        <v/>
      </c>
      <c r="Q863" s="181">
        <f>P863/$Q$1</f>
        <v/>
      </c>
      <c r="R863" s="122">
        <f>P863*0.2</f>
        <v/>
      </c>
      <c r="S863" s="122">
        <f>Q863*0.8</f>
        <v/>
      </c>
      <c r="T863" s="133" t="n">
        <v>0.55</v>
      </c>
    </row>
    <row r="864" hidden="1" ht="15.75" customHeight="1" s="2">
      <c r="A864" s="198" t="inlineStr">
        <is>
          <t>весна</t>
        </is>
      </c>
      <c r="B864" s="182" t="inlineStr">
        <is>
          <t>Диплом</t>
        </is>
      </c>
      <c r="C864" s="182" t="inlineStr">
        <is>
          <t>Диплом</t>
        </is>
      </c>
      <c r="D864" s="182" t="inlineStr">
        <is>
          <t>Т11О-401Б-20</t>
        </is>
      </c>
      <c r="E864" s="183" t="n">
        <v>6</v>
      </c>
      <c r="F864" s="176" t="n"/>
      <c r="G864" s="178" t="n"/>
      <c r="H864" s="176" t="n"/>
      <c r="I864" s="176" t="inlineStr">
        <is>
          <t>Соколов Алексей Викторович</t>
        </is>
      </c>
      <c r="J864" s="176" t="n"/>
      <c r="K864" s="176" t="inlineStr">
        <is>
          <t>Нет</t>
        </is>
      </c>
      <c r="L864" s="176" t="n"/>
      <c r="M864" s="192" t="inlineStr">
        <is>
          <t>комиссия секр</t>
        </is>
      </c>
      <c r="N864" s="179">
        <f>SUMIFS($E$2:$E$896,$A$2:$A$896,"осень",$I$2:$I$896,I864)</f>
        <v/>
      </c>
      <c r="O864" s="179">
        <f>SUMIFS($E$2:$E$896,$A$2:$A$896,"весна",$I$2:$I$896,I864)</f>
        <v/>
      </c>
      <c r="P864" s="180">
        <f>N864+O864</f>
        <v/>
      </c>
      <c r="Q864" s="181">
        <f>P864/$Q$1</f>
        <v/>
      </c>
      <c r="R864" s="122">
        <f>P864*0.2</f>
        <v/>
      </c>
      <c r="S864" s="122">
        <f>Q864*0.8</f>
        <v/>
      </c>
      <c r="T864" s="133" t="n">
        <v>0.55</v>
      </c>
    </row>
    <row r="865" hidden="1" ht="15.75" customHeight="1" s="2">
      <c r="A865" s="198" t="inlineStr">
        <is>
          <t>весна</t>
        </is>
      </c>
      <c r="B865" s="182" t="inlineStr">
        <is>
          <t>Диплом</t>
        </is>
      </c>
      <c r="C865" s="182" t="inlineStr">
        <is>
          <t>Диплом</t>
        </is>
      </c>
      <c r="D865" s="182" t="inlineStr">
        <is>
          <t>Т11О-401Б-20</t>
        </is>
      </c>
      <c r="E865" s="183" t="n">
        <v>6</v>
      </c>
      <c r="F865" s="176" t="n"/>
      <c r="G865" s="178" t="n"/>
      <c r="H865" s="176" t="n"/>
      <c r="I865" s="176" t="inlineStr">
        <is>
          <t>Палтиевич Андрей Романович</t>
        </is>
      </c>
      <c r="J865" s="176" t="n"/>
      <c r="K865" s="176" t="inlineStr">
        <is>
          <t>Нет</t>
        </is>
      </c>
      <c r="L865" s="176" t="n"/>
      <c r="M865" s="192" t="inlineStr">
        <is>
          <t>комиссия наша</t>
        </is>
      </c>
      <c r="N865" s="179">
        <f>SUMIFS($E$2:$E$896,$A$2:$A$896,"осень",$I$2:$I$896,I865)</f>
        <v/>
      </c>
      <c r="O865" s="179">
        <f>SUMIFS($E$2:$E$896,$A$2:$A$896,"весна",$I$2:$I$896,I865)</f>
        <v/>
      </c>
      <c r="P865" s="180">
        <f>N865+O865</f>
        <v/>
      </c>
      <c r="Q865" s="181">
        <f>P865/$Q$1</f>
        <v/>
      </c>
      <c r="R865" s="122">
        <f>P865*0.2</f>
        <v/>
      </c>
      <c r="S865" s="122">
        <f>Q865*0.8</f>
        <v/>
      </c>
      <c r="T865" s="133" t="n">
        <v>0.65</v>
      </c>
    </row>
    <row r="866" hidden="1" ht="15.75" customHeight="1" s="2">
      <c r="A866" s="198" t="inlineStr">
        <is>
          <t>весна</t>
        </is>
      </c>
      <c r="B866" s="182" t="inlineStr">
        <is>
          <t>Диплом</t>
        </is>
      </c>
      <c r="C866" s="182" t="inlineStr">
        <is>
          <t>Диплом</t>
        </is>
      </c>
      <c r="D866" s="182" t="inlineStr">
        <is>
          <t>Т11О-401Б-20</t>
        </is>
      </c>
      <c r="E866" s="183" t="n">
        <v>6</v>
      </c>
      <c r="F866" s="176" t="n"/>
      <c r="G866" s="178" t="n"/>
      <c r="H866" s="176" t="n"/>
      <c r="I866" s="176" t="inlineStr">
        <is>
          <t>Никитина Елена Владимировна</t>
        </is>
      </c>
      <c r="J866" s="176" t="n"/>
      <c r="K866" s="176" t="inlineStr">
        <is>
          <t>Нет</t>
        </is>
      </c>
      <c r="L866" s="176" t="n"/>
      <c r="M866" s="192" t="inlineStr">
        <is>
          <t>комиссия наша</t>
        </is>
      </c>
      <c r="N866" s="179">
        <f>SUMIFS($E$2:$E$896,$A$2:$A$896,"осень",$I$2:$I$896,I866)</f>
        <v/>
      </c>
      <c r="O866" s="179">
        <f>SUMIFS($E$2:$E$896,$A$2:$A$896,"весна",$I$2:$I$896,I866)</f>
        <v/>
      </c>
      <c r="P866" s="180">
        <f>N866+O866</f>
        <v/>
      </c>
      <c r="Q866" s="181">
        <f>P866/$Q$1</f>
        <v/>
      </c>
      <c r="R866" s="122">
        <f>P866*0.2</f>
        <v/>
      </c>
      <c r="S866" s="122">
        <f>Q866*0.8</f>
        <v/>
      </c>
      <c r="T866" s="133" t="n">
        <v>0.5</v>
      </c>
    </row>
    <row r="867" hidden="1" ht="15.75" customHeight="1" s="2">
      <c r="A867" s="194" t="inlineStr">
        <is>
          <t>весна</t>
        </is>
      </c>
      <c r="B867" s="182" t="inlineStr">
        <is>
          <t>Диплом</t>
        </is>
      </c>
      <c r="C867" s="182" t="inlineStr">
        <is>
          <t>Диплом</t>
        </is>
      </c>
      <c r="D867" s="182" t="inlineStr">
        <is>
          <t>Т11О-401Б-20</t>
        </is>
      </c>
      <c r="E867" s="183" t="n">
        <v>6</v>
      </c>
      <c r="F867" s="176" t="n"/>
      <c r="G867" s="178" t="n"/>
      <c r="H867" s="176" t="n"/>
      <c r="I867" s="176" t="inlineStr">
        <is>
          <t>Степанов Владимир Валерьевич</t>
        </is>
      </c>
      <c r="J867" s="176" t="n"/>
      <c r="K867" s="176" t="inlineStr">
        <is>
          <t>Нет</t>
        </is>
      </c>
      <c r="L867" s="176" t="n"/>
      <c r="M867" s="192" t="inlineStr">
        <is>
          <t>комиссия наша</t>
        </is>
      </c>
      <c r="N867" s="179">
        <f>SUMIFS($E$2:$E$896,$A$2:$A$896,"осень",$I$2:$I$896,I867)</f>
        <v/>
      </c>
      <c r="O867" s="179">
        <f>SUMIFS($E$2:$E$896,$A$2:$A$896,"весна",$I$2:$I$896,I867)</f>
        <v/>
      </c>
      <c r="P867" s="180">
        <f>N867+O867</f>
        <v/>
      </c>
      <c r="Q867" s="181">
        <f>P867/$Q$1</f>
        <v/>
      </c>
      <c r="R867" s="122">
        <f>P867*0.2</f>
        <v/>
      </c>
      <c r="S867" s="122">
        <f>Q867*0.8</f>
        <v/>
      </c>
      <c r="T867" s="133" t="n">
        <v>0.4</v>
      </c>
    </row>
    <row r="868" hidden="1" ht="15.75" customHeight="1" s="2">
      <c r="A868" s="194" t="inlineStr">
        <is>
          <t>весна</t>
        </is>
      </c>
      <c r="B868" s="176" t="inlineStr">
        <is>
          <t>Диплом</t>
        </is>
      </c>
      <c r="C868" s="176" t="inlineStr">
        <is>
          <t>Диплом</t>
        </is>
      </c>
      <c r="D868" s="176" t="inlineStr">
        <is>
          <t>Т11О-402Б-20</t>
        </is>
      </c>
      <c r="E868" s="177" t="n">
        <v>20</v>
      </c>
      <c r="F868" s="176" t="n"/>
      <c r="G868" s="178" t="n"/>
      <c r="H868" s="176" t="inlineStr">
        <is>
          <t>82020</t>
        </is>
      </c>
      <c r="I868" s="176" t="inlineStr">
        <is>
          <t>Варфоломеев Максим Сергеевич</t>
        </is>
      </c>
      <c r="J868" s="176" t="n"/>
      <c r="K868" s="176" t="inlineStr">
        <is>
          <t>Нет</t>
        </is>
      </c>
      <c r="L868" s="176" t="n"/>
      <c r="M868" s="176" t="inlineStr">
        <is>
          <t>Алексеев</t>
        </is>
      </c>
      <c r="N868" s="179">
        <f>SUMIFS($E$2:$E$896,$A$2:$A$896,"осень",$I$2:$I$896,I868)</f>
        <v/>
      </c>
      <c r="O868" s="179">
        <f>SUMIFS($E$2:$E$896,$A$2:$A$896,"весна",$I$2:$I$896,I868)</f>
        <v/>
      </c>
      <c r="P868" s="180">
        <f>N868+O868</f>
        <v/>
      </c>
      <c r="Q868" s="181">
        <f>P868/$Q$1</f>
        <v/>
      </c>
      <c r="R868" s="122">
        <f>P868*0.2</f>
        <v/>
      </c>
      <c r="S868" s="122">
        <f>Q868*0.8</f>
        <v/>
      </c>
      <c r="T868" s="133" t="n">
        <v>0.7</v>
      </c>
    </row>
    <row r="869" hidden="1" ht="15.75" customHeight="1" s="2">
      <c r="A869" s="194" t="inlineStr">
        <is>
          <t>весна</t>
        </is>
      </c>
      <c r="B869" s="176" t="inlineStr">
        <is>
          <t>Диплом</t>
        </is>
      </c>
      <c r="C869" s="176" t="inlineStr">
        <is>
          <t>Диплом</t>
        </is>
      </c>
      <c r="D869" s="176" t="inlineStr">
        <is>
          <t>Т11О-402Б-20</t>
        </is>
      </c>
      <c r="E869" s="177" t="n">
        <v>20</v>
      </c>
      <c r="F869" s="176" t="n"/>
      <c r="G869" s="178" t="n"/>
      <c r="H869" s="176" t="inlineStr">
        <is>
          <t>82066</t>
        </is>
      </c>
      <c r="I869" s="176" t="inlineStr">
        <is>
          <t>Серов Михаил Михайлович</t>
        </is>
      </c>
      <c r="J869" s="176" t="n"/>
      <c r="K869" s="176" t="inlineStr">
        <is>
          <t>Нет</t>
        </is>
      </c>
      <c r="L869" s="176" t="n"/>
      <c r="M869" s="176" t="inlineStr">
        <is>
          <t>Серов</t>
        </is>
      </c>
      <c r="N869" s="179">
        <f>SUMIFS($E$2:$E$896,$A$2:$A$896,"осень",$I$2:$I$896,I869)</f>
        <v/>
      </c>
      <c r="O869" s="179">
        <f>SUMIFS($E$2:$E$896,$A$2:$A$896,"весна",$I$2:$I$896,I869)</f>
        <v/>
      </c>
      <c r="P869" s="180">
        <f>N869+O869</f>
        <v/>
      </c>
      <c r="Q869" s="181">
        <f>P869/$Q$1</f>
        <v/>
      </c>
      <c r="R869" s="122">
        <f>P869*0.2</f>
        <v/>
      </c>
      <c r="S869" s="122">
        <f>Q869*0.8</f>
        <v/>
      </c>
      <c r="T869" s="133" t="n">
        <v>0.6</v>
      </c>
    </row>
    <row r="870" hidden="1" ht="15.75" customHeight="1" s="2">
      <c r="A870" s="194" t="inlineStr">
        <is>
          <t>весна</t>
        </is>
      </c>
      <c r="B870" s="176" t="inlineStr">
        <is>
          <t>Диплом</t>
        </is>
      </c>
      <c r="C870" s="176" t="inlineStr">
        <is>
          <t>Диплом</t>
        </is>
      </c>
      <c r="D870" s="176" t="inlineStr">
        <is>
          <t>Т11О-402Б-20</t>
        </is>
      </c>
      <c r="E870" s="177" t="n">
        <v>40</v>
      </c>
      <c r="F870" s="176" t="n"/>
      <c r="G870" s="178" t="n"/>
      <c r="H870" s="176" t="inlineStr">
        <is>
          <t>92509</t>
        </is>
      </c>
      <c r="I870" s="176" t="inlineStr">
        <is>
          <t>Пашков Игорь Николаевич</t>
        </is>
      </c>
      <c r="J870" s="176" t="n"/>
      <c r="K870" s="176" t="inlineStr">
        <is>
          <t>Нет</t>
        </is>
      </c>
      <c r="L870" s="176" t="n"/>
      <c r="M870" s="176" t="inlineStr">
        <is>
          <t>Наурзалинов, Закареева</t>
        </is>
      </c>
      <c r="N870" s="179">
        <f>SUMIFS($E$2:$E$896,$A$2:$A$896,"осень",$I$2:$I$896,I870)</f>
        <v/>
      </c>
      <c r="O870" s="179">
        <f>SUMIFS($E$2:$E$896,$A$2:$A$896,"весна",$I$2:$I$896,I870)</f>
        <v/>
      </c>
      <c r="P870" s="180">
        <f>N870+O870</f>
        <v/>
      </c>
      <c r="Q870" s="181">
        <f>P870/$Q$1</f>
        <v/>
      </c>
      <c r="R870" s="122">
        <f>P870*0.2</f>
        <v/>
      </c>
      <c r="S870" s="122">
        <f>Q870*0.8</f>
        <v/>
      </c>
      <c r="T870" s="133" t="n">
        <v>0.55</v>
      </c>
    </row>
    <row r="871" hidden="1" ht="15.75" customHeight="1" s="2">
      <c r="A871" s="194" t="inlineStr">
        <is>
          <t>весна</t>
        </is>
      </c>
      <c r="B871" s="182" t="inlineStr">
        <is>
          <t>Диплом</t>
        </is>
      </c>
      <c r="C871" s="182" t="inlineStr">
        <is>
          <t>Диплом</t>
        </is>
      </c>
      <c r="D871" s="182" t="inlineStr">
        <is>
          <t>Т11О-402Б-20</t>
        </is>
      </c>
      <c r="E871" s="183" t="n">
        <v>20</v>
      </c>
      <c r="F871" s="182" t="n"/>
      <c r="G871" s="187" t="n"/>
      <c r="H871" s="182" t="inlineStr">
        <is>
          <t>82061</t>
        </is>
      </c>
      <c r="I871" s="182" t="inlineStr">
        <is>
          <t>Ряховский Александр Павлович</t>
        </is>
      </c>
      <c r="J871" s="176" t="n"/>
      <c r="K871" s="176" t="inlineStr">
        <is>
          <t>Нет</t>
        </is>
      </c>
      <c r="L871" s="176" t="n"/>
      <c r="M871" s="176" t="inlineStr">
        <is>
          <t>Лобачев</t>
        </is>
      </c>
      <c r="N871" s="179">
        <f>SUMIFS($E$2:$E$896,$A$2:$A$896,"осень",$I$2:$I$896,I871)</f>
        <v/>
      </c>
      <c r="O871" s="179">
        <f>SUMIFS($E$2:$E$896,$A$2:$A$896,"весна",$I$2:$I$896,I871)</f>
        <v/>
      </c>
      <c r="P871" s="180">
        <f>N871+O871</f>
        <v/>
      </c>
      <c r="Q871" s="181">
        <f>P871/$Q$1</f>
        <v/>
      </c>
      <c r="R871" s="122">
        <f>P871*0.2</f>
        <v/>
      </c>
      <c r="S871" s="122">
        <f>Q871*0.8</f>
        <v/>
      </c>
      <c r="T871" s="133" t="n">
        <v>0.5</v>
      </c>
    </row>
    <row r="872" hidden="1" ht="15.75" customHeight="1" s="2">
      <c r="A872" s="194" t="inlineStr">
        <is>
          <t>весна</t>
        </is>
      </c>
      <c r="B872" s="176" t="inlineStr">
        <is>
          <t>Диплом</t>
        </is>
      </c>
      <c r="C872" s="176" t="inlineStr">
        <is>
          <t>Диплом</t>
        </is>
      </c>
      <c r="D872" s="176" t="inlineStr">
        <is>
          <t>Т11О-402Б-20</t>
        </is>
      </c>
      <c r="E872" s="177" t="n">
        <v>20</v>
      </c>
      <c r="F872" s="176" t="n"/>
      <c r="G872" s="178" t="n"/>
      <c r="H872" s="176" t="inlineStr">
        <is>
          <t>82060</t>
        </is>
      </c>
      <c r="I872" s="176" t="inlineStr">
        <is>
          <t>Лозован Александр Александрович</t>
        </is>
      </c>
      <c r="J872" s="176" t="n"/>
      <c r="K872" s="176" t="inlineStr">
        <is>
          <t>Нет</t>
        </is>
      </c>
      <c r="L872" s="176" t="n"/>
      <c r="M872" s="176" t="inlineStr">
        <is>
          <t>Насонов</t>
        </is>
      </c>
      <c r="N872" s="179">
        <f>SUMIFS($E$2:$E$896,$A$2:$A$896,"осень",$I$2:$I$896,I872)</f>
        <v/>
      </c>
      <c r="O872" s="179">
        <f>SUMIFS($E$2:$E$896,$A$2:$A$896,"весна",$I$2:$I$896,I872)</f>
        <v/>
      </c>
      <c r="P872" s="180">
        <f>N872+O872</f>
        <v/>
      </c>
      <c r="Q872" s="181">
        <f>P872/$Q$1</f>
        <v/>
      </c>
      <c r="R872" s="122">
        <f>P872*0.2</f>
        <v/>
      </c>
      <c r="S872" s="122">
        <f>Q872*0.8</f>
        <v/>
      </c>
      <c r="T872" s="133" t="n">
        <v>0.55</v>
      </c>
    </row>
    <row r="873" hidden="1" ht="15.75" customHeight="1" s="2">
      <c r="A873" s="194" t="inlineStr">
        <is>
          <t>весна</t>
        </is>
      </c>
      <c r="B873" s="182" t="inlineStr">
        <is>
          <t>Диплом</t>
        </is>
      </c>
      <c r="C873" s="182" t="inlineStr">
        <is>
          <t>Диплом</t>
        </is>
      </c>
      <c r="D873" s="182" t="inlineStr">
        <is>
          <t>Т11О-402Б-20</t>
        </is>
      </c>
      <c r="E873" s="183" t="n">
        <v>20</v>
      </c>
      <c r="F873" s="182" t="n"/>
      <c r="G873" s="187" t="n"/>
      <c r="H873" s="182" t="inlineStr">
        <is>
          <t>82090</t>
        </is>
      </c>
      <c r="I873" s="182" t="inlineStr">
        <is>
          <t>Лозован Александр Александрович</t>
        </is>
      </c>
      <c r="J873" s="176" t="n"/>
      <c r="K873" s="176" t="inlineStr">
        <is>
          <t>Нет</t>
        </is>
      </c>
      <c r="L873" s="176" t="n"/>
      <c r="M873" s="176" t="inlineStr">
        <is>
          <t>Печников</t>
        </is>
      </c>
      <c r="N873" s="179">
        <f>SUMIFS($E$2:$E$896,$A$2:$A$896,"осень",$I$2:$I$896,I873)</f>
        <v/>
      </c>
      <c r="O873" s="179">
        <f>SUMIFS($E$2:$E$896,$A$2:$A$896,"весна",$I$2:$I$896,I873)</f>
        <v/>
      </c>
      <c r="P873" s="180">
        <f>N873+O873</f>
        <v/>
      </c>
      <c r="Q873" s="181">
        <f>P873/$Q$1</f>
        <v/>
      </c>
      <c r="R873" s="122">
        <f>P873*0.2</f>
        <v/>
      </c>
      <c r="S873" s="122">
        <f>Q873*0.8</f>
        <v/>
      </c>
      <c r="T873" s="133" t="n">
        <v>0.55</v>
      </c>
    </row>
    <row r="874" hidden="1" ht="15.75" customHeight="1" s="2">
      <c r="A874" s="194" t="inlineStr">
        <is>
          <t>весна</t>
        </is>
      </c>
      <c r="B874" s="182" t="inlineStr">
        <is>
          <t>Диплом</t>
        </is>
      </c>
      <c r="C874" s="182" t="inlineStr">
        <is>
          <t>Диплом</t>
        </is>
      </c>
      <c r="D874" s="182" t="inlineStr">
        <is>
          <t>Т11О-402Б-20</t>
        </is>
      </c>
      <c r="E874" s="183" t="n">
        <v>20</v>
      </c>
      <c r="F874" s="182" t="n"/>
      <c r="G874" s="187" t="n"/>
      <c r="H874" s="182" t="inlineStr">
        <is>
          <t>82086</t>
        </is>
      </c>
      <c r="I874" s="182" t="inlineStr">
        <is>
          <t>Петров Игорь Алексеевич</t>
        </is>
      </c>
      <c r="J874" s="182" t="n"/>
      <c r="K874" s="182" t="inlineStr">
        <is>
          <t>Нет</t>
        </is>
      </c>
      <c r="L874" s="182" t="n"/>
      <c r="M874" s="182" t="inlineStr">
        <is>
          <t>Сметанин</t>
        </is>
      </c>
      <c r="N874" s="179">
        <f>SUMIFS($E$2:$E$896,$A$2:$A$896,"осень",$I$2:$I$896,I874)</f>
        <v/>
      </c>
      <c r="O874" s="179">
        <f>SUMIFS($E$2:$E$896,$A$2:$A$896,"весна",$I$2:$I$896,I874)</f>
        <v/>
      </c>
      <c r="P874" s="180">
        <f>N874+O874</f>
        <v/>
      </c>
      <c r="Q874" s="181">
        <f>P874/$Q$1</f>
        <v/>
      </c>
      <c r="R874" s="122">
        <f>P874*0.2</f>
        <v/>
      </c>
      <c r="S874" s="122">
        <f>Q874*0.8</f>
        <v/>
      </c>
      <c r="T874" s="133" t="n">
        <v>0.35</v>
      </c>
    </row>
    <row r="875" hidden="1" ht="15.75" customHeight="1" s="2">
      <c r="A875" s="194" t="inlineStr">
        <is>
          <t>весна</t>
        </is>
      </c>
      <c r="B875" s="176" t="inlineStr">
        <is>
          <t>Диплом</t>
        </is>
      </c>
      <c r="C875" s="176" t="inlineStr">
        <is>
          <t>Диплом</t>
        </is>
      </c>
      <c r="D875" s="176" t="inlineStr">
        <is>
          <t>Т11О-402Б-20</t>
        </is>
      </c>
      <c r="E875" s="177" t="n">
        <v>20</v>
      </c>
      <c r="F875" s="176" t="n"/>
      <c r="G875" s="178" t="n"/>
      <c r="H875" s="176" t="inlineStr">
        <is>
          <t>82018</t>
        </is>
      </c>
      <c r="I875" s="176" t="inlineStr">
        <is>
          <t>Бережной Дмитрий Васильевич</t>
        </is>
      </c>
      <c r="J875" s="176" t="n"/>
      <c r="K875" s="176" t="inlineStr">
        <is>
          <t>Нет</t>
        </is>
      </c>
      <c r="L875" s="176" t="n"/>
      <c r="M875" s="176" t="inlineStr">
        <is>
          <t>Федорова</t>
        </is>
      </c>
      <c r="N875" s="179">
        <f>SUMIFS($E$2:$E$896,$A$2:$A$896,"осень",$I$2:$I$896,I875)</f>
        <v/>
      </c>
      <c r="O875" s="179">
        <f>SUMIFS($E$2:$E$896,$A$2:$A$896,"весна",$I$2:$I$896,I875)</f>
        <v/>
      </c>
      <c r="P875" s="180">
        <f>N875+O875</f>
        <v/>
      </c>
      <c r="Q875" s="181">
        <f>P875/$Q$1</f>
        <v/>
      </c>
      <c r="R875" s="122">
        <f>P875*0.2</f>
        <v/>
      </c>
      <c r="S875" s="122">
        <f>Q875*0.8</f>
        <v/>
      </c>
      <c r="T875" s="185" t="n">
        <v>0.5</v>
      </c>
    </row>
    <row r="876" hidden="1" ht="15.75" customHeight="1" s="2">
      <c r="A876" s="198" t="inlineStr">
        <is>
          <t>весна</t>
        </is>
      </c>
      <c r="B876" s="182" t="inlineStr">
        <is>
          <t>Диплом</t>
        </is>
      </c>
      <c r="C876" s="182" t="inlineStr">
        <is>
          <t>Диплом</t>
        </is>
      </c>
      <c r="D876" s="182" t="inlineStr">
        <is>
          <t>Т11О-402Б-20</t>
        </is>
      </c>
      <c r="E876" s="183" t="n">
        <v>18</v>
      </c>
      <c r="F876" s="176" t="n"/>
      <c r="G876" s="178" t="n"/>
      <c r="H876" s="176" t="n"/>
      <c r="I876" s="176" t="inlineStr">
        <is>
          <t>э-пустое</t>
        </is>
      </c>
      <c r="J876" s="176" t="n"/>
      <c r="K876" s="176" t="inlineStr">
        <is>
          <t>Нет</t>
        </is>
      </c>
      <c r="L876" s="176" t="n"/>
      <c r="M876" s="192" t="inlineStr">
        <is>
          <t>комиссия внеш</t>
        </is>
      </c>
      <c r="N876" s="179">
        <f>SUMIFS($E$2:$E$896,$A$2:$A$896,"осень",$I$2:$I$896,I876)</f>
        <v/>
      </c>
      <c r="O876" s="179">
        <f>SUMIFS($E$2:$E$896,$A$2:$A$896,"весна",$I$2:$I$896,I876)</f>
        <v/>
      </c>
      <c r="P876" s="180">
        <f>N876+O876</f>
        <v/>
      </c>
      <c r="Q876" s="181">
        <f>P876/$Q$1</f>
        <v/>
      </c>
      <c r="R876" s="122">
        <f>P876*0.2</f>
        <v/>
      </c>
      <c r="S876" s="122">
        <f>Q876*0.8</f>
        <v/>
      </c>
      <c r="T876" s="185" t="n">
        <v>0</v>
      </c>
    </row>
    <row r="877" hidden="1" ht="15.75" customHeight="1" s="2">
      <c r="A877" s="198" t="inlineStr">
        <is>
          <t>весна</t>
        </is>
      </c>
      <c r="B877" s="182" t="inlineStr">
        <is>
          <t>Диплом</t>
        </is>
      </c>
      <c r="C877" s="182" t="inlineStr">
        <is>
          <t>Диплом</t>
        </is>
      </c>
      <c r="D877" s="182" t="inlineStr">
        <is>
          <t>Т11О-402Б-20</t>
        </is>
      </c>
      <c r="E877" s="183" t="n">
        <v>9</v>
      </c>
      <c r="F877" s="176" t="n"/>
      <c r="G877" s="178" t="n"/>
      <c r="H877" s="176" t="n"/>
      <c r="I877" s="176" t="inlineStr">
        <is>
          <t>Шляпцева Анастасия Дмитриевна</t>
        </is>
      </c>
      <c r="J877" s="176" t="n"/>
      <c r="K877" s="176" t="inlineStr">
        <is>
          <t>Нет</t>
        </is>
      </c>
      <c r="L877" s="176" t="n"/>
      <c r="M877" s="192" t="inlineStr">
        <is>
          <t>комиссия Нормо</t>
        </is>
      </c>
      <c r="N877" s="179">
        <f>SUMIFS($E$2:$E$896,$A$2:$A$896,"осень",$I$2:$I$896,I877)</f>
        <v/>
      </c>
      <c r="O877" s="179">
        <f>SUMIFS($E$2:$E$896,$A$2:$A$896,"весна",$I$2:$I$896,I877)</f>
        <v/>
      </c>
      <c r="P877" s="180">
        <f>N877+O877</f>
        <v/>
      </c>
      <c r="Q877" s="181">
        <f>P877/$Q$1</f>
        <v/>
      </c>
      <c r="R877" s="122">
        <f>P877*0.2</f>
        <v/>
      </c>
      <c r="S877" s="122">
        <f>Q877*0.8</f>
        <v/>
      </c>
      <c r="T877" s="133" t="n">
        <v>0.45</v>
      </c>
    </row>
    <row r="878" hidden="1" ht="15.75" customHeight="1" s="2">
      <c r="A878" s="198" t="inlineStr">
        <is>
          <t>весна</t>
        </is>
      </c>
      <c r="B878" s="182" t="inlineStr">
        <is>
          <t>Диплом</t>
        </is>
      </c>
      <c r="C878" s="182" t="inlineStr">
        <is>
          <t>Диплом</t>
        </is>
      </c>
      <c r="D878" s="182" t="inlineStr">
        <is>
          <t>Т11О-402Б-20</t>
        </is>
      </c>
      <c r="E878" s="183" t="n">
        <v>4.5</v>
      </c>
      <c r="F878" s="176" t="n"/>
      <c r="G878" s="178" t="n"/>
      <c r="H878" s="176" t="n"/>
      <c r="I878" s="176" t="inlineStr">
        <is>
          <t>Петров Игорь Алексеевич</t>
        </is>
      </c>
      <c r="J878" s="176" t="n"/>
      <c r="K878" s="176" t="inlineStr">
        <is>
          <t>Нет</t>
        </is>
      </c>
      <c r="L878" s="176" t="n"/>
      <c r="M878" s="192" t="inlineStr">
        <is>
          <t>комиссия вся</t>
        </is>
      </c>
      <c r="N878" s="179">
        <f>SUMIFS($E$2:$E$896,$A$2:$A$896,"осень",$I$2:$I$896,I878)</f>
        <v/>
      </c>
      <c r="O878" s="179">
        <f>SUMIFS($E$2:$E$896,$A$2:$A$896,"весна",$I$2:$I$896,I878)</f>
        <v/>
      </c>
      <c r="P878" s="180">
        <f>N878+O878</f>
        <v/>
      </c>
      <c r="Q878" s="181">
        <f>P878/$Q$1</f>
        <v/>
      </c>
      <c r="R878" s="122">
        <f>P878*0.2</f>
        <v/>
      </c>
      <c r="S878" s="122">
        <f>Q878*0.8</f>
        <v/>
      </c>
      <c r="T878" s="133" t="n">
        <v>0.35</v>
      </c>
    </row>
    <row r="879" hidden="1" ht="15.75" customHeight="1" s="2">
      <c r="A879" s="198" t="inlineStr">
        <is>
          <t>весна</t>
        </is>
      </c>
      <c r="B879" s="182" t="inlineStr">
        <is>
          <t>Диплом</t>
        </is>
      </c>
      <c r="C879" s="182" t="inlineStr">
        <is>
          <t>Диплом</t>
        </is>
      </c>
      <c r="D879" s="182" t="inlineStr">
        <is>
          <t>Т11О-402Б-20</t>
        </is>
      </c>
      <c r="E879" s="183" t="n">
        <v>4.5</v>
      </c>
      <c r="F879" s="176" t="n"/>
      <c r="G879" s="178" t="n"/>
      <c r="H879" s="176" t="n"/>
      <c r="I879" s="176" t="inlineStr">
        <is>
          <t>Бережной Дмитрий Васильевич</t>
        </is>
      </c>
      <c r="J879" s="176" t="n"/>
      <c r="K879" s="176" t="inlineStr">
        <is>
          <t>Нет</t>
        </is>
      </c>
      <c r="L879" s="176" t="n"/>
      <c r="M879" s="192" t="inlineStr">
        <is>
          <t>комиссия вся</t>
        </is>
      </c>
      <c r="N879" s="179">
        <f>SUMIFS($E$2:$E$896,$A$2:$A$896,"осень",$I$2:$I$896,I879)</f>
        <v/>
      </c>
      <c r="O879" s="179">
        <f>SUMIFS($E$2:$E$896,$A$2:$A$896,"весна",$I$2:$I$896,I879)</f>
        <v/>
      </c>
      <c r="P879" s="180">
        <f>N879+O879</f>
        <v/>
      </c>
      <c r="Q879" s="181">
        <f>P879/$Q$1</f>
        <v/>
      </c>
      <c r="R879" s="122">
        <f>P879*0.2</f>
        <v/>
      </c>
      <c r="S879" s="122">
        <f>Q879*0.8</f>
        <v/>
      </c>
      <c r="T879" s="185" t="n">
        <v>0.5</v>
      </c>
    </row>
    <row r="880" hidden="1" ht="15.75" customHeight="1" s="2">
      <c r="A880" s="198" t="inlineStr">
        <is>
          <t>весна</t>
        </is>
      </c>
      <c r="B880" s="182" t="inlineStr">
        <is>
          <t>Диплом</t>
        </is>
      </c>
      <c r="C880" s="182" t="inlineStr">
        <is>
          <t>Диплом</t>
        </is>
      </c>
      <c r="D880" s="182" t="inlineStr">
        <is>
          <t>Т11О-402Б-20</t>
        </is>
      </c>
      <c r="E880" s="183" t="n">
        <v>4.5</v>
      </c>
      <c r="F880" s="176" t="n"/>
      <c r="G880" s="178" t="n"/>
      <c r="H880" s="176" t="n"/>
      <c r="I880" s="176" t="inlineStr">
        <is>
          <t>Серов Михаил Михайлович</t>
        </is>
      </c>
      <c r="J880" s="176" t="n"/>
      <c r="K880" s="176" t="inlineStr">
        <is>
          <t>Нет</t>
        </is>
      </c>
      <c r="L880" s="176" t="n"/>
      <c r="M880" s="192" t="inlineStr">
        <is>
          <t>комиссия вся</t>
        </is>
      </c>
      <c r="N880" s="179">
        <f>SUMIFS($E$2:$E$896,$A$2:$A$896,"осень",$I$2:$I$896,I880)</f>
        <v/>
      </c>
      <c r="O880" s="179">
        <f>SUMIFS($E$2:$E$896,$A$2:$A$896,"весна",$I$2:$I$896,I880)</f>
        <v/>
      </c>
      <c r="P880" s="180">
        <f>N880+O880</f>
        <v/>
      </c>
      <c r="Q880" s="181">
        <f>P880/$Q$1</f>
        <v/>
      </c>
      <c r="R880" s="122">
        <f>P880*0.2</f>
        <v/>
      </c>
      <c r="S880" s="122">
        <f>Q880*0.8</f>
        <v/>
      </c>
      <c r="T880" s="133" t="n">
        <v>0.6</v>
      </c>
    </row>
    <row r="881" hidden="1" ht="15.75" customHeight="1" s="2">
      <c r="A881" s="194" t="inlineStr">
        <is>
          <t>весна</t>
        </is>
      </c>
      <c r="B881" s="182" t="inlineStr">
        <is>
          <t>Диплом</t>
        </is>
      </c>
      <c r="C881" s="182" t="inlineStr">
        <is>
          <t>Диплом</t>
        </is>
      </c>
      <c r="D881" s="182" t="inlineStr">
        <is>
          <t>Т11О-402Б-20</t>
        </is>
      </c>
      <c r="E881" s="183" t="n">
        <v>4.5</v>
      </c>
      <c r="F881" s="176" t="n"/>
      <c r="G881" s="178" t="n"/>
      <c r="H881" s="176" t="n"/>
      <c r="I881" s="176" t="inlineStr">
        <is>
          <t>Лозован Александр Александрович</t>
        </is>
      </c>
      <c r="J881" s="176" t="n"/>
      <c r="K881" s="176" t="inlineStr">
        <is>
          <t>Нет</t>
        </is>
      </c>
      <c r="L881" s="176" t="n"/>
      <c r="M881" s="176" t="inlineStr">
        <is>
          <t>комиссия вся</t>
        </is>
      </c>
      <c r="N881" s="179">
        <f>SUMIFS($E$2:$E$896,$A$2:$A$896,"осень",$I$2:$I$896,I881)</f>
        <v/>
      </c>
      <c r="O881" s="179">
        <f>SUMIFS($E$2:$E$896,$A$2:$A$896,"весна",$I$2:$I$896,I881)</f>
        <v/>
      </c>
      <c r="P881" s="180">
        <f>N881+O881</f>
        <v/>
      </c>
      <c r="Q881" s="181">
        <f>P881/$Q$1</f>
        <v/>
      </c>
      <c r="R881" s="122">
        <f>P881*0.2</f>
        <v/>
      </c>
      <c r="S881" s="122">
        <f>Q881*0.8</f>
        <v/>
      </c>
      <c r="T881" s="133" t="n">
        <v>0.55</v>
      </c>
    </row>
    <row r="882" hidden="1" ht="15.75" customHeight="1" s="2">
      <c r="A882" s="194" t="inlineStr">
        <is>
          <t>весна</t>
        </is>
      </c>
      <c r="B882" s="176" t="inlineStr">
        <is>
          <t>Диплом</t>
        </is>
      </c>
      <c r="C882" s="176" t="inlineStr">
        <is>
          <t>Диплом</t>
        </is>
      </c>
      <c r="D882" s="176" t="inlineStr">
        <is>
          <t>Т11О-403Б-20</t>
        </is>
      </c>
      <c r="E882" s="177" t="n">
        <v>40</v>
      </c>
      <c r="F882" s="176" t="n"/>
      <c r="G882" s="178" t="n"/>
      <c r="H882" s="176" t="inlineStr">
        <is>
          <t>81728</t>
        </is>
      </c>
      <c r="I882" s="176" t="inlineStr">
        <is>
          <t>Галкин Виктор Иванович</t>
        </is>
      </c>
      <c r="J882" s="176" t="n"/>
      <c r="K882" s="176" t="inlineStr">
        <is>
          <t>Нет</t>
        </is>
      </c>
      <c r="L882" s="176" t="n"/>
      <c r="M882" s="176" t="inlineStr">
        <is>
          <t>Слезнев, Юхнин</t>
        </is>
      </c>
      <c r="N882" s="179">
        <f>SUMIFS($E$2:$E$896,$A$2:$A$896,"осень",$I$2:$I$896,I882)</f>
        <v/>
      </c>
      <c r="O882" s="179">
        <f>SUMIFS($E$2:$E$896,$A$2:$A$896,"весна",$I$2:$I$896,I882)</f>
        <v/>
      </c>
      <c r="P882" s="180">
        <f>N882+O882</f>
        <v/>
      </c>
      <c r="Q882" s="181">
        <f>P882/$Q$1</f>
        <v/>
      </c>
      <c r="R882" s="122">
        <f>P882*0.2</f>
        <v/>
      </c>
      <c r="S882" s="122">
        <f>Q882*0.8</f>
        <v/>
      </c>
      <c r="T882" s="133" t="n">
        <v>0.75</v>
      </c>
    </row>
    <row r="883" hidden="1" ht="15.75" customHeight="1" s="2">
      <c r="A883" s="194" t="inlineStr">
        <is>
          <t>весна</t>
        </is>
      </c>
      <c r="B883" s="176" t="inlineStr">
        <is>
          <t>Диплом</t>
        </is>
      </c>
      <c r="C883" s="176" t="inlineStr">
        <is>
          <t>Диплом</t>
        </is>
      </c>
      <c r="D883" s="176" t="inlineStr">
        <is>
          <t>Т11О-403Б-20</t>
        </is>
      </c>
      <c r="E883" s="177" t="n">
        <v>40</v>
      </c>
      <c r="F883" s="176" t="n"/>
      <c r="G883" s="178" t="n"/>
      <c r="H883" s="176" t="inlineStr">
        <is>
          <t>81724</t>
        </is>
      </c>
      <c r="I883" s="176" t="inlineStr">
        <is>
          <t>Галкин Евгений Владимирович</t>
        </is>
      </c>
      <c r="J883" s="176" t="n"/>
      <c r="K883" s="176" t="inlineStr">
        <is>
          <t>Нет</t>
        </is>
      </c>
      <c r="L883" s="176" t="n"/>
      <c r="M883" s="176" t="inlineStr">
        <is>
          <t>Вологдин, Епанишников</t>
        </is>
      </c>
      <c r="N883" s="179">
        <f>SUMIFS($E$2:$E$896,$A$2:$A$896,"осень",$I$2:$I$896,I883)</f>
        <v/>
      </c>
      <c r="O883" s="179">
        <f>SUMIFS($E$2:$E$896,$A$2:$A$896,"весна",$I$2:$I$896,I883)</f>
        <v/>
      </c>
      <c r="P883" s="180">
        <f>N883+O883</f>
        <v/>
      </c>
      <c r="Q883" s="181">
        <f>P883/$Q$1</f>
        <v/>
      </c>
      <c r="R883" s="122">
        <f>P883*0.2</f>
        <v/>
      </c>
      <c r="S883" s="122">
        <f>Q883*0.8</f>
        <v/>
      </c>
      <c r="T883" s="133" t="n">
        <v>0.8</v>
      </c>
    </row>
    <row r="884" hidden="1" ht="15.75" customHeight="1" s="2">
      <c r="A884" s="194" t="inlineStr">
        <is>
          <t>весна</t>
        </is>
      </c>
      <c r="B884" s="176" t="inlineStr">
        <is>
          <t>Диплом</t>
        </is>
      </c>
      <c r="C884" s="176" t="inlineStr">
        <is>
          <t>Диплом</t>
        </is>
      </c>
      <c r="D884" s="176" t="inlineStr">
        <is>
          <t>Т11О-403Б-20</t>
        </is>
      </c>
      <c r="E884" s="177" t="n">
        <v>20</v>
      </c>
      <c r="F884" s="176" t="n"/>
      <c r="G884" s="178" t="n"/>
      <c r="H884" s="176" t="inlineStr">
        <is>
          <t>81720</t>
        </is>
      </c>
      <c r="I884" s="176" t="inlineStr">
        <is>
          <t>Палтиевич Андрей Романович</t>
        </is>
      </c>
      <c r="J884" s="176" t="n"/>
      <c r="K884" s="176" t="inlineStr">
        <is>
          <t>Нет</t>
        </is>
      </c>
      <c r="L884" s="176" t="n"/>
      <c r="M884" s="176" t="inlineStr">
        <is>
          <t>Козырин</t>
        </is>
      </c>
      <c r="N884" s="179">
        <f>SUMIFS($E$2:$E$896,$A$2:$A$896,"осень",$I$2:$I$896,I884)</f>
        <v/>
      </c>
      <c r="O884" s="179">
        <f>SUMIFS($E$2:$E$896,$A$2:$A$896,"весна",$I$2:$I$896,I884)</f>
        <v/>
      </c>
      <c r="P884" s="180">
        <f>N884+O884</f>
        <v/>
      </c>
      <c r="Q884" s="181">
        <f>P884/$Q$1</f>
        <v/>
      </c>
      <c r="R884" s="122">
        <f>P884*0.2</f>
        <v/>
      </c>
      <c r="S884" s="122">
        <f>Q884*0.8</f>
        <v/>
      </c>
      <c r="T884" s="133" t="n">
        <v>0.65</v>
      </c>
    </row>
    <row r="885" hidden="1" ht="15.75" customHeight="1" s="2">
      <c r="A885" s="194" t="inlineStr">
        <is>
          <t>весна</t>
        </is>
      </c>
      <c r="B885" s="182" t="inlineStr">
        <is>
          <t>Диплом</t>
        </is>
      </c>
      <c r="C885" s="182" t="inlineStr">
        <is>
          <t>Диплом</t>
        </is>
      </c>
      <c r="D885" s="182" t="inlineStr">
        <is>
          <t>Т11О-403Б-20</t>
        </is>
      </c>
      <c r="E885" s="183" t="n">
        <v>20</v>
      </c>
      <c r="F885" s="182" t="n"/>
      <c r="G885" s="187" t="n"/>
      <c r="H885" s="176" t="inlineStr">
        <is>
          <t>81721</t>
        </is>
      </c>
      <c r="I885" s="176" t="inlineStr">
        <is>
          <t>Преображенский Евгений Владимирович</t>
        </is>
      </c>
      <c r="J885" s="176" t="n"/>
      <c r="K885" s="176" t="inlineStr">
        <is>
          <t>Нет</t>
        </is>
      </c>
      <c r="L885" s="176" t="n"/>
      <c r="M885" s="176" t="inlineStr">
        <is>
          <t>Ушакова</t>
        </is>
      </c>
      <c r="N885" s="179">
        <f>SUMIFS($E$2:$E$896,$A$2:$A$896,"осень",$I$2:$I$896,I885)</f>
        <v/>
      </c>
      <c r="O885" s="179">
        <f>SUMIFS($E$2:$E$896,$A$2:$A$896,"весна",$I$2:$I$896,I885)</f>
        <v/>
      </c>
      <c r="P885" s="180">
        <f>N885+O885</f>
        <v/>
      </c>
      <c r="Q885" s="181">
        <f>P885/$Q$1</f>
        <v/>
      </c>
      <c r="R885" s="122">
        <f>P885*0.2</f>
        <v/>
      </c>
      <c r="S885" s="122">
        <f>Q885*0.8</f>
        <v/>
      </c>
      <c r="T885" s="133" t="n">
        <v>0.25</v>
      </c>
    </row>
    <row r="886" hidden="1" ht="15.75" customHeight="1" s="2">
      <c r="A886" s="194" t="inlineStr">
        <is>
          <t>весна</t>
        </is>
      </c>
      <c r="B886" s="182" t="inlineStr">
        <is>
          <t>Диплом</t>
        </is>
      </c>
      <c r="C886" s="182" t="inlineStr">
        <is>
          <t>Диплом</t>
        </is>
      </c>
      <c r="D886" s="182" t="inlineStr">
        <is>
          <t>Т11О-403Б-20</t>
        </is>
      </c>
      <c r="E886" s="183" t="n">
        <v>20</v>
      </c>
      <c r="F886" s="182" t="n"/>
      <c r="G886" s="187" t="n"/>
      <c r="H886" s="176" t="inlineStr">
        <is>
          <t>81721</t>
        </is>
      </c>
      <c r="I886" s="176" t="inlineStr">
        <is>
          <t>Шленский Алексей Геннадьевич</t>
        </is>
      </c>
      <c r="J886" s="176" t="n"/>
      <c r="K886" s="176" t="inlineStr">
        <is>
          <t>Нет</t>
        </is>
      </c>
      <c r="L886" s="176" t="n"/>
      <c r="M886" s="176" t="inlineStr">
        <is>
          <t>Ермоленко</t>
        </is>
      </c>
      <c r="N886" s="179">
        <f>SUMIFS($E$2:$E$896,$A$2:$A$896,"осень",$I$2:$I$896,I886)</f>
        <v/>
      </c>
      <c r="O886" s="179">
        <f>SUMIFS($E$2:$E$896,$A$2:$A$896,"весна",$I$2:$I$896,I886)</f>
        <v/>
      </c>
      <c r="P886" s="180">
        <f>N886+O886</f>
        <v/>
      </c>
      <c r="Q886" s="181">
        <f>P886/$Q$1</f>
        <v/>
      </c>
      <c r="R886" s="122">
        <f>P886*0.2</f>
        <v/>
      </c>
      <c r="S886" s="122">
        <f>Q886*0.8</f>
        <v/>
      </c>
      <c r="T886" s="133" t="n">
        <v>0.7</v>
      </c>
    </row>
    <row r="887" hidden="1" ht="15.75" customHeight="1" s="2">
      <c r="A887" s="194" t="inlineStr">
        <is>
          <t>весна</t>
        </is>
      </c>
      <c r="B887" s="176" t="inlineStr">
        <is>
          <t>Диплом</t>
        </is>
      </c>
      <c r="C887" s="176" t="inlineStr">
        <is>
          <t>Диплом</t>
        </is>
      </c>
      <c r="D887" s="176" t="inlineStr">
        <is>
          <t>Т11О-403Б-20</t>
        </is>
      </c>
      <c r="E887" s="177" t="n">
        <v>60</v>
      </c>
      <c r="F887" s="176" t="n"/>
      <c r="G887" s="178" t="n"/>
      <c r="H887" s="176" t="inlineStr">
        <is>
          <t>81729</t>
        </is>
      </c>
      <c r="I887" s="176" t="inlineStr">
        <is>
          <t>Соколов Алексей Викторович</t>
        </is>
      </c>
      <c r="J887" s="176" t="n"/>
      <c r="K887" s="176" t="inlineStr">
        <is>
          <t>Нет</t>
        </is>
      </c>
      <c r="L887" s="176" t="n"/>
      <c r="M887" s="176" t="inlineStr">
        <is>
          <t>Варфоломеев, Воронина, Шаповал</t>
        </is>
      </c>
      <c r="N887" s="179">
        <f>SUMIFS($E$2:$E$896,$A$2:$A$896,"осень",$I$2:$I$896,I887)</f>
        <v/>
      </c>
      <c r="O887" s="179">
        <f>SUMIFS($E$2:$E$896,$A$2:$A$896,"весна",$I$2:$I$896,I887)</f>
        <v/>
      </c>
      <c r="P887" s="180">
        <f>N887+O887</f>
        <v/>
      </c>
      <c r="Q887" s="181">
        <f>P887/$Q$1</f>
        <v/>
      </c>
      <c r="R887" s="122">
        <f>P887*0.2</f>
        <v/>
      </c>
      <c r="S887" s="122">
        <f>Q887*0.8</f>
        <v/>
      </c>
      <c r="T887" s="133" t="n">
        <v>0.55</v>
      </c>
    </row>
    <row r="888" hidden="1" ht="15.75" customHeight="1" s="2">
      <c r="A888" s="194" t="inlineStr">
        <is>
          <t>весна</t>
        </is>
      </c>
      <c r="B888" s="176" t="inlineStr">
        <is>
          <t>Диплом</t>
        </is>
      </c>
      <c r="C888" s="176" t="inlineStr">
        <is>
          <t>Диплом</t>
        </is>
      </c>
      <c r="D888" s="176" t="inlineStr">
        <is>
          <t>Т11О-403Б-20</t>
        </is>
      </c>
      <c r="E888" s="177" t="n">
        <v>40</v>
      </c>
      <c r="F888" s="176" t="n"/>
      <c r="G888" s="178" t="n"/>
      <c r="H888" s="176" t="inlineStr">
        <is>
          <t>81722</t>
        </is>
      </c>
      <c r="I888" s="176" t="inlineStr">
        <is>
          <t>Шленский Алексей Геннадьевич</t>
        </is>
      </c>
      <c r="J888" s="176" t="n"/>
      <c r="K888" s="176" t="inlineStr">
        <is>
          <t>Нет</t>
        </is>
      </c>
      <c r="L888" s="176" t="n"/>
      <c r="M888" s="176" t="inlineStr">
        <is>
          <t>Альсаад, Цвиклич</t>
        </is>
      </c>
      <c r="N888" s="179">
        <f>SUMIFS($E$2:$E$896,$A$2:$A$896,"осень",$I$2:$I$896,I888)</f>
        <v/>
      </c>
      <c r="O888" s="179">
        <f>SUMIFS($E$2:$E$896,$A$2:$A$896,"весна",$I$2:$I$896,I888)</f>
        <v/>
      </c>
      <c r="P888" s="180">
        <f>N888+O888</f>
        <v/>
      </c>
      <c r="Q888" s="181">
        <f>P888/$Q$1</f>
        <v/>
      </c>
      <c r="R888" s="122">
        <f>P888*0.2</f>
        <v/>
      </c>
      <c r="S888" s="122">
        <f>Q888*0.8</f>
        <v/>
      </c>
      <c r="T888" s="133" t="n">
        <v>0.7</v>
      </c>
    </row>
    <row r="889" hidden="1" ht="15.75" customHeight="1" s="2">
      <c r="A889" s="198" t="inlineStr">
        <is>
          <t>весна</t>
        </is>
      </c>
      <c r="B889" s="182" t="inlineStr">
        <is>
          <t>Диплом</t>
        </is>
      </c>
      <c r="C889" s="182" t="inlineStr">
        <is>
          <t>Диплом</t>
        </is>
      </c>
      <c r="D889" s="182" t="inlineStr">
        <is>
          <t>Т11О-403Б-20</t>
        </is>
      </c>
      <c r="E889" s="183" t="n">
        <v>24</v>
      </c>
      <c r="F889" s="176" t="n"/>
      <c r="G889" s="178" t="n"/>
      <c r="H889" s="176" t="n"/>
      <c r="I889" s="176" t="inlineStr">
        <is>
          <t>э-пустое</t>
        </is>
      </c>
      <c r="J889" s="176" t="n"/>
      <c r="K889" s="176" t="inlineStr">
        <is>
          <t>Нет</t>
        </is>
      </c>
      <c r="L889" s="176" t="n"/>
      <c r="M889" s="192" t="inlineStr">
        <is>
          <t>комиссия внеш</t>
        </is>
      </c>
      <c r="N889" s="179">
        <f>SUMIFS($E$2:$E$896,$A$2:$A$896,"осень",$I$2:$I$896,I889)</f>
        <v/>
      </c>
      <c r="O889" s="179">
        <f>SUMIFS($E$2:$E$896,$A$2:$A$896,"весна",$I$2:$I$896,I889)</f>
        <v/>
      </c>
      <c r="P889" s="180">
        <f>N889+O889</f>
        <v/>
      </c>
      <c r="Q889" s="181">
        <f>P889/$Q$1</f>
        <v/>
      </c>
      <c r="R889" s="122">
        <f>P889*0.2</f>
        <v/>
      </c>
      <c r="S889" s="122">
        <f>Q889*0.8</f>
        <v/>
      </c>
      <c r="T889" s="185" t="n">
        <v>0</v>
      </c>
    </row>
    <row r="890" hidden="1" ht="15.75" customHeight="1" s="2">
      <c r="A890" s="198" t="inlineStr">
        <is>
          <t>весна</t>
        </is>
      </c>
      <c r="B890" s="182" t="inlineStr">
        <is>
          <t>Диплом</t>
        </is>
      </c>
      <c r="C890" s="182" t="inlineStr">
        <is>
          <t>Диплом</t>
        </is>
      </c>
      <c r="D890" s="182" t="inlineStr">
        <is>
          <t>Т11О-403Б-20</t>
        </is>
      </c>
      <c r="E890" s="183" t="n">
        <v>6</v>
      </c>
      <c r="F890" s="176" t="n"/>
      <c r="G890" s="178" t="n"/>
      <c r="H890" s="176" t="n"/>
      <c r="I890" s="176" t="inlineStr">
        <is>
          <t>Палтиевич Андрей Романович</t>
        </is>
      </c>
      <c r="J890" s="176" t="n"/>
      <c r="K890" s="176" t="inlineStr">
        <is>
          <t>Нет</t>
        </is>
      </c>
      <c r="L890" s="176" t="n"/>
      <c r="M890" s="192" t="inlineStr">
        <is>
          <t>секр</t>
        </is>
      </c>
      <c r="N890" s="179">
        <f>SUMIFS($E$2:$E$896,$A$2:$A$896,"осень",$I$2:$I$896,I890)</f>
        <v/>
      </c>
      <c r="O890" s="179">
        <f>SUMIFS($E$2:$E$896,$A$2:$A$896,"весна",$I$2:$I$896,I890)</f>
        <v/>
      </c>
      <c r="P890" s="180">
        <f>N890+O890</f>
        <v/>
      </c>
      <c r="Q890" s="181">
        <f>P890/$Q$1</f>
        <v/>
      </c>
      <c r="R890" s="122">
        <f>P890*0.2</f>
        <v/>
      </c>
      <c r="S890" s="122">
        <f>Q890*0.8</f>
        <v/>
      </c>
      <c r="T890" s="133" t="n">
        <v>0.65</v>
      </c>
    </row>
    <row r="891" hidden="1" ht="15.75" customHeight="1" s="2">
      <c r="A891" s="198" t="inlineStr">
        <is>
          <t>весна</t>
        </is>
      </c>
      <c r="B891" s="182" t="inlineStr">
        <is>
          <t>Диплом</t>
        </is>
      </c>
      <c r="C891" s="182" t="inlineStr">
        <is>
          <t>Диплом</t>
        </is>
      </c>
      <c r="D891" s="182" t="inlineStr">
        <is>
          <t>Т11О-403Б-20</t>
        </is>
      </c>
      <c r="E891" s="183" t="n">
        <v>12</v>
      </c>
      <c r="F891" s="176" t="n"/>
      <c r="G891" s="178" t="n"/>
      <c r="H891" s="176" t="n"/>
      <c r="I891" s="176" t="inlineStr">
        <is>
          <t>Соколов Алексей Викторович</t>
        </is>
      </c>
      <c r="J891" s="176" t="n"/>
      <c r="K891" s="176" t="inlineStr">
        <is>
          <t>Нет</t>
        </is>
      </c>
      <c r="L891" s="176" t="n"/>
      <c r="M891" s="192" t="inlineStr">
        <is>
          <t>норма</t>
        </is>
      </c>
      <c r="N891" s="179">
        <f>SUMIFS($E$2:$E$896,$A$2:$A$896,"осень",$I$2:$I$896,I891)</f>
        <v/>
      </c>
      <c r="O891" s="179">
        <f>SUMIFS($E$2:$E$896,$A$2:$A$896,"весна",$I$2:$I$896,I891)</f>
        <v/>
      </c>
      <c r="P891" s="180">
        <f>N891+O891</f>
        <v/>
      </c>
      <c r="Q891" s="181">
        <f>P891/$Q$1</f>
        <v/>
      </c>
      <c r="R891" s="122">
        <f>P891*0.2</f>
        <v/>
      </c>
      <c r="S891" s="122">
        <f>Q891*0.8</f>
        <v/>
      </c>
      <c r="T891" s="133" t="n">
        <v>0.55</v>
      </c>
    </row>
    <row r="892" hidden="1" ht="15.75" customHeight="1" s="2">
      <c r="A892" s="198" t="inlineStr">
        <is>
          <t>весна</t>
        </is>
      </c>
      <c r="B892" s="182" t="inlineStr">
        <is>
          <t>Диплом</t>
        </is>
      </c>
      <c r="C892" s="182" t="inlineStr">
        <is>
          <t>Диплом</t>
        </is>
      </c>
      <c r="D892" s="182" t="inlineStr">
        <is>
          <t>Т11О-403Б-20</t>
        </is>
      </c>
      <c r="E892" s="183" t="n">
        <v>6</v>
      </c>
      <c r="F892" s="176" t="n"/>
      <c r="G892" s="178" t="n"/>
      <c r="H892" s="176" t="n"/>
      <c r="I892" s="176" t="inlineStr">
        <is>
          <t>Галкин Евгений Владимирович</t>
        </is>
      </c>
      <c r="J892" s="176" t="n"/>
      <c r="K892" s="176" t="inlineStr">
        <is>
          <t>Нет</t>
        </is>
      </c>
      <c r="L892" s="176" t="n"/>
      <c r="M892" s="192" t="inlineStr">
        <is>
          <t>комиссия вся</t>
        </is>
      </c>
      <c r="N892" s="179">
        <f>SUMIFS($E$2:$E$896,$A$2:$A$896,"осень",$I$2:$I$896,I892)</f>
        <v/>
      </c>
      <c r="O892" s="179">
        <f>SUMIFS($E$2:$E$896,$A$2:$A$896,"весна",$I$2:$I$896,I892)</f>
        <v/>
      </c>
      <c r="P892" s="180">
        <f>N892+O892</f>
        <v/>
      </c>
      <c r="Q892" s="181">
        <f>P892/$Q$1</f>
        <v/>
      </c>
      <c r="R892" s="122">
        <f>P892*0.2</f>
        <v/>
      </c>
      <c r="S892" s="122">
        <f>Q892*0.8</f>
        <v/>
      </c>
      <c r="T892" s="133" t="n">
        <v>0.8</v>
      </c>
    </row>
    <row r="893" hidden="1" ht="15.75" customHeight="1" s="2">
      <c r="A893" s="198" t="inlineStr">
        <is>
          <t>весна</t>
        </is>
      </c>
      <c r="B893" s="182" t="inlineStr">
        <is>
          <t>Диплом</t>
        </is>
      </c>
      <c r="C893" s="182" t="inlineStr">
        <is>
          <t>Диплом</t>
        </is>
      </c>
      <c r="D893" s="182" t="inlineStr">
        <is>
          <t>Т11О-403Б-20</t>
        </is>
      </c>
      <c r="E893" s="183" t="n">
        <v>6</v>
      </c>
      <c r="F893" s="176" t="n"/>
      <c r="G893" s="178" t="n"/>
      <c r="H893" s="176" t="n"/>
      <c r="I893" s="176" t="inlineStr">
        <is>
          <t>Шленский Алексей Геннадьевич</t>
        </is>
      </c>
      <c r="J893" s="176" t="n"/>
      <c r="K893" s="176" t="inlineStr">
        <is>
          <t>Нет</t>
        </is>
      </c>
      <c r="L893" s="176" t="n"/>
      <c r="M893" s="192" t="inlineStr">
        <is>
          <t>комиссия вся</t>
        </is>
      </c>
      <c r="N893" s="179">
        <f>SUMIFS($E$2:$E$896,$A$2:$A$896,"осень",$I$2:$I$896,I893)</f>
        <v/>
      </c>
      <c r="O893" s="179">
        <f>SUMIFS($E$2:$E$896,$A$2:$A$896,"весна",$I$2:$I$896,I893)</f>
        <v/>
      </c>
      <c r="P893" s="180">
        <f>N893+O893</f>
        <v/>
      </c>
      <c r="Q893" s="181">
        <f>P893/$Q$1</f>
        <v/>
      </c>
      <c r="R893" s="122">
        <f>P893*0.2</f>
        <v/>
      </c>
      <c r="S893" s="122">
        <f>Q893*0.8</f>
        <v/>
      </c>
      <c r="T893" s="133" t="n">
        <v>0.7</v>
      </c>
    </row>
    <row r="894" hidden="1" ht="15.75" customHeight="1" s="2">
      <c r="A894" s="194" t="inlineStr">
        <is>
          <t>весна</t>
        </is>
      </c>
      <c r="B894" s="182" t="inlineStr">
        <is>
          <t>Диплом</t>
        </is>
      </c>
      <c r="C894" s="182" t="inlineStr">
        <is>
          <t>Диплом</t>
        </is>
      </c>
      <c r="D894" s="182" t="inlineStr">
        <is>
          <t>Т11О-403Б-20</t>
        </is>
      </c>
      <c r="E894" s="183" t="n">
        <v>6</v>
      </c>
      <c r="F894" s="176" t="n"/>
      <c r="G894" s="178" t="n"/>
      <c r="H894" s="176" t="n"/>
      <c r="I894" s="176" t="inlineStr">
        <is>
          <t>Галкин Виктор Иванович</t>
        </is>
      </c>
      <c r="J894" s="176" t="n"/>
      <c r="K894" s="176" t="inlineStr">
        <is>
          <t>Нет</t>
        </is>
      </c>
      <c r="L894" s="176" t="n"/>
      <c r="M894" s="176" t="inlineStr">
        <is>
          <t>комиссия вся</t>
        </is>
      </c>
      <c r="N894" s="179">
        <f>SUMIFS($E$2:$E$896,$A$2:$A$896,"осень",$I$2:$I$896,I894)</f>
        <v/>
      </c>
      <c r="O894" s="179">
        <f>SUMIFS($E$2:$E$896,$A$2:$A$896,"весна",$I$2:$I$896,I894)</f>
        <v/>
      </c>
      <c r="P894" s="180">
        <f>N894+O894</f>
        <v/>
      </c>
      <c r="Q894" s="181">
        <f>P894/$Q$1</f>
        <v/>
      </c>
      <c r="R894" s="122">
        <f>P894*0.2</f>
        <v/>
      </c>
      <c r="S894" s="122">
        <f>Q894*0.8</f>
        <v/>
      </c>
      <c r="T894" s="133" t="n">
        <v>0.75</v>
      </c>
    </row>
    <row r="895" hidden="1" ht="15.75" customHeight="1" s="2">
      <c r="A895" s="194" t="inlineStr">
        <is>
          <t>весна</t>
        </is>
      </c>
      <c r="B895" s="176" t="inlineStr">
        <is>
          <t>Диплом</t>
        </is>
      </c>
      <c r="C895" s="176" t="inlineStr">
        <is>
          <t>Диплом</t>
        </is>
      </c>
      <c r="D895" s="176" t="inlineStr">
        <is>
          <t>Т11О-407А-20</t>
        </is>
      </c>
      <c r="E895" s="177" t="n">
        <v>25</v>
      </c>
      <c r="F895" s="176" t="n"/>
      <c r="G895" s="178" t="n"/>
      <c r="H895" s="176" t="inlineStr">
        <is>
          <t>82060</t>
        </is>
      </c>
      <c r="I895" s="176" t="inlineStr">
        <is>
          <t>Лозован Александр Александрович</t>
        </is>
      </c>
      <c r="J895" s="176" t="n"/>
      <c r="K895" s="176" t="inlineStr">
        <is>
          <t>Нет</t>
        </is>
      </c>
      <c r="L895" s="176" t="n"/>
      <c r="M895" s="176" t="inlineStr">
        <is>
          <t>Митрофанов Андрей Леонидович</t>
        </is>
      </c>
      <c r="N895" s="179">
        <f>SUMIFS($E$2:$E$896,$A$2:$A$896,"осень",$I$2:$I$896,I895)</f>
        <v/>
      </c>
      <c r="O895" s="179">
        <f>SUMIFS($E$2:$E$896,$A$2:$A$896,"весна",$I$2:$I$896,I895)</f>
        <v/>
      </c>
      <c r="P895" s="180">
        <f>N895+O895</f>
        <v/>
      </c>
      <c r="Q895" s="181">
        <f>P895/$Q$1</f>
        <v/>
      </c>
      <c r="R895" s="122">
        <f>P895*0.2</f>
        <v/>
      </c>
      <c r="S895" s="122">
        <f>Q895*0.8</f>
        <v/>
      </c>
      <c r="T895" s="133" t="n">
        <v>0.55</v>
      </c>
    </row>
    <row r="896" hidden="1" ht="15.75" customHeight="1" s="2">
      <c r="A896" s="194" t="inlineStr">
        <is>
          <t>весна</t>
        </is>
      </c>
      <c r="B896" s="176" t="inlineStr">
        <is>
          <t>Диплом</t>
        </is>
      </c>
      <c r="C896" s="176" t="inlineStr">
        <is>
          <t>Диплом</t>
        </is>
      </c>
      <c r="D896" s="176" t="inlineStr">
        <is>
          <t>Т11О-407А-20</t>
        </is>
      </c>
      <c r="E896" s="177" t="n">
        <v>25</v>
      </c>
      <c r="F896" s="176" t="n"/>
      <c r="G896" s="178" t="n"/>
      <c r="H896" s="176" t="inlineStr">
        <is>
          <t>81958</t>
        </is>
      </c>
      <c r="I896" s="176" t="inlineStr">
        <is>
          <t>Бецофен Сергей Яковлевич</t>
        </is>
      </c>
      <c r="J896" s="176" t="n"/>
      <c r="K896" s="176" t="inlineStr">
        <is>
          <t>Нет</t>
        </is>
      </c>
      <c r="L896" s="176" t="n"/>
      <c r="M896" s="176" t="inlineStr">
        <is>
          <t>Прокопенко Денис Алексеевич</t>
        </is>
      </c>
      <c r="N896" s="179">
        <f>SUMIFS($E$2:$E$896,$A$2:$A$896,"осень",$I$2:$I$896,I896)</f>
        <v/>
      </c>
      <c r="O896" s="179">
        <f>SUMIFS($E$2:$E$896,$A$2:$A$896,"весна",$I$2:$I$896,I896)</f>
        <v/>
      </c>
      <c r="P896" s="180">
        <f>N896+O896</f>
        <v/>
      </c>
      <c r="Q896" s="181">
        <f>P896/$Q$1</f>
        <v/>
      </c>
      <c r="R896" s="122">
        <f>P896*0.2</f>
        <v/>
      </c>
      <c r="S896" s="122">
        <f>Q896*0.8</f>
        <v/>
      </c>
      <c r="T896" s="133" t="n">
        <v>0.3</v>
      </c>
    </row>
    <row r="897" ht="15" customHeight="1" s="2">
      <c r="B897" s="97" t="n"/>
      <c r="C897" s="97" t="n"/>
      <c r="D897" s="97" t="n"/>
      <c r="E897" s="98" t="n"/>
      <c r="F897" s="97" t="n"/>
      <c r="G897" s="97" t="n"/>
      <c r="H897" s="97" t="n"/>
      <c r="I897" s="97" t="n"/>
      <c r="J897" s="97" t="n"/>
      <c r="K897" s="97" t="n"/>
      <c r="L897" s="97" t="n"/>
      <c r="M897" s="97" t="n"/>
    </row>
    <row r="898" ht="15" customHeight="1" s="2">
      <c r="B898" s="97" t="n"/>
      <c r="C898" s="97" t="n"/>
      <c r="D898" s="97" t="n"/>
      <c r="E898" s="98">
        <f>SUBTOTAL(9,E2:E897)</f>
        <v/>
      </c>
      <c r="F898" s="97" t="n"/>
      <c r="G898" s="97" t="n"/>
      <c r="H898" s="97" t="n"/>
      <c r="I898" s="97" t="n"/>
      <c r="J898" s="97" t="n"/>
      <c r="K898" s="97" t="n"/>
      <c r="L898" s="97" t="n"/>
      <c r="M898" s="97" t="n"/>
    </row>
    <row r="899" ht="15" customHeight="1" s="2">
      <c r="B899" s="97" t="n"/>
      <c r="C899" s="97" t="n"/>
      <c r="D899" s="97" t="n"/>
      <c r="E899" s="98" t="n"/>
      <c r="F899" s="97" t="n"/>
      <c r="G899" s="97" t="n"/>
      <c r="H899" s="97" t="n"/>
      <c r="I899" s="97" t="n"/>
      <c r="J899" s="97" t="n"/>
      <c r="K899" s="97" t="n"/>
      <c r="L899" s="97" t="n"/>
      <c r="M899" s="97" t="n"/>
    </row>
    <row r="900" ht="15" customHeight="1" s="2">
      <c r="B900" s="97" t="n"/>
      <c r="C900" s="97" t="n"/>
      <c r="D900" s="97" t="n"/>
      <c r="E900" s="98" t="n"/>
      <c r="F900" s="97" t="n"/>
      <c r="G900" s="97" t="n"/>
      <c r="H900" s="97">
        <f>E898/830</f>
        <v/>
      </c>
      <c r="I900" s="97" t="n"/>
      <c r="J900" s="97" t="n"/>
      <c r="K900" s="97" t="n"/>
      <c r="L900" s="97" t="n"/>
      <c r="M900" s="97" t="n"/>
    </row>
    <row r="901" ht="15" customHeight="1" s="2">
      <c r="B901" s="97" t="n"/>
      <c r="C901" s="97" t="n"/>
      <c r="D901" s="97" t="n"/>
      <c r="E901" s="98" t="n"/>
      <c r="F901" s="97" t="n"/>
      <c r="G901" s="97" t="n"/>
      <c r="H901" s="97">
        <f>H900*0.9</f>
        <v/>
      </c>
      <c r="I901" s="97" t="n"/>
      <c r="J901" s="99" t="n"/>
      <c r="K901" s="99" t="n"/>
      <c r="L901" s="97" t="n"/>
      <c r="M901" s="97" t="n"/>
    </row>
    <row r="902" ht="15" customHeight="1" s="2">
      <c r="B902" s="97" t="n"/>
      <c r="C902" s="97" t="n"/>
      <c r="D902" s="100" t="n"/>
      <c r="E902" s="101" t="inlineStr">
        <is>
          <t>сумма</t>
        </is>
      </c>
      <c r="F902" s="102" t="inlineStr">
        <is>
          <t>чел</t>
        </is>
      </c>
      <c r="G902" s="100" t="n"/>
      <c r="H902" s="100" t="n"/>
      <c r="I902" s="100" t="n"/>
      <c r="J902" s="100" t="n"/>
      <c r="K902" s="100" t="n"/>
      <c r="L902" s="97" t="n"/>
      <c r="M902" s="97" t="n"/>
    </row>
    <row r="903" ht="15" customHeight="1" s="2">
      <c r="B903" s="97" t="n"/>
      <c r="C903" s="97" t="n"/>
      <c r="D903" s="100" t="n"/>
      <c r="E903" s="101" t="n">
        <v>300</v>
      </c>
      <c r="F903" s="102">
        <f>E903/25</f>
        <v/>
      </c>
      <c r="G903" s="100" t="n"/>
      <c r="H903" s="103" t="n"/>
      <c r="I903" s="100" t="n"/>
      <c r="J903" s="100" t="n"/>
      <c r="K903" s="100" t="n"/>
      <c r="L903" s="97" t="n"/>
      <c r="M903" s="97" t="n"/>
    </row>
    <row r="904" ht="15" customHeight="1" s="2">
      <c r="B904" s="97" t="n"/>
      <c r="C904" s="97" t="n"/>
      <c r="D904" s="103" t="inlineStr">
        <is>
          <t xml:space="preserve">бакалавры </t>
        </is>
      </c>
      <c r="E904" s="104" t="inlineStr">
        <is>
          <t>руковод</t>
        </is>
      </c>
      <c r="F904" s="100" t="n">
        <v>20</v>
      </c>
      <c r="G904" s="100" t="n">
        <v>120</v>
      </c>
      <c r="H904" s="100">
        <f>F903*5</f>
        <v/>
      </c>
      <c r="I904" s="100" t="n"/>
      <c r="J904" s="100" t="n"/>
      <c r="K904" s="100" t="n"/>
      <c r="L904" s="97" t="n"/>
      <c r="M904" s="97" t="n"/>
    </row>
    <row r="905" ht="15" customHeight="1" s="2">
      <c r="B905" s="97" t="n"/>
      <c r="C905" s="97" t="n"/>
      <c r="D905" s="103" t="n"/>
      <c r="E905" s="105" t="inlineStr">
        <is>
          <t>Норма</t>
        </is>
      </c>
      <c r="F905" s="106" t="n">
        <v>1</v>
      </c>
      <c r="G905" s="106">
        <f>F905*$F$903</f>
        <v/>
      </c>
      <c r="H905" s="100" t="n"/>
      <c r="I905" s="100" t="n"/>
      <c r="J905" s="100" t="n"/>
      <c r="K905" s="100" t="n"/>
      <c r="L905" s="97" t="n"/>
      <c r="M905" s="97" t="n"/>
    </row>
    <row r="906" ht="15" customHeight="1" s="2">
      <c r="B906" s="97" t="n"/>
      <c r="C906" s="97" t="n"/>
      <c r="D906" s="103" t="n"/>
      <c r="E906" s="199" t="inlineStr">
        <is>
          <t>секр</t>
        </is>
      </c>
      <c r="F906" s="200" t="n">
        <v>0.5</v>
      </c>
      <c r="G906" s="200">
        <f>F906*$F$903</f>
        <v/>
      </c>
      <c r="H906" s="100" t="n"/>
      <c r="I906" s="100" t="n"/>
      <c r="J906" s="100" t="n"/>
      <c r="K906" s="100" t="n"/>
      <c r="L906" s="97" t="n"/>
      <c r="M906" s="97" t="n"/>
    </row>
    <row r="907" ht="15" customHeight="1" s="2">
      <c r="B907" s="97" t="n"/>
      <c r="C907" s="97" t="n"/>
      <c r="D907" s="103" t="n"/>
      <c r="E907" s="109" t="inlineStr">
        <is>
          <t>комисс1</t>
        </is>
      </c>
      <c r="F907" s="110" t="n">
        <v>0.5</v>
      </c>
      <c r="G907" s="110">
        <f>F907*$F$903</f>
        <v/>
      </c>
      <c r="H907" s="100" t="n"/>
      <c r="I907" s="100" t="n"/>
      <c r="J907" s="100" t="n"/>
      <c r="K907" s="100" t="n"/>
      <c r="L907" s="97" t="n"/>
      <c r="M907" s="97" t="n"/>
    </row>
    <row r="908" ht="15" customHeight="1" s="2">
      <c r="B908" s="97" t="n"/>
      <c r="C908" s="97" t="n"/>
      <c r="D908" s="103" t="n"/>
      <c r="E908" s="109" t="inlineStr">
        <is>
          <t>комисс2</t>
        </is>
      </c>
      <c r="F908" s="110" t="n">
        <v>0.5</v>
      </c>
      <c r="G908" s="110">
        <f>F908*$F$903</f>
        <v/>
      </c>
      <c r="H908" s="100" t="n"/>
      <c r="I908" s="100" t="n"/>
      <c r="J908" s="100" t="n"/>
      <c r="K908" s="100" t="n"/>
      <c r="L908" s="97" t="n"/>
      <c r="M908" s="97" t="n"/>
    </row>
    <row r="909" ht="15" customHeight="1" s="2">
      <c r="B909" s="97" t="n"/>
      <c r="C909" s="97" t="n"/>
      <c r="D909" s="103" t="n"/>
      <c r="E909" s="105" t="inlineStr">
        <is>
          <t>комисс3</t>
        </is>
      </c>
      <c r="F909" s="106" t="n">
        <v>0.5</v>
      </c>
      <c r="G909" s="106">
        <f>F909*$F$903</f>
        <v/>
      </c>
      <c r="H909" s="100" t="n"/>
      <c r="I909" s="100" t="n"/>
      <c r="J909" s="100" t="n"/>
      <c r="K909" s="100" t="n"/>
      <c r="L909" s="97" t="n"/>
      <c r="M909" s="97" t="n"/>
      <c r="Q909" s="133" t="n"/>
    </row>
    <row r="910" ht="15" customHeight="1" s="2">
      <c r="B910" s="97" t="n"/>
      <c r="C910" s="97" t="n"/>
      <c r="D910" s="103" t="n"/>
      <c r="E910" s="105" t="inlineStr">
        <is>
          <t>комисс4</t>
        </is>
      </c>
      <c r="F910" s="106" t="n">
        <v>0.5</v>
      </c>
      <c r="G910" s="106">
        <f>F910*$F$903</f>
        <v/>
      </c>
      <c r="H910" s="100" t="n"/>
      <c r="I910" s="100" t="inlineStr">
        <is>
          <t>Комиссия</t>
        </is>
      </c>
      <c r="J910" s="100" t="n"/>
      <c r="K910" s="100" t="n"/>
      <c r="L910" s="97" t="n"/>
      <c r="M910" s="97" t="n"/>
    </row>
    <row r="911" ht="15" customHeight="1" s="2">
      <c r="B911" s="97" t="n"/>
      <c r="C911" s="97" t="n"/>
      <c r="D911" s="103" t="n"/>
      <c r="E911" s="105" t="inlineStr">
        <is>
          <t>комисс4</t>
        </is>
      </c>
      <c r="F911" s="106" t="n">
        <v>0.5</v>
      </c>
      <c r="G911" s="106">
        <f>F911*$F$903</f>
        <v/>
      </c>
      <c r="H911" s="100" t="n"/>
      <c r="I911" s="106">
        <f>G909+G910+G911</f>
        <v/>
      </c>
      <c r="J911" s="111" t="inlineStr">
        <is>
          <t>&lt;--сумма наших</t>
        </is>
      </c>
      <c r="K911" s="111" t="n"/>
      <c r="L911" s="97" t="n"/>
      <c r="M911" s="97" t="n"/>
    </row>
    <row r="912" ht="15" customHeight="1" s="2">
      <c r="B912" s="97" t="n"/>
      <c r="C912" s="97" t="n"/>
      <c r="D912" s="103" t="n"/>
      <c r="E912" s="109" t="inlineStr">
        <is>
          <t>председ</t>
        </is>
      </c>
      <c r="F912" s="110" t="n">
        <v>1</v>
      </c>
      <c r="G912" s="110">
        <f>F912*$F$903</f>
        <v/>
      </c>
      <c r="H912" s="112" t="n"/>
      <c r="I912" s="109">
        <f>G912+G908+G907</f>
        <v/>
      </c>
      <c r="J912" s="111" t="inlineStr">
        <is>
          <t>&lt;--сумма внешних</t>
        </is>
      </c>
      <c r="K912" s="111" t="n"/>
      <c r="L912" s="97" t="n"/>
      <c r="M912" s="97" t="n"/>
    </row>
    <row r="913" ht="15" customHeight="1" s="2">
      <c r="B913" s="97" t="n"/>
      <c r="C913" s="97" t="n"/>
      <c r="D913" s="113" t="n"/>
      <c r="E913" s="114" t="n"/>
      <c r="F913" s="115">
        <f>SUBTOTAL(9,F904:F912)</f>
        <v/>
      </c>
      <c r="G913" s="115">
        <f>F913*$F$903</f>
        <v/>
      </c>
      <c r="H913" s="115" t="n"/>
      <c r="I913" s="100" t="n"/>
      <c r="J913" s="111" t="n"/>
      <c r="K913" s="111" t="n"/>
      <c r="L913" s="97" t="n"/>
      <c r="M913" s="97" t="n"/>
    </row>
    <row r="914" ht="15" customHeight="1" s="2">
      <c r="B914" s="97" t="n"/>
      <c r="C914" s="97" t="n"/>
      <c r="D914" s="103" t="n"/>
      <c r="E914" s="100" t="n"/>
      <c r="F914" s="100" t="n"/>
      <c r="G914" s="100" t="n"/>
      <c r="H914" s="100" t="n"/>
      <c r="I914" s="100" t="n"/>
      <c r="J914" s="111" t="n"/>
      <c r="K914" s="111" t="n"/>
      <c r="L914" s="97" t="n"/>
      <c r="M914" s="97" t="n"/>
    </row>
    <row r="915" ht="15" customHeight="1" s="2">
      <c r="B915" s="97" t="n"/>
      <c r="C915" s="97" t="n"/>
      <c r="D915" s="103" t="n"/>
      <c r="E915" s="101" t="inlineStr">
        <is>
          <t>сумма</t>
        </is>
      </c>
      <c r="F915" s="102" t="inlineStr">
        <is>
          <t>чел</t>
        </is>
      </c>
      <c r="G915" s="100" t="n"/>
      <c r="H915" s="100" t="n"/>
      <c r="I915" s="100" t="n"/>
      <c r="J915" s="111" t="n"/>
      <c r="K915" s="111" t="n"/>
      <c r="L915" s="97" t="n"/>
      <c r="M915" s="97" t="n"/>
    </row>
    <row r="916" ht="15" customHeight="1" s="2">
      <c r="B916" s="97" t="n"/>
      <c r="C916" s="97" t="n"/>
      <c r="D916" s="103" t="n"/>
      <c r="E916" s="101" t="n">
        <v>210</v>
      </c>
      <c r="F916" s="102">
        <f>E916/30</f>
        <v/>
      </c>
      <c r="G916" s="100" t="n"/>
      <c r="H916" s="100" t="n"/>
      <c r="I916" s="100" t="n"/>
      <c r="J916" s="111" t="n"/>
      <c r="K916" s="111" t="n"/>
      <c r="L916" s="97" t="n"/>
      <c r="M916" s="97" t="n"/>
    </row>
    <row r="917" ht="15" customHeight="1" s="2">
      <c r="B917" s="97" t="n"/>
      <c r="C917" s="97" t="n"/>
      <c r="D917" s="103" t="inlineStr">
        <is>
          <t xml:space="preserve">магистры </t>
        </is>
      </c>
      <c r="E917" s="104" t="inlineStr">
        <is>
          <t>руковод</t>
        </is>
      </c>
      <c r="F917" s="100" t="n">
        <v>25</v>
      </c>
      <c r="G917" s="100">
        <f>$F$916*F917</f>
        <v/>
      </c>
      <c r="H917" s="100" t="n"/>
      <c r="I917" s="100" t="n"/>
      <c r="J917" s="111" t="n"/>
      <c r="K917" s="111" t="n"/>
      <c r="L917" s="97" t="n"/>
      <c r="M917" s="97" t="n"/>
    </row>
    <row r="918" ht="15" customHeight="1" s="2">
      <c r="B918" s="97" t="n"/>
      <c r="C918" s="97" t="n"/>
      <c r="D918" s="103" t="n"/>
      <c r="E918" s="105" t="inlineStr">
        <is>
          <t>Норма</t>
        </is>
      </c>
      <c r="F918" s="106" t="n">
        <v>1</v>
      </c>
      <c r="G918" s="106">
        <f>$F$916*F918</f>
        <v/>
      </c>
      <c r="H918" s="100" t="n"/>
      <c r="I918" s="100" t="n"/>
      <c r="J918" s="111" t="n"/>
      <c r="K918" s="111" t="n"/>
      <c r="L918" s="97" t="n"/>
      <c r="M918" s="97" t="n"/>
    </row>
    <row r="919" ht="15" customHeight="1" s="2">
      <c r="B919" s="97" t="n"/>
      <c r="C919" s="97" t="n"/>
      <c r="D919" s="103" t="n"/>
      <c r="E919" s="107" t="inlineStr">
        <is>
          <t>секр</t>
        </is>
      </c>
      <c r="F919" s="108" t="n">
        <v>0.5</v>
      </c>
      <c r="G919" s="108">
        <f>$F$916*F919</f>
        <v/>
      </c>
      <c r="H919" s="100" t="n"/>
      <c r="I919" s="100" t="n"/>
      <c r="J919" s="111" t="n"/>
      <c r="K919" s="111" t="n"/>
      <c r="L919" s="97" t="n"/>
      <c r="M919" s="97" t="n"/>
    </row>
    <row r="920" ht="15" customHeight="1" s="2">
      <c r="B920" s="97" t="n"/>
      <c r="C920" s="97" t="n"/>
      <c r="D920" s="103" t="n"/>
      <c r="E920" s="109" t="inlineStr">
        <is>
          <t>комисс1</t>
        </is>
      </c>
      <c r="F920" s="110" t="n">
        <v>0.5</v>
      </c>
      <c r="G920" s="110">
        <f>$F$916*F920</f>
        <v/>
      </c>
      <c r="H920" s="100" t="n"/>
      <c r="I920" s="100" t="n"/>
      <c r="J920" s="111" t="n"/>
      <c r="K920" s="111" t="n"/>
      <c r="L920" s="97" t="n"/>
      <c r="M920" s="97" t="n"/>
    </row>
    <row r="921" ht="15" customHeight="1" s="2">
      <c r="B921" s="97" t="n"/>
      <c r="C921" s="97" t="n"/>
      <c r="D921" s="103" t="n"/>
      <c r="E921" s="109" t="inlineStr">
        <is>
          <t>комисс2</t>
        </is>
      </c>
      <c r="F921" s="110" t="n">
        <v>0.5</v>
      </c>
      <c r="G921" s="110">
        <f>$F$916*F921</f>
        <v/>
      </c>
      <c r="H921" s="100" t="n"/>
      <c r="I921" s="100" t="n"/>
      <c r="J921" s="111" t="n"/>
      <c r="K921" s="111" t="n"/>
      <c r="L921" s="97" t="n"/>
      <c r="M921" s="97" t="n"/>
    </row>
    <row r="922" ht="15" customHeight="1" s="2">
      <c r="B922" s="97" t="n"/>
      <c r="C922" s="97" t="n"/>
      <c r="D922" s="103" t="n"/>
      <c r="E922" s="105" t="inlineStr">
        <is>
          <t>комисс3</t>
        </is>
      </c>
      <c r="F922" s="106" t="n">
        <v>0.5</v>
      </c>
      <c r="G922" s="106">
        <f>$F$916*F922</f>
        <v/>
      </c>
      <c r="H922" s="100" t="n"/>
      <c r="I922" s="100" t="n"/>
      <c r="J922" s="111" t="n"/>
      <c r="K922" s="111" t="n"/>
      <c r="L922" s="97" t="n"/>
      <c r="M922" s="97" t="n"/>
    </row>
    <row r="923" ht="15" customHeight="1" s="2">
      <c r="B923" s="97" t="n"/>
      <c r="C923" s="97" t="n"/>
      <c r="D923" s="103" t="n"/>
      <c r="E923" s="105" t="inlineStr">
        <is>
          <t>комисс4</t>
        </is>
      </c>
      <c r="F923" s="106" t="n">
        <v>0.5</v>
      </c>
      <c r="G923" s="106">
        <f>$F$916*F923</f>
        <v/>
      </c>
      <c r="H923" s="100" t="n"/>
      <c r="I923" s="100" t="inlineStr">
        <is>
          <t>Комиссия</t>
        </is>
      </c>
      <c r="J923" s="201">
        <f>E916-G917</f>
        <v/>
      </c>
      <c r="K923" s="111" t="n"/>
      <c r="L923" s="97" t="n"/>
      <c r="M923" s="97" t="n"/>
    </row>
    <row r="924" ht="15" customHeight="1" s="2">
      <c r="B924" s="97" t="n"/>
      <c r="C924" s="97" t="n"/>
      <c r="D924" s="103" t="n"/>
      <c r="E924" s="105" t="inlineStr">
        <is>
          <t>комисс4</t>
        </is>
      </c>
      <c r="F924" s="106" t="n">
        <v>0.5</v>
      </c>
      <c r="G924" s="106">
        <f>$F$916*F924</f>
        <v/>
      </c>
      <c r="H924" s="100" t="n"/>
      <c r="I924" s="106">
        <f>G922+G923+G924</f>
        <v/>
      </c>
      <c r="J924" s="111" t="inlineStr">
        <is>
          <t>&lt;--сумма наших</t>
        </is>
      </c>
      <c r="K924" s="111" t="n"/>
      <c r="L924" s="97" t="n"/>
      <c r="M924" s="97" t="n"/>
    </row>
    <row r="925" ht="15" customHeight="1" s="2">
      <c r="B925" s="97" t="n"/>
      <c r="C925" s="97" t="n"/>
      <c r="D925" s="103" t="n"/>
      <c r="E925" s="109" t="inlineStr">
        <is>
          <t>председ</t>
        </is>
      </c>
      <c r="F925" s="110" t="n">
        <v>1</v>
      </c>
      <c r="G925" s="110">
        <f>$F$916*F925</f>
        <v/>
      </c>
      <c r="H925" s="112" t="n"/>
      <c r="I925" s="109">
        <f>G925+G921+G920</f>
        <v/>
      </c>
      <c r="J925" s="111" t="inlineStr">
        <is>
          <t>&lt;--сумма внешних</t>
        </is>
      </c>
      <c r="K925" s="111" t="n"/>
      <c r="L925" s="97" t="n"/>
      <c r="M925" s="97" t="n"/>
    </row>
    <row r="926" ht="15" customHeight="1" s="2">
      <c r="B926" s="97" t="n"/>
      <c r="C926" s="97" t="n"/>
      <c r="D926" s="113" t="n"/>
      <c r="E926" s="114" t="n"/>
      <c r="F926" s="115">
        <f>SUBTOTAL(9,F917:F925)</f>
        <v/>
      </c>
      <c r="G926" s="115">
        <f>$F$916*F926</f>
        <v/>
      </c>
      <c r="H926" s="115" t="n"/>
      <c r="I926" s="100" t="n"/>
      <c r="J926" s="100" t="n"/>
      <c r="K926" s="100" t="n"/>
      <c r="L926" s="97" t="n"/>
      <c r="M926" s="97" t="n"/>
    </row>
    <row r="927" ht="15" customHeight="1" s="2">
      <c r="B927" s="97" t="n"/>
      <c r="C927" s="97" t="n"/>
      <c r="D927" s="97" t="n"/>
      <c r="E927" s="98" t="n"/>
      <c r="F927" s="97" t="n"/>
      <c r="G927" s="97" t="n"/>
      <c r="H927" s="97" t="n"/>
      <c r="I927" s="97" t="n"/>
      <c r="J927" s="97" t="n"/>
      <c r="K927" s="97" t="n"/>
      <c r="L927" s="97" t="n"/>
      <c r="M927" s="97" t="n"/>
    </row>
    <row r="928" ht="15" customHeight="1" s="2">
      <c r="B928" s="97" t="n"/>
      <c r="C928" s="97" t="n"/>
      <c r="D928" s="97" t="n"/>
      <c r="E928" s="98" t="n"/>
      <c r="F928" s="97" t="n"/>
      <c r="G928" s="97" t="n"/>
      <c r="H928" s="97" t="n"/>
      <c r="I928" s="97" t="n"/>
      <c r="J928" s="97" t="n"/>
      <c r="K928" s="97" t="n"/>
      <c r="L928" s="97" t="n"/>
      <c r="M928" s="97" t="n"/>
    </row>
    <row r="929" ht="15" customHeight="1" s="2">
      <c r="B929" s="97" t="n"/>
      <c r="C929" s="97" t="n"/>
      <c r="D929" s="103" t="n"/>
      <c r="E929" s="101" t="inlineStr">
        <is>
          <t>сумма</t>
        </is>
      </c>
      <c r="F929" s="102" t="inlineStr">
        <is>
          <t>чел</t>
        </is>
      </c>
      <c r="G929" s="100" t="n"/>
      <c r="H929" s="97" t="n"/>
      <c r="I929" s="97" t="n"/>
      <c r="J929" s="97" t="n"/>
      <c r="K929" s="97" t="n"/>
      <c r="L929" s="97" t="n"/>
      <c r="M929" s="97" t="n"/>
    </row>
    <row r="930" ht="15" customHeight="1" s="2">
      <c r="B930" s="97" t="n"/>
      <c r="C930" s="97" t="n"/>
      <c r="D930" s="103" t="n"/>
      <c r="E930" s="101" t="n">
        <v>75</v>
      </c>
      <c r="F930" s="102">
        <f>E930/F931</f>
        <v/>
      </c>
      <c r="G930" s="100" t="n"/>
      <c r="H930" s="97" t="n"/>
      <c r="I930" s="97" t="n"/>
      <c r="J930" s="97" t="n"/>
      <c r="K930" s="97" t="n"/>
      <c r="L930" s="97" t="n"/>
      <c r="M930" s="97" t="n"/>
    </row>
    <row r="931" ht="15" customHeight="1" s="2">
      <c r="B931" s="97" t="n"/>
      <c r="C931" s="97" t="n"/>
      <c r="D931" s="103" t="inlineStr">
        <is>
          <t>руководство магистрами</t>
        </is>
      </c>
      <c r="E931" s="104" t="inlineStr">
        <is>
          <t>руковод</t>
        </is>
      </c>
      <c r="F931" s="100" t="n">
        <v>15</v>
      </c>
      <c r="G931" s="100" t="n"/>
      <c r="H931" s="97" t="n"/>
      <c r="I931" s="97" t="n"/>
      <c r="J931" s="97" t="n"/>
      <c r="K931" s="97" t="n"/>
      <c r="L931" s="97" t="n"/>
      <c r="M931" s="97" t="n"/>
    </row>
    <row r="932" ht="15" customHeight="1" s="2">
      <c r="B932" s="97" t="n"/>
      <c r="C932" s="97" t="n"/>
      <c r="D932" s="97" t="n"/>
      <c r="E932" s="98" t="n"/>
      <c r="F932" s="97" t="n"/>
      <c r="G932" s="97" t="n"/>
      <c r="H932" s="97" t="n"/>
      <c r="I932" s="97" t="n"/>
      <c r="J932" s="97" t="n"/>
      <c r="K932" s="97" t="n"/>
      <c r="L932" s="97" t="n"/>
      <c r="M932" s="97" t="n"/>
    </row>
    <row r="933" ht="15" customHeight="1" s="2">
      <c r="B933" s="97" t="n"/>
      <c r="C933" s="97" t="n"/>
      <c r="D933" s="97" t="n"/>
      <c r="E933" s="98" t="n"/>
      <c r="F933" s="97" t="n"/>
      <c r="G933" s="97" t="n"/>
      <c r="H933" s="97" t="n"/>
      <c r="I933" s="97" t="n"/>
      <c r="J933" s="97" t="n"/>
      <c r="K933" s="97" t="n"/>
      <c r="L933" s="97" t="n"/>
      <c r="M933" s="97" t="n"/>
    </row>
    <row r="934" ht="15" customHeight="1" s="2">
      <c r="B934" s="97" t="n"/>
      <c r="C934" s="97" t="n"/>
      <c r="D934" s="97" t="n"/>
      <c r="E934" s="98" t="n"/>
      <c r="F934" s="97" t="n"/>
      <c r="G934" s="97" t="n"/>
      <c r="H934" s="97" t="n"/>
      <c r="I934" s="97" t="n"/>
      <c r="J934" s="97" t="n"/>
      <c r="K934" s="97" t="n"/>
      <c r="L934" s="97" t="n"/>
      <c r="M934" s="97" t="n"/>
    </row>
  </sheetData>
  <autoFilter ref="A1:AK896">
    <filterColumn colId="8" hiddenButton="0" showButton="1">
      <filters>
        <filter val="э-резерв"/>
      </filters>
    </filterColumn>
  </autoFilter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  <headerFooter>
    <oddHeader/>
    <oddFooter>&amp;CСтраница &amp;P из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3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36" customWidth="1" style="2" min="1" max="1"/>
    <col width="8" customWidth="1" style="2" min="2" max="5"/>
    <col width="7.85546875" customWidth="1" style="2" min="6" max="6"/>
    <col width="7.28515625" customWidth="1" style="2" min="7" max="7"/>
    <col width="7.7109375" customWidth="1" style="2" min="8" max="8"/>
    <col width="8" customWidth="1" style="2" min="9" max="9"/>
    <col width="7.5703125" customWidth="1" style="2" min="10" max="10"/>
    <col width="8" customWidth="1" style="2" min="11" max="11"/>
    <col width="7.28515625" customWidth="1" style="2" min="12" max="12"/>
    <col width="12.7109375" customWidth="1" style="2" min="13" max="14"/>
    <col width="8" customWidth="1" style="2" min="15" max="26"/>
  </cols>
  <sheetData>
    <row r="1">
      <c r="L1" s="202" t="inlineStr">
        <is>
          <t>ВЫДЕЛЕННОЕ КРАСНЫМ НЕ ПОДАВАТЬ!!!</t>
        </is>
      </c>
      <c r="M1" s="202" t="n"/>
      <c r="N1" s="202" t="n"/>
      <c r="O1" s="202" t="n"/>
      <c r="P1" s="202" t="n"/>
    </row>
    <row r="2">
      <c r="F2" t="inlineStr">
        <is>
          <t>Факт</t>
        </is>
      </c>
      <c r="I2" s="203" t="inlineStr">
        <is>
          <t>Прошение на 23,5</t>
        </is>
      </c>
    </row>
    <row r="3" ht="33" customHeight="1" s="2">
      <c r="A3" s="53" t="inlineStr">
        <is>
          <t>ФИО</t>
        </is>
      </c>
      <c r="B3" s="53" t="inlineStr">
        <is>
          <t>осень</t>
        </is>
      </c>
      <c r="C3" s="53" t="inlineStr">
        <is>
          <t>весна</t>
        </is>
      </c>
      <c r="D3" s="53" t="inlineStr">
        <is>
          <t>всего</t>
        </is>
      </c>
      <c r="E3" s="53" t="inlineStr">
        <is>
          <t>830</t>
        </is>
      </c>
      <c r="F3" s="204" t="inlineStr">
        <is>
          <t>сл на 22</t>
        </is>
      </c>
      <c r="G3" s="205" t="inlineStr">
        <is>
          <t>пч</t>
        </is>
      </c>
      <c r="H3" s="205" t="inlineStr">
        <is>
          <t>%пч</t>
        </is>
      </c>
      <c r="I3" s="206" t="inlineStr">
        <is>
          <t>СЗ
19/20</t>
        </is>
      </c>
      <c r="J3" s="75" t="inlineStr">
        <is>
          <t>пч</t>
        </is>
      </c>
      <c r="K3" s="75" t="inlineStr">
        <is>
          <t>%пч</t>
        </is>
      </c>
      <c r="L3" s="205" t="inlineStr">
        <is>
          <t>мес</t>
        </is>
      </c>
      <c r="M3" s="207" t="inlineStr">
        <is>
          <t>должность
было</t>
        </is>
      </c>
      <c r="N3" s="208" t="inlineStr">
        <is>
          <t>должность 
стало</t>
        </is>
      </c>
      <c r="O3" s="209" t="inlineStr">
        <is>
          <t>сентябрь</t>
        </is>
      </c>
      <c r="P3" s="209" t="inlineStr">
        <is>
          <t>октябрь</t>
        </is>
      </c>
      <c r="Q3" s="209" t="inlineStr">
        <is>
          <t>ноябрь</t>
        </is>
      </c>
      <c r="R3" s="209" t="inlineStr">
        <is>
          <t>декабрь</t>
        </is>
      </c>
      <c r="S3" s="209" t="inlineStr">
        <is>
          <t>январь</t>
        </is>
      </c>
      <c r="T3" s="209" t="inlineStr">
        <is>
          <t>февраль</t>
        </is>
      </c>
      <c r="U3" s="209" t="inlineStr">
        <is>
          <t>март</t>
        </is>
      </c>
      <c r="V3" s="209" t="inlineStr">
        <is>
          <t>апрель</t>
        </is>
      </c>
      <c r="W3" s="209" t="inlineStr">
        <is>
          <t>май</t>
        </is>
      </c>
      <c r="X3" s="209" t="inlineStr">
        <is>
          <t>июнь</t>
        </is>
      </c>
    </row>
    <row r="4">
      <c r="A4" s="39" t="inlineStr">
        <is>
          <t xml:space="preserve">Александрова Светлана Сергеевна </t>
        </is>
      </c>
      <c r="B4" s="39" t="n">
        <v>437</v>
      </c>
      <c r="C4" s="39" t="n">
        <v>228</v>
      </c>
      <c r="D4" s="39" t="n">
        <v>665</v>
      </c>
      <c r="E4" s="134" t="n">
        <v>0.8012048192771084</v>
      </c>
      <c r="F4" s="210" t="n">
        <v>0.8</v>
      </c>
      <c r="G4" s="53">
        <f>D4-F4*$E$3</f>
        <v/>
      </c>
      <c r="H4" s="211">
        <f>G4/D4</f>
        <v/>
      </c>
      <c r="I4" s="212" t="n">
        <v>0.8</v>
      </c>
      <c r="J4" s="53">
        <f>D4-I4*$E$3</f>
        <v/>
      </c>
      <c r="K4" s="211">
        <f>J4/D4</f>
        <v/>
      </c>
      <c r="L4" s="213">
        <f>G4/8</f>
        <v/>
      </c>
      <c r="M4" s="214" t="inlineStr">
        <is>
          <t>доцент</t>
        </is>
      </c>
      <c r="N4" s="214" t="inlineStr">
        <is>
          <t>доцент</t>
        </is>
      </c>
      <c r="O4" s="215" t="n">
        <v>0</v>
      </c>
      <c r="P4" s="215" t="n">
        <v>0</v>
      </c>
      <c r="Q4" s="215" t="n">
        <v>0</v>
      </c>
      <c r="R4" s="215" t="n">
        <v>0</v>
      </c>
      <c r="S4" s="215" t="n"/>
      <c r="T4" s="215" t="n">
        <v>0</v>
      </c>
      <c r="U4" s="215" t="n">
        <v>0</v>
      </c>
      <c r="V4" s="215" t="n">
        <v>0</v>
      </c>
      <c r="W4" s="215" t="n">
        <v>0</v>
      </c>
      <c r="X4" s="215" t="n">
        <v>0</v>
      </c>
      <c r="Y4" s="216">
        <f>SUM(O4:X4)</f>
        <v/>
      </c>
      <c r="Z4" s="53">
        <f>Y4-G4</f>
        <v/>
      </c>
    </row>
    <row r="5">
      <c r="A5" s="39" t="inlineStr">
        <is>
          <t xml:space="preserve">Барабанова Ольга Алексеевна </t>
        </is>
      </c>
      <c r="B5" s="39" t="n">
        <v>384</v>
      </c>
      <c r="C5" s="39" t="n">
        <v>139.5</v>
      </c>
      <c r="D5" s="39" t="n">
        <v>523.5</v>
      </c>
      <c r="E5" s="134" t="n">
        <v>0.630722891566265</v>
      </c>
      <c r="F5" s="217" t="n">
        <v>0.5</v>
      </c>
      <c r="G5" s="53">
        <f>D5-F5*$E$3</f>
        <v/>
      </c>
      <c r="H5" s="211">
        <f>G5/D5</f>
        <v/>
      </c>
      <c r="I5" s="212" t="n">
        <v>0.55</v>
      </c>
      <c r="J5" s="53">
        <f>D5-I5*$E$3</f>
        <v/>
      </c>
      <c r="K5" s="211">
        <f>J5/D5</f>
        <v/>
      </c>
      <c r="L5" s="213">
        <f>G5/8</f>
        <v/>
      </c>
      <c r="M5" s="214" t="inlineStr">
        <is>
          <t>профессор</t>
        </is>
      </c>
      <c r="N5" s="214" t="inlineStr">
        <is>
          <t>профессор</t>
        </is>
      </c>
      <c r="O5" s="215" t="n">
        <v>0</v>
      </c>
      <c r="P5" s="215" t="n">
        <v>0</v>
      </c>
      <c r="Q5" s="43" t="n">
        <v>0</v>
      </c>
      <c r="R5" s="53" t="n">
        <v>0</v>
      </c>
      <c r="S5" s="53" t="n"/>
      <c r="T5" s="215" t="n">
        <v>0</v>
      </c>
      <c r="U5" s="215" t="n">
        <v>0</v>
      </c>
      <c r="V5" s="43" t="n">
        <v>0</v>
      </c>
      <c r="W5" s="53" t="n">
        <v>0</v>
      </c>
      <c r="X5" s="53" t="n"/>
      <c r="Y5" s="216">
        <f>SUM(O5:X5)</f>
        <v/>
      </c>
      <c r="Z5" s="53">
        <f>Y5-G5</f>
        <v/>
      </c>
    </row>
    <row r="6" ht="16.5" customHeight="1" s="2">
      <c r="A6" s="39" t="inlineStr">
        <is>
          <t>Бережной Дмитрий Васильевич</t>
        </is>
      </c>
      <c r="B6" s="39" t="n">
        <v>344</v>
      </c>
      <c r="C6" s="39" t="n">
        <v>366</v>
      </c>
      <c r="D6" s="39" t="n">
        <v>710</v>
      </c>
      <c r="E6" s="134" t="n">
        <v>0.8554216867469879</v>
      </c>
      <c r="F6" s="217" t="n">
        <v>0.95</v>
      </c>
      <c r="G6" s="53">
        <f>D6-F6*$E$3</f>
        <v/>
      </c>
      <c r="H6" s="211">
        <f>G6/D6</f>
        <v/>
      </c>
      <c r="I6" s="212" t="n">
        <v>1</v>
      </c>
      <c r="J6" s="53">
        <f>D6-I6*$E$3</f>
        <v/>
      </c>
      <c r="K6" s="211">
        <f>J6/D6</f>
        <v/>
      </c>
      <c r="L6" s="213">
        <f>G6/8</f>
        <v/>
      </c>
      <c r="M6" s="214" t="inlineStr">
        <is>
          <t>доцент</t>
        </is>
      </c>
      <c r="N6" s="214" t="inlineStr">
        <is>
          <t>доцент</t>
        </is>
      </c>
      <c r="O6" s="215" t="n">
        <v>0</v>
      </c>
      <c r="P6" s="215" t="n">
        <v>0</v>
      </c>
      <c r="Q6" s="43" t="n">
        <v>0</v>
      </c>
      <c r="R6" s="53" t="n">
        <v>0</v>
      </c>
      <c r="S6" s="53" t="n"/>
      <c r="T6" s="215" t="n">
        <v>0</v>
      </c>
      <c r="U6" s="215" t="n">
        <v>0</v>
      </c>
      <c r="V6" s="43" t="n">
        <v>0</v>
      </c>
      <c r="W6" s="53" t="n">
        <v>0</v>
      </c>
      <c r="X6" s="53" t="n"/>
      <c r="Y6" s="216">
        <f>SUM(O6:X6)</f>
        <v/>
      </c>
      <c r="Z6" s="53">
        <f>Y6-G6</f>
        <v/>
      </c>
    </row>
    <row r="7">
      <c r="A7" s="39" t="inlineStr">
        <is>
          <t xml:space="preserve">Беспалов Александр Владимирович </t>
        </is>
      </c>
      <c r="B7" s="39" t="n">
        <v>116</v>
      </c>
      <c r="C7" s="39" t="n">
        <v>105</v>
      </c>
      <c r="D7" s="39" t="n">
        <v>221</v>
      </c>
      <c r="E7" s="134" t="n">
        <v>0.2662650602409639</v>
      </c>
      <c r="F7" s="212" t="n">
        <v>0.3</v>
      </c>
      <c r="G7" s="53">
        <f>D7-F7*$E$3</f>
        <v/>
      </c>
      <c r="H7" s="211">
        <f>G7/D7</f>
        <v/>
      </c>
      <c r="I7" s="212" t="n">
        <v>0.3</v>
      </c>
      <c r="J7" s="53">
        <f>D7-I7*$E$3</f>
        <v/>
      </c>
      <c r="K7" s="211">
        <f>J7/D7</f>
        <v/>
      </c>
      <c r="L7" s="213">
        <f>G7/8</f>
        <v/>
      </c>
      <c r="M7" s="214" t="inlineStr">
        <is>
          <t>доцент</t>
        </is>
      </c>
      <c r="N7" s="214" t="inlineStr">
        <is>
          <t>доцент</t>
        </is>
      </c>
      <c r="O7" s="218" t="n">
        <v>4</v>
      </c>
      <c r="P7" s="218" t="n">
        <v>2</v>
      </c>
      <c r="Q7" s="219" t="n">
        <v>2</v>
      </c>
      <c r="R7" s="220" t="n">
        <v>2</v>
      </c>
      <c r="S7" s="53" t="n"/>
      <c r="T7" s="53" t="n">
        <v>0</v>
      </c>
      <c r="U7" s="53" t="n">
        <v>0</v>
      </c>
      <c r="V7" s="53" t="n">
        <v>0</v>
      </c>
      <c r="W7" s="53" t="n">
        <v>0</v>
      </c>
      <c r="X7" s="53" t="n"/>
      <c r="Y7" s="216">
        <f>SUM(O7:X7)</f>
        <v/>
      </c>
      <c r="Z7" s="53">
        <f>Y7-G7</f>
        <v/>
      </c>
    </row>
    <row r="8">
      <c r="A8" s="39" t="inlineStr">
        <is>
          <t xml:space="preserve">Бобрышев Борис Леонидович </t>
        </is>
      </c>
      <c r="B8" s="39" t="n">
        <v>0</v>
      </c>
      <c r="C8" s="39" t="n">
        <v>311</v>
      </c>
      <c r="D8" s="39" t="n">
        <v>311</v>
      </c>
      <c r="E8" s="134" t="n">
        <v>0.3746987951807229</v>
      </c>
      <c r="F8" s="212" t="n">
        <v>0.5</v>
      </c>
      <c r="G8" s="53">
        <f>D8-F8*$E$3</f>
        <v/>
      </c>
      <c r="H8" s="211">
        <f>G8/D8</f>
        <v/>
      </c>
      <c r="I8" s="212" t="n">
        <v>0.5</v>
      </c>
      <c r="J8" s="53">
        <f>D8-I8*$E$3</f>
        <v/>
      </c>
      <c r="K8" s="211">
        <f>J8/D8</f>
        <v/>
      </c>
      <c r="L8" s="213">
        <f>G8/8</f>
        <v/>
      </c>
      <c r="M8" s="214" t="inlineStr">
        <is>
          <t>доцент</t>
        </is>
      </c>
      <c r="N8" s="214" t="inlineStr">
        <is>
          <t>доцент</t>
        </is>
      </c>
      <c r="O8" s="218" t="n">
        <v>2</v>
      </c>
      <c r="P8" s="218" t="n">
        <v>2</v>
      </c>
      <c r="Q8" s="219" t="n">
        <v>2</v>
      </c>
      <c r="R8" s="220" t="n">
        <v>2</v>
      </c>
      <c r="S8" s="53" t="n"/>
      <c r="T8" s="215" t="n">
        <v>0</v>
      </c>
      <c r="U8" s="215" t="n">
        <v>0</v>
      </c>
      <c r="V8" s="43" t="n">
        <v>0</v>
      </c>
      <c r="W8" s="53" t="n">
        <v>0</v>
      </c>
      <c r="X8" s="53" t="n"/>
      <c r="Y8" s="216">
        <f>SUM(O8:X8)</f>
        <v/>
      </c>
      <c r="Z8" s="53">
        <f>Y8-G8</f>
        <v/>
      </c>
    </row>
    <row r="9" ht="14.25" customHeight="1" s="2">
      <c r="A9" s="39" t="inlineStr">
        <is>
          <t xml:space="preserve">Варфоломеев Максим Сергеевич </t>
        </is>
      </c>
      <c r="B9" s="39" t="n">
        <v>289</v>
      </c>
      <c r="C9" s="39" t="n">
        <v>650.5</v>
      </c>
      <c r="D9" s="39" t="n">
        <v>939.5</v>
      </c>
      <c r="E9" s="134" t="n">
        <v>1.131927710843373</v>
      </c>
      <c r="F9" s="217" t="n">
        <v>1</v>
      </c>
      <c r="G9" s="53">
        <f>D9-F9*$E$3</f>
        <v/>
      </c>
      <c r="H9" s="211">
        <f>G9/D9</f>
        <v/>
      </c>
      <c r="I9" s="212" t="n">
        <v>0.9</v>
      </c>
      <c r="J9" s="53">
        <f>D9-I9*$E$3</f>
        <v/>
      </c>
      <c r="K9" s="211">
        <f>J9/D9</f>
        <v/>
      </c>
      <c r="L9" s="213">
        <f>G9/8</f>
        <v/>
      </c>
      <c r="M9" s="214" t="inlineStr">
        <is>
          <t>доцент</t>
        </is>
      </c>
      <c r="N9" s="214" t="inlineStr">
        <is>
          <t>доцент</t>
        </is>
      </c>
      <c r="O9" s="215" t="n">
        <v>0</v>
      </c>
      <c r="P9" s="215" t="n">
        <v>0</v>
      </c>
      <c r="Q9" s="43" t="n">
        <v>0</v>
      </c>
      <c r="R9" s="53" t="n">
        <v>0</v>
      </c>
      <c r="S9" s="53" t="n"/>
      <c r="T9" s="215" t="n">
        <v>0</v>
      </c>
      <c r="U9" s="215" t="n">
        <v>0</v>
      </c>
      <c r="V9" s="43" t="n">
        <v>0</v>
      </c>
      <c r="W9" s="53" t="n">
        <v>0</v>
      </c>
      <c r="X9" s="53" t="n"/>
      <c r="Y9" s="216">
        <f>SUM(O9:X9)</f>
        <v/>
      </c>
      <c r="Z9" s="53">
        <f>Y9-G9</f>
        <v/>
      </c>
    </row>
    <row r="10" ht="12.75" customHeight="1" s="2">
      <c r="A10" s="39" t="inlineStr">
        <is>
          <t xml:space="preserve">Власенко Артем Николаевич </t>
        </is>
      </c>
      <c r="B10" s="39" t="n">
        <v>204</v>
      </c>
      <c r="C10" s="39" t="n">
        <v>8</v>
      </c>
      <c r="D10" s="39" t="n">
        <v>212</v>
      </c>
      <c r="E10" s="134" t="n">
        <v>0.255421686746988</v>
      </c>
      <c r="F10" s="217" t="n">
        <v>0.5</v>
      </c>
      <c r="G10" s="53">
        <f>D10-F10*$E$3</f>
        <v/>
      </c>
      <c r="H10" s="211">
        <f>G10/D10</f>
        <v/>
      </c>
      <c r="I10" s="212" t="n">
        <v>0.6</v>
      </c>
      <c r="J10" s="53">
        <f>D10-I10*$E$3</f>
        <v/>
      </c>
      <c r="K10" s="211">
        <f>J10/D10</f>
        <v/>
      </c>
      <c r="L10" s="213">
        <f>G10/8</f>
        <v/>
      </c>
      <c r="M10" s="214" t="inlineStr">
        <is>
          <t>ст</t>
        </is>
      </c>
      <c r="N10" s="214" t="inlineStr">
        <is>
          <t>ст</t>
        </is>
      </c>
      <c r="O10" s="215" t="n">
        <v>0</v>
      </c>
      <c r="P10" s="215" t="n">
        <v>0</v>
      </c>
      <c r="Q10" s="43" t="n">
        <v>0</v>
      </c>
      <c r="R10" s="53" t="n">
        <v>0</v>
      </c>
      <c r="S10" s="53" t="n"/>
      <c r="T10" s="215" t="n">
        <v>0</v>
      </c>
      <c r="U10" s="215" t="n">
        <v>0</v>
      </c>
      <c r="V10" s="43" t="n">
        <v>0</v>
      </c>
      <c r="W10" s="53" t="n">
        <v>0</v>
      </c>
      <c r="X10" s="53" t="n"/>
      <c r="Y10" s="216">
        <f>SUM(O10:X10)</f>
        <v/>
      </c>
      <c r="Z10" s="53">
        <f>Y10-G10</f>
        <v/>
      </c>
    </row>
    <row r="11">
      <c r="A11" s="39" t="inlineStr">
        <is>
          <t xml:space="preserve">Галкин Виктор Иванович </t>
        </is>
      </c>
      <c r="B11" s="39" t="n">
        <v>355</v>
      </c>
      <c r="C11" s="39" t="n">
        <v>584</v>
      </c>
      <c r="D11" s="39" t="n">
        <v>939</v>
      </c>
      <c r="E11" s="134" t="n">
        <v>1.131325301204819</v>
      </c>
      <c r="F11" s="212" t="n">
        <v>1</v>
      </c>
      <c r="G11" s="53">
        <f>D11-F11*$E$3</f>
        <v/>
      </c>
      <c r="H11" s="211">
        <f>G11/D11</f>
        <v/>
      </c>
      <c r="I11" s="212" t="n">
        <v>1</v>
      </c>
      <c r="J11" s="53">
        <f>D11-I11*$E$3</f>
        <v/>
      </c>
      <c r="K11" s="211">
        <f>J11/D11</f>
        <v/>
      </c>
      <c r="L11" s="213">
        <f>G11/8</f>
        <v/>
      </c>
      <c r="M11" s="214" t="inlineStr">
        <is>
          <t>профессор</t>
        </is>
      </c>
      <c r="N11" s="214" t="inlineStr">
        <is>
          <t>профессор</t>
        </is>
      </c>
      <c r="O11" s="218" t="n">
        <v>36</v>
      </c>
      <c r="P11" s="218" t="n">
        <v>22</v>
      </c>
      <c r="Q11" s="218" t="n">
        <v>22</v>
      </c>
      <c r="R11" s="218" t="n">
        <v>22</v>
      </c>
      <c r="S11" s="53" t="n"/>
      <c r="T11" s="218" t="n">
        <v>22</v>
      </c>
      <c r="U11" s="218" t="n">
        <v>22</v>
      </c>
      <c r="V11" s="218" t="n">
        <v>22</v>
      </c>
      <c r="W11" s="218" t="n">
        <v>14</v>
      </c>
      <c r="X11" s="53" t="n"/>
      <c r="Y11" s="216">
        <f>SUM(O11:X11)</f>
        <v/>
      </c>
      <c r="Z11" s="53">
        <f>Y11-G11</f>
        <v/>
      </c>
    </row>
    <row r="12">
      <c r="A12" s="39" t="inlineStr">
        <is>
          <t xml:space="preserve">Галкин Евгений Владимирович </t>
        </is>
      </c>
      <c r="B12" s="39" t="n">
        <v>639</v>
      </c>
      <c r="C12" s="39" t="n">
        <v>456.5</v>
      </c>
      <c r="D12" s="39" t="n">
        <v>1095.5</v>
      </c>
      <c r="E12" s="134" t="n">
        <v>1.319879518072289</v>
      </c>
      <c r="F12" s="212" t="n">
        <v>1</v>
      </c>
      <c r="G12" s="53">
        <f>D12-F12*$E$3</f>
        <v/>
      </c>
      <c r="H12" s="211">
        <f>G12/D12</f>
        <v/>
      </c>
      <c r="I12" s="212" t="n">
        <v>1</v>
      </c>
      <c r="J12" s="53">
        <f>D12-I12*$E$3</f>
        <v/>
      </c>
      <c r="K12" s="211">
        <f>J12/D12</f>
        <v/>
      </c>
      <c r="L12" s="213">
        <f>G12/8</f>
        <v/>
      </c>
      <c r="M12" s="214" t="inlineStr">
        <is>
          <t>доцент</t>
        </is>
      </c>
      <c r="N12" s="214" t="inlineStr">
        <is>
          <t>доцент</t>
        </is>
      </c>
      <c r="O12" s="218" t="n">
        <v>32</v>
      </c>
      <c r="P12" s="218" t="n">
        <v>32</v>
      </c>
      <c r="Q12" s="218" t="n">
        <v>36</v>
      </c>
      <c r="R12" s="218" t="n">
        <v>30</v>
      </c>
      <c r="S12" s="53" t="n"/>
      <c r="T12" s="218" t="n">
        <v>48</v>
      </c>
      <c r="U12" s="218" t="n">
        <v>48</v>
      </c>
      <c r="V12" s="218" t="n">
        <v>48</v>
      </c>
      <c r="W12" s="218" t="n">
        <v>14</v>
      </c>
      <c r="X12" s="53" t="n"/>
      <c r="Y12" s="216">
        <f>SUM(O12:X12)</f>
        <v/>
      </c>
      <c r="Z12" s="53">
        <f>Y12-G12</f>
        <v/>
      </c>
    </row>
    <row r="13" ht="14.25" customHeight="1" s="2">
      <c r="A13" s="39" t="inlineStr">
        <is>
          <t xml:space="preserve">Еремеев Николай Владимирович </t>
        </is>
      </c>
      <c r="B13" s="39" t="n">
        <v>41</v>
      </c>
      <c r="C13" s="39" t="n">
        <v>161</v>
      </c>
      <c r="D13" s="39" t="n">
        <v>202</v>
      </c>
      <c r="E13" s="134" t="n">
        <v>0.2433734939759036</v>
      </c>
      <c r="F13" s="217" t="n">
        <v>0.15</v>
      </c>
      <c r="G13" s="53">
        <f>D13-F13*$E$3</f>
        <v/>
      </c>
      <c r="H13" s="211">
        <f>G13/D13</f>
        <v/>
      </c>
      <c r="I13" s="210" t="n">
        <v>0.25</v>
      </c>
      <c r="J13" s="53">
        <f>D13-I13*$E$3</f>
        <v/>
      </c>
      <c r="K13" s="211">
        <f>J13/D13</f>
        <v/>
      </c>
      <c r="L13" s="213">
        <f>G13/8</f>
        <v/>
      </c>
      <c r="M13" s="214" t="inlineStr">
        <is>
          <t>доцент</t>
        </is>
      </c>
      <c r="N13" s="214" t="inlineStr">
        <is>
          <t>доцент</t>
        </is>
      </c>
      <c r="O13" s="215" t="n">
        <v>0</v>
      </c>
      <c r="P13" s="215" t="n">
        <v>0</v>
      </c>
      <c r="Q13" s="215" t="n">
        <v>0</v>
      </c>
      <c r="R13" s="215" t="n">
        <v>0</v>
      </c>
      <c r="S13" s="53" t="n"/>
      <c r="T13" s="215" t="n">
        <v>0</v>
      </c>
      <c r="U13" s="215" t="n">
        <v>0</v>
      </c>
      <c r="V13" s="215" t="n">
        <v>0</v>
      </c>
      <c r="W13" s="215" t="n">
        <v>0</v>
      </c>
      <c r="X13" s="53" t="n"/>
      <c r="Y13" s="216">
        <f>SUM(O13:X13)</f>
        <v/>
      </c>
      <c r="Z13" s="53">
        <f>Y13-G13</f>
        <v/>
      </c>
    </row>
    <row r="14" ht="15.75" customHeight="1" s="2">
      <c r="A14" s="39" t="inlineStr">
        <is>
          <t xml:space="preserve">Жаров Максим Владимирович </t>
        </is>
      </c>
      <c r="B14" s="39" t="n">
        <v>705</v>
      </c>
      <c r="C14" s="39" t="n">
        <v>175.5</v>
      </c>
      <c r="D14" s="39" t="n">
        <v>880.5</v>
      </c>
      <c r="E14" s="134" t="n">
        <v>1.060843373493976</v>
      </c>
      <c r="F14" s="212" t="n">
        <v>1</v>
      </c>
      <c r="G14" s="53">
        <f>D14-F14*$E$3</f>
        <v/>
      </c>
      <c r="H14" s="211">
        <f>G14/D14</f>
        <v/>
      </c>
      <c r="I14" s="212" t="n">
        <v>1</v>
      </c>
      <c r="J14" s="53">
        <f>D14-I14*$E$3</f>
        <v/>
      </c>
      <c r="K14" s="211">
        <f>J14/D14</f>
        <v/>
      </c>
      <c r="L14" s="213">
        <f>G14/8</f>
        <v/>
      </c>
      <c r="M14" s="214" t="inlineStr">
        <is>
          <t>доцент</t>
        </is>
      </c>
      <c r="N14" s="214" t="inlineStr">
        <is>
          <t>доцент</t>
        </is>
      </c>
      <c r="O14" s="218" t="n">
        <v>22</v>
      </c>
      <c r="P14" s="221" t="n">
        <v>32</v>
      </c>
      <c r="Q14" s="218" t="n">
        <v>32</v>
      </c>
      <c r="R14" s="218" t="n">
        <v>32</v>
      </c>
      <c r="S14" s="53" t="n"/>
      <c r="T14" s="218" t="n">
        <v>14</v>
      </c>
      <c r="U14" s="218" t="n">
        <v>14</v>
      </c>
      <c r="V14" s="218" t="n">
        <v>14</v>
      </c>
      <c r="W14" s="218" t="n">
        <v>6</v>
      </c>
      <c r="X14" s="53" t="n"/>
      <c r="Y14" s="216">
        <f>SUM(O14:X14)</f>
        <v/>
      </c>
      <c r="Z14" s="53">
        <f>Y14-G14</f>
        <v/>
      </c>
    </row>
    <row r="15">
      <c r="A15" s="39" t="inlineStr">
        <is>
          <t xml:space="preserve">Комаров Роман Сергеевич </t>
        </is>
      </c>
      <c r="B15" s="39" t="n">
        <v>127</v>
      </c>
      <c r="C15" s="39" t="n">
        <v>133.5</v>
      </c>
      <c r="D15" s="39" t="n">
        <v>260.5</v>
      </c>
      <c r="E15" s="134" t="n">
        <v>0.313855421686747</v>
      </c>
      <c r="F15" s="212" t="n">
        <v>0.25</v>
      </c>
      <c r="G15" s="53">
        <f>D15-F15*$E$3</f>
        <v/>
      </c>
      <c r="H15" s="211">
        <f>G15/D15</f>
        <v/>
      </c>
      <c r="I15" s="212" t="n">
        <v>0.25</v>
      </c>
      <c r="J15" s="53">
        <f>D15-I15*$E$3</f>
        <v/>
      </c>
      <c r="K15" s="211">
        <f>J15/D15</f>
        <v/>
      </c>
      <c r="L15" s="213">
        <f>G15/8</f>
        <v/>
      </c>
      <c r="M15" s="222" t="inlineStr">
        <is>
          <t>ассисиент</t>
        </is>
      </c>
      <c r="N15" s="222" t="inlineStr">
        <is>
          <t>ассисиент</t>
        </is>
      </c>
      <c r="O15" s="215" t="n">
        <v>0</v>
      </c>
      <c r="P15" s="215" t="n">
        <v>0</v>
      </c>
      <c r="Q15" s="215" t="n">
        <v>0</v>
      </c>
      <c r="R15" s="215" t="n">
        <v>0</v>
      </c>
      <c r="S15" s="53" t="n"/>
      <c r="T15" s="223" t="n">
        <v>0</v>
      </c>
      <c r="U15" s="223" t="n">
        <v>0</v>
      </c>
      <c r="V15" s="223" t="n">
        <v>0</v>
      </c>
      <c r="W15" s="223" t="n">
        <v>0</v>
      </c>
      <c r="X15" s="53" t="n"/>
      <c r="Y15" s="216">
        <f>SUM(O15:X15)</f>
        <v/>
      </c>
      <c r="Z15" s="53">
        <f>Y15-G15</f>
        <v/>
      </c>
    </row>
    <row r="16">
      <c r="A16" s="39" t="inlineStr">
        <is>
          <t xml:space="preserve">Конкевич Валентин Юрьевич </t>
        </is>
      </c>
      <c r="B16" s="39" t="n">
        <v>310.8</v>
      </c>
      <c r="C16" s="39" t="n">
        <v>455</v>
      </c>
      <c r="D16" s="39" t="n">
        <v>765.8</v>
      </c>
      <c r="E16" s="134" t="n">
        <v>0.9226506024096385</v>
      </c>
      <c r="F16" s="217" t="n">
        <v>0.7</v>
      </c>
      <c r="G16" s="53">
        <f>D16-F16*$E$3</f>
        <v/>
      </c>
      <c r="H16" s="211">
        <f>G16/D16</f>
        <v/>
      </c>
      <c r="I16" s="212" t="n">
        <v>0.6</v>
      </c>
      <c r="J16" s="53">
        <f>D16-I16*$E$3</f>
        <v/>
      </c>
      <c r="K16" s="211">
        <f>J16/D16</f>
        <v/>
      </c>
      <c r="L16" s="213">
        <f>G16/8</f>
        <v/>
      </c>
      <c r="M16" s="222" t="inlineStr">
        <is>
          <t>профессор</t>
        </is>
      </c>
      <c r="N16" s="222" t="inlineStr">
        <is>
          <t>профессор</t>
        </is>
      </c>
      <c r="O16" s="218" t="n">
        <v>2</v>
      </c>
      <c r="P16" s="218" t="n">
        <v>2</v>
      </c>
      <c r="Q16" s="218" t="n">
        <v>2</v>
      </c>
      <c r="R16" s="215" t="n">
        <v>0</v>
      </c>
      <c r="S16" s="53" t="n"/>
      <c r="T16" s="215" t="n">
        <v>0</v>
      </c>
      <c r="U16" s="215" t="n">
        <v>0</v>
      </c>
      <c r="V16" s="215" t="n">
        <v>0</v>
      </c>
      <c r="W16" s="215" t="n">
        <v>0</v>
      </c>
      <c r="X16" s="53" t="n"/>
      <c r="Y16" s="216">
        <f>SUM(O16:X16)</f>
        <v/>
      </c>
      <c r="Z16" s="53">
        <f>Y16-G16</f>
        <v/>
      </c>
    </row>
    <row r="17">
      <c r="A17" s="39" t="inlineStr">
        <is>
          <t>Кубатина Екатерина Павловна</t>
        </is>
      </c>
      <c r="B17" s="39" t="n">
        <v>225</v>
      </c>
      <c r="C17" s="39" t="n">
        <v>111.5</v>
      </c>
      <c r="D17" s="39" t="n">
        <v>336.5</v>
      </c>
      <c r="E17" s="134" t="n">
        <v>0.405421686746988</v>
      </c>
      <c r="F17" s="212" t="n">
        <v>0.45</v>
      </c>
      <c r="G17" s="53">
        <f>D17-F17*$E$3</f>
        <v/>
      </c>
      <c r="H17" s="211">
        <f>G17/D17</f>
        <v/>
      </c>
      <c r="I17" s="212" t="n">
        <v>0.45</v>
      </c>
      <c r="J17" s="53">
        <f>D17-I17*$E$3</f>
        <v/>
      </c>
      <c r="K17" s="211">
        <f>J17/D17</f>
        <v/>
      </c>
      <c r="L17" s="213">
        <f>G17/8</f>
        <v/>
      </c>
      <c r="M17" s="222" t="inlineStr">
        <is>
          <t>ассисиент</t>
        </is>
      </c>
      <c r="N17" s="222" t="inlineStr">
        <is>
          <t>ассисиент</t>
        </is>
      </c>
      <c r="O17" s="215" t="n">
        <v>0</v>
      </c>
      <c r="P17" s="215" t="n">
        <v>0</v>
      </c>
      <c r="Q17" s="215" t="n">
        <v>0</v>
      </c>
      <c r="R17" s="215" t="n">
        <v>0</v>
      </c>
      <c r="S17" s="53" t="n"/>
      <c r="T17" s="215" t="n">
        <v>0</v>
      </c>
      <c r="U17" s="215" t="n">
        <v>0</v>
      </c>
      <c r="V17" s="215" t="n">
        <v>0</v>
      </c>
      <c r="W17" s="215" t="n">
        <v>0</v>
      </c>
      <c r="X17" s="53" t="n"/>
      <c r="Y17" s="216">
        <f>SUM(O17:X17)</f>
        <v/>
      </c>
      <c r="Z17" s="53">
        <f>Y17-G17</f>
        <v/>
      </c>
    </row>
    <row r="18">
      <c r="A18" s="39" t="inlineStr">
        <is>
          <t xml:space="preserve">Ленковец Александр Сергеевич </t>
        </is>
      </c>
      <c r="B18" s="39" t="n">
        <v>0</v>
      </c>
      <c r="C18" s="39" t="n">
        <v>72</v>
      </c>
      <c r="D18" s="39" t="n">
        <v>72</v>
      </c>
      <c r="E18" s="134" t="n">
        <v>0.08674698795180723</v>
      </c>
      <c r="F18" s="212" t="n">
        <v>0.1</v>
      </c>
      <c r="G18" s="53">
        <f>D18-F18*$E$3</f>
        <v/>
      </c>
      <c r="H18" s="211">
        <f>G18/D18</f>
        <v/>
      </c>
      <c r="I18" s="212" t="n">
        <v>0.1</v>
      </c>
      <c r="J18" s="53">
        <f>D18-I18*$E$3</f>
        <v/>
      </c>
      <c r="K18" s="211">
        <f>J18/D18</f>
        <v/>
      </c>
      <c r="L18" s="213">
        <f>G18/8</f>
        <v/>
      </c>
      <c r="M18" s="214" t="inlineStr">
        <is>
          <t>ст</t>
        </is>
      </c>
      <c r="N18" s="214" t="inlineStr">
        <is>
          <t>ст</t>
        </is>
      </c>
      <c r="O18" s="215" t="n">
        <v>0</v>
      </c>
      <c r="P18" s="215" t="n">
        <v>0</v>
      </c>
      <c r="Q18" s="215" t="n">
        <v>0</v>
      </c>
      <c r="R18" s="215" t="n">
        <v>0</v>
      </c>
      <c r="S18" s="53" t="n"/>
      <c r="T18" s="215" t="n">
        <v>0</v>
      </c>
      <c r="U18" s="215" t="n">
        <v>0</v>
      </c>
      <c r="V18" s="215" t="n">
        <v>0</v>
      </c>
      <c r="W18" s="215" t="n">
        <v>0</v>
      </c>
      <c r="X18" s="53" t="n"/>
      <c r="Y18" s="216">
        <f>SUM(O18:X18)</f>
        <v/>
      </c>
      <c r="Z18" s="53">
        <f>Y18-G18</f>
        <v/>
      </c>
    </row>
    <row r="19" ht="14.25" customHeight="1" s="2">
      <c r="A19" s="39" t="inlineStr">
        <is>
          <t xml:space="preserve">Лозован Александр Александрович </t>
        </is>
      </c>
      <c r="B19" s="39" t="n">
        <v>331</v>
      </c>
      <c r="C19" s="39" t="n">
        <v>512</v>
      </c>
      <c r="D19" s="39" t="n">
        <v>843</v>
      </c>
      <c r="E19" s="134" t="n">
        <v>1.01566265060241</v>
      </c>
      <c r="F19" s="212" t="n">
        <v>0.1</v>
      </c>
      <c r="G19" s="53">
        <f>D19-F19*$E$3</f>
        <v/>
      </c>
      <c r="H19" s="211">
        <f>G19/D19</f>
        <v/>
      </c>
      <c r="I19" s="212" t="n">
        <v>0.1</v>
      </c>
      <c r="J19" s="53">
        <f>D19-I19*$E$3</f>
        <v/>
      </c>
      <c r="K19" s="211">
        <f>J19/D19</f>
        <v/>
      </c>
      <c r="L19" s="213">
        <f>G19/8</f>
        <v/>
      </c>
      <c r="M19" s="214" t="inlineStr">
        <is>
          <t>профессор</t>
        </is>
      </c>
      <c r="N19" s="224" t="inlineStr">
        <is>
          <t>ст</t>
        </is>
      </c>
      <c r="O19" s="215" t="n">
        <v>0</v>
      </c>
      <c r="P19" s="215" t="n">
        <v>0</v>
      </c>
      <c r="Q19" s="215" t="n">
        <v>0</v>
      </c>
      <c r="R19" s="215" t="n">
        <v>0</v>
      </c>
      <c r="S19" s="53" t="n"/>
      <c r="T19" s="215" t="n">
        <v>0</v>
      </c>
      <c r="U19" s="215" t="n">
        <v>0</v>
      </c>
      <c r="V19" s="215" t="n">
        <v>0</v>
      </c>
      <c r="W19" s="215" t="n">
        <v>0</v>
      </c>
      <c r="X19" s="53" t="n"/>
      <c r="Y19" s="216">
        <f>SUM(O19:X19)</f>
        <v/>
      </c>
      <c r="Z19" s="53">
        <f>Y19-G19</f>
        <v/>
      </c>
    </row>
    <row r="20">
      <c r="A20" s="39" t="inlineStr">
        <is>
          <t xml:space="preserve">Моисеев Виктор Сергеевич </t>
        </is>
      </c>
      <c r="B20" s="39" t="n">
        <v>359</v>
      </c>
      <c r="C20" s="39" t="n">
        <v>436.5</v>
      </c>
      <c r="D20" s="39" t="n">
        <v>795.5</v>
      </c>
      <c r="E20" s="134" t="n">
        <v>0.958433734939759</v>
      </c>
      <c r="F20" s="212" t="n">
        <v>1</v>
      </c>
      <c r="G20" s="53">
        <f>D20-F20*$E$3</f>
        <v/>
      </c>
      <c r="H20" s="211">
        <f>G20/D20</f>
        <v/>
      </c>
      <c r="I20" s="212" t="n">
        <v>1</v>
      </c>
      <c r="J20" s="53">
        <f>D20-I20*$E$3</f>
        <v/>
      </c>
      <c r="K20" s="211">
        <f>J20/D20</f>
        <v/>
      </c>
      <c r="L20" s="213">
        <f>G20/8</f>
        <v/>
      </c>
      <c r="M20" s="214" t="inlineStr">
        <is>
          <t>профессор</t>
        </is>
      </c>
      <c r="N20" s="214" t="inlineStr">
        <is>
          <t>профессор</t>
        </is>
      </c>
      <c r="O20" s="218" t="n">
        <v>28</v>
      </c>
      <c r="P20" s="218" t="n">
        <v>32</v>
      </c>
      <c r="Q20" s="218" t="n">
        <v>32</v>
      </c>
      <c r="R20" s="218" t="n">
        <v>32</v>
      </c>
      <c r="S20" s="53" t="n"/>
      <c r="T20" s="218" t="n">
        <v>38</v>
      </c>
      <c r="U20" s="218" t="n">
        <v>38</v>
      </c>
      <c r="V20" s="218" t="n">
        <v>38</v>
      </c>
      <c r="W20" s="218" t="n">
        <v>14</v>
      </c>
      <c r="X20" s="53" t="n"/>
      <c r="Y20" s="216">
        <f>SUM(O20:X20)</f>
        <v/>
      </c>
      <c r="Z20" s="53">
        <f>Y20-G20</f>
        <v/>
      </c>
    </row>
    <row r="21" ht="14.25" customHeight="1" s="2">
      <c r="A21" s="39" t="inlineStr">
        <is>
          <t>Монастырский Алексей Валерьевич</t>
        </is>
      </c>
      <c r="B21" s="39" t="n">
        <v>9</v>
      </c>
      <c r="C21" s="39" t="n">
        <v>77</v>
      </c>
      <c r="D21" s="39" t="n">
        <v>86</v>
      </c>
      <c r="E21" s="134" t="n">
        <v>0.1036144578313253</v>
      </c>
      <c r="F21" s="212" t="n">
        <v>1</v>
      </c>
      <c r="G21" s="53">
        <f>D21-F21*$E$3</f>
        <v/>
      </c>
      <c r="H21" s="211">
        <f>G21/D21</f>
        <v/>
      </c>
      <c r="I21" s="212" t="n">
        <v>1</v>
      </c>
      <c r="J21" s="53">
        <f>D21-I21*$E$3</f>
        <v/>
      </c>
      <c r="K21" s="211">
        <f>J21/D21</f>
        <v/>
      </c>
      <c r="L21" s="213">
        <f>G21/8</f>
        <v/>
      </c>
      <c r="M21" s="214" t="inlineStr">
        <is>
          <t>зав</t>
        </is>
      </c>
      <c r="N21" s="214" t="inlineStr">
        <is>
          <t>зав</t>
        </is>
      </c>
      <c r="O21" s="215" t="n">
        <v>0</v>
      </c>
      <c r="P21" s="215" t="n">
        <v>0</v>
      </c>
      <c r="Q21" s="215" t="n">
        <v>0</v>
      </c>
      <c r="R21" s="215" t="n">
        <v>0</v>
      </c>
      <c r="S21" s="53" t="n"/>
      <c r="T21" s="215" t="n">
        <v>0</v>
      </c>
      <c r="U21" s="215" t="n">
        <v>0</v>
      </c>
      <c r="V21" s="215" t="n">
        <v>0</v>
      </c>
      <c r="W21" s="215" t="n">
        <v>0</v>
      </c>
      <c r="X21" s="53" t="n"/>
      <c r="Y21" s="216">
        <f>SUM(O21:X21)</f>
        <v/>
      </c>
      <c r="Z21" s="53">
        <f>Y21-G21</f>
        <v/>
      </c>
    </row>
    <row r="22" ht="17.25" customHeight="1" s="2">
      <c r="A22" s="39" t="inlineStr">
        <is>
          <t xml:space="preserve">Никитина Елена Владимировна </t>
        </is>
      </c>
      <c r="B22" s="39" t="n">
        <v>291.8</v>
      </c>
      <c r="C22" s="39" t="n">
        <v>473.5</v>
      </c>
      <c r="D22" s="39" t="n">
        <v>765.3</v>
      </c>
      <c r="E22" s="134" t="n">
        <v>0.9220481927710843</v>
      </c>
      <c r="F22" s="210" t="n">
        <v>0.9</v>
      </c>
      <c r="G22" s="53">
        <f>D22-F22*$E$3</f>
        <v/>
      </c>
      <c r="H22" s="211">
        <f>G22/D22</f>
        <v/>
      </c>
      <c r="I22" s="212" t="n">
        <v>0.9</v>
      </c>
      <c r="J22" s="53">
        <f>D22-I22*$E$3</f>
        <v/>
      </c>
      <c r="K22" s="211">
        <f>J22/D22</f>
        <v/>
      </c>
      <c r="L22" s="213">
        <f>G22/8</f>
        <v/>
      </c>
      <c r="M22" s="214" t="inlineStr">
        <is>
          <t>профессор</t>
        </is>
      </c>
      <c r="N22" s="214" t="inlineStr">
        <is>
          <t>профессор</t>
        </is>
      </c>
      <c r="O22" s="218" t="n">
        <v>8</v>
      </c>
      <c r="P22" s="218" t="n">
        <v>8</v>
      </c>
      <c r="Q22" s="218" t="n">
        <v>8</v>
      </c>
      <c r="R22" s="218" t="n">
        <v>8</v>
      </c>
      <c r="S22" s="53" t="n"/>
      <c r="T22" s="218" t="n">
        <v>6</v>
      </c>
      <c r="U22" s="218" t="n">
        <v>6</v>
      </c>
      <c r="V22" s="218" t="n">
        <v>6</v>
      </c>
      <c r="W22" s="218" t="n">
        <v>6</v>
      </c>
      <c r="X22" s="53" t="n"/>
      <c r="Y22" s="216">
        <f>SUM(O22:X22)</f>
        <v/>
      </c>
      <c r="Z22" s="53">
        <f>Y22-G22</f>
        <v/>
      </c>
    </row>
    <row r="23" ht="15.75" customHeight="1" s="2">
      <c r="A23" s="39" t="inlineStr">
        <is>
          <t xml:space="preserve">Палтиевич Андрей Романович </t>
        </is>
      </c>
      <c r="B23" s="39" t="n">
        <v>274</v>
      </c>
      <c r="C23" s="39" t="n">
        <v>647.5</v>
      </c>
      <c r="D23" s="39" t="n">
        <v>921.5</v>
      </c>
      <c r="E23" s="134" t="n">
        <v>1.110240963855422</v>
      </c>
      <c r="F23" s="212" t="n">
        <v>1</v>
      </c>
      <c r="G23" s="53">
        <f>D23-F23*$E$3</f>
        <v/>
      </c>
      <c r="H23" s="211">
        <f>G23/D23</f>
        <v/>
      </c>
      <c r="I23" s="212" t="n">
        <v>1</v>
      </c>
      <c r="J23" s="53">
        <f>D23-I23*$E$3</f>
        <v/>
      </c>
      <c r="K23" s="211">
        <f>J23/D23</f>
        <v/>
      </c>
      <c r="L23" s="213">
        <f>G23/8</f>
        <v/>
      </c>
      <c r="M23" s="214" t="inlineStr">
        <is>
          <t>доцент</t>
        </is>
      </c>
      <c r="N23" s="214" t="inlineStr">
        <is>
          <t>доцент</t>
        </is>
      </c>
      <c r="O23" s="218" t="n">
        <v>8</v>
      </c>
      <c r="P23" s="218" t="n">
        <v>8</v>
      </c>
      <c r="Q23" s="218" t="n">
        <v>8</v>
      </c>
      <c r="R23" s="218" t="n">
        <v>8</v>
      </c>
      <c r="S23" s="53" t="n"/>
      <c r="T23" s="218" t="n">
        <v>6</v>
      </c>
      <c r="U23" s="218" t="n">
        <v>6</v>
      </c>
      <c r="V23" s="218" t="n">
        <v>6</v>
      </c>
      <c r="W23" s="218" t="n">
        <v>6</v>
      </c>
      <c r="X23" s="53" t="n"/>
      <c r="Y23" s="216">
        <f>SUM(O23:X23)</f>
        <v/>
      </c>
      <c r="Z23" s="53">
        <f>Y23-G23</f>
        <v/>
      </c>
    </row>
    <row r="24" ht="15.75" customHeight="1" s="2">
      <c r="A24" s="39" t="inlineStr">
        <is>
          <t xml:space="preserve">Пашков Игорь Николаевич </t>
        </is>
      </c>
      <c r="B24" s="39" t="n">
        <v>248</v>
      </c>
      <c r="C24" s="39" t="n">
        <v>294</v>
      </c>
      <c r="D24" s="39" t="n">
        <v>542</v>
      </c>
      <c r="E24" s="134" t="n">
        <v>0.653012048192771</v>
      </c>
      <c r="F24" s="217" t="n">
        <v>0.65</v>
      </c>
      <c r="G24" s="53">
        <f>D24-F24*$E$3</f>
        <v/>
      </c>
      <c r="H24" s="211">
        <f>G24/D24</f>
        <v/>
      </c>
      <c r="I24" s="212" t="n">
        <v>0.85</v>
      </c>
      <c r="J24" s="53">
        <f>D24-I24*$E$3</f>
        <v/>
      </c>
      <c r="K24" s="211">
        <f>J24/D24</f>
        <v/>
      </c>
      <c r="L24" s="213">
        <f>G24/8</f>
        <v/>
      </c>
      <c r="M24" s="214" t="inlineStr">
        <is>
          <t>профессор</t>
        </is>
      </c>
      <c r="N24" s="214" t="inlineStr">
        <is>
          <t>профессор</t>
        </is>
      </c>
      <c r="O24" s="225" t="n">
        <v>0</v>
      </c>
      <c r="P24" s="225" t="n">
        <v>0</v>
      </c>
      <c r="Q24" s="225" t="n">
        <v>0</v>
      </c>
      <c r="R24" s="225" t="n">
        <v>0</v>
      </c>
      <c r="S24" s="53" t="n"/>
      <c r="T24" s="225" t="n">
        <v>0</v>
      </c>
      <c r="U24" s="225" t="n">
        <v>0</v>
      </c>
      <c r="V24" s="225" t="n">
        <v>0</v>
      </c>
      <c r="W24" s="225" t="n">
        <v>0</v>
      </c>
      <c r="X24" s="53" t="n"/>
      <c r="Y24" s="216">
        <f>SUM(S24:X24)</f>
        <v/>
      </c>
      <c r="Z24" s="53">
        <f>Y24-G24</f>
        <v/>
      </c>
    </row>
    <row r="25" ht="15.75" customHeight="1" s="2">
      <c r="A25" s="39" t="inlineStr">
        <is>
          <t xml:space="preserve">Петров Анатолий Павлович </t>
        </is>
      </c>
      <c r="B25" s="39" t="n">
        <v>325</v>
      </c>
      <c r="C25" s="39" t="n">
        <v>286</v>
      </c>
      <c r="D25" s="39" t="n">
        <v>611</v>
      </c>
      <c r="E25" s="134" t="n">
        <v>0.736144578313253</v>
      </c>
      <c r="F25" s="212" t="n">
        <v>0.9</v>
      </c>
      <c r="G25" s="53">
        <f>D25-F25*$E$3</f>
        <v/>
      </c>
      <c r="H25" s="211">
        <f>G25/D25</f>
        <v/>
      </c>
      <c r="I25" s="212" t="n">
        <v>0.9</v>
      </c>
      <c r="J25" s="53">
        <f>D25-I25*$E$3</f>
        <v/>
      </c>
      <c r="K25" s="211">
        <f>J25/D25</f>
        <v/>
      </c>
      <c r="L25" s="213">
        <f>G25/8</f>
        <v/>
      </c>
      <c r="M25" s="214" t="inlineStr">
        <is>
          <t>профессор</t>
        </is>
      </c>
      <c r="N25" s="214" t="inlineStr">
        <is>
          <t>профессор</t>
        </is>
      </c>
      <c r="O25" s="218" t="n">
        <v>10</v>
      </c>
      <c r="P25" s="218" t="n">
        <v>10</v>
      </c>
      <c r="Q25" s="218" t="n">
        <v>10</v>
      </c>
      <c r="R25" s="218" t="n">
        <v>10</v>
      </c>
      <c r="S25" s="53" t="n"/>
      <c r="T25" s="218" t="n">
        <v>10</v>
      </c>
      <c r="U25" s="218" t="n">
        <v>10</v>
      </c>
      <c r="V25" s="218" t="n">
        <v>10</v>
      </c>
      <c r="W25" s="218" t="n">
        <v>10</v>
      </c>
      <c r="X25" s="53" t="n"/>
      <c r="Y25" s="216">
        <f>SUM(O25:X25)</f>
        <v/>
      </c>
      <c r="Z25" s="53">
        <f>Y25-G25</f>
        <v/>
      </c>
    </row>
    <row r="26" ht="15.75" customHeight="1" s="2">
      <c r="A26" s="39" t="inlineStr">
        <is>
          <t xml:space="preserve">Петров Игорь Алексеевич </t>
        </is>
      </c>
      <c r="B26" s="39" t="n">
        <v>239</v>
      </c>
      <c r="C26" s="39" t="n">
        <v>204.5</v>
      </c>
      <c r="D26" s="39" t="n">
        <v>443.5</v>
      </c>
      <c r="E26" s="134" t="n">
        <v>0.5343373493975904</v>
      </c>
      <c r="F26" s="212" t="n">
        <v>0.45</v>
      </c>
      <c r="G26" s="53">
        <f>D26-F26*$E$3</f>
        <v/>
      </c>
      <c r="H26" s="211">
        <f>G26/D26</f>
        <v/>
      </c>
      <c r="I26" s="212" t="n">
        <v>0.45</v>
      </c>
      <c r="J26" s="53">
        <f>D26-I26*$E$3</f>
        <v/>
      </c>
      <c r="K26" s="211">
        <f>J26/D26</f>
        <v/>
      </c>
      <c r="L26" s="213">
        <f>G26/8</f>
        <v/>
      </c>
      <c r="M26" s="214" t="inlineStr">
        <is>
          <t>ст</t>
        </is>
      </c>
      <c r="N26" s="214" t="inlineStr">
        <is>
          <t>ст</t>
        </is>
      </c>
      <c r="O26" s="218" t="n">
        <v>8</v>
      </c>
      <c r="P26" s="218" t="n">
        <v>8</v>
      </c>
      <c r="Q26" s="218" t="n">
        <v>8</v>
      </c>
      <c r="R26" s="218" t="n">
        <v>8</v>
      </c>
      <c r="S26" s="53" t="n"/>
      <c r="T26" s="218" t="n">
        <v>6</v>
      </c>
      <c r="U26" s="218" t="n">
        <v>6</v>
      </c>
      <c r="V26" s="218" t="n">
        <v>6</v>
      </c>
      <c r="W26" s="218" t="n">
        <v>4</v>
      </c>
      <c r="X26" s="53" t="n"/>
      <c r="Y26" s="216">
        <f>SUM(O26:X26)</f>
        <v/>
      </c>
      <c r="Z26" s="53">
        <f>Y26-G26</f>
        <v/>
      </c>
    </row>
    <row r="27" ht="16.5" customHeight="1" s="2">
      <c r="A27" s="39" t="inlineStr">
        <is>
          <t xml:space="preserve">Преображенский Евгений Владимирович </t>
        </is>
      </c>
      <c r="B27" s="39" t="n">
        <v>209</v>
      </c>
      <c r="C27" s="39" t="n">
        <v>396</v>
      </c>
      <c r="D27" s="39" t="n">
        <v>605</v>
      </c>
      <c r="E27" s="134" t="n">
        <v>0.7289156626506024</v>
      </c>
      <c r="F27" s="217" t="n">
        <v>0.75</v>
      </c>
      <c r="G27" s="53">
        <f>D27-F27*$E$3</f>
        <v/>
      </c>
      <c r="H27" s="211">
        <f>G27/D27</f>
        <v/>
      </c>
      <c r="I27" s="212" t="n">
        <v>0.6</v>
      </c>
      <c r="J27" s="53">
        <f>D27-I27*$E$3</f>
        <v/>
      </c>
      <c r="K27" s="211">
        <f>J27/D27</f>
        <v/>
      </c>
      <c r="L27" s="213">
        <f>G27/8</f>
        <v/>
      </c>
      <c r="M27" s="214" t="inlineStr">
        <is>
          <t>доцент</t>
        </is>
      </c>
      <c r="N27" s="214" t="inlineStr">
        <is>
          <t>доцент</t>
        </is>
      </c>
      <c r="O27" s="226" t="n">
        <v>18</v>
      </c>
      <c r="P27" s="215" t="n">
        <v>0</v>
      </c>
      <c r="Q27" s="215" t="n">
        <v>0</v>
      </c>
      <c r="R27" s="215" t="n">
        <v>0</v>
      </c>
      <c r="S27" s="53" t="n"/>
      <c r="T27" s="215" t="n">
        <v>0</v>
      </c>
      <c r="U27" s="215" t="n">
        <v>0</v>
      </c>
      <c r="V27" s="215" t="n">
        <v>0</v>
      </c>
      <c r="W27" s="215" t="n">
        <v>0</v>
      </c>
      <c r="X27" s="53" t="n"/>
      <c r="Y27" s="216">
        <f>SUM(O27:X27)</f>
        <v/>
      </c>
      <c r="Z27" s="53">
        <f>Y27-G27</f>
        <v/>
      </c>
    </row>
    <row r="28" ht="15.75" customHeight="1" s="2">
      <c r="A28" s="39" t="inlineStr">
        <is>
          <t xml:space="preserve">Ряховский Александр Павлович </t>
        </is>
      </c>
      <c r="B28" s="39" t="n">
        <v>281</v>
      </c>
      <c r="C28" s="39" t="n">
        <v>140</v>
      </c>
      <c r="D28" s="39" t="n">
        <v>421</v>
      </c>
      <c r="E28" s="134" t="n">
        <v>0.5072289156626506</v>
      </c>
      <c r="F28" s="212" t="n">
        <v>0.45</v>
      </c>
      <c r="G28" s="53">
        <f>D28-F28*$E$3</f>
        <v/>
      </c>
      <c r="H28" s="211">
        <f>G28/D28</f>
        <v/>
      </c>
      <c r="I28" s="212" t="n">
        <v>0.45</v>
      </c>
      <c r="J28" s="53">
        <f>D28-I28*$E$3</f>
        <v/>
      </c>
      <c r="K28" s="211">
        <f>J28/D28</f>
        <v/>
      </c>
      <c r="L28" s="213">
        <f>G28/8</f>
        <v/>
      </c>
      <c r="M28" s="214" t="inlineStr">
        <is>
          <t>доцент</t>
        </is>
      </c>
      <c r="N28" s="214" t="inlineStr">
        <is>
          <t>доцент</t>
        </is>
      </c>
      <c r="O28" s="218" t="n">
        <v>10</v>
      </c>
      <c r="P28" s="218" t="n">
        <v>14</v>
      </c>
      <c r="Q28" s="218" t="n">
        <v>14</v>
      </c>
      <c r="R28" s="218" t="n">
        <v>14</v>
      </c>
      <c r="S28" s="53" t="n"/>
      <c r="T28" s="218" t="n">
        <v>14</v>
      </c>
      <c r="U28" s="218" t="n">
        <v>14</v>
      </c>
      <c r="V28" s="218" t="n">
        <v>14</v>
      </c>
      <c r="W28" s="218" t="n">
        <v>14</v>
      </c>
      <c r="X28" s="53" t="n"/>
      <c r="Y28" s="216">
        <f>SUM(O28:X28)</f>
        <v/>
      </c>
      <c r="Z28" s="53">
        <f>Y28-G28</f>
        <v/>
      </c>
    </row>
    <row r="29" ht="16.5" customHeight="1" s="2">
      <c r="A29" s="39" t="inlineStr">
        <is>
          <t xml:space="preserve">Серов Михаил Михайлович </t>
        </is>
      </c>
      <c r="B29" s="39" t="n">
        <v>464</v>
      </c>
      <c r="C29" s="39" t="n">
        <v>467.5</v>
      </c>
      <c r="D29" s="39" t="n">
        <v>931.5</v>
      </c>
      <c r="E29" s="134" t="n">
        <v>1.122289156626506</v>
      </c>
      <c r="F29" s="212" t="n">
        <v>1</v>
      </c>
      <c r="G29" s="53">
        <f>D29-F29*$E$3</f>
        <v/>
      </c>
      <c r="H29" s="211">
        <f>G29/D29</f>
        <v/>
      </c>
      <c r="I29" s="212" t="n">
        <v>1</v>
      </c>
      <c r="J29" s="53">
        <f>D29-I29*$E$3</f>
        <v/>
      </c>
      <c r="K29" s="211">
        <f>J29/D29</f>
        <v/>
      </c>
      <c r="L29" s="213">
        <f>G29/8</f>
        <v/>
      </c>
      <c r="M29" s="214" t="inlineStr">
        <is>
          <t>профессор</t>
        </is>
      </c>
      <c r="N29" s="214" t="inlineStr">
        <is>
          <t>профессор</t>
        </is>
      </c>
      <c r="O29" s="218" t="n">
        <v>20</v>
      </c>
      <c r="P29" s="218" t="n">
        <v>24</v>
      </c>
      <c r="Q29" s="218" t="n">
        <v>24</v>
      </c>
      <c r="R29" s="218" t="n">
        <v>24</v>
      </c>
      <c r="S29" s="53" t="n"/>
      <c r="T29" s="218" t="n">
        <v>30</v>
      </c>
      <c r="U29" s="218" t="n">
        <v>30</v>
      </c>
      <c r="V29" s="218" t="n">
        <v>30</v>
      </c>
      <c r="W29" s="218" t="n">
        <v>14</v>
      </c>
      <c r="X29" s="53" t="n"/>
      <c r="Y29" s="216">
        <f>SUM(O29:X29)</f>
        <v/>
      </c>
      <c r="Z29" s="53">
        <f>Y29-G29</f>
        <v/>
      </c>
    </row>
    <row r="30" ht="14.25" customHeight="1" s="2">
      <c r="A30" s="39" t="inlineStr">
        <is>
          <t>Сидякин Виталий Александрович</t>
        </is>
      </c>
      <c r="B30" s="39" t="n">
        <v>56.8</v>
      </c>
      <c r="C30" s="39" t="n">
        <v>61</v>
      </c>
      <c r="D30" s="39" t="n">
        <v>117.8</v>
      </c>
      <c r="E30" s="134" t="n">
        <v>0.1419277108433735</v>
      </c>
      <c r="F30" s="217" t="n">
        <v>0.2</v>
      </c>
      <c r="G30" s="53">
        <f>D30-F30*$E$3</f>
        <v/>
      </c>
      <c r="H30" s="211">
        <f>G30/D30</f>
        <v/>
      </c>
      <c r="I30" s="212" t="n">
        <v>0.25</v>
      </c>
      <c r="J30" s="53">
        <f>D30-I30*$E$3</f>
        <v/>
      </c>
      <c r="K30" s="211">
        <f>J30/D30</f>
        <v/>
      </c>
      <c r="L30" s="213">
        <f>G30/8</f>
        <v/>
      </c>
      <c r="M30" s="214" t="inlineStr">
        <is>
          <t>профессор</t>
        </is>
      </c>
      <c r="N30" s="214" t="inlineStr">
        <is>
          <t>профессор</t>
        </is>
      </c>
      <c r="O30" s="215" t="n">
        <v>0</v>
      </c>
      <c r="P30" s="215" t="n">
        <v>0</v>
      </c>
      <c r="Q30" s="215" t="n">
        <v>0</v>
      </c>
      <c r="R30" s="215" t="n">
        <v>0</v>
      </c>
      <c r="S30" s="53" t="n"/>
      <c r="T30" s="215" t="n">
        <v>0</v>
      </c>
      <c r="U30" s="215" t="n">
        <v>0</v>
      </c>
      <c r="V30" s="215" t="n">
        <v>0</v>
      </c>
      <c r="W30" s="215" t="n">
        <v>0</v>
      </c>
      <c r="X30" s="53" t="n"/>
      <c r="Y30" s="216">
        <f>SUM(O30:X30)</f>
        <v/>
      </c>
      <c r="Z30" s="53">
        <f>Y30-G30</f>
        <v/>
      </c>
    </row>
    <row r="31" ht="15.75" customHeight="1" s="2">
      <c r="A31" s="39" t="inlineStr">
        <is>
          <t xml:space="preserve">Смыков Андрей Федорович </t>
        </is>
      </c>
      <c r="B31" s="39" t="n">
        <v>527</v>
      </c>
      <c r="C31" s="39" t="n">
        <v>171</v>
      </c>
      <c r="D31" s="39" t="n">
        <v>698</v>
      </c>
      <c r="E31" s="134" t="n">
        <v>0.8409638554216867</v>
      </c>
      <c r="F31" s="212" t="n">
        <v>1</v>
      </c>
      <c r="G31" s="53">
        <f>D31-F31*$E$3</f>
        <v/>
      </c>
      <c r="H31" s="211">
        <f>G31/D31</f>
        <v/>
      </c>
      <c r="I31" s="212" t="n">
        <v>1</v>
      </c>
      <c r="J31" s="53">
        <f>D31-I31*$E$3</f>
        <v/>
      </c>
      <c r="K31" s="211">
        <f>J31/D31</f>
        <v/>
      </c>
      <c r="L31" s="213">
        <f>G31/8</f>
        <v/>
      </c>
      <c r="M31" s="214" t="inlineStr">
        <is>
          <t>профессор</t>
        </is>
      </c>
      <c r="N31" s="214" t="inlineStr">
        <is>
          <t>профессор</t>
        </is>
      </c>
      <c r="O31" s="218" t="n">
        <v>4</v>
      </c>
      <c r="P31" s="218" t="n">
        <v>4</v>
      </c>
      <c r="Q31" s="218" t="n">
        <v>4</v>
      </c>
      <c r="R31" s="218" t="n">
        <v>4</v>
      </c>
      <c r="S31" s="53" t="n"/>
      <c r="T31" s="218" t="n">
        <v>2</v>
      </c>
      <c r="U31" s="218" t="n">
        <v>2</v>
      </c>
      <c r="V31" s="218" t="n">
        <v>2</v>
      </c>
      <c r="W31" s="218" t="n">
        <v>2</v>
      </c>
      <c r="X31" s="53" t="n"/>
      <c r="Y31" s="216">
        <f>SUM(O31:X31)</f>
        <v/>
      </c>
      <c r="Z31" s="53">
        <f>Y31-G31</f>
        <v/>
      </c>
    </row>
    <row r="32" ht="14.25" customHeight="1" s="2">
      <c r="A32" s="39" t="inlineStr">
        <is>
          <t xml:space="preserve">Соколов Алексей Викторович </t>
        </is>
      </c>
      <c r="B32" s="39" t="n">
        <v>404</v>
      </c>
      <c r="C32" s="39" t="n">
        <v>495</v>
      </c>
      <c r="D32" s="39" t="n">
        <v>899</v>
      </c>
      <c r="E32" s="134" t="n">
        <v>1.083132530120482</v>
      </c>
      <c r="F32" s="212" t="n">
        <v>1</v>
      </c>
      <c r="G32" s="53">
        <f>D32-F32*$E$3</f>
        <v/>
      </c>
      <c r="H32" s="211">
        <f>G32/D32</f>
        <v/>
      </c>
      <c r="I32" s="212" t="n">
        <v>1</v>
      </c>
      <c r="J32" s="53">
        <f>D32-I32*$E$3</f>
        <v/>
      </c>
      <c r="K32" s="211">
        <f>J32/D32</f>
        <v/>
      </c>
      <c r="L32" s="213">
        <f>G32/8</f>
        <v/>
      </c>
      <c r="M32" s="214" t="inlineStr">
        <is>
          <t>доцент</t>
        </is>
      </c>
      <c r="N32" s="214" t="inlineStr">
        <is>
          <t>доцент</t>
        </is>
      </c>
      <c r="O32" s="218" t="n">
        <v>12</v>
      </c>
      <c r="P32" s="218" t="n">
        <v>16</v>
      </c>
      <c r="Q32" s="218" t="n">
        <v>16</v>
      </c>
      <c r="R32" s="218" t="n">
        <v>16</v>
      </c>
      <c r="S32" s="53" t="n"/>
      <c r="T32" s="218" t="n">
        <v>14</v>
      </c>
      <c r="U32" s="218" t="n">
        <v>14</v>
      </c>
      <c r="V32" s="218" t="n">
        <v>14</v>
      </c>
      <c r="W32" s="218" t="n">
        <v>14</v>
      </c>
      <c r="X32" s="53" t="n"/>
      <c r="Y32" s="216">
        <f>SUM(O32:X32)</f>
        <v/>
      </c>
      <c r="Z32" s="53">
        <f>Y32-G32</f>
        <v/>
      </c>
    </row>
    <row r="33" ht="15.75" customHeight="1" s="2">
      <c r="A33" s="39" t="inlineStr">
        <is>
          <t>Степанов Владимир Валерьевич</t>
        </is>
      </c>
      <c r="B33" s="39" t="n">
        <v>249.8</v>
      </c>
      <c r="C33" s="39" t="n">
        <v>210</v>
      </c>
      <c r="D33" s="39" t="n">
        <v>459.8</v>
      </c>
      <c r="E33" s="134" t="n">
        <v>0.5539759036144578</v>
      </c>
      <c r="F33" s="212" t="n">
        <v>0.45</v>
      </c>
      <c r="G33" s="53">
        <f>D33-F33*$E$3</f>
        <v/>
      </c>
      <c r="H33" s="211">
        <f>G33/D33</f>
        <v/>
      </c>
      <c r="I33" s="212" t="n">
        <v>0.45</v>
      </c>
      <c r="J33" s="53">
        <f>D33-I33*$E$3</f>
        <v/>
      </c>
      <c r="K33" s="211">
        <f>J33/D33</f>
        <v/>
      </c>
      <c r="L33" s="213">
        <f>G33/8</f>
        <v/>
      </c>
      <c r="M33" s="214" t="inlineStr">
        <is>
          <t>доцент</t>
        </is>
      </c>
      <c r="N33" s="214" t="inlineStr">
        <is>
          <t>доцент</t>
        </is>
      </c>
      <c r="O33" s="218" t="n">
        <v>8</v>
      </c>
      <c r="P33" s="218" t="n">
        <v>8</v>
      </c>
      <c r="Q33" s="218" t="n">
        <v>8</v>
      </c>
      <c r="R33" s="218" t="n">
        <v>8</v>
      </c>
      <c r="S33" s="53" t="n"/>
      <c r="T33" s="218" t="n">
        <v>8</v>
      </c>
      <c r="U33" s="218" t="n">
        <v>10</v>
      </c>
      <c r="V33" s="218" t="n">
        <v>10</v>
      </c>
      <c r="W33" s="218" t="n">
        <v>4</v>
      </c>
      <c r="X33" s="53" t="n"/>
      <c r="Y33" s="216">
        <f>SUM(O33:X33)</f>
        <v/>
      </c>
      <c r="Z33" s="53">
        <f>Y33-G33</f>
        <v/>
      </c>
    </row>
    <row r="34" ht="15.75" customHeight="1" s="2">
      <c r="A34" s="39" t="inlineStr">
        <is>
          <t xml:space="preserve">Телицына Ольга Валентиновна </t>
        </is>
      </c>
      <c r="B34" s="39" t="n">
        <v>39</v>
      </c>
      <c r="C34" s="39" t="n">
        <v>190</v>
      </c>
      <c r="D34" s="39" t="n">
        <v>229</v>
      </c>
      <c r="E34" s="134" t="n">
        <v>0.2759036144578313</v>
      </c>
      <c r="F34" s="212" t="n">
        <v>0.25</v>
      </c>
      <c r="G34" s="53">
        <f>D34-F34*$E$3</f>
        <v/>
      </c>
      <c r="H34" s="211">
        <f>G34/D34</f>
        <v/>
      </c>
      <c r="I34" s="212" t="n">
        <v>0.25</v>
      </c>
      <c r="J34" s="53">
        <f>D34-I34*$E$3</f>
        <v/>
      </c>
      <c r="K34" s="211">
        <f>J34/D34</f>
        <v/>
      </c>
      <c r="L34" s="213">
        <f>G34/8</f>
        <v/>
      </c>
      <c r="M34" s="214" t="inlineStr">
        <is>
          <t>доцент</t>
        </is>
      </c>
      <c r="N34" s="214" t="inlineStr">
        <is>
          <t>доцент</t>
        </is>
      </c>
      <c r="O34" s="215" t="n">
        <v>0</v>
      </c>
      <c r="P34" s="215" t="n">
        <v>0</v>
      </c>
      <c r="Q34" s="215" t="n">
        <v>0</v>
      </c>
      <c r="R34" s="215" t="n">
        <v>0</v>
      </c>
      <c r="S34" s="53" t="n"/>
      <c r="T34" s="215" t="n">
        <v>0</v>
      </c>
      <c r="U34" s="215" t="n">
        <v>0</v>
      </c>
      <c r="V34" s="215" t="n">
        <v>0</v>
      </c>
      <c r="W34" s="215" t="n">
        <v>0</v>
      </c>
      <c r="X34" s="53" t="n"/>
      <c r="Y34" s="216">
        <f>SUM(O34:X34)</f>
        <v/>
      </c>
      <c r="Z34" s="53">
        <f>Y34-G34</f>
        <v/>
      </c>
    </row>
    <row r="35" ht="15.75" customHeight="1" s="2">
      <c r="A35" s="39" t="inlineStr">
        <is>
          <t>Федоров Анатолий Александрович</t>
        </is>
      </c>
      <c r="B35" s="39" t="n">
        <v>317</v>
      </c>
      <c r="C35" s="39" t="n">
        <v>169</v>
      </c>
      <c r="D35" s="39" t="n">
        <v>486</v>
      </c>
      <c r="E35" s="134" t="n">
        <v>0.5855421686746988</v>
      </c>
      <c r="F35" s="212" t="n">
        <v>0.25</v>
      </c>
      <c r="G35" s="53">
        <f>D35-F35*$E$3</f>
        <v/>
      </c>
      <c r="H35" s="211">
        <f>G35/D35</f>
        <v/>
      </c>
      <c r="I35" s="212" t="n">
        <v>0.25</v>
      </c>
      <c r="J35" s="53">
        <f>D35-I35*$E$3</f>
        <v/>
      </c>
      <c r="K35" s="211">
        <f>J35/D35</f>
        <v/>
      </c>
      <c r="L35" s="213">
        <f>G35/8</f>
        <v/>
      </c>
      <c r="M35" s="214" t="inlineStr">
        <is>
          <t>профессор</t>
        </is>
      </c>
      <c r="N35" s="214" t="inlineStr">
        <is>
          <t>профессор</t>
        </is>
      </c>
      <c r="O35" s="215" t="n">
        <v>0</v>
      </c>
      <c r="P35" s="215" t="n">
        <v>0</v>
      </c>
      <c r="Q35" s="215" t="n">
        <v>0</v>
      </c>
      <c r="R35" s="215" t="n">
        <v>0</v>
      </c>
      <c r="S35" s="53" t="n"/>
      <c r="T35" s="215" t="n">
        <v>0</v>
      </c>
      <c r="U35" s="215" t="n">
        <v>0</v>
      </c>
      <c r="V35" s="215" t="n">
        <v>0</v>
      </c>
      <c r="W35" s="215" t="n">
        <v>0</v>
      </c>
      <c r="X35" s="53" t="n"/>
      <c r="Y35" s="216">
        <f>SUM(O35:X35)</f>
        <v/>
      </c>
      <c r="Z35" s="53">
        <f>Y35-G35</f>
        <v/>
      </c>
    </row>
    <row r="36" ht="15.75" customHeight="1" s="2">
      <c r="A36" s="39" t="inlineStr">
        <is>
          <t xml:space="preserve">Федоров Сергей Александрович </t>
        </is>
      </c>
      <c r="B36" s="39" t="n">
        <v>212.8</v>
      </c>
      <c r="C36" s="39" t="n">
        <v>271</v>
      </c>
      <c r="D36" s="39" t="n">
        <v>483.8</v>
      </c>
      <c r="E36" s="134" t="n">
        <v>0.5828915662650602</v>
      </c>
      <c r="F36" s="212" t="n">
        <v>0.1</v>
      </c>
      <c r="G36" s="53">
        <f>D36-F36*$E$3</f>
        <v/>
      </c>
      <c r="H36" s="211">
        <f>G36/D36</f>
        <v/>
      </c>
      <c r="I36" s="212" t="n">
        <v>0.1</v>
      </c>
      <c r="J36" s="53">
        <f>D36-I36*$E$3</f>
        <v/>
      </c>
      <c r="K36" s="211">
        <f>J36/D36</f>
        <v/>
      </c>
      <c r="L36" s="213">
        <f>G36/8</f>
        <v/>
      </c>
      <c r="M36" s="214" t="inlineStr">
        <is>
          <t>профессор</t>
        </is>
      </c>
      <c r="N36" s="214" t="inlineStr">
        <is>
          <t>профессор</t>
        </is>
      </c>
      <c r="O36" s="215" t="n">
        <v>0</v>
      </c>
      <c r="P36" s="215" t="n">
        <v>0</v>
      </c>
      <c r="Q36" s="215" t="n">
        <v>0</v>
      </c>
      <c r="R36" s="215" t="n">
        <v>0</v>
      </c>
      <c r="S36" s="53" t="n"/>
      <c r="T36" s="215" t="n">
        <v>0</v>
      </c>
      <c r="U36" s="215" t="n">
        <v>0</v>
      </c>
      <c r="V36" s="215" t="n">
        <v>0</v>
      </c>
      <c r="W36" s="215" t="n">
        <v>0</v>
      </c>
      <c r="X36" s="53" t="n"/>
      <c r="Y36" s="216">
        <f>SUM(O36:X36)</f>
        <v/>
      </c>
      <c r="Z36" s="53">
        <f>Y36-G36</f>
        <v/>
      </c>
    </row>
    <row r="37" ht="15.75" customHeight="1" s="2">
      <c r="A37" s="39" t="inlineStr">
        <is>
          <t xml:space="preserve">Шленский Алексей Геннадьевич </t>
        </is>
      </c>
      <c r="B37" s="39" t="n">
        <v>447</v>
      </c>
      <c r="C37" s="39" t="n">
        <v>355</v>
      </c>
      <c r="D37" s="39" t="n">
        <v>802</v>
      </c>
      <c r="E37" s="134" t="n">
        <v>0.9662650602409638</v>
      </c>
      <c r="F37" s="212" t="n">
        <v>0.35</v>
      </c>
      <c r="G37" s="53">
        <f>D37-F37*$E$3</f>
        <v/>
      </c>
      <c r="H37" s="211">
        <f>G37/D37</f>
        <v/>
      </c>
      <c r="I37" s="212" t="n">
        <v>0.35</v>
      </c>
      <c r="J37" s="53">
        <f>D37-I37*$E$3</f>
        <v/>
      </c>
      <c r="K37" s="211">
        <f>J37/D37</f>
        <v/>
      </c>
      <c r="L37" s="213">
        <f>G37/8</f>
        <v/>
      </c>
      <c r="M37" s="214" t="inlineStr">
        <is>
          <t>профессор</t>
        </is>
      </c>
      <c r="N37" s="224" t="inlineStr">
        <is>
          <t>ассисиент</t>
        </is>
      </c>
      <c r="O37" s="215" t="n">
        <v>0</v>
      </c>
      <c r="P37" s="215" t="n">
        <v>0</v>
      </c>
      <c r="Q37" s="215" t="n">
        <v>0</v>
      </c>
      <c r="R37" s="215" t="n">
        <v>0</v>
      </c>
      <c r="S37" s="53" t="n"/>
      <c r="T37" s="215" t="n">
        <v>0</v>
      </c>
      <c r="U37" s="215" t="n">
        <v>0</v>
      </c>
      <c r="V37" s="215" t="n">
        <v>0</v>
      </c>
      <c r="W37" s="215" t="n">
        <v>0</v>
      </c>
      <c r="X37" s="53" t="n"/>
      <c r="Y37" s="216">
        <f>SUM(O37:X37)</f>
        <v/>
      </c>
      <c r="Z37" s="53">
        <f>Y37-G37</f>
        <v/>
      </c>
    </row>
    <row r="38" ht="15.75" customHeight="1" s="2">
      <c r="A38" s="39" t="inlineStr">
        <is>
          <t>Шляпцева Анастасия Дмитриевна</t>
        </is>
      </c>
      <c r="B38" s="39" t="n">
        <v>0</v>
      </c>
      <c r="C38" s="39" t="n">
        <v>210</v>
      </c>
      <c r="D38" s="39" t="n">
        <v>210</v>
      </c>
      <c r="E38" s="134" t="n">
        <v>0.2530120481927711</v>
      </c>
      <c r="F38" s="217" t="n">
        <v>0.75</v>
      </c>
      <c r="G38" s="53">
        <f>D38-F38*$E$3</f>
        <v/>
      </c>
      <c r="H38" s="211">
        <f>G38/D38</f>
        <v/>
      </c>
      <c r="I38" s="212" t="n">
        <v>0.7</v>
      </c>
      <c r="J38" s="53">
        <f>D38-I38*$E$3</f>
        <v/>
      </c>
      <c r="K38" s="211">
        <f>J38/D38</f>
        <v/>
      </c>
      <c r="L38" s="213">
        <f>G38/8</f>
        <v/>
      </c>
      <c r="M38" s="214" t="inlineStr">
        <is>
          <t>доцент</t>
        </is>
      </c>
      <c r="N38" s="214" t="inlineStr">
        <is>
          <t>доцент</t>
        </is>
      </c>
      <c r="O38" s="218" t="n">
        <v>6</v>
      </c>
      <c r="P38" s="215" t="n">
        <v>0</v>
      </c>
      <c r="Q38" s="215" t="n">
        <v>0</v>
      </c>
      <c r="R38" s="215" t="n">
        <v>0</v>
      </c>
      <c r="S38" s="53" t="n"/>
      <c r="T38" s="215" t="n">
        <v>0</v>
      </c>
      <c r="U38" s="215" t="n">
        <v>0</v>
      </c>
      <c r="V38" s="215" t="n">
        <v>0</v>
      </c>
      <c r="W38" s="215" t="n">
        <v>0</v>
      </c>
      <c r="X38" s="53" t="n"/>
      <c r="Y38" s="216">
        <f>SUM(O38:X38)</f>
        <v/>
      </c>
      <c r="Z38" s="53">
        <f>Y38-G38</f>
        <v/>
      </c>
    </row>
    <row r="39" ht="15.75" customHeight="1" s="2">
      <c r="A39" s="39" t="inlineStr">
        <is>
          <t>э-Комиссия-А</t>
        </is>
      </c>
      <c r="B39" s="39" t="n">
        <v>0</v>
      </c>
      <c r="C39" s="39" t="n">
        <v>46</v>
      </c>
      <c r="D39" s="39" t="n">
        <v>46</v>
      </c>
      <c r="E39" s="134" t="n">
        <v>0.05542168674698795</v>
      </c>
      <c r="F39" s="217" t="n"/>
      <c r="G39" s="53" t="n"/>
      <c r="H39" s="227" t="n"/>
      <c r="I39" s="212" t="n"/>
      <c r="J39" s="53" t="n"/>
      <c r="K39" s="227" t="n"/>
      <c r="L39" s="228" t="n"/>
      <c r="M39" s="229" t="n"/>
      <c r="N39" s="229" t="n"/>
      <c r="O39" s="230" t="n"/>
      <c r="P39" s="231" t="n"/>
      <c r="Q39" s="231" t="n"/>
      <c r="R39" s="231" t="n"/>
      <c r="T39" s="231" t="n"/>
      <c r="U39" s="231" t="n"/>
      <c r="V39" s="231" t="n"/>
      <c r="W39" s="231" t="n"/>
      <c r="X39" s="53" t="n"/>
      <c r="Y39" s="216" t="n"/>
      <c r="Z39" s="53" t="n"/>
    </row>
    <row r="40" ht="15.75" customHeight="1" s="2">
      <c r="A40" s="39" t="inlineStr">
        <is>
          <t>э-Комиссия-В</t>
        </is>
      </c>
      <c r="B40" s="39" t="n">
        <v>0</v>
      </c>
      <c r="C40" s="39" t="n">
        <v>12</v>
      </c>
      <c r="D40" s="39" t="n">
        <v>12</v>
      </c>
      <c r="E40" s="134" t="n">
        <v>0.01445783132530121</v>
      </c>
      <c r="F40" s="217" t="n"/>
      <c r="G40" s="53" t="n"/>
      <c r="H40" s="227" t="n"/>
      <c r="I40" s="212" t="n"/>
      <c r="J40" s="53" t="n"/>
      <c r="K40" s="227" t="n"/>
      <c r="L40" s="228" t="n"/>
      <c r="M40" s="229" t="n"/>
      <c r="N40" s="229" t="n"/>
      <c r="O40" s="230" t="n"/>
      <c r="P40" s="231" t="n"/>
      <c r="Q40" s="231" t="n"/>
      <c r="R40" s="231" t="n"/>
      <c r="T40" s="231" t="n"/>
      <c r="U40" s="231" t="n"/>
      <c r="V40" s="231" t="n"/>
      <c r="W40" s="231" t="n"/>
      <c r="X40" s="53" t="n"/>
      <c r="Y40" s="216" t="n"/>
      <c r="Z40" s="53" t="n"/>
    </row>
    <row r="41" ht="15.75" customHeight="1" s="2">
      <c r="A41" s="39" t="inlineStr">
        <is>
          <t>э-Комиссия-Д</t>
        </is>
      </c>
      <c r="B41" s="39" t="n">
        <v>0</v>
      </c>
      <c r="C41" s="39" t="n">
        <v>15</v>
      </c>
      <c r="D41" s="39" t="n">
        <v>15</v>
      </c>
      <c r="E41" s="134" t="n">
        <v>0.01807228915662651</v>
      </c>
      <c r="F41" s="217" t="n"/>
      <c r="G41" s="53" t="n"/>
      <c r="H41" s="227" t="n"/>
      <c r="I41" s="212" t="n"/>
      <c r="J41" s="53" t="n"/>
      <c r="K41" s="227" t="n"/>
      <c r="L41" s="228" t="n"/>
      <c r="M41" s="229" t="n"/>
      <c r="N41" s="229" t="n"/>
      <c r="O41" s="230" t="n"/>
      <c r="P41" s="231" t="n"/>
      <c r="Q41" s="231" t="n"/>
      <c r="R41" s="231" t="n"/>
      <c r="T41" s="231" t="n"/>
      <c r="U41" s="231" t="n"/>
      <c r="V41" s="231" t="n"/>
      <c r="W41" s="231" t="n"/>
      <c r="X41" s="53" t="n"/>
      <c r="Y41" s="216" t="n"/>
      <c r="Z41" s="53" t="n"/>
    </row>
    <row r="42" ht="15.75" customHeight="1" s="2">
      <c r="A42" s="39" t="inlineStr">
        <is>
          <t>э-Комиссия-Д+С</t>
        </is>
      </c>
      <c r="B42" s="39" t="n">
        <v>0</v>
      </c>
      <c r="C42" s="39" t="n">
        <v>34</v>
      </c>
      <c r="D42" s="39" t="n">
        <v>34</v>
      </c>
      <c r="E42" s="134" t="n">
        <v>0.04096385542168675</v>
      </c>
      <c r="F42" s="212" t="n"/>
      <c r="G42" s="53" t="n">
        <v>30</v>
      </c>
      <c r="H42" s="227" t="n"/>
      <c r="I42" s="212" t="n"/>
      <c r="J42" s="53" t="n">
        <v>30</v>
      </c>
      <c r="K42" s="227" t="n"/>
      <c r="L42" s="228" t="n"/>
      <c r="M42" s="229" t="n"/>
      <c r="N42" s="229" t="n"/>
      <c r="O42" s="231" t="n"/>
      <c r="P42" s="231" t="n"/>
      <c r="X42" s="53" t="n">
        <v>30</v>
      </c>
      <c r="Y42" s="216">
        <f>SUM(O42:X42)</f>
        <v/>
      </c>
      <c r="Z42" s="53">
        <f>Y42-G42</f>
        <v/>
      </c>
    </row>
    <row r="43" ht="15.75" customHeight="1" s="2">
      <c r="A43" s="39" t="inlineStr">
        <is>
          <t>э-Комиссия-Л</t>
        </is>
      </c>
      <c r="B43" s="39" t="n">
        <v>0</v>
      </c>
      <c r="C43" s="39" t="n">
        <v>12.5</v>
      </c>
      <c r="D43" s="39" t="n">
        <v>12.5</v>
      </c>
      <c r="E43" s="134" t="n">
        <v>0.01506024096385542</v>
      </c>
      <c r="F43" s="212" t="n"/>
      <c r="G43" s="53" t="n">
        <v>80</v>
      </c>
      <c r="H43" s="227" t="n"/>
      <c r="I43" s="212" t="n"/>
      <c r="J43" s="53" t="n">
        <v>80</v>
      </c>
      <c r="K43" s="227" t="n"/>
      <c r="L43" s="228" t="n"/>
      <c r="M43" s="229" t="n"/>
      <c r="N43" s="229" t="n"/>
      <c r="O43" s="231" t="n"/>
      <c r="P43" s="231" t="n"/>
      <c r="X43" s="53" t="n">
        <v>80</v>
      </c>
      <c r="Y43" s="216">
        <f>SUM(O43:X43)</f>
        <v/>
      </c>
      <c r="Z43" s="53">
        <f>Y43-G43</f>
        <v/>
      </c>
    </row>
    <row r="44" ht="15.75" customHeight="1" s="2">
      <c r="A44" s="39" t="inlineStr">
        <is>
          <t>э-Комиссия-П</t>
        </is>
      </c>
      <c r="B44" s="39" t="n">
        <v>0</v>
      </c>
      <c r="C44" s="39" t="n">
        <v>12.5</v>
      </c>
      <c r="D44" s="39" t="n">
        <v>12.5</v>
      </c>
      <c r="E44" s="134" t="n">
        <v>0.01506024096385542</v>
      </c>
      <c r="F44" s="212" t="n"/>
      <c r="G44" s="53" t="n">
        <v>38</v>
      </c>
      <c r="H44" s="227" t="n"/>
      <c r="I44" s="212" t="n"/>
      <c r="J44" s="53" t="n">
        <v>38</v>
      </c>
      <c r="K44" s="227" t="n"/>
      <c r="L44" s="228" t="n"/>
      <c r="M44" s="229" t="n"/>
      <c r="N44" s="229" t="n"/>
      <c r="O44" s="231" t="n"/>
      <c r="P44" s="231" t="n"/>
      <c r="X44" s="53" t="n">
        <v>38</v>
      </c>
      <c r="Y44" s="216">
        <f>SUM(O44:X44)</f>
        <v/>
      </c>
      <c r="Z44" s="53">
        <f>Y44-G44</f>
        <v/>
      </c>
    </row>
    <row r="45" ht="15.75" customHeight="1" s="2">
      <c r="A45" s="39" t="inlineStr">
        <is>
          <t>э-Комиссия-С</t>
        </is>
      </c>
      <c r="B45" s="39" t="n">
        <v>0</v>
      </c>
      <c r="C45" s="39" t="n">
        <v>22.5</v>
      </c>
      <c r="D45" s="39" t="n">
        <v>22.5</v>
      </c>
      <c r="E45" s="134" t="n">
        <v>0.02710843373493976</v>
      </c>
      <c r="F45" s="212" t="n"/>
      <c r="G45" s="53" t="n">
        <v>38</v>
      </c>
      <c r="H45" s="227" t="n"/>
      <c r="I45" s="212" t="n"/>
      <c r="J45" s="53" t="n">
        <v>38</v>
      </c>
      <c r="K45" s="227" t="n"/>
      <c r="L45" s="228" t="n"/>
      <c r="M45" s="229" t="n"/>
      <c r="N45" s="229" t="n"/>
      <c r="O45" s="231" t="n"/>
      <c r="P45" s="231" t="n"/>
      <c r="X45" s="53" t="n">
        <v>38</v>
      </c>
      <c r="Y45" s="216">
        <f>SUM(O45:X45)</f>
        <v/>
      </c>
      <c r="Z45" s="53">
        <f>Y45-G45</f>
        <v/>
      </c>
    </row>
    <row r="46" ht="15.75" customHeight="1" s="2">
      <c r="A46" s="39" t="inlineStr">
        <is>
          <t>я-резерв</t>
        </is>
      </c>
      <c r="B46" s="39" t="n">
        <v>53</v>
      </c>
      <c r="C46" s="39" t="n">
        <v>140</v>
      </c>
      <c r="D46" s="39" t="n">
        <v>193</v>
      </c>
      <c r="E46" s="134" t="n">
        <v>0.2325301204819277</v>
      </c>
      <c r="F46" s="53" t="n"/>
      <c r="G46" s="53" t="n">
        <v>38</v>
      </c>
      <c r="I46" s="53" t="n"/>
      <c r="J46" s="53" t="n">
        <v>38</v>
      </c>
      <c r="T46" s="232" t="inlineStr">
        <is>
          <t>торомозим</t>
        </is>
      </c>
      <c r="X46" s="53" t="n">
        <v>38</v>
      </c>
      <c r="Y46" s="216">
        <f>SUM(O46:X46)</f>
        <v/>
      </c>
      <c r="Z46" s="53">
        <f>Y46-G46</f>
        <v/>
      </c>
    </row>
    <row r="47" ht="15.75" customHeight="1" s="2">
      <c r="D47">
        <f>SUM(D4:D46)</f>
        <v/>
      </c>
      <c r="E47" s="133">
        <f>SUM(E4:E46)</f>
        <v/>
      </c>
      <c r="F47" s="133">
        <f>SUM(F4:F46)</f>
        <v/>
      </c>
      <c r="G47">
        <f>SUM(G4:G46)</f>
        <v/>
      </c>
      <c r="I47" s="133">
        <f>SUM(I4:I46)</f>
        <v/>
      </c>
      <c r="J47">
        <f>SUM(J4:J46)</f>
        <v/>
      </c>
      <c r="K47" s="227" t="n"/>
      <c r="L47" s="228" t="n"/>
      <c r="O47" s="233">
        <f>SUM(O4:O46)</f>
        <v/>
      </c>
      <c r="P47" s="233">
        <f>SUM(P4:P46)</f>
        <v/>
      </c>
      <c r="Q47" s="233">
        <f>SUM(Q4:Q46)</f>
        <v/>
      </c>
      <c r="R47" s="233">
        <f>SUM(R4:R46)</f>
        <v/>
      </c>
      <c r="S47" s="233">
        <f>SUM(S4:S46)</f>
        <v/>
      </c>
      <c r="T47" s="234">
        <f>SUM(T4:T46)</f>
        <v/>
      </c>
      <c r="U47" s="233">
        <f>SUM(U4:U46)</f>
        <v/>
      </c>
      <c r="V47" s="233">
        <f>SUM(V4:V46)</f>
        <v/>
      </c>
      <c r="W47" s="233">
        <f>SUM(W4:W46)</f>
        <v/>
      </c>
      <c r="X47" s="233">
        <f>SUM(X4:X46)</f>
        <v/>
      </c>
      <c r="Y47" s="233">
        <f>SUM(Y4:Y46)</f>
        <v/>
      </c>
      <c r="Z47" s="233">
        <f>SUM(Z4:Z46)</f>
        <v/>
      </c>
    </row>
    <row r="48" ht="15.75" customHeight="1" s="2">
      <c r="I48">
        <f>D47*0.9/830</f>
        <v/>
      </c>
      <c r="O48" s="233" t="n"/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3" t="n"/>
      <c r="Y48" s="233" t="n"/>
      <c r="Z48" s="233" t="n"/>
    </row>
    <row r="49" ht="15.75" customHeight="1" s="2">
      <c r="B49" t="n">
        <v>10009</v>
      </c>
      <c r="C49" t="n">
        <v>11754.99</v>
      </c>
      <c r="D49">
        <f>B49+C49</f>
        <v/>
      </c>
      <c r="O49" s="233" t="n"/>
      <c r="P49" s="233" t="n"/>
      <c r="Q49" s="233" t="n"/>
      <c r="R49" s="233" t="n"/>
      <c r="S49" s="233" t="n"/>
      <c r="T49" s="233" t="n"/>
      <c r="U49" s="233" t="n"/>
      <c r="V49" s="233" t="n"/>
      <c r="W49" s="233" t="n"/>
      <c r="X49" s="233" t="n"/>
      <c r="Y49" s="233">
        <f>D47-I47*830</f>
        <v/>
      </c>
      <c r="Z49" s="233">
        <f>Y49-Y47</f>
        <v/>
      </c>
    </row>
    <row r="50" ht="15.75" customHeight="1" s="2">
      <c r="B50" t="n">
        <v>10033</v>
      </c>
      <c r="C50" t="n">
        <v>11689</v>
      </c>
      <c r="D50">
        <f>B50+C50</f>
        <v/>
      </c>
      <c r="I50">
        <f>(D47-I47*830)/D47*100</f>
        <v/>
      </c>
      <c r="U50" s="235" t="inlineStr">
        <is>
          <t>осталось 254 часа после февраля</t>
        </is>
      </c>
      <c r="V50" s="235" t="n"/>
    </row>
    <row r="51" ht="15.75" customHeight="1" s="2">
      <c r="E51" s="203" t="inlineStr">
        <is>
          <t>ставки</t>
        </is>
      </c>
      <c r="F51" s="203">
        <f>SUBTOTAL(9,F4:F46)</f>
        <v/>
      </c>
      <c r="G51" s="203">
        <f>SUBTOTAL(9,G47,G15:G17)</f>
        <v/>
      </c>
      <c r="H51" s="203">
        <f>SUBTOTAL(9,H47,H15:H17)</f>
        <v/>
      </c>
      <c r="I51" s="203">
        <f>SUBTOTAL(9,I4:I46)</f>
        <v/>
      </c>
      <c r="Z51" s="233" t="n"/>
    </row>
    <row r="52" ht="15.75" customHeight="1" s="2">
      <c r="Y52" s="203" t="inlineStr">
        <is>
          <t>1456 новая почасовая</t>
        </is>
      </c>
    </row>
    <row r="53" ht="15.75" customHeight="1" s="2">
      <c r="F53" s="236" t="inlineStr">
        <is>
          <t>ПЧ</t>
        </is>
      </c>
      <c r="G53" s="237">
        <f>21722-23.8*830</f>
        <v/>
      </c>
      <c r="H53" s="238">
        <f>G53/D50</f>
        <v/>
      </c>
    </row>
    <row r="54" ht="15.75" customHeight="1" s="2">
      <c r="D54">
        <f>D49/830</f>
        <v/>
      </c>
      <c r="O54" s="203" t="n"/>
    </row>
    <row r="55" ht="15.75" customHeight="1" s="2">
      <c r="I55">
        <f>J47/D49</f>
        <v/>
      </c>
      <c r="M55" s="239" t="n"/>
      <c r="N55" s="239" t="n"/>
      <c r="O55" s="239" t="inlineStr">
        <is>
          <t>М-ст</t>
        </is>
      </c>
      <c r="P55" s="239" t="inlineStr">
        <is>
          <t>М-доц</t>
        </is>
      </c>
    </row>
    <row r="56" ht="15.75" customHeight="1" s="2">
      <c r="E56">
        <f>D49*0.1</f>
        <v/>
      </c>
      <c r="M56" s="239" t="inlineStr">
        <is>
          <t>18-19</t>
        </is>
      </c>
      <c r="N56" s="239" t="n"/>
      <c r="O56" s="239" t="inlineStr">
        <is>
          <t>19-20</t>
        </is>
      </c>
      <c r="P56" s="239" t="n"/>
    </row>
    <row r="57" ht="15.75" customHeight="1" s="2">
      <c r="D57" s="203" t="inlineStr">
        <is>
          <t>новя нагрузка</t>
        </is>
      </c>
      <c r="E57" s="203" t="n">
        <v>21210</v>
      </c>
      <c r="M57" s="240" t="inlineStr">
        <is>
          <t>на 22 ставки</t>
        </is>
      </c>
      <c r="N57" s="240" t="n"/>
      <c r="O57" s="241" t="inlineStr">
        <is>
          <t>на 23,8</t>
        </is>
      </c>
      <c r="P57" s="242" t="n"/>
    </row>
    <row r="58" ht="15.75" customHeight="1" s="2">
      <c r="M58" s="240" t="inlineStr">
        <is>
          <t>ассистент</t>
        </is>
      </c>
      <c r="N58" s="240" t="n">
        <v>0.35</v>
      </c>
      <c r="O58" s="243" t="n">
        <v>1.05</v>
      </c>
      <c r="P58" s="244" t="n">
        <v>1.05</v>
      </c>
    </row>
    <row r="59" ht="15.75" customHeight="1" s="2">
      <c r="F59" t="n">
        <v>22</v>
      </c>
      <c r="I59" t="n">
        <v>23.8</v>
      </c>
      <c r="M59" s="240" t="inlineStr">
        <is>
          <t>ст</t>
        </is>
      </c>
      <c r="N59" s="240" t="n">
        <v>1.65</v>
      </c>
      <c r="O59" s="243" t="n">
        <v>1.9</v>
      </c>
      <c r="P59" s="245" t="n">
        <v>1.95</v>
      </c>
    </row>
    <row r="60" ht="15.75" customHeight="1" s="2">
      <c r="F60">
        <f>D49-830*22</f>
        <v/>
      </c>
      <c r="I60">
        <f>D49-830*23.8</f>
        <v/>
      </c>
      <c r="M60" s="240" t="inlineStr">
        <is>
          <t>доц</t>
        </is>
      </c>
      <c r="N60" s="240" t="n">
        <v>10.45</v>
      </c>
      <c r="O60" s="243" t="n">
        <v>10.95</v>
      </c>
      <c r="P60" s="245" t="n">
        <v>11.1</v>
      </c>
    </row>
    <row r="61" ht="15.75" customHeight="1" s="2">
      <c r="E61" s="318" t="n"/>
      <c r="F61" s="227">
        <f>F60/D49</f>
        <v/>
      </c>
      <c r="I61" s="227">
        <f>I60/D49</f>
        <v/>
      </c>
      <c r="M61" s="240" t="inlineStr">
        <is>
          <t>проф</t>
        </is>
      </c>
      <c r="N61" s="240" t="n">
        <v>8.550000000000001</v>
      </c>
      <c r="O61" s="243" t="n">
        <v>8.9</v>
      </c>
      <c r="P61" s="245" t="n">
        <v>8.699999999999999</v>
      </c>
    </row>
    <row r="62" ht="15.75" customHeight="1" s="2">
      <c r="M62" s="240" t="inlineStr">
        <is>
          <t>зав</t>
        </is>
      </c>
      <c r="N62" s="240" t="n">
        <v>1</v>
      </c>
      <c r="O62" s="243" t="n">
        <v>1</v>
      </c>
      <c r="P62" s="244" t="n">
        <v>1</v>
      </c>
    </row>
    <row r="63" ht="15.75" customHeight="1" s="2">
      <c r="M63" s="240" t="n"/>
      <c r="N63" s="240">
        <f>SUBTOTAL(9,N58:N62)</f>
        <v/>
      </c>
      <c r="O63" s="241">
        <f>SUBTOTAL(9,O58:O62)</f>
        <v/>
      </c>
      <c r="P63" s="242">
        <f>SUBTOTAL(9,P58:P62)</f>
        <v/>
      </c>
    </row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3:Z50"/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K37"/>
  <sheetViews>
    <sheetView zoomScale="100" workbookViewId="0">
      <selection activeCell="E18" activeCellId="0" sqref="E18"/>
    </sheetView>
  </sheetViews>
  <sheetFormatPr baseColWidth="8" defaultColWidth="14.42578125" defaultRowHeight="15" customHeight="1"/>
  <cols>
    <col width="42.7109375" customWidth="1" style="2" min="1" max="1"/>
    <col width="8.42578125" customWidth="1" style="2" min="2" max="2"/>
    <col width="8.28515625" customWidth="1" style="2" min="3" max="3"/>
    <col width="8" customWidth="1" style="2" min="4" max="4"/>
    <col width="6.28515625" customWidth="1" style="2" min="5" max="5"/>
    <col width="7.42578125" customWidth="1" style="2" min="6" max="6"/>
    <col width="8" customWidth="1" style="2" min="7" max="26"/>
  </cols>
  <sheetData>
    <row r="3">
      <c r="A3" s="247" t="n"/>
      <c r="B3" s="248" t="n"/>
      <c r="C3" s="248" t="n"/>
      <c r="D3" s="248" t="n"/>
      <c r="E3" s="248" t="n"/>
      <c r="F3" s="247" t="n"/>
      <c r="G3" s="248" t="n"/>
      <c r="H3" s="248" t="n"/>
      <c r="I3" s="248" t="n"/>
      <c r="J3" s="248" t="n"/>
      <c r="K3" s="249" t="n"/>
    </row>
    <row r="4">
      <c r="A4" s="247" t="inlineStr">
        <is>
          <t>ФИО</t>
        </is>
      </c>
      <c r="B4" s="247" t="inlineStr">
        <is>
          <t>осень</t>
        </is>
      </c>
      <c r="C4" s="247" t="inlineStr">
        <is>
          <t>весна</t>
        </is>
      </c>
      <c r="D4" s="247" t="inlineStr">
        <is>
          <t>всего</t>
        </is>
      </c>
      <c r="E4" s="247" t="inlineStr">
        <is>
          <t>830</t>
        </is>
      </c>
      <c r="F4" s="250" t="n"/>
      <c r="G4" s="251" t="n"/>
      <c r="H4" s="251" t="n"/>
      <c r="I4" s="251" t="n"/>
      <c r="J4" s="251" t="n"/>
      <c r="K4" s="252" t="n"/>
    </row>
    <row r="5">
      <c r="A5" s="247" t="inlineStr">
        <is>
          <t xml:space="preserve">Александрова Светлана Сергеевна </t>
        </is>
      </c>
      <c r="B5" s="247" t="n">
        <v>366</v>
      </c>
      <c r="C5" s="247" t="n">
        <v>175</v>
      </c>
      <c r="D5" s="247" t="n">
        <v>541</v>
      </c>
      <c r="E5" s="253" t="n">
        <v>0.6518072289156627</v>
      </c>
      <c r="F5" s="247" t="n"/>
      <c r="G5" s="248" t="n"/>
      <c r="H5" s="248" t="n"/>
      <c r="I5" s="248" t="n"/>
      <c r="J5" s="248" t="n"/>
      <c r="K5" s="249" t="n"/>
    </row>
    <row r="6">
      <c r="A6" s="247" t="inlineStr">
        <is>
          <t xml:space="preserve">Банишев Александр Федорович </t>
        </is>
      </c>
      <c r="B6" s="247" t="n">
        <v>179</v>
      </c>
      <c r="C6" s="247" t="n">
        <v>72</v>
      </c>
      <c r="D6" s="247" t="n">
        <v>251</v>
      </c>
      <c r="E6" s="253" t="n">
        <v>0.3024096385542169</v>
      </c>
      <c r="F6" s="250" t="n"/>
      <c r="G6" s="251" t="n"/>
      <c r="H6" s="251" t="n"/>
      <c r="I6" s="251" t="n"/>
      <c r="J6" s="251" t="n"/>
      <c r="K6" s="252" t="n"/>
    </row>
    <row r="7">
      <c r="A7" s="247" t="inlineStr">
        <is>
          <t xml:space="preserve">Барабанова Ольга Алексеевна </t>
        </is>
      </c>
      <c r="B7" s="247" t="n">
        <v>370</v>
      </c>
      <c r="C7" s="247" t="n">
        <v>124.5</v>
      </c>
      <c r="D7" s="247" t="n">
        <v>494.5</v>
      </c>
      <c r="E7" s="253" t="n">
        <v>0.5957831325301205</v>
      </c>
      <c r="F7" s="250" t="n"/>
      <c r="G7" s="251" t="n"/>
      <c r="H7" s="251" t="n"/>
      <c r="I7" s="251" t="n"/>
      <c r="J7" s="251" t="n"/>
      <c r="K7" s="252" t="n"/>
    </row>
    <row r="8">
      <c r="A8" s="247" t="inlineStr">
        <is>
          <t>Бережной Дмитрий Васильевич</t>
        </is>
      </c>
      <c r="B8" s="247" t="n">
        <v>353</v>
      </c>
      <c r="C8" s="247" t="n">
        <v>367</v>
      </c>
      <c r="D8" s="247" t="n">
        <v>720</v>
      </c>
      <c r="E8" s="253" t="n">
        <v>0.8674698795180723</v>
      </c>
      <c r="F8" s="250" t="n"/>
      <c r="G8" s="251" t="n"/>
      <c r="H8" s="251" t="n"/>
      <c r="I8" s="251" t="n"/>
      <c r="J8" s="251" t="n"/>
      <c r="K8" s="252" t="n"/>
    </row>
    <row r="9">
      <c r="A9" s="247" t="inlineStr">
        <is>
          <t xml:space="preserve">Беспалов Александр Владимирович </t>
        </is>
      </c>
      <c r="B9" s="247" t="n">
        <v>116</v>
      </c>
      <c r="C9" s="247" t="n">
        <v>105</v>
      </c>
      <c r="D9" s="247" t="n">
        <v>221</v>
      </c>
      <c r="E9" s="253" t="n">
        <v>0.2662650602409639</v>
      </c>
      <c r="F9" s="250" t="n"/>
      <c r="G9" s="251" t="n"/>
      <c r="H9" s="251" t="n"/>
      <c r="I9" s="251" t="n"/>
      <c r="J9" s="251" t="n"/>
      <c r="K9" s="252" t="n"/>
    </row>
    <row r="10">
      <c r="A10" s="247" t="inlineStr">
        <is>
          <t xml:space="preserve">Варфоломеев Максим Сергеевич </t>
        </is>
      </c>
      <c r="B10" s="247" t="n">
        <v>291</v>
      </c>
      <c r="C10" s="247" t="n">
        <v>650.5</v>
      </c>
      <c r="D10" s="247" t="n">
        <v>941.5</v>
      </c>
      <c r="E10" s="253" t="n">
        <v>1.13433734939759</v>
      </c>
      <c r="F10" s="250" t="n"/>
      <c r="G10" s="251" t="n"/>
      <c r="H10" s="251" t="n"/>
      <c r="I10" s="251" t="n"/>
      <c r="J10" s="251" t="n"/>
      <c r="K10" s="252" t="n"/>
    </row>
    <row r="11">
      <c r="A11" s="247" t="inlineStr">
        <is>
          <t xml:space="preserve">Власенко Артем Николаевич </t>
        </is>
      </c>
      <c r="B11" s="247" t="n">
        <v>212</v>
      </c>
      <c r="C11" s="247" t="n">
        <v>8</v>
      </c>
      <c r="D11" s="247" t="n">
        <v>220</v>
      </c>
      <c r="E11" s="253" t="n">
        <v>0.2650602409638554</v>
      </c>
      <c r="F11" s="250" t="n"/>
      <c r="G11" s="251" t="n"/>
      <c r="H11" s="251" t="n"/>
      <c r="I11" s="251" t="n"/>
      <c r="J11" s="251" t="n"/>
      <c r="K11" s="252" t="n"/>
    </row>
    <row r="12">
      <c r="A12" s="247" t="inlineStr">
        <is>
          <t xml:space="preserve">Галкин Виктор Иванович </t>
        </is>
      </c>
      <c r="B12" s="247" t="n">
        <v>348</v>
      </c>
      <c r="C12" s="247" t="n">
        <v>583</v>
      </c>
      <c r="D12" s="247" t="n">
        <v>931</v>
      </c>
      <c r="E12" s="253" t="n">
        <v>1.121686746987952</v>
      </c>
      <c r="F12" s="250" t="n"/>
      <c r="G12" s="251" t="n"/>
      <c r="H12" s="251" t="n"/>
      <c r="I12" s="251" t="n"/>
      <c r="J12" s="251" t="n"/>
      <c r="K12" s="252" t="n"/>
    </row>
    <row r="13">
      <c r="A13" s="247" t="inlineStr">
        <is>
          <t xml:space="preserve">Галкин Евгений Владимирович </t>
        </is>
      </c>
      <c r="B13" s="247" t="n">
        <v>647</v>
      </c>
      <c r="C13" s="247" t="n">
        <v>461.5</v>
      </c>
      <c r="D13" s="247" t="n">
        <v>1108.5</v>
      </c>
      <c r="E13" s="253" t="n">
        <v>1.335542168674699</v>
      </c>
      <c r="F13" s="250" t="n"/>
      <c r="G13" s="251" t="n"/>
      <c r="H13" s="251" t="n"/>
      <c r="I13" s="251" t="n"/>
      <c r="J13" s="251" t="n"/>
      <c r="K13" s="252" t="n"/>
    </row>
    <row r="14">
      <c r="A14" s="247" t="inlineStr">
        <is>
          <t xml:space="preserve">Еремеев Николай Владимирович </t>
        </is>
      </c>
      <c r="B14" s="247" t="n">
        <v>41</v>
      </c>
      <c r="C14" s="247" t="n">
        <v>124</v>
      </c>
      <c r="D14" s="247" t="n">
        <v>165</v>
      </c>
      <c r="E14" s="253" t="n">
        <v>0.1987951807228916</v>
      </c>
      <c r="F14" s="250" t="n"/>
      <c r="G14" s="251" t="n"/>
      <c r="H14" s="251" t="n"/>
      <c r="I14" s="251" t="n"/>
      <c r="J14" s="251" t="n"/>
      <c r="K14" s="252" t="n"/>
    </row>
    <row r="15">
      <c r="A15" s="247" t="inlineStr">
        <is>
          <t xml:space="preserve">Жаров Максим Владимирович </t>
        </is>
      </c>
      <c r="B15" s="247" t="n">
        <v>703</v>
      </c>
      <c r="C15" s="247" t="n">
        <v>179.5</v>
      </c>
      <c r="D15" s="247" t="n">
        <v>882.5</v>
      </c>
      <c r="E15" s="253" t="n">
        <v>1.063253012048193</v>
      </c>
      <c r="F15" s="250" t="n"/>
      <c r="G15" s="251" t="n"/>
      <c r="H15" s="251" t="n"/>
      <c r="I15" s="251" t="n"/>
      <c r="J15" s="251" t="n"/>
      <c r="K15" s="252" t="n"/>
    </row>
    <row r="16">
      <c r="A16" s="247" t="inlineStr">
        <is>
          <t xml:space="preserve">Комаров Роман Сергеевич </t>
        </is>
      </c>
      <c r="B16" s="247" t="n">
        <v>127</v>
      </c>
      <c r="C16" s="247" t="n">
        <v>133.5</v>
      </c>
      <c r="D16" s="247" t="n">
        <v>260.5</v>
      </c>
      <c r="E16" s="253" t="n">
        <v>0.313855421686747</v>
      </c>
      <c r="F16" s="250" t="n"/>
      <c r="G16" s="251" t="n"/>
      <c r="H16" s="251" t="n"/>
      <c r="I16" s="251" t="n"/>
      <c r="J16" s="251" t="n"/>
      <c r="K16" s="252" t="n"/>
    </row>
    <row r="17">
      <c r="A17" s="247" t="inlineStr">
        <is>
          <t xml:space="preserve">Конкевич Валентин Юрьевич </t>
        </is>
      </c>
      <c r="B17" s="247" t="n">
        <v>283</v>
      </c>
      <c r="C17" s="247" t="n">
        <v>440</v>
      </c>
      <c r="D17" s="247" t="n">
        <v>723</v>
      </c>
      <c r="E17" s="253" t="n">
        <v>0.8710843373493976</v>
      </c>
      <c r="F17" s="250" t="n"/>
      <c r="G17" s="251" t="n"/>
      <c r="H17" s="251" t="n"/>
      <c r="I17" s="251" t="n"/>
      <c r="J17" s="251" t="n"/>
      <c r="K17" s="252" t="n"/>
    </row>
    <row r="18">
      <c r="A18" s="247" t="inlineStr">
        <is>
          <t>Кубатина Екатерина Павловна</t>
        </is>
      </c>
      <c r="B18" s="247" t="n">
        <v>144</v>
      </c>
      <c r="C18" s="247" t="n">
        <v>88.5</v>
      </c>
      <c r="D18" s="247" t="n">
        <v>232.5</v>
      </c>
      <c r="E18" s="253" t="n">
        <v>0.2801204819277108</v>
      </c>
      <c r="F18" s="250" t="n"/>
      <c r="G18" s="251" t="n"/>
      <c r="H18" s="251" t="n"/>
      <c r="I18" s="251" t="n"/>
      <c r="J18" s="251" t="n"/>
      <c r="K18" s="252" t="n"/>
    </row>
    <row r="19">
      <c r="A19" s="247" t="inlineStr">
        <is>
          <t xml:space="preserve">Лозован Александр Александрович </t>
        </is>
      </c>
      <c r="B19" s="247" t="n">
        <v>331</v>
      </c>
      <c r="C19" s="247" t="n">
        <v>520</v>
      </c>
      <c r="D19" s="247" t="n">
        <v>851</v>
      </c>
      <c r="E19" s="253" t="n">
        <v>1.025301204819277</v>
      </c>
      <c r="F19" s="250" t="n"/>
      <c r="G19" s="251" t="n"/>
      <c r="H19" s="251" t="n"/>
      <c r="I19" s="251" t="n"/>
      <c r="J19" s="251" t="n"/>
      <c r="K19" s="252" t="n"/>
    </row>
    <row r="20">
      <c r="A20" s="247" t="inlineStr">
        <is>
          <t xml:space="preserve">Моисеев Виктор Сергеевич </t>
        </is>
      </c>
      <c r="B20" s="247" t="n">
        <v>391</v>
      </c>
      <c r="C20" s="247" t="n">
        <v>436.5</v>
      </c>
      <c r="D20" s="247" t="n">
        <v>827.5</v>
      </c>
      <c r="E20" s="253" t="n">
        <v>0.9969879518072289</v>
      </c>
      <c r="F20" s="250" t="n"/>
      <c r="G20" s="251" t="n"/>
      <c r="H20" s="251" t="n"/>
      <c r="I20" s="251" t="n"/>
      <c r="J20" s="251" t="n"/>
      <c r="K20" s="252" t="n"/>
    </row>
    <row r="21" ht="15.75" customHeight="1" s="2">
      <c r="A21" s="247" t="inlineStr">
        <is>
          <t>Монастырский Алексей Валерьевич</t>
        </is>
      </c>
      <c r="B21" s="247" t="n">
        <v>9</v>
      </c>
      <c r="C21" s="247" t="n">
        <v>77</v>
      </c>
      <c r="D21" s="247" t="n">
        <v>86</v>
      </c>
      <c r="E21" s="253" t="n">
        <v>0.1036144578313253</v>
      </c>
      <c r="F21" s="250" t="n"/>
      <c r="G21" s="251" t="n"/>
      <c r="H21" s="251" t="n"/>
      <c r="I21" s="251" t="n"/>
      <c r="J21" s="251" t="n"/>
      <c r="K21" s="252" t="n"/>
    </row>
    <row r="22" ht="15.75" customHeight="1" s="2">
      <c r="A22" s="247" t="inlineStr">
        <is>
          <t xml:space="preserve">Никитина Елена Владимировна </t>
        </is>
      </c>
      <c r="B22" s="247" t="n">
        <v>279</v>
      </c>
      <c r="C22" s="247" t="n">
        <v>475.5</v>
      </c>
      <c r="D22" s="247" t="n">
        <v>754.5</v>
      </c>
      <c r="E22" s="253" t="n">
        <v>0.9090361445783133</v>
      </c>
      <c r="F22" s="250" t="n"/>
      <c r="G22" s="251" t="n"/>
      <c r="H22" s="251" t="n"/>
      <c r="I22" s="251" t="n"/>
      <c r="J22" s="251" t="n"/>
      <c r="K22" s="252" t="n"/>
    </row>
    <row r="23" ht="15.75" customHeight="1" s="2">
      <c r="A23" s="247" t="inlineStr">
        <is>
          <t xml:space="preserve">Палтиевич Андрей Романович </t>
        </is>
      </c>
      <c r="B23" s="247" t="n">
        <v>284</v>
      </c>
      <c r="C23" s="247" t="n">
        <v>691.5</v>
      </c>
      <c r="D23" s="247" t="n">
        <v>975.5</v>
      </c>
      <c r="E23" s="253" t="n">
        <v>1.175301204819277</v>
      </c>
      <c r="F23" s="250" t="n"/>
      <c r="G23" s="251" t="n"/>
      <c r="H23" s="251" t="n"/>
      <c r="I23" s="251" t="n"/>
      <c r="J23" s="251" t="n"/>
      <c r="K23" s="252" t="n"/>
    </row>
    <row r="24" ht="15.75" customHeight="1" s="2">
      <c r="A24" s="247" t="inlineStr">
        <is>
          <t xml:space="preserve">Пашков Игорь Николаевич </t>
        </is>
      </c>
      <c r="B24" s="247" t="n">
        <v>249</v>
      </c>
      <c r="C24" s="247" t="n">
        <v>294</v>
      </c>
      <c r="D24" s="247" t="n">
        <v>543</v>
      </c>
      <c r="E24" s="253" t="n">
        <v>0.6542168674698795</v>
      </c>
      <c r="F24" s="250" t="n"/>
      <c r="G24" s="251" t="n"/>
      <c r="H24" s="251" t="n"/>
      <c r="I24" s="251" t="n"/>
      <c r="J24" s="251" t="n"/>
      <c r="K24" s="252" t="n"/>
    </row>
    <row r="25" ht="15.75" customHeight="1" s="2">
      <c r="A25" s="247" t="inlineStr">
        <is>
          <t xml:space="preserve">Петров Анатолий Павлович </t>
        </is>
      </c>
      <c r="B25" s="247" t="n">
        <v>339</v>
      </c>
      <c r="C25" s="247" t="n">
        <v>296</v>
      </c>
      <c r="D25" s="247" t="n">
        <v>635</v>
      </c>
      <c r="E25" s="253" t="n">
        <v>0.7650602409638554</v>
      </c>
      <c r="F25" s="250" t="n"/>
      <c r="G25" s="251" t="n"/>
      <c r="H25" s="251" t="n"/>
      <c r="I25" s="251" t="n"/>
      <c r="J25" s="251" t="n"/>
      <c r="K25" s="252" t="n"/>
    </row>
    <row r="26" ht="15.75" customHeight="1" s="2">
      <c r="A26" s="247" t="inlineStr">
        <is>
          <t xml:space="preserve">Петров Игорь Алексеевич </t>
        </is>
      </c>
      <c r="B26" s="247" t="n">
        <v>239</v>
      </c>
      <c r="C26" s="247" t="n">
        <v>196.5</v>
      </c>
      <c r="D26" s="247" t="n">
        <v>435.5</v>
      </c>
      <c r="E26" s="253" t="n">
        <v>0.5246987951807229</v>
      </c>
      <c r="F26" s="250" t="n"/>
      <c r="G26" s="251" t="n"/>
      <c r="H26" s="251" t="n"/>
      <c r="I26" s="251" t="n"/>
      <c r="J26" s="251" t="n"/>
      <c r="K26" s="252" t="n"/>
    </row>
    <row r="27" ht="15.75" customHeight="1" s="2">
      <c r="A27" s="247" t="inlineStr">
        <is>
          <t xml:space="preserve">Преображенский Евгений Владимирович </t>
        </is>
      </c>
      <c r="B27" s="247" t="n">
        <v>213</v>
      </c>
      <c r="C27" s="247" t="n">
        <v>399</v>
      </c>
      <c r="D27" s="247" t="n">
        <v>612</v>
      </c>
      <c r="E27" s="253" t="n">
        <v>0.7373493975903614</v>
      </c>
      <c r="F27" s="250" t="n"/>
      <c r="G27" s="251" t="n"/>
      <c r="H27" s="251" t="n"/>
      <c r="I27" s="251" t="n"/>
      <c r="J27" s="251" t="n"/>
      <c r="K27" s="252" t="n"/>
    </row>
    <row r="28" ht="15.75" customHeight="1" s="2">
      <c r="A28" s="247" t="inlineStr">
        <is>
          <t xml:space="preserve">Ряховский Александр Павлович </t>
        </is>
      </c>
      <c r="B28" s="247" t="n">
        <v>284</v>
      </c>
      <c r="C28" s="247" t="n">
        <v>140</v>
      </c>
      <c r="D28" s="247" t="n">
        <v>424</v>
      </c>
      <c r="E28" s="253" t="n">
        <v>0.5108433734939759</v>
      </c>
      <c r="F28" s="250" t="n"/>
      <c r="G28" s="251" t="n"/>
      <c r="H28" s="251" t="n"/>
      <c r="I28" s="251" t="n"/>
      <c r="J28" s="251" t="n"/>
      <c r="K28" s="252" t="n"/>
    </row>
    <row r="29" ht="15.75" customHeight="1" s="2">
      <c r="A29" s="247" t="inlineStr">
        <is>
          <t xml:space="preserve">Серов Михаил Михайлович </t>
        </is>
      </c>
      <c r="B29" s="247" t="n">
        <v>501</v>
      </c>
      <c r="C29" s="247" t="n">
        <v>486.5</v>
      </c>
      <c r="D29" s="247" t="n">
        <v>987.5</v>
      </c>
      <c r="E29" s="253" t="n">
        <v>1.189759036144578</v>
      </c>
      <c r="F29" s="250" t="n"/>
      <c r="G29" s="251" t="n"/>
      <c r="H29" s="251" t="n"/>
      <c r="I29" s="251" t="n"/>
      <c r="J29" s="251" t="n"/>
      <c r="K29" s="252" t="n"/>
    </row>
    <row r="30" ht="15.75" customHeight="1" s="2">
      <c r="A30" s="247" t="inlineStr">
        <is>
          <t>Сидякин Виталий Александрович</t>
        </is>
      </c>
      <c r="B30" s="247" t="n">
        <v>44</v>
      </c>
      <c r="C30" s="247" t="n">
        <v>61</v>
      </c>
      <c r="D30" s="247" t="n">
        <v>105</v>
      </c>
      <c r="E30" s="253" t="n">
        <v>0.1265060240963855</v>
      </c>
      <c r="F30" s="250" t="n"/>
      <c r="G30" s="251" t="n"/>
      <c r="H30" s="251" t="n"/>
      <c r="I30" s="251" t="n"/>
      <c r="J30" s="251" t="n"/>
      <c r="K30" s="252" t="n"/>
    </row>
    <row r="31" ht="15.75" customHeight="1" s="2">
      <c r="A31" s="247" t="inlineStr">
        <is>
          <t xml:space="preserve">Смыков Андрей Федорович </t>
        </is>
      </c>
      <c r="B31" s="247" t="n">
        <v>552</v>
      </c>
      <c r="C31" s="247" t="n">
        <v>171</v>
      </c>
      <c r="D31" s="247" t="n">
        <v>723</v>
      </c>
      <c r="E31" s="253" t="n">
        <v>0.8710843373493976</v>
      </c>
      <c r="F31" s="250" t="n"/>
      <c r="G31" s="251" t="n"/>
      <c r="H31" s="251" t="n"/>
      <c r="I31" s="251" t="n"/>
      <c r="J31" s="251" t="n"/>
      <c r="K31" s="252" t="n"/>
    </row>
    <row r="32" ht="15.75" customHeight="1" s="2">
      <c r="A32" s="247" t="inlineStr">
        <is>
          <t xml:space="preserve">Соколов Алексей Викторович </t>
        </is>
      </c>
      <c r="B32" s="247" t="n">
        <v>405</v>
      </c>
      <c r="C32" s="247" t="n">
        <v>478</v>
      </c>
      <c r="D32" s="247" t="n">
        <v>883</v>
      </c>
      <c r="E32" s="253" t="n">
        <v>1.063855421686747</v>
      </c>
      <c r="F32" s="250" t="n"/>
      <c r="G32" s="251" t="n"/>
      <c r="H32" s="251" t="n"/>
      <c r="I32" s="251" t="n"/>
      <c r="J32" s="251" t="n"/>
      <c r="K32" s="252" t="n"/>
    </row>
    <row r="33" ht="15.75" customHeight="1" s="2">
      <c r="A33" s="247" t="inlineStr">
        <is>
          <t>Степанов Владимир Валерьевич</t>
        </is>
      </c>
      <c r="B33" s="247" t="n">
        <v>284</v>
      </c>
      <c r="C33" s="247" t="n">
        <v>193</v>
      </c>
      <c r="D33" s="247" t="n">
        <v>477</v>
      </c>
      <c r="E33" s="253" t="n">
        <v>0.5746987951807229</v>
      </c>
      <c r="F33" s="250" t="n"/>
      <c r="G33" s="251" t="n"/>
      <c r="H33" s="251" t="n"/>
      <c r="I33" s="251" t="n"/>
      <c r="J33" s="251" t="n"/>
      <c r="K33" s="252" t="n"/>
    </row>
    <row r="34" ht="15.75" customHeight="1" s="2">
      <c r="A34" s="247" t="inlineStr">
        <is>
          <t>Федоров Анатолий Александрович</t>
        </is>
      </c>
      <c r="B34" s="247" t="n">
        <v>320</v>
      </c>
      <c r="C34" s="247" t="n">
        <v>169</v>
      </c>
      <c r="D34" s="247" t="n">
        <v>489</v>
      </c>
      <c r="E34" s="253" t="n">
        <v>0.5891566265060241</v>
      </c>
      <c r="F34" s="250" t="n"/>
      <c r="G34" s="251" t="n"/>
      <c r="H34" s="251" t="n"/>
      <c r="I34" s="251" t="n"/>
      <c r="J34" s="251" t="n"/>
      <c r="K34" s="252" t="n"/>
    </row>
    <row r="35" ht="15.75" customHeight="1" s="2">
      <c r="A35" s="247" t="inlineStr">
        <is>
          <t xml:space="preserve">Федоров Сергей Александрович </t>
        </is>
      </c>
      <c r="B35" s="247" t="n">
        <v>200</v>
      </c>
      <c r="C35" s="247" t="n">
        <v>271</v>
      </c>
      <c r="D35" s="247" t="n">
        <v>471</v>
      </c>
      <c r="E35" s="253" t="n">
        <v>0.5674698795180723</v>
      </c>
      <c r="F35" s="250" t="n"/>
      <c r="G35" s="251" t="n"/>
      <c r="H35" s="251" t="n"/>
      <c r="I35" s="251" t="n"/>
      <c r="J35" s="251" t="n"/>
      <c r="K35" s="252" t="n"/>
    </row>
    <row r="36" ht="15.75" customHeight="1" s="2">
      <c r="A36" s="247" t="inlineStr">
        <is>
          <t xml:space="preserve">Шленский Алексей Геннадьевич </t>
        </is>
      </c>
      <c r="B36" s="247" t="n">
        <v>456</v>
      </c>
      <c r="C36" s="247" t="n">
        <v>362</v>
      </c>
      <c r="D36" s="247" t="n">
        <v>818</v>
      </c>
      <c r="E36" s="253" t="n">
        <v>0.9855421686746988</v>
      </c>
      <c r="F36" s="250" t="n"/>
      <c r="G36" s="251" t="n"/>
      <c r="H36" s="251" t="n"/>
      <c r="I36" s="251" t="n"/>
      <c r="J36" s="251" t="n"/>
      <c r="K36" s="252" t="n"/>
    </row>
    <row r="37" ht="15.75" customHeight="1" s="2">
      <c r="A37" s="254" t="inlineStr">
        <is>
          <t>Общий итог</t>
        </is>
      </c>
      <c r="B37" s="255" t="n"/>
      <c r="C37" s="255" t="n"/>
      <c r="D37" s="255" t="n"/>
      <c r="E37" s="255" t="n"/>
      <c r="F37" s="256" t="n"/>
      <c r="G37" s="257" t="n"/>
      <c r="H37" s="257" t="n"/>
      <c r="I37" s="257" t="n"/>
      <c r="J37" s="257" t="n"/>
      <c r="K37" s="258" t="n"/>
    </row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3:E69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8" customWidth="1" style="2" min="1" max="2"/>
    <col width="57.7109375" customWidth="1" style="2" min="3" max="3"/>
    <col width="38.28515625" customWidth="1" style="2" min="4" max="4"/>
    <col width="8" customWidth="1" style="2" min="5" max="26"/>
  </cols>
  <sheetData>
    <row r="3">
      <c r="C3" s="259" t="inlineStr">
        <is>
          <t>Т11О-204М-19</t>
        </is>
      </c>
    </row>
    <row r="4">
      <c r="C4" s="53" t="inlineStr">
        <is>
          <t>Каракин Иван Андреевич</t>
        </is>
      </c>
    </row>
    <row r="5">
      <c r="C5" s="53" t="inlineStr">
        <is>
          <t>Киеккужин Айрат Расулевич</t>
        </is>
      </c>
    </row>
    <row r="6">
      <c r="C6" s="53" t="inlineStr">
        <is>
          <t>Новиков Артем Михайлович</t>
        </is>
      </c>
    </row>
    <row r="7">
      <c r="C7" s="53" t="inlineStr">
        <is>
          <t>Усачев Роман Викторович</t>
        </is>
      </c>
    </row>
    <row r="8">
      <c r="C8" s="53" t="inlineStr">
        <is>
          <t>Федотов Александр Юрьевич</t>
        </is>
      </c>
    </row>
    <row r="9">
      <c r="C9" s="53" t="inlineStr">
        <is>
          <t>Хлопиков Дмитрий Николаевич</t>
        </is>
      </c>
    </row>
    <row r="10">
      <c r="C10" s="53" t="inlineStr">
        <is>
          <t>Цветков Кирилл Александрович</t>
        </is>
      </c>
    </row>
    <row r="11">
      <c r="C11" s="53" t="inlineStr">
        <is>
          <t>Шогунц Алексей Вячеславович</t>
        </is>
      </c>
    </row>
    <row r="12">
      <c r="C12" s="53" t="inlineStr">
        <is>
          <t>Якоб Владимир Юрьевич</t>
        </is>
      </c>
    </row>
    <row r="14">
      <c r="C14" s="259" t="inlineStr">
        <is>
          <t>Т11О-203М-19</t>
        </is>
      </c>
    </row>
    <row r="15">
      <c r="C15" s="53" t="inlineStr">
        <is>
          <t>Арзуманов Илья Витальевич</t>
        </is>
      </c>
      <c r="D15" s="260" t="inlineStr">
        <is>
          <t>Барабанова</t>
        </is>
      </c>
      <c r="E15" s="260" t="inlineStr">
        <is>
          <t>отчислен</t>
        </is>
      </c>
    </row>
    <row r="16">
      <c r="C16" s="53" t="inlineStr">
        <is>
          <t>Жуков Евгений Юрьевич</t>
        </is>
      </c>
      <c r="D16" t="inlineStr">
        <is>
          <t>Пашков</t>
        </is>
      </c>
    </row>
    <row r="17">
      <c r="C17" s="53" t="inlineStr">
        <is>
          <t>Иванова Дарья Павловна</t>
        </is>
      </c>
      <c r="D17" t="inlineStr">
        <is>
          <t>Конкевич</t>
        </is>
      </c>
    </row>
    <row r="18">
      <c r="C18" s="53" t="inlineStr">
        <is>
          <t>Изотов Алексей Николаевич</t>
        </is>
      </c>
      <c r="D18" t="inlineStr">
        <is>
          <t>Лозован</t>
        </is>
      </c>
    </row>
    <row r="19">
      <c r="C19" s="53" t="inlineStr">
        <is>
          <t>Кольцов Никита Андреевич</t>
        </is>
      </c>
      <c r="D19" s="260" t="inlineStr">
        <is>
          <t>Банишев</t>
        </is>
      </c>
      <c r="E19" s="260" t="inlineStr">
        <is>
          <t>отчислен</t>
        </is>
      </c>
    </row>
    <row r="20">
      <c r="C20" s="53" t="inlineStr">
        <is>
          <t>Кусярбаева Файруза Байрамгуловна</t>
        </is>
      </c>
      <c r="D20" t="inlineStr">
        <is>
          <t>Серов ММ</t>
        </is>
      </c>
    </row>
    <row r="21" ht="15.75" customHeight="1" s="2">
      <c r="C21" s="53" t="inlineStr">
        <is>
          <t>Овчарова Полина Александровна</t>
        </is>
      </c>
      <c r="D21" t="inlineStr">
        <is>
          <t>Серов ММ</t>
        </is>
      </c>
    </row>
    <row r="22" ht="15.75" customHeight="1" s="2"/>
    <row r="23" ht="15.75" customHeight="1" s="2">
      <c r="C23" s="259" t="inlineStr">
        <is>
          <t>Т11О-202М-19</t>
        </is>
      </c>
    </row>
    <row r="24" ht="15.75" customHeight="1" s="2">
      <c r="C24" s="53" t="inlineStr">
        <is>
          <t>Абалихин Кирилл Александрович</t>
        </is>
      </c>
    </row>
    <row r="25" ht="15.75" customHeight="1" s="2">
      <c r="C25" s="53" t="inlineStr">
        <is>
          <t>Аглиуллина Агата Алмасовна</t>
        </is>
      </c>
    </row>
    <row r="26" ht="15.75" customHeight="1" s="2">
      <c r="C26" s="53" t="inlineStr">
        <is>
          <t>Барбанакова Ирина Александровна</t>
        </is>
      </c>
    </row>
    <row r="27" ht="15.75" customHeight="1" s="2">
      <c r="C27" s="53" t="inlineStr">
        <is>
          <t>Егоров Никита Вячеславович</t>
        </is>
      </c>
    </row>
    <row r="28" ht="15.75" customHeight="1" s="2">
      <c r="C28" s="53" t="inlineStr">
        <is>
          <t>Фозилов Тимур Тохирович</t>
        </is>
      </c>
    </row>
    <row r="29" ht="15.75" customHeight="1" s="2">
      <c r="C29" s="53" t="inlineStr">
        <is>
          <t>Фролов Валерий Валерьевич</t>
        </is>
      </c>
    </row>
    <row r="30" ht="15.75" customHeight="1" s="2"/>
    <row r="31" ht="15.75" customHeight="1" s="2">
      <c r="C31" s="259" t="inlineStr">
        <is>
          <t>Т11О-201М-19</t>
        </is>
      </c>
    </row>
    <row r="32" ht="15.75" customHeight="1" s="2">
      <c r="C32" s="53" t="inlineStr">
        <is>
          <t>Арутюнов Юрий Дмитриевич</t>
        </is>
      </c>
      <c r="D32" t="inlineStr">
        <is>
          <t xml:space="preserve">Преображенский Евгений Владимирович </t>
        </is>
      </c>
    </row>
    <row r="33" ht="15.75" customHeight="1" s="2">
      <c r="C33" s="53" t="inlineStr">
        <is>
          <t>Батталов Тагир Хакимьянович</t>
        </is>
      </c>
      <c r="D33" t="inlineStr">
        <is>
          <t xml:space="preserve">Галкин Виктор Иванович </t>
        </is>
      </c>
    </row>
    <row r="34" ht="15.75" customHeight="1" s="2">
      <c r="C34" s="53" t="inlineStr">
        <is>
          <t>Исянгильдина Алия Айратовна</t>
        </is>
      </c>
      <c r="D34" t="inlineStr">
        <is>
          <t>Федоров Анатолий Александрович</t>
        </is>
      </c>
    </row>
    <row r="35" ht="15.75" customHeight="1" s="2">
      <c r="C35" s="53" t="inlineStr">
        <is>
          <t>Ложкин Денис Константинович</t>
        </is>
      </c>
      <c r="D35" t="inlineStr">
        <is>
          <t xml:space="preserve">Шленский Алексей Геннадьевич </t>
        </is>
      </c>
    </row>
    <row r="36" ht="15.75" customHeight="1" s="2">
      <c r="C36" s="53" t="inlineStr">
        <is>
          <t>Сафин Динислам Ринатович</t>
        </is>
      </c>
      <c r="D36" t="inlineStr">
        <is>
          <t>Федоров Анатолий Александрович</t>
        </is>
      </c>
    </row>
    <row r="37" ht="15.75" customHeight="1" s="2">
      <c r="C37" s="53" t="inlineStr">
        <is>
          <t>Стельмах Артём Дмитриевич</t>
        </is>
      </c>
      <c r="D37" t="inlineStr">
        <is>
          <t xml:space="preserve">Петров Анатолий Павлович </t>
        </is>
      </c>
    </row>
    <row r="38" ht="15.75" customHeight="1" s="2">
      <c r="C38" s="53" t="inlineStr">
        <is>
          <t>Шамовский Егор Алексеевич</t>
        </is>
      </c>
      <c r="D38" t="inlineStr">
        <is>
          <t>Беспалов Александр Владимирович</t>
        </is>
      </c>
    </row>
    <row r="39" ht="15.75" customHeight="1" s="2"/>
    <row r="40" ht="15.75" customHeight="1" s="2">
      <c r="C40" s="259" t="inlineStr">
        <is>
          <t>Т11О-104М-20</t>
        </is>
      </c>
    </row>
    <row r="41" ht="15.75" customHeight="1" s="2">
      <c r="C41" s="53" t="inlineStr">
        <is>
          <t>Аматов Роман Исламбекович</t>
        </is>
      </c>
    </row>
    <row r="42" ht="15.75" customHeight="1" s="2">
      <c r="C42" s="53" t="inlineStr">
        <is>
          <t>Беседин Денис Олегович</t>
        </is>
      </c>
    </row>
    <row r="43" ht="15.75" customHeight="1" s="2">
      <c r="C43" s="53" t="inlineStr">
        <is>
          <t>Иванова Инна Вячеславовна</t>
        </is>
      </c>
    </row>
    <row r="44" ht="15.75" customHeight="1" s="2">
      <c r="C44" s="53" t="inlineStr">
        <is>
          <t>Каликина Анастасия Дмитриевна</t>
        </is>
      </c>
    </row>
    <row r="45" ht="15.75" customHeight="1" s="2">
      <c r="C45" s="53" t="inlineStr">
        <is>
          <t>Колесникова Александра Михайловна</t>
        </is>
      </c>
    </row>
    <row r="46" ht="15.75" customHeight="1" s="2">
      <c r="C46" s="53" t="inlineStr">
        <is>
          <t>Морозов Александр Васильевич</t>
        </is>
      </c>
    </row>
    <row r="47" ht="15.75" customHeight="1" s="2"/>
    <row r="48" ht="15.75" customHeight="1" s="2">
      <c r="C48" s="259" t="inlineStr">
        <is>
          <t>Т11О-103М-20</t>
        </is>
      </c>
    </row>
    <row r="49" ht="15.75" customHeight="1" s="2">
      <c r="C49" s="53" t="inlineStr">
        <is>
          <t>Аблаева Лейсан Тагировна</t>
        </is>
      </c>
    </row>
    <row r="50" ht="15.75" customHeight="1" s="2">
      <c r="C50" s="53" t="inlineStr">
        <is>
          <t>Игнатенко Владимир Александрович</t>
        </is>
      </c>
    </row>
    <row r="51" ht="15.75" customHeight="1" s="2">
      <c r="C51" s="53" t="inlineStr">
        <is>
          <t>Лацоев Мирон Артурович</t>
        </is>
      </c>
    </row>
    <row r="52" ht="15.75" customHeight="1" s="2">
      <c r="C52" s="53" t="inlineStr">
        <is>
          <t>Старикова Екатерина Леонидовна</t>
        </is>
      </c>
    </row>
    <row r="53" ht="15.75" customHeight="1" s="2">
      <c r="C53" s="53" t="inlineStr">
        <is>
          <t>Янбаев Ильсур Илфатович</t>
        </is>
      </c>
    </row>
    <row r="54" ht="15.75" customHeight="1" s="2"/>
    <row r="55" ht="15.75" customHeight="1" s="2">
      <c r="C55" s="259" t="inlineStr">
        <is>
          <t>Т11О-102М-20</t>
        </is>
      </c>
    </row>
    <row r="56" ht="15.75" customHeight="1" s="2">
      <c r="C56" s="53" t="inlineStr">
        <is>
          <t>Капустин Игорь Анатольевич</t>
        </is>
      </c>
    </row>
    <row r="57" ht="15.75" customHeight="1" s="2">
      <c r="C57" s="53" t="inlineStr">
        <is>
          <t>Колесник Антон Евгеньевич</t>
        </is>
      </c>
    </row>
    <row r="58" ht="15.75" customHeight="1" s="2">
      <c r="C58" s="53" t="inlineStr">
        <is>
          <t>Максименко Екатерина Игоревна</t>
        </is>
      </c>
    </row>
    <row r="59" ht="15.75" customHeight="1" s="2">
      <c r="C59" s="53" t="inlineStr">
        <is>
          <t>Суслин Павел Александрович</t>
        </is>
      </c>
    </row>
    <row r="60" ht="15.75" customHeight="1" s="2">
      <c r="C60" s="53" t="inlineStr">
        <is>
          <t>Шашлов Евгений Сергеевич</t>
        </is>
      </c>
    </row>
    <row r="61" ht="15.75" customHeight="1" s="2"/>
    <row r="62" ht="15.75" customHeight="1" s="2">
      <c r="C62" s="259" t="inlineStr">
        <is>
          <t>Т11О-101М-20</t>
        </is>
      </c>
    </row>
    <row r="63" ht="15.75" customHeight="1" s="2">
      <c r="C63" s="53" t="inlineStr">
        <is>
          <t>Еремичев Алексей Андреевич</t>
        </is>
      </c>
    </row>
    <row r="64" ht="15.75" customHeight="1" s="2">
      <c r="C64" s="53" t="inlineStr">
        <is>
          <t>Мельникова Дарья Дмитриевна</t>
        </is>
      </c>
    </row>
    <row r="65" ht="15.75" customHeight="1" s="2">
      <c r="C65" s="53" t="inlineStr">
        <is>
          <t>Молочников Дмитрий Александрович</t>
        </is>
      </c>
    </row>
    <row r="66" ht="15.75" customHeight="1" s="2">
      <c r="C66" s="53" t="inlineStr">
        <is>
          <t>Пушкарева Анастасия Андреевна</t>
        </is>
      </c>
    </row>
    <row r="67" ht="15.75" customHeight="1" s="2">
      <c r="C67" s="53" t="inlineStr">
        <is>
          <t>Табунов Владимир Сергеевич</t>
        </is>
      </c>
    </row>
    <row r="68" ht="15.75" customHeight="1" s="2">
      <c r="C68" s="53" t="inlineStr">
        <is>
          <t>Харин Илья Станиславович</t>
        </is>
      </c>
    </row>
    <row r="69" ht="15.75" customHeight="1" s="2">
      <c r="C69" s="261" t="inlineStr">
        <is>
          <t>Гордеев</t>
        </is>
      </c>
    </row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5:M39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8" customWidth="1" style="2" min="1" max="4"/>
    <col width="39.7109375" customWidth="1" style="2" min="5" max="5"/>
    <col width="38.5703125" customWidth="1" style="2" min="6" max="6"/>
    <col width="8" customWidth="1" style="2" min="7" max="26"/>
  </cols>
  <sheetData>
    <row r="5">
      <c r="E5" s="262" t="n">
        <v>401</v>
      </c>
    </row>
    <row r="6">
      <c r="E6" s="263" t="inlineStr">
        <is>
          <t>1 Агеев Денис Вячеславович</t>
        </is>
      </c>
      <c r="F6" t="inlineStr">
        <is>
          <t>Агеев Денис Вячеславович</t>
        </is>
      </c>
    </row>
    <row r="7">
      <c r="E7" s="262" t="inlineStr">
        <is>
          <t>2 Янтурин Юлдаш Ильдарович</t>
        </is>
      </c>
      <c r="F7" t="inlineStr">
        <is>
          <t>Янтурин Юлдаш Ильдарович</t>
        </is>
      </c>
    </row>
    <row r="8">
      <c r="E8" s="262" t="inlineStr">
        <is>
          <t>3 Черный Николай</t>
        </is>
      </c>
      <c r="F8" t="inlineStr">
        <is>
          <t>Черный Николай</t>
        </is>
      </c>
    </row>
    <row r="9">
      <c r="E9" s="263" t="inlineStr">
        <is>
          <t>4 Черепанов Кирилл Романович</t>
        </is>
      </c>
      <c r="F9" t="inlineStr">
        <is>
          <t>Черепанов Кирилл Романович</t>
        </is>
      </c>
    </row>
    <row r="10">
      <c r="C10">
        <f>17*25</f>
        <v/>
      </c>
      <c r="E10" s="263" t="inlineStr">
        <is>
          <t>5 Степанов Константин Петрович</t>
        </is>
      </c>
      <c r="F10" t="inlineStr">
        <is>
          <t>Степанов Константин Петрович</t>
        </is>
      </c>
    </row>
    <row r="11">
      <c r="E11" s="262" t="inlineStr">
        <is>
          <t>6 Сафьянников Николай Владимирович</t>
        </is>
      </c>
      <c r="F11" t="inlineStr">
        <is>
          <t>Сафьянников Николай Владимирович</t>
        </is>
      </c>
    </row>
    <row r="12">
      <c r="E12" s="262" t="inlineStr">
        <is>
          <t>7 Пономарева Анастасия Леонидовна</t>
        </is>
      </c>
      <c r="F12" t="inlineStr">
        <is>
          <t>Пономарева Анастасия Леонидовна</t>
        </is>
      </c>
    </row>
    <row r="13">
      <c r="E13" s="262" t="inlineStr">
        <is>
          <t>8 Мазуров Кирилл Алексеевич</t>
        </is>
      </c>
      <c r="F13" t="inlineStr">
        <is>
          <t>Мазуров Кирилл Алексеевич</t>
        </is>
      </c>
    </row>
    <row r="14">
      <c r="E14" s="263" t="inlineStr">
        <is>
          <t>9 Егоров Даниэль Даниэльевич</t>
        </is>
      </c>
      <c r="F14" t="inlineStr">
        <is>
          <t>Егоров Даниэль Даниэльевич</t>
        </is>
      </c>
      <c r="M14" t="inlineStr">
        <is>
          <t>Бывшие порошки</t>
        </is>
      </c>
    </row>
    <row r="15">
      <c r="E15" s="263" t="inlineStr">
        <is>
          <t>10 Гришков Федор Сергеевич</t>
        </is>
      </c>
      <c r="F15" t="inlineStr">
        <is>
          <t>Гришков Федор Сергеевич</t>
        </is>
      </c>
      <c r="M15" s="262" t="inlineStr">
        <is>
          <t>1. Агеев</t>
        </is>
      </c>
    </row>
    <row r="16">
      <c r="E16" s="262" t="inlineStr">
        <is>
          <t>11 Газина Таисия Анатольевна</t>
        </is>
      </c>
      <c r="F16" t="inlineStr">
        <is>
          <t>Газина Таисия Анатольевна</t>
        </is>
      </c>
      <c r="M16" s="262" t="inlineStr">
        <is>
          <t>2. Арсёнов</t>
        </is>
      </c>
    </row>
    <row r="17">
      <c r="E17" s="262" t="inlineStr">
        <is>
          <t>12 Волков Владислав Вадимович</t>
        </is>
      </c>
      <c r="F17" t="inlineStr">
        <is>
          <t>Волков Владислав Вадимович</t>
        </is>
      </c>
      <c r="M17" s="262" t="inlineStr">
        <is>
          <t>3. Бавина</t>
        </is>
      </c>
    </row>
    <row r="18">
      <c r="E18" s="263" t="inlineStr">
        <is>
          <t>13 Буркин Вячеслав Витальевич</t>
        </is>
      </c>
      <c r="F18" t="inlineStr">
        <is>
          <t>Буркин Вячеслав Витальевич</t>
        </is>
      </c>
      <c r="M18" s="262" t="inlineStr">
        <is>
          <t>4. Берлов (ранее Якушев)</t>
        </is>
      </c>
    </row>
    <row r="19">
      <c r="E19" s="262" t="inlineStr">
        <is>
          <t>14 Богатов Артемий Андреевич</t>
        </is>
      </c>
      <c r="F19" t="inlineStr">
        <is>
          <t>Богатов Артемий Андреевич</t>
        </is>
      </c>
      <c r="M19" s="262" t="inlineStr">
        <is>
          <t>5. Буркин</t>
        </is>
      </c>
    </row>
    <row r="20">
      <c r="E20" s="263" t="inlineStr">
        <is>
          <t>15 Арсёнов Андрей Васильевич</t>
        </is>
      </c>
      <c r="F20" t="inlineStr">
        <is>
          <t>Арсёнов Андрей Васильевич</t>
        </is>
      </c>
      <c r="M20" s="262" t="inlineStr">
        <is>
          <t>6. Гришков</t>
        </is>
      </c>
    </row>
    <row r="21" ht="15.75" customHeight="1" s="2">
      <c r="E21" s="262" t="inlineStr">
        <is>
          <t>16 Акмаева Анна Юрьевна</t>
        </is>
      </c>
      <c r="F21" t="inlineStr">
        <is>
          <t>Акмаева Анна Юрьевна</t>
        </is>
      </c>
      <c r="M21" s="262" t="inlineStr">
        <is>
          <t>7. Егоров</t>
        </is>
      </c>
    </row>
    <row r="22" ht="15.75" customHeight="1" s="2">
      <c r="E22" s="262" t="inlineStr">
        <is>
          <t>17 Азев Антон Алексеевич</t>
        </is>
      </c>
      <c r="F22" t="inlineStr">
        <is>
          <t>Азев Антон Алексеевич</t>
        </is>
      </c>
      <c r="M22" s="262" t="inlineStr">
        <is>
          <t>8. Наумов</t>
        </is>
      </c>
    </row>
    <row r="23" ht="15.75" customHeight="1" s="2">
      <c r="M23" s="262" t="inlineStr">
        <is>
          <t>9. Николова</t>
        </is>
      </c>
    </row>
    <row r="24" ht="15.75" customHeight="1" s="2">
      <c r="M24" s="262" t="inlineStr">
        <is>
          <t>10. Петелин</t>
        </is>
      </c>
    </row>
    <row r="25" ht="15.75" customHeight="1" s="2">
      <c r="E25" s="262" t="n">
        <v>402</v>
      </c>
      <c r="M25" s="262" t="inlineStr">
        <is>
          <t>11. Санников</t>
        </is>
      </c>
    </row>
    <row r="26" ht="15.75" customHeight="1" s="2">
      <c r="E26" s="262" t="inlineStr">
        <is>
          <t>1 Алимбекова Гульжан Аденбековна</t>
        </is>
      </c>
      <c r="M26" s="262" t="inlineStr">
        <is>
          <t>12. Степанов</t>
        </is>
      </c>
    </row>
    <row r="27" ht="15.75" customHeight="1" s="2">
      <c r="E27" s="263" t="inlineStr">
        <is>
          <t>2 Бавина Марина Александровна</t>
        </is>
      </c>
      <c r="F27" t="inlineStr">
        <is>
          <t>Серов ММ</t>
        </is>
      </c>
      <c r="M27" s="262" t="inlineStr">
        <is>
          <t>13. Черепанов</t>
        </is>
      </c>
    </row>
    <row r="28" ht="15.75" customHeight="1" s="2">
      <c r="E28" s="263" t="inlineStr">
        <is>
          <t>3 Берлов (Якушов) Даниил Максимович</t>
        </is>
      </c>
    </row>
    <row r="29" ht="15.75" customHeight="1" s="2">
      <c r="E29" s="262" t="inlineStr">
        <is>
          <t>4 Веретка Никита Андреевич</t>
        </is>
      </c>
    </row>
    <row r="30" ht="15.75" customHeight="1" s="2">
      <c r="E30" s="262" t="inlineStr">
        <is>
          <t>5 Войтович Антон Сергеевич</t>
        </is>
      </c>
      <c r="F30" t="inlineStr">
        <is>
          <t>Варфоломеев МС</t>
        </is>
      </c>
    </row>
    <row r="31" ht="15.75" customHeight="1" s="2">
      <c r="E31" s="262" t="inlineStr">
        <is>
          <t>6 Жумагали Назым Арманкызы</t>
        </is>
      </c>
    </row>
    <row r="32" ht="15.75" customHeight="1" s="2">
      <c r="E32" s="262" t="inlineStr">
        <is>
          <t>7 Кабдыжалелов Алмаз Ермекович</t>
        </is>
      </c>
    </row>
    <row r="33" ht="15.75" customHeight="1" s="2">
      <c r="E33" s="262" t="inlineStr">
        <is>
          <t>8 Литовец Степан Андреевич</t>
        </is>
      </c>
    </row>
    <row r="34" ht="15.75" customHeight="1" s="2">
      <c r="E34" s="263" t="inlineStr">
        <is>
          <t>9 Наумов Никита Андреевич</t>
        </is>
      </c>
      <c r="F34" t="inlineStr">
        <is>
          <t>Серов ММ</t>
        </is>
      </c>
    </row>
    <row r="35" ht="15.75" customHeight="1" s="2">
      <c r="E35" s="263" t="inlineStr">
        <is>
          <t>10 Николова Полина Олеговна</t>
        </is>
      </c>
      <c r="F35" t="inlineStr">
        <is>
          <t>Серов ММ</t>
        </is>
      </c>
    </row>
    <row r="36" ht="15.75" customHeight="1" s="2">
      <c r="E36" s="262" t="inlineStr">
        <is>
          <t>11 Оленцов Илья Сергеевич</t>
        </is>
      </c>
    </row>
    <row r="37" ht="15.75" customHeight="1" s="2">
      <c r="E37" s="263" t="inlineStr">
        <is>
          <t>12 Петелин Даниил Германович</t>
        </is>
      </c>
    </row>
    <row r="38" ht="15.75" customHeight="1" s="2">
      <c r="E38" s="262" t="inlineStr">
        <is>
          <t>13 Пилипенко Анастасия Александровна</t>
        </is>
      </c>
      <c r="F38" t="inlineStr">
        <is>
          <t>Варфоломеев МС</t>
        </is>
      </c>
    </row>
    <row r="39" ht="15.75" customHeight="1" s="2">
      <c r="E39" s="263" t="inlineStr">
        <is>
          <t>14 Санников Илья Олегович</t>
        </is>
      </c>
    </row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1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40" customWidth="1" style="2" min="1" max="1"/>
    <col width="8" customWidth="1" style="2" min="2" max="6"/>
    <col width="7.5703125" customWidth="1" style="2" min="7" max="7"/>
    <col width="8" customWidth="1" style="2" min="8" max="8"/>
    <col width="7.28515625" customWidth="1" style="2" min="9" max="9"/>
    <col width="12.7109375" customWidth="1" style="2" min="10" max="10"/>
    <col width="8" customWidth="1" style="2" min="11" max="26"/>
  </cols>
  <sheetData>
    <row r="1">
      <c r="I1" s="202" t="inlineStr">
        <is>
          <t>ВЫДЕЛЕННОЕ КРАСНЫМ НЕ ПОДАВАТЬ!!!</t>
        </is>
      </c>
      <c r="J1" s="202" t="n"/>
      <c r="K1" s="202" t="n"/>
      <c r="L1" s="202" t="n"/>
    </row>
    <row r="3" ht="30" customHeight="1" s="2">
      <c r="A3" s="53" t="inlineStr">
        <is>
          <t>ФИО</t>
        </is>
      </c>
      <c r="B3" s="53" t="inlineStr">
        <is>
          <t>осень</t>
        </is>
      </c>
      <c r="C3" s="53" t="inlineStr">
        <is>
          <t>весна</t>
        </is>
      </c>
      <c r="D3" s="53" t="inlineStr">
        <is>
          <t>всего</t>
        </is>
      </c>
      <c r="E3" s="53" t="inlineStr">
        <is>
          <t>830</t>
        </is>
      </c>
      <c r="F3" s="204" t="inlineStr">
        <is>
          <t>сл на 22</t>
        </is>
      </c>
      <c r="G3" s="205" t="inlineStr">
        <is>
          <t>пч</t>
        </is>
      </c>
      <c r="H3" s="205" t="inlineStr">
        <is>
          <t>%пч</t>
        </is>
      </c>
      <c r="I3" s="205" t="inlineStr">
        <is>
          <t>мес</t>
        </is>
      </c>
      <c r="J3" s="205" t="inlineStr">
        <is>
          <t>должность</t>
        </is>
      </c>
      <c r="K3" s="209" t="inlineStr">
        <is>
          <t>сентябрь</t>
        </is>
      </c>
      <c r="L3" s="209" t="inlineStr">
        <is>
          <t>октябрь</t>
        </is>
      </c>
      <c r="M3" s="209" t="inlineStr">
        <is>
          <t>ноябрь</t>
        </is>
      </c>
      <c r="N3" s="209" t="inlineStr">
        <is>
          <t>декабрь</t>
        </is>
      </c>
      <c r="O3" s="209" t="inlineStr">
        <is>
          <t>январь</t>
        </is>
      </c>
      <c r="P3" s="209" t="inlineStr">
        <is>
          <t>февраль</t>
        </is>
      </c>
      <c r="Q3" s="209" t="inlineStr">
        <is>
          <t>март</t>
        </is>
      </c>
      <c r="R3" s="209" t="inlineStr">
        <is>
          <t>апрель</t>
        </is>
      </c>
      <c r="S3" s="209" t="inlineStr">
        <is>
          <t>май</t>
        </is>
      </c>
      <c r="T3" s="209" t="inlineStr">
        <is>
          <t>июнь</t>
        </is>
      </c>
    </row>
    <row r="4">
      <c r="A4" s="53" t="inlineStr">
        <is>
          <t xml:space="preserve">Александрова Светлана Сергеевна </t>
        </is>
      </c>
      <c r="B4" s="53" t="n">
        <v>327</v>
      </c>
      <c r="C4" s="53" t="n">
        <v>112</v>
      </c>
      <c r="D4" s="53" t="n">
        <v>425</v>
      </c>
      <c r="E4" s="264" t="n">
        <v>0.5120481927710844</v>
      </c>
      <c r="F4" s="265" t="n">
        <v>0.6</v>
      </c>
      <c r="G4" s="53">
        <f>D4-F4*$E$3</f>
        <v/>
      </c>
      <c r="H4" s="211">
        <f>G4/D4</f>
        <v/>
      </c>
      <c r="I4" s="53">
        <f>G4/10</f>
        <v/>
      </c>
      <c r="J4" s="214" t="inlineStr">
        <is>
          <t>доцент</t>
        </is>
      </c>
      <c r="K4" s="215" t="n">
        <v>12</v>
      </c>
      <c r="L4" s="215" t="n">
        <v>0</v>
      </c>
      <c r="M4" s="43" t="n"/>
      <c r="N4" s="53" t="n"/>
      <c r="O4" s="53" t="n"/>
      <c r="P4" s="53" t="n"/>
      <c r="Q4" s="53" t="n"/>
      <c r="R4" s="53" t="n"/>
      <c r="S4" s="53" t="n"/>
      <c r="T4" s="53" t="n"/>
      <c r="U4" s="216">
        <f>SUM(K4:T4)</f>
        <v/>
      </c>
    </row>
    <row r="5">
      <c r="A5" s="53" t="inlineStr">
        <is>
          <t xml:space="preserve">Баберцян Сергей Арамович </t>
        </is>
      </c>
      <c r="B5" s="53" t="n">
        <v>98</v>
      </c>
      <c r="C5" s="53" t="n">
        <v>431</v>
      </c>
      <c r="D5" s="53" t="n">
        <v>529</v>
      </c>
      <c r="E5" s="264" t="n">
        <v>0.6373493975903615</v>
      </c>
      <c r="F5" s="266" t="n">
        <v>0.5</v>
      </c>
      <c r="G5" s="53">
        <f>D5-F5*$E$3</f>
        <v/>
      </c>
      <c r="H5" s="211">
        <f>G5/D5</f>
        <v/>
      </c>
      <c r="I5" s="53">
        <f>G5/10</f>
        <v/>
      </c>
      <c r="J5" s="214" t="inlineStr">
        <is>
          <t>ст</t>
        </is>
      </c>
      <c r="K5" s="215" t="n">
        <v>10</v>
      </c>
      <c r="L5" s="215" t="n">
        <v>10</v>
      </c>
      <c r="M5" s="43" t="n">
        <v>10</v>
      </c>
      <c r="N5" s="53" t="n">
        <v>10</v>
      </c>
      <c r="O5" s="53" t="n">
        <v>10</v>
      </c>
      <c r="P5" s="53" t="n">
        <v>10</v>
      </c>
      <c r="Q5" s="53" t="n">
        <v>10</v>
      </c>
      <c r="R5" s="53" t="n">
        <v>10</v>
      </c>
      <c r="S5" s="53" t="n">
        <v>10</v>
      </c>
      <c r="T5" s="53" t="n">
        <v>10</v>
      </c>
      <c r="U5" s="216">
        <f>SUM(K5:T5)</f>
        <v/>
      </c>
      <c r="V5">
        <f>U5-G5</f>
        <v/>
      </c>
    </row>
    <row r="6">
      <c r="A6" s="53" t="inlineStr">
        <is>
          <t xml:space="preserve">Банишев Александр Федорович </t>
        </is>
      </c>
      <c r="B6" s="53" t="n">
        <v>166</v>
      </c>
      <c r="C6" s="53" t="n">
        <v>112</v>
      </c>
      <c r="D6" s="53" t="n">
        <v>278</v>
      </c>
      <c r="E6" s="264" t="n">
        <v>0.3349397590361446</v>
      </c>
      <c r="F6" s="266" t="n">
        <v>0.2</v>
      </c>
      <c r="G6" s="53">
        <f>D6-F6*$E$3</f>
        <v/>
      </c>
      <c r="H6" s="211">
        <f>G6/D6</f>
        <v/>
      </c>
      <c r="I6" s="53">
        <f>G6/10</f>
        <v/>
      </c>
      <c r="J6" s="214" t="inlineStr">
        <is>
          <t>профессор</t>
        </is>
      </c>
      <c r="K6" s="215" t="n">
        <v>8</v>
      </c>
      <c r="L6" s="215" t="n">
        <v>8</v>
      </c>
      <c r="M6" s="43" t="n">
        <v>8</v>
      </c>
      <c r="N6" s="53" t="n">
        <v>8</v>
      </c>
      <c r="O6" s="53" t="n">
        <v>8</v>
      </c>
      <c r="P6" s="53" t="n">
        <v>8</v>
      </c>
      <c r="Q6" s="53" t="n">
        <v>8</v>
      </c>
      <c r="R6" s="53" t="n">
        <v>8</v>
      </c>
      <c r="S6" s="53" t="n">
        <v>8</v>
      </c>
      <c r="T6" s="53" t="n">
        <v>8</v>
      </c>
      <c r="U6" s="216">
        <f>SUM(K6:T6)</f>
        <v/>
      </c>
      <c r="V6">
        <f>U6-G6</f>
        <v/>
      </c>
    </row>
    <row r="7">
      <c r="A7" s="53" t="inlineStr">
        <is>
          <t xml:space="preserve">Барабанова Ольга Алексеевна </t>
        </is>
      </c>
      <c r="B7" s="53" t="n">
        <v>171</v>
      </c>
      <c r="C7" s="53" t="n">
        <v>462</v>
      </c>
      <c r="D7" s="53" t="n">
        <v>633</v>
      </c>
      <c r="E7" s="264" t="n">
        <v>0.7626506024096386</v>
      </c>
      <c r="F7" s="266" t="n">
        <v>0.6</v>
      </c>
      <c r="G7" s="53">
        <f>D7-F7*$E$3</f>
        <v/>
      </c>
      <c r="H7" s="211">
        <f>G7/D7</f>
        <v/>
      </c>
      <c r="I7" s="53">
        <f>G7/10</f>
        <v/>
      </c>
      <c r="J7" s="214" t="inlineStr">
        <is>
          <t>профессор</t>
        </is>
      </c>
      <c r="K7" s="215" t="n">
        <v>10</v>
      </c>
      <c r="L7" s="215" t="n">
        <v>10</v>
      </c>
      <c r="M7" s="43" t="n">
        <v>12</v>
      </c>
      <c r="N7" s="53" t="n">
        <v>12</v>
      </c>
      <c r="O7" s="53" t="n">
        <v>12</v>
      </c>
      <c r="P7" s="53" t="n">
        <v>12</v>
      </c>
      <c r="Q7" s="53" t="n">
        <v>12</v>
      </c>
      <c r="R7" s="53" t="n">
        <v>12</v>
      </c>
      <c r="S7" s="53" t="n">
        <v>12</v>
      </c>
      <c r="T7" s="53" t="n">
        <v>12</v>
      </c>
      <c r="U7" s="216">
        <f>SUM(K7:T7)</f>
        <v/>
      </c>
      <c r="V7">
        <f>U7-G7</f>
        <v/>
      </c>
    </row>
    <row r="8">
      <c r="A8" s="53" t="inlineStr">
        <is>
          <t xml:space="preserve">Батиенков Роман Викторович </t>
        </is>
      </c>
      <c r="B8" s="53" t="n">
        <v>78</v>
      </c>
      <c r="C8" s="53" t="n">
        <v>44</v>
      </c>
      <c r="D8" s="53" t="n">
        <v>122</v>
      </c>
      <c r="E8" s="264" t="n">
        <v>0.1469879518072289</v>
      </c>
      <c r="F8" s="266" t="n">
        <v>0.1</v>
      </c>
      <c r="G8" s="53">
        <f>D8-F8*$E$3</f>
        <v/>
      </c>
      <c r="H8" s="211">
        <f>G8/D8</f>
        <v/>
      </c>
      <c r="I8" s="53">
        <f>G8/10</f>
        <v/>
      </c>
      <c r="J8" s="214" t="inlineStr">
        <is>
          <t>ст</t>
        </is>
      </c>
      <c r="K8" s="215" t="n">
        <v>2</v>
      </c>
      <c r="L8" s="215" t="n">
        <v>2</v>
      </c>
      <c r="M8" s="43" t="n">
        <v>6</v>
      </c>
      <c r="N8" s="53" t="n">
        <v>4</v>
      </c>
      <c r="O8" s="53" t="n">
        <v>4</v>
      </c>
      <c r="P8" s="53" t="n">
        <v>4</v>
      </c>
      <c r="Q8" s="53" t="n">
        <v>4</v>
      </c>
      <c r="R8" s="53" t="n">
        <v>4</v>
      </c>
      <c r="S8" s="53" t="n">
        <v>4</v>
      </c>
      <c r="T8" s="53" t="n">
        <v>4</v>
      </c>
      <c r="U8" s="216">
        <f>SUM(K8:T8)</f>
        <v/>
      </c>
      <c r="V8">
        <f>U8-G8</f>
        <v/>
      </c>
    </row>
    <row r="9">
      <c r="A9" s="53" t="inlineStr">
        <is>
          <t>Бережной Дмитрий Васильевич</t>
        </is>
      </c>
      <c r="B9" s="53" t="n">
        <v>260</v>
      </c>
      <c r="C9" s="53" t="n">
        <v>458</v>
      </c>
      <c r="D9" s="53" t="n">
        <v>718</v>
      </c>
      <c r="E9" s="264" t="n">
        <v>0.8650602409638555</v>
      </c>
      <c r="F9" s="266" t="n">
        <v>0.9</v>
      </c>
      <c r="G9" s="53">
        <f>D9-F9*$E$3</f>
        <v/>
      </c>
      <c r="H9" s="211">
        <f>G9/D9</f>
        <v/>
      </c>
      <c r="I9" s="53">
        <f>G9/10</f>
        <v/>
      </c>
      <c r="J9" s="214" t="inlineStr">
        <is>
          <t>доцент</t>
        </is>
      </c>
      <c r="K9" s="215" t="n">
        <v>4</v>
      </c>
      <c r="L9" s="215" t="n">
        <v>4</v>
      </c>
      <c r="M9" s="43" t="n"/>
      <c r="N9" s="53" t="n"/>
      <c r="O9" s="53" t="n"/>
      <c r="P9" s="53" t="n"/>
      <c r="Q9" s="53" t="n"/>
      <c r="R9" s="53" t="n"/>
      <c r="S9" s="53" t="n"/>
      <c r="T9" s="53" t="n"/>
      <c r="U9" s="216">
        <f>SUM(K9:T9)</f>
        <v/>
      </c>
    </row>
    <row r="10">
      <c r="A10" s="53" t="inlineStr">
        <is>
          <t xml:space="preserve">Беспалов Александр Владимирович </t>
        </is>
      </c>
      <c r="B10" s="53" t="n">
        <v>28.75</v>
      </c>
      <c r="C10" s="53" t="n">
        <v>148.75</v>
      </c>
      <c r="D10" s="53" t="n">
        <v>177.5</v>
      </c>
      <c r="E10" s="264" t="n">
        <v>0.213855421686747</v>
      </c>
      <c r="F10" s="266" t="n">
        <v>0.2</v>
      </c>
      <c r="G10" s="53">
        <f>D10-F10*$E$3</f>
        <v/>
      </c>
      <c r="H10" s="211">
        <f>G10/D10</f>
        <v/>
      </c>
      <c r="I10" s="53">
        <f>G10/10</f>
        <v/>
      </c>
      <c r="J10" s="214" t="inlineStr">
        <is>
          <t>доцент</t>
        </is>
      </c>
      <c r="K10" s="215" t="n">
        <v>4</v>
      </c>
      <c r="L10" s="215" t="n">
        <v>4</v>
      </c>
      <c r="M10" s="43" t="n">
        <v>0</v>
      </c>
      <c r="N10" s="53" t="n">
        <v>0</v>
      </c>
      <c r="O10" s="53" t="n"/>
      <c r="P10" s="53" t="n"/>
      <c r="Q10" s="53" t="n"/>
      <c r="R10" s="53" t="n"/>
      <c r="S10" s="53" t="n"/>
      <c r="T10" s="53" t="n"/>
      <c r="U10" s="216">
        <f>SUM(K10:T10)</f>
        <v/>
      </c>
      <c r="V10">
        <f>U10-G10</f>
        <v/>
      </c>
    </row>
    <row r="11">
      <c r="A11" s="53" t="inlineStr">
        <is>
          <t xml:space="preserve">Бобрышев Борис Леонидович </t>
        </is>
      </c>
      <c r="B11" s="53" t="n">
        <v>424</v>
      </c>
      <c r="C11" s="53" t="n">
        <v>131</v>
      </c>
      <c r="D11" s="53" t="n">
        <v>555</v>
      </c>
      <c r="E11" s="264" t="n">
        <v>0.6686746987951807</v>
      </c>
      <c r="F11" s="266" t="n">
        <v>0.4</v>
      </c>
      <c r="G11" s="53">
        <f>D11-F11*$E$3</f>
        <v/>
      </c>
      <c r="H11" s="211">
        <f>G11/D11</f>
        <v/>
      </c>
      <c r="I11" s="53">
        <f>G11/10</f>
        <v/>
      </c>
      <c r="J11" s="214" t="inlineStr">
        <is>
          <t>доцент</t>
        </is>
      </c>
      <c r="K11" s="215" t="n">
        <v>6</v>
      </c>
      <c r="L11" s="215" t="n">
        <v>6</v>
      </c>
      <c r="M11" s="43" t="n">
        <v>26</v>
      </c>
      <c r="N11" s="53" t="n">
        <v>26</v>
      </c>
      <c r="O11" s="53" t="n">
        <v>28</v>
      </c>
      <c r="P11" s="53" t="n">
        <v>26</v>
      </c>
      <c r="Q11" s="53" t="n">
        <v>26</v>
      </c>
      <c r="R11" s="53" t="n">
        <v>26</v>
      </c>
      <c r="S11" s="53" t="n">
        <v>26</v>
      </c>
      <c r="T11" s="53" t="n">
        <v>26</v>
      </c>
      <c r="U11" s="216">
        <f>SUM(K11:T11)</f>
        <v/>
      </c>
      <c r="V11">
        <f>U11-G11</f>
        <v/>
      </c>
    </row>
    <row r="12">
      <c r="A12" s="53" t="inlineStr">
        <is>
          <t xml:space="preserve">Варфоломеев Максим Сергеевич </t>
        </is>
      </c>
      <c r="B12" s="53" t="n">
        <v>377</v>
      </c>
      <c r="C12" s="53" t="n">
        <v>520</v>
      </c>
      <c r="D12" s="53" t="n">
        <v>897</v>
      </c>
      <c r="E12" s="264" t="n">
        <v>1.080722891566265</v>
      </c>
      <c r="F12" s="265" t="n">
        <v>0.9</v>
      </c>
      <c r="G12" s="53">
        <f>D12-F12*$E$3</f>
        <v/>
      </c>
      <c r="H12" s="211">
        <f>G12/D12</f>
        <v/>
      </c>
      <c r="I12" s="53">
        <f>G12/10</f>
        <v/>
      </c>
      <c r="J12" s="214" t="inlineStr">
        <is>
          <t>доцент</t>
        </is>
      </c>
      <c r="K12" s="215" t="n">
        <v>20</v>
      </c>
      <c r="L12" s="267" t="n">
        <v>14</v>
      </c>
      <c r="M12" s="43" t="n">
        <v>16</v>
      </c>
      <c r="N12" s="53" t="n">
        <v>16</v>
      </c>
      <c r="O12" s="53" t="n">
        <v>16</v>
      </c>
      <c r="P12" s="53" t="n">
        <v>16</v>
      </c>
      <c r="Q12" s="53" t="n">
        <v>16</v>
      </c>
      <c r="R12" s="53" t="n">
        <v>14</v>
      </c>
      <c r="S12" s="53" t="n">
        <v>8</v>
      </c>
      <c r="T12" s="53" t="n">
        <v>8</v>
      </c>
      <c r="U12" s="216">
        <f>SUM(K12:T12)</f>
        <v/>
      </c>
      <c r="V12">
        <f>U12-G12</f>
        <v/>
      </c>
    </row>
    <row r="13">
      <c r="A13" s="53" t="inlineStr">
        <is>
          <t>Власенко Артём Николаевич</t>
        </is>
      </c>
      <c r="B13" s="53" t="n">
        <v>131</v>
      </c>
      <c r="C13" s="53" t="n">
        <v>366</v>
      </c>
      <c r="D13" s="53" t="n">
        <v>497</v>
      </c>
      <c r="E13" s="264" t="n">
        <v>0.5987951807228916</v>
      </c>
      <c r="F13" s="268" t="n">
        <v>0.5</v>
      </c>
      <c r="G13" s="53">
        <f>D13-F13*$E$3</f>
        <v/>
      </c>
      <c r="H13" s="211">
        <f>G13/D13</f>
        <v/>
      </c>
      <c r="I13" s="53">
        <f>G13/10</f>
        <v/>
      </c>
      <c r="J13" s="214" t="inlineStr">
        <is>
          <t>ст</t>
        </is>
      </c>
      <c r="K13" s="215" t="n">
        <v>10</v>
      </c>
      <c r="L13" s="267" t="n">
        <v>8</v>
      </c>
      <c r="M13" s="43" t="n">
        <v>8</v>
      </c>
      <c r="N13" s="53" t="n">
        <v>8</v>
      </c>
      <c r="O13" s="53" t="n">
        <v>8</v>
      </c>
      <c r="P13" s="53" t="n">
        <v>8</v>
      </c>
      <c r="Q13" s="53" t="n">
        <v>8</v>
      </c>
      <c r="R13" s="53" t="n">
        <v>8</v>
      </c>
      <c r="S13" s="53" t="n">
        <v>8</v>
      </c>
      <c r="T13" s="53" t="n">
        <v>6</v>
      </c>
      <c r="U13" s="216">
        <f>SUM(K13:T13)</f>
        <v/>
      </c>
      <c r="V13">
        <f>U13-G13</f>
        <v/>
      </c>
    </row>
    <row r="14">
      <c r="A14" s="53" t="inlineStr">
        <is>
          <t xml:space="preserve">Галкин Виктор Иванович </t>
        </is>
      </c>
      <c r="B14" s="53" t="n">
        <v>442.75</v>
      </c>
      <c r="C14" s="53" t="n">
        <v>534.75</v>
      </c>
      <c r="D14" s="53" t="n">
        <v>977.5</v>
      </c>
      <c r="E14" s="264" t="n">
        <v>1.177710843373494</v>
      </c>
      <c r="F14" s="265" t="n">
        <v>1</v>
      </c>
      <c r="G14" s="53">
        <f>D14-F14*$E$3</f>
        <v/>
      </c>
      <c r="H14" s="211">
        <f>G14/D14</f>
        <v/>
      </c>
      <c r="I14" s="53">
        <f>G14/10</f>
        <v/>
      </c>
      <c r="J14" s="214" t="inlineStr">
        <is>
          <t>профессор</t>
        </is>
      </c>
      <c r="K14" s="215" t="n">
        <v>24</v>
      </c>
      <c r="L14" s="215" t="n">
        <v>24</v>
      </c>
      <c r="M14" s="43" t="n">
        <v>14</v>
      </c>
      <c r="N14" s="53" t="n">
        <v>12</v>
      </c>
      <c r="O14" s="53" t="n">
        <v>14</v>
      </c>
      <c r="P14" s="53" t="n">
        <v>12</v>
      </c>
      <c r="Q14" s="53" t="n">
        <v>12</v>
      </c>
      <c r="R14" s="53" t="n">
        <v>12</v>
      </c>
      <c r="S14" s="53" t="n">
        <v>12</v>
      </c>
      <c r="T14" s="53" t="n">
        <v>12</v>
      </c>
      <c r="U14" s="216">
        <f>SUM(K14:T14)</f>
        <v/>
      </c>
      <c r="V14">
        <f>U14-G14</f>
        <v/>
      </c>
    </row>
    <row r="15">
      <c r="A15" s="53" t="inlineStr">
        <is>
          <t xml:space="preserve">Галкин Евгений Владимирович </t>
        </is>
      </c>
      <c r="B15" s="53" t="n">
        <v>479.25</v>
      </c>
      <c r="C15" s="247" t="n">
        <v>368.25</v>
      </c>
      <c r="D15" s="53" t="n">
        <v>847.5</v>
      </c>
      <c r="E15" s="264" t="n">
        <v>1.021084337349398</v>
      </c>
      <c r="F15" s="266" t="n">
        <v>0.9</v>
      </c>
      <c r="G15" s="53">
        <f>D15-F15*$E$3</f>
        <v/>
      </c>
      <c r="H15" s="211">
        <f>G15/D15</f>
        <v/>
      </c>
      <c r="I15" s="53">
        <f>G15/10</f>
        <v/>
      </c>
      <c r="J15" s="214" t="inlineStr">
        <is>
          <t>доцент</t>
        </is>
      </c>
      <c r="K15" s="215" t="n">
        <v>14</v>
      </c>
      <c r="L15" s="267" t="n">
        <v>12</v>
      </c>
      <c r="M15" s="43" t="n">
        <v>10</v>
      </c>
      <c r="N15" s="53" t="n">
        <v>10</v>
      </c>
      <c r="O15" s="53" t="n">
        <v>8</v>
      </c>
      <c r="P15" s="53" t="n">
        <v>12</v>
      </c>
      <c r="Q15" s="53" t="n">
        <v>8</v>
      </c>
      <c r="R15" s="53" t="n">
        <v>8</v>
      </c>
      <c r="S15" s="53" t="n">
        <v>8</v>
      </c>
      <c r="T15" s="53" t="n">
        <v>8</v>
      </c>
      <c r="U15" s="216">
        <f>SUM(K15:T15)</f>
        <v/>
      </c>
      <c r="V15">
        <f>U15-G15</f>
        <v/>
      </c>
    </row>
    <row r="16">
      <c r="A16" s="53" t="inlineStr">
        <is>
          <t>Еремеев Владимир Викторович</t>
        </is>
      </c>
      <c r="B16" s="53" t="n">
        <v>28.75</v>
      </c>
      <c r="C16" s="53" t="n">
        <v>86.75</v>
      </c>
      <c r="D16" s="53" t="n">
        <v>115.5</v>
      </c>
      <c r="E16" s="264" t="n">
        <v>0.1391566265060241</v>
      </c>
      <c r="F16" s="266" t="n">
        <v>0.1</v>
      </c>
      <c r="G16" s="53">
        <f>D16-F16*$E$3</f>
        <v/>
      </c>
      <c r="H16" s="211">
        <f>G16/D16</f>
        <v/>
      </c>
      <c r="I16" s="53">
        <f>G16/10</f>
        <v/>
      </c>
      <c r="J16" s="214" t="inlineStr">
        <is>
          <t>доцент</t>
        </is>
      </c>
      <c r="K16" s="215" t="n">
        <v>4</v>
      </c>
      <c r="L16" s="269" t="n">
        <v>0</v>
      </c>
      <c r="M16" s="43" t="n">
        <v>2</v>
      </c>
      <c r="N16" s="53" t="n">
        <v>2</v>
      </c>
      <c r="O16" s="53" t="n">
        <v>2</v>
      </c>
      <c r="P16" s="53" t="n">
        <v>2</v>
      </c>
      <c r="Q16" s="53" t="n">
        <v>2</v>
      </c>
      <c r="R16" s="53" t="n">
        <v>2</v>
      </c>
      <c r="S16" s="53" t="n">
        <v>2</v>
      </c>
      <c r="T16" s="53" t="n">
        <v>2</v>
      </c>
      <c r="U16" s="216">
        <f>SUM(K16:T16)</f>
        <v/>
      </c>
      <c r="V16">
        <f>U16-G16</f>
        <v/>
      </c>
    </row>
    <row r="17">
      <c r="A17" s="53" t="inlineStr">
        <is>
          <t xml:space="preserve">Еремеев Николай Владимирович </t>
        </is>
      </c>
      <c r="B17" s="53" t="n">
        <v>85</v>
      </c>
      <c r="C17" s="53" t="n">
        <v>215</v>
      </c>
      <c r="D17" s="53" t="n">
        <v>300</v>
      </c>
      <c r="E17" s="264" t="n">
        <v>0.3614457831325301</v>
      </c>
      <c r="F17" s="266" t="n">
        <v>0.25</v>
      </c>
      <c r="G17" s="53">
        <f>D17-F17*$E$3</f>
        <v/>
      </c>
      <c r="H17" s="211">
        <f>G17/D17</f>
        <v/>
      </c>
      <c r="I17" s="53">
        <f>G17/10</f>
        <v/>
      </c>
      <c r="J17" s="214" t="inlineStr">
        <is>
          <t>доцент</t>
        </is>
      </c>
      <c r="K17" s="215" t="n">
        <v>8</v>
      </c>
      <c r="L17" s="267" t="n">
        <v>6</v>
      </c>
      <c r="M17" s="43" t="n">
        <v>10</v>
      </c>
      <c r="N17" s="53" t="n">
        <v>14</v>
      </c>
      <c r="O17" s="53" t="n">
        <v>10</v>
      </c>
      <c r="P17" s="53" t="n">
        <v>10</v>
      </c>
      <c r="Q17" s="53" t="n">
        <v>10</v>
      </c>
      <c r="R17" s="53" t="n">
        <v>10</v>
      </c>
      <c r="S17" s="53" t="n">
        <v>10</v>
      </c>
      <c r="T17" s="53" t="n">
        <v>10</v>
      </c>
      <c r="U17" s="216">
        <f>SUM(K17:T17)</f>
        <v/>
      </c>
      <c r="V17">
        <f>U17-G17</f>
        <v/>
      </c>
    </row>
    <row r="18">
      <c r="A18" s="53" t="inlineStr">
        <is>
          <t xml:space="preserve">Жаров Максим Владимирович </t>
        </is>
      </c>
      <c r="B18" s="53" t="n">
        <v>502.75</v>
      </c>
      <c r="C18" s="53" t="n">
        <v>253.75</v>
      </c>
      <c r="D18" s="53" t="n">
        <v>756.5</v>
      </c>
      <c r="E18" s="264" t="n">
        <v>0.9114457831325301</v>
      </c>
      <c r="F18" s="266" t="n">
        <v>0.9</v>
      </c>
      <c r="G18" s="53">
        <f>D18-F18*$E$3</f>
        <v/>
      </c>
      <c r="H18" s="211">
        <f>G18/D18</f>
        <v/>
      </c>
      <c r="I18" s="53">
        <f>G18/10</f>
        <v/>
      </c>
      <c r="J18" s="214" t="inlineStr">
        <is>
          <t>доцент</t>
        </is>
      </c>
      <c r="K18" s="215" t="n">
        <v>0</v>
      </c>
      <c r="L18" s="215" t="n">
        <v>0</v>
      </c>
      <c r="M18" s="43" t="n"/>
      <c r="N18" s="53" t="n"/>
      <c r="O18" s="53" t="n"/>
      <c r="P18" s="53" t="n"/>
      <c r="Q18" s="53" t="n"/>
      <c r="R18" s="53" t="n"/>
      <c r="S18" s="53" t="n"/>
      <c r="T18" s="53" t="n"/>
      <c r="U18" s="216">
        <f>SUM(K18:T18)</f>
        <v/>
      </c>
      <c r="V18">
        <f>U18-G18</f>
        <v/>
      </c>
    </row>
    <row r="19">
      <c r="A19" s="53" t="inlineStr">
        <is>
          <t xml:space="preserve">Комаров Роман Сергеевич </t>
        </is>
      </c>
      <c r="B19" s="53" t="n">
        <v>38</v>
      </c>
      <c r="C19" s="53" t="n">
        <v>55</v>
      </c>
      <c r="D19" s="53" t="n">
        <v>93</v>
      </c>
      <c r="E19" s="264" t="n">
        <v>0.1120481927710843</v>
      </c>
      <c r="F19" s="266" t="n">
        <v>0.1</v>
      </c>
      <c r="G19" s="53">
        <f>D19-F19*$E$3</f>
        <v/>
      </c>
      <c r="H19" s="211">
        <f>G19/D19</f>
        <v/>
      </c>
      <c r="I19" s="53">
        <f>G19/10</f>
        <v/>
      </c>
      <c r="J19" s="214" t="inlineStr">
        <is>
          <t>ассисиент</t>
        </is>
      </c>
      <c r="K19" s="215" t="n"/>
      <c r="L19" s="215" t="n"/>
      <c r="M19" s="43" t="n"/>
      <c r="N19" s="53" t="n"/>
      <c r="O19" s="53" t="n"/>
      <c r="P19" s="53" t="n"/>
      <c r="Q19" s="53" t="n"/>
      <c r="R19" s="53" t="n"/>
      <c r="S19" s="53" t="n"/>
      <c r="T19" s="53" t="n"/>
      <c r="U19" s="216">
        <f>SUM(K19:T19)</f>
        <v/>
      </c>
      <c r="V19">
        <f>U19-G19</f>
        <v/>
      </c>
    </row>
    <row r="20">
      <c r="A20" s="53" t="inlineStr">
        <is>
          <t xml:space="preserve">Конкевич Валентин Юрьевич </t>
        </is>
      </c>
      <c r="B20" s="53" t="n">
        <v>256</v>
      </c>
      <c r="C20" s="53" t="n">
        <v>346</v>
      </c>
      <c r="D20" s="53" t="n">
        <v>602</v>
      </c>
      <c r="E20" s="264" t="n">
        <v>0.7253012048192771</v>
      </c>
      <c r="F20" s="266" t="n">
        <v>0.6</v>
      </c>
      <c r="G20" s="53">
        <f>D20-F20*$E$3</f>
        <v/>
      </c>
      <c r="H20" s="211">
        <f>G20/D20</f>
        <v/>
      </c>
      <c r="I20" s="53">
        <f>G20/10</f>
        <v/>
      </c>
      <c r="J20" s="214" t="inlineStr">
        <is>
          <t>профессор</t>
        </is>
      </c>
      <c r="K20" s="215" t="n">
        <v>10</v>
      </c>
      <c r="L20" s="215" t="n">
        <v>10</v>
      </c>
      <c r="M20" s="43" t="n">
        <v>10</v>
      </c>
      <c r="N20" s="53" t="n">
        <v>10</v>
      </c>
      <c r="O20" s="53" t="n">
        <v>12</v>
      </c>
      <c r="P20" s="53" t="n">
        <v>12</v>
      </c>
      <c r="Q20" s="53" t="n">
        <v>10</v>
      </c>
      <c r="R20" s="53" t="n">
        <v>10</v>
      </c>
      <c r="S20" s="53" t="n">
        <v>10</v>
      </c>
      <c r="T20" s="53" t="n">
        <v>10</v>
      </c>
      <c r="U20" s="216">
        <f>SUM(K20:T20)</f>
        <v/>
      </c>
      <c r="V20">
        <f>U20-G20</f>
        <v/>
      </c>
    </row>
    <row r="21" ht="15.75" customHeight="1" s="2">
      <c r="A21" s="53" t="inlineStr">
        <is>
          <t>Кубатина Екатерина Павловна</t>
        </is>
      </c>
      <c r="B21" s="53" t="n">
        <v>48</v>
      </c>
      <c r="C21" s="53" t="n">
        <v>79</v>
      </c>
      <c r="D21" s="53" t="n">
        <v>127</v>
      </c>
      <c r="E21" s="264" t="n">
        <v>0.1530120481927711</v>
      </c>
      <c r="F21" s="265" t="n">
        <v>0.25</v>
      </c>
      <c r="G21" s="53">
        <f>D21-F21*$E$3</f>
        <v/>
      </c>
      <c r="H21" s="211">
        <f>G21/D21</f>
        <v/>
      </c>
      <c r="I21" s="53">
        <f>G21/10</f>
        <v/>
      </c>
      <c r="J21" s="270" t="inlineStr">
        <is>
          <t>ассисиент</t>
        </is>
      </c>
      <c r="K21" s="215" t="n">
        <v>0</v>
      </c>
      <c r="L21" s="215" t="n">
        <v>0</v>
      </c>
      <c r="M21" s="43" t="n"/>
      <c r="N21" s="53" t="n"/>
      <c r="O21" s="53" t="n"/>
      <c r="P21" s="53" t="n"/>
      <c r="Q21" s="53" t="n"/>
      <c r="R21" s="53" t="n"/>
      <c r="S21" s="53" t="n"/>
      <c r="T21" s="53" t="n"/>
      <c r="U21" s="216">
        <f>SUM(K21:T21)</f>
        <v/>
      </c>
    </row>
    <row r="22" ht="15.75" customHeight="1" s="2">
      <c r="A22" s="53" t="inlineStr">
        <is>
          <t xml:space="preserve">Ленковец Александр Сергеевич </t>
        </is>
      </c>
      <c r="B22" s="53" t="n">
        <v>49</v>
      </c>
      <c r="C22" s="53" t="n">
        <v>26</v>
      </c>
      <c r="D22" s="53" t="n">
        <v>75</v>
      </c>
      <c r="E22" s="264" t="n">
        <v>0.09036144578313253</v>
      </c>
      <c r="F22" s="266" t="n">
        <v>0.1</v>
      </c>
      <c r="G22" s="53">
        <f>D22-F22*$E$3</f>
        <v/>
      </c>
      <c r="H22" s="211">
        <f>G22/D22</f>
        <v/>
      </c>
      <c r="I22" s="53">
        <f>G22/10</f>
        <v/>
      </c>
      <c r="J22" s="214" t="inlineStr">
        <is>
          <t>ст</t>
        </is>
      </c>
      <c r="K22" s="215" t="n">
        <v>2</v>
      </c>
      <c r="L22" s="215" t="n">
        <v>2</v>
      </c>
      <c r="M22" s="43" t="n"/>
      <c r="N22" s="53" t="n"/>
      <c r="O22" s="53" t="n"/>
      <c r="P22" s="53" t="n"/>
      <c r="Q22" s="53" t="n"/>
      <c r="R22" s="53" t="n"/>
      <c r="S22" s="53" t="n"/>
      <c r="T22" s="53" t="n"/>
      <c r="U22" s="216">
        <f>SUM(K22:T22)</f>
        <v/>
      </c>
      <c r="V22">
        <f>U22-G22</f>
        <v/>
      </c>
    </row>
    <row r="23" ht="15.75" customHeight="1" s="2">
      <c r="A23" s="53" t="inlineStr">
        <is>
          <t>Лигачев Александр Егорович</t>
        </is>
      </c>
      <c r="B23" s="53" t="n">
        <v>15</v>
      </c>
      <c r="C23" s="53" t="n">
        <v>190</v>
      </c>
      <c r="D23" s="53" t="n">
        <v>205</v>
      </c>
      <c r="E23" s="264" t="n">
        <v>0.2469879518072289</v>
      </c>
      <c r="F23" s="266" t="n">
        <v>0.2</v>
      </c>
      <c r="G23" s="53">
        <f>D23-F23*$E$3</f>
        <v/>
      </c>
      <c r="H23" s="211">
        <f>G23/D23</f>
        <v/>
      </c>
      <c r="I23" s="53">
        <f>G23/10</f>
        <v/>
      </c>
      <c r="J23" s="214" t="inlineStr">
        <is>
          <t>профессор</t>
        </is>
      </c>
      <c r="K23" s="215" t="n">
        <v>6</v>
      </c>
      <c r="L23" s="215" t="n">
        <v>6</v>
      </c>
      <c r="M23" s="43" t="n"/>
      <c r="N23" s="53" t="n"/>
      <c r="O23" s="53" t="n"/>
      <c r="P23" s="53" t="n"/>
      <c r="Q23" s="53" t="n"/>
      <c r="R23" s="53" t="n"/>
      <c r="S23" s="53" t="n"/>
      <c r="T23" s="53" t="n"/>
      <c r="U23" s="216">
        <f>SUM(K23:T23)</f>
        <v/>
      </c>
      <c r="V23">
        <f>U23-G23</f>
        <v/>
      </c>
    </row>
    <row r="24" ht="15.75" customHeight="1" s="2">
      <c r="A24" s="53" t="inlineStr">
        <is>
          <t xml:space="preserve">Лозован Александр Александрович </t>
        </is>
      </c>
      <c r="B24" s="53" t="n">
        <v>409</v>
      </c>
      <c r="C24" s="53" t="n">
        <v>546</v>
      </c>
      <c r="D24" s="53" t="n">
        <v>969</v>
      </c>
      <c r="E24" s="264" t="n">
        <v>1.167469879518072</v>
      </c>
      <c r="F24" s="265" t="n">
        <v>1</v>
      </c>
      <c r="G24" s="53">
        <f>D24-F24*$E$3</f>
        <v/>
      </c>
      <c r="H24" s="211">
        <f>G24/D24</f>
        <v/>
      </c>
      <c r="I24" s="53">
        <f>G24/10</f>
        <v/>
      </c>
      <c r="J24" s="214" t="inlineStr">
        <is>
          <t>профессор</t>
        </is>
      </c>
      <c r="K24" s="215" t="n">
        <v>28</v>
      </c>
      <c r="L24" s="267" t="n">
        <v>12</v>
      </c>
      <c r="M24" s="43" t="n">
        <v>12</v>
      </c>
      <c r="N24" s="53" t="n">
        <v>12</v>
      </c>
      <c r="O24" s="53" t="n">
        <v>10</v>
      </c>
      <c r="P24" s="53" t="n">
        <v>10</v>
      </c>
      <c r="Q24" s="53" t="n">
        <v>10</v>
      </c>
      <c r="R24" s="53" t="n">
        <v>10</v>
      </c>
      <c r="S24" s="53" t="n">
        <v>10</v>
      </c>
      <c r="T24" s="53" t="n">
        <v>10</v>
      </c>
      <c r="U24" s="216">
        <f>SUM(K24:T24)</f>
        <v/>
      </c>
      <c r="V24">
        <f>U24-G24</f>
        <v/>
      </c>
    </row>
    <row r="25" ht="15.75" customHeight="1" s="2">
      <c r="A25" s="53" t="inlineStr">
        <is>
          <t xml:space="preserve">Моисеев Виктор Сергеевич </t>
        </is>
      </c>
      <c r="B25" s="53" t="n">
        <v>379</v>
      </c>
      <c r="C25" s="53" t="n">
        <v>351</v>
      </c>
      <c r="D25" s="53" t="n">
        <v>730</v>
      </c>
      <c r="E25" s="264" t="n">
        <v>0.8795180722891566</v>
      </c>
      <c r="F25" s="266" t="n">
        <v>1</v>
      </c>
      <c r="G25" s="53">
        <f>D25-F25*$E$3</f>
        <v/>
      </c>
      <c r="H25" s="211">
        <f>G25/D25</f>
        <v/>
      </c>
      <c r="I25" s="53">
        <f>G25/10</f>
        <v/>
      </c>
      <c r="J25" s="214" t="inlineStr">
        <is>
          <t>зав</t>
        </is>
      </c>
      <c r="K25" s="215" t="n">
        <v>10</v>
      </c>
      <c r="L25" s="215" t="n">
        <v>10</v>
      </c>
      <c r="M25" s="43" t="n"/>
      <c r="N25" s="53" t="n"/>
      <c r="O25" s="53" t="n"/>
      <c r="P25" s="53" t="n"/>
      <c r="Q25" s="53" t="n"/>
      <c r="R25" s="53" t="n"/>
      <c r="S25" s="53" t="n"/>
      <c r="T25" s="53" t="n"/>
      <c r="U25" s="216">
        <f>SUM(K25:T25)</f>
        <v/>
      </c>
    </row>
    <row r="26" ht="15.75" customHeight="1" s="2">
      <c r="A26" s="53" t="inlineStr">
        <is>
          <t xml:space="preserve">Никитина Елена Владимировна </t>
        </is>
      </c>
      <c r="B26" s="53" t="n">
        <v>386</v>
      </c>
      <c r="C26" s="53" t="n">
        <v>460</v>
      </c>
      <c r="D26" s="53" t="n">
        <v>846</v>
      </c>
      <c r="E26" s="264" t="n">
        <v>1.019277108433735</v>
      </c>
      <c r="F26" s="266" t="n">
        <v>0.85</v>
      </c>
      <c r="G26" s="53">
        <f>D26-F26*$E$3</f>
        <v/>
      </c>
      <c r="H26" s="211">
        <f>G26/D26</f>
        <v/>
      </c>
      <c r="I26" s="53">
        <f>G26/10</f>
        <v/>
      </c>
      <c r="J26" s="214" t="inlineStr">
        <is>
          <t>профессор</t>
        </is>
      </c>
      <c r="K26" s="215" t="n">
        <v>18</v>
      </c>
      <c r="L26" s="271" t="n">
        <v>18</v>
      </c>
      <c r="M26" s="43" t="n">
        <v>12</v>
      </c>
      <c r="N26" s="53" t="n">
        <v>12</v>
      </c>
      <c r="O26" s="53" t="n">
        <v>14</v>
      </c>
      <c r="P26" s="53" t="n">
        <v>14</v>
      </c>
      <c r="Q26" s="53" t="n">
        <v>14</v>
      </c>
      <c r="R26" s="53" t="n">
        <v>14</v>
      </c>
      <c r="S26" s="53" t="n">
        <v>12</v>
      </c>
      <c r="T26" s="53" t="n">
        <v>12</v>
      </c>
      <c r="U26" s="216">
        <f>SUM(K26:T26)</f>
        <v/>
      </c>
      <c r="V26">
        <f>U26-G26</f>
        <v/>
      </c>
    </row>
    <row r="27" ht="15.75" customHeight="1" s="2">
      <c r="A27" s="53" t="inlineStr">
        <is>
          <t xml:space="preserve">Палтиевич Андрей Романович </t>
        </is>
      </c>
      <c r="B27" s="53" t="n">
        <v>505.5</v>
      </c>
      <c r="C27" s="53" t="n">
        <v>311.5</v>
      </c>
      <c r="D27" s="53" t="n">
        <v>817</v>
      </c>
      <c r="E27" s="264" t="n">
        <v>0.9843373493975903</v>
      </c>
      <c r="F27" s="266" t="n">
        <v>0.9</v>
      </c>
      <c r="G27" s="53">
        <f>D27-F27*$E$3</f>
        <v/>
      </c>
      <c r="H27" s="211">
        <f>G27/D27</f>
        <v/>
      </c>
      <c r="I27" s="53">
        <f>G27/10</f>
        <v/>
      </c>
      <c r="J27" s="214" t="inlineStr">
        <is>
          <t>доцент</t>
        </is>
      </c>
      <c r="K27" s="215" t="n">
        <v>10</v>
      </c>
      <c r="L27" s="267" t="n">
        <v>8</v>
      </c>
      <c r="M27" s="43" t="n">
        <v>6</v>
      </c>
      <c r="N27" s="53" t="n">
        <v>6</v>
      </c>
      <c r="O27" s="53" t="n">
        <v>8</v>
      </c>
      <c r="P27" s="53" t="n">
        <v>6</v>
      </c>
      <c r="Q27" s="53" t="n">
        <v>6</v>
      </c>
      <c r="R27" s="53" t="n">
        <v>6</v>
      </c>
      <c r="S27" s="53" t="n">
        <v>6</v>
      </c>
      <c r="T27" s="53" t="n">
        <v>6</v>
      </c>
      <c r="U27" s="216">
        <f>SUM(K27:T27)</f>
        <v/>
      </c>
      <c r="V27">
        <f>U27-G27</f>
        <v/>
      </c>
    </row>
    <row r="28" ht="15.75" customHeight="1" s="2">
      <c r="A28" s="53" t="inlineStr">
        <is>
          <t xml:space="preserve">Пашков Игорь Николаевич </t>
        </is>
      </c>
      <c r="B28" s="53" t="n">
        <v>240</v>
      </c>
      <c r="C28" s="53" t="n">
        <v>213</v>
      </c>
      <c r="D28" s="53" t="n">
        <v>453</v>
      </c>
      <c r="E28" s="264" t="n">
        <v>0.5457831325301205</v>
      </c>
      <c r="F28" s="265" t="n">
        <v>0.5</v>
      </c>
      <c r="G28" s="53">
        <f>D28-F28*$E$3</f>
        <v/>
      </c>
      <c r="H28" s="211">
        <f>G28/D28</f>
        <v/>
      </c>
      <c r="I28" s="53">
        <f>G28/10</f>
        <v/>
      </c>
      <c r="J28" s="214" t="inlineStr">
        <is>
          <t>профессор</t>
        </is>
      </c>
      <c r="K28" s="215" t="n">
        <v>8</v>
      </c>
      <c r="L28" s="215" t="n">
        <v>8</v>
      </c>
      <c r="M28" s="43" t="n">
        <v>2</v>
      </c>
      <c r="N28" s="53" t="n">
        <v>2</v>
      </c>
      <c r="O28" s="53" t="n">
        <v>4</v>
      </c>
      <c r="P28" s="53" t="n">
        <v>4</v>
      </c>
      <c r="Q28" s="53" t="n">
        <v>4</v>
      </c>
      <c r="R28" s="53" t="n">
        <v>2</v>
      </c>
      <c r="S28" s="53" t="n">
        <v>2</v>
      </c>
      <c r="T28" s="53" t="n">
        <v>2</v>
      </c>
      <c r="U28" s="216">
        <f>SUM(K28:T28)</f>
        <v/>
      </c>
      <c r="V28">
        <f>U28-G28</f>
        <v/>
      </c>
    </row>
    <row r="29" ht="15.75" customHeight="1" s="2">
      <c r="A29" s="53" t="inlineStr">
        <is>
          <t>Петров Анатолий Павлович</t>
        </is>
      </c>
      <c r="B29" s="53" t="n">
        <v>255.75</v>
      </c>
      <c r="C29" s="53" t="n">
        <v>293.75</v>
      </c>
      <c r="D29" s="53" t="n">
        <v>549.5</v>
      </c>
      <c r="E29" s="264" t="n">
        <v>0.6620481927710843</v>
      </c>
      <c r="F29" s="266" t="n">
        <v>0.65</v>
      </c>
      <c r="G29" s="53">
        <f>D29-F29*$E$3</f>
        <v/>
      </c>
      <c r="H29" s="211">
        <f>G29/D29</f>
        <v/>
      </c>
      <c r="I29" s="53">
        <f>G29/10</f>
        <v/>
      </c>
      <c r="J29" s="214" t="inlineStr">
        <is>
          <t>профессор</t>
        </is>
      </c>
      <c r="K29" s="215" t="n">
        <v>12</v>
      </c>
      <c r="L29" s="215" t="n">
        <v>12</v>
      </c>
      <c r="M29" s="43" t="n"/>
      <c r="N29" s="53" t="n"/>
      <c r="O29" s="53" t="n"/>
      <c r="P29" s="53" t="n"/>
      <c r="Q29" s="53" t="n"/>
      <c r="R29" s="53" t="n"/>
      <c r="S29" s="53" t="n"/>
      <c r="T29" s="53" t="n"/>
      <c r="U29" s="216">
        <f>SUM(K29:T29)</f>
        <v/>
      </c>
    </row>
    <row r="30" ht="15.75" customHeight="1" s="2">
      <c r="A30" s="53" t="inlineStr">
        <is>
          <t xml:space="preserve">Петров Игорь Алексеевич </t>
        </is>
      </c>
      <c r="B30" s="53" t="n">
        <v>333</v>
      </c>
      <c r="C30" s="53" t="n">
        <v>195</v>
      </c>
      <c r="D30" s="53" t="n">
        <v>528</v>
      </c>
      <c r="E30" s="264" t="n">
        <v>0.636144578313253</v>
      </c>
      <c r="F30" s="266" t="n">
        <v>0.45</v>
      </c>
      <c r="G30" s="53">
        <f>D30-F30*$E$3</f>
        <v/>
      </c>
      <c r="H30" s="211">
        <f>G30/D30</f>
        <v/>
      </c>
      <c r="I30" s="53">
        <f>G30/10</f>
        <v/>
      </c>
      <c r="J30" s="214" t="inlineStr">
        <is>
          <t>ст</t>
        </is>
      </c>
      <c r="K30" s="215" t="n">
        <v>8</v>
      </c>
      <c r="L30" s="215" t="n">
        <v>8</v>
      </c>
      <c r="M30" s="43" t="n">
        <v>18</v>
      </c>
      <c r="N30" s="53" t="n">
        <v>16</v>
      </c>
      <c r="O30" s="53" t="n">
        <v>18</v>
      </c>
      <c r="P30" s="53" t="n">
        <v>18</v>
      </c>
      <c r="Q30" s="53" t="n">
        <v>18</v>
      </c>
      <c r="R30" s="53" t="n">
        <v>18</v>
      </c>
      <c r="S30" s="53" t="n">
        <v>16</v>
      </c>
      <c r="T30" s="53" t="n">
        <v>16</v>
      </c>
      <c r="U30" s="216">
        <f>SUM(K30:T30)</f>
        <v/>
      </c>
      <c r="V30">
        <f>U30-G30</f>
        <v/>
      </c>
    </row>
    <row r="31" ht="15.75" customHeight="1" s="2">
      <c r="A31" s="53" t="inlineStr">
        <is>
          <t xml:space="preserve">Преображенский Евгений Владимирович </t>
        </is>
      </c>
      <c r="B31" s="53" t="n">
        <v>102.75</v>
      </c>
      <c r="C31" s="53" t="n">
        <v>327.75</v>
      </c>
      <c r="D31" s="53" t="n">
        <v>430.5</v>
      </c>
      <c r="E31" s="264" t="n">
        <v>0.5186746987951807</v>
      </c>
      <c r="F31" s="266" t="n">
        <v>0.35</v>
      </c>
      <c r="G31" s="53">
        <f>D31-F31*$E$3</f>
        <v/>
      </c>
      <c r="H31" s="211">
        <f>G31/D31</f>
        <v/>
      </c>
      <c r="I31" s="53">
        <f>G31/10</f>
        <v/>
      </c>
      <c r="J31" s="214" t="inlineStr">
        <is>
          <t>доцент</t>
        </is>
      </c>
      <c r="K31" s="215" t="n">
        <v>12</v>
      </c>
      <c r="L31" s="215" t="n">
        <v>12</v>
      </c>
      <c r="M31" s="43" t="n">
        <v>14</v>
      </c>
      <c r="N31" s="53" t="n">
        <v>14</v>
      </c>
      <c r="O31" s="53" t="n">
        <v>14</v>
      </c>
      <c r="P31" s="53" t="n">
        <v>16</v>
      </c>
      <c r="Q31" s="53" t="n">
        <v>14</v>
      </c>
      <c r="R31" s="53" t="n">
        <v>14</v>
      </c>
      <c r="S31" s="53" t="n">
        <v>16</v>
      </c>
      <c r="T31" s="53" t="n">
        <v>14</v>
      </c>
      <c r="U31" s="216">
        <f>SUM(K31:T31)</f>
        <v/>
      </c>
      <c r="V31">
        <f>U31-G31</f>
        <v/>
      </c>
    </row>
    <row r="32" ht="15.75" customHeight="1" s="2">
      <c r="A32" s="53" t="inlineStr">
        <is>
          <t xml:space="preserve">Ряховский Александр Павлович </t>
        </is>
      </c>
      <c r="B32" s="53" t="n">
        <v>237</v>
      </c>
      <c r="C32" s="53" t="n">
        <v>263</v>
      </c>
      <c r="D32" s="53" t="n">
        <v>500</v>
      </c>
      <c r="E32" s="264" t="n">
        <v>0.6024096385542169</v>
      </c>
      <c r="F32" s="266" t="n">
        <v>0.45</v>
      </c>
      <c r="G32" s="53">
        <f>D32-F32*$E$3</f>
        <v/>
      </c>
      <c r="H32" s="211">
        <f>G32/D32</f>
        <v/>
      </c>
      <c r="I32" s="53">
        <f>G32/10</f>
        <v/>
      </c>
      <c r="J32" s="214" t="inlineStr">
        <is>
          <t>доцент</t>
        </is>
      </c>
      <c r="K32" s="215" t="n">
        <v>8</v>
      </c>
      <c r="L32" s="215" t="n">
        <v>8</v>
      </c>
      <c r="M32" s="43" t="n">
        <v>12</v>
      </c>
      <c r="N32" s="53" t="n">
        <v>14</v>
      </c>
      <c r="O32" s="53" t="n">
        <v>14</v>
      </c>
      <c r="P32" s="53" t="n">
        <v>14</v>
      </c>
      <c r="Q32" s="53" t="n">
        <v>14</v>
      </c>
      <c r="R32" s="53" t="n">
        <v>14</v>
      </c>
      <c r="S32" s="53" t="n">
        <v>14</v>
      </c>
      <c r="T32" s="53" t="n">
        <v>14</v>
      </c>
      <c r="U32" s="216">
        <f>SUM(K32:T32)</f>
        <v/>
      </c>
      <c r="V32">
        <f>U32-G32</f>
        <v/>
      </c>
    </row>
    <row r="33" ht="15.75" customHeight="1" s="2">
      <c r="A33" s="53" t="inlineStr">
        <is>
          <t xml:space="preserve">Серов Михаил Михайлович </t>
        </is>
      </c>
      <c r="B33" s="53" t="n">
        <v>406</v>
      </c>
      <c r="C33" s="53" t="n">
        <v>423</v>
      </c>
      <c r="D33" s="53" t="n">
        <v>829</v>
      </c>
      <c r="E33" s="264" t="n">
        <v>0.9987951807228915</v>
      </c>
      <c r="F33" s="265" t="n">
        <v>0.95</v>
      </c>
      <c r="G33" s="53">
        <f>D33-F33*$E$3</f>
        <v/>
      </c>
      <c r="H33" s="211">
        <f>G33/D33</f>
        <v/>
      </c>
      <c r="I33" s="53">
        <f>G33/10</f>
        <v/>
      </c>
      <c r="J33" s="214" t="inlineStr">
        <is>
          <t>профессор</t>
        </is>
      </c>
      <c r="K33" s="215" t="n">
        <v>18</v>
      </c>
      <c r="L33" s="267" t="n">
        <v>10</v>
      </c>
      <c r="M33" s="43" t="n">
        <v>2</v>
      </c>
      <c r="N33" s="53" t="n">
        <v>2</v>
      </c>
      <c r="O33" s="53" t="n"/>
      <c r="P33" s="53" t="n"/>
      <c r="Q33" s="53" t="n"/>
      <c r="R33" s="53" t="n"/>
      <c r="S33" s="53" t="n"/>
      <c r="T33" s="53" t="n"/>
      <c r="U33" s="216">
        <f>SUM(K33:T33)</f>
        <v/>
      </c>
      <c r="V33">
        <f>U33-G33</f>
        <v/>
      </c>
    </row>
    <row r="34" ht="15.75" customHeight="1" s="2">
      <c r="A34" s="53" t="inlineStr">
        <is>
          <t>Сидякин Виталий Александрович</t>
        </is>
      </c>
      <c r="B34" s="53" t="n">
        <v>45</v>
      </c>
      <c r="C34" s="53" t="n">
        <v>288</v>
      </c>
      <c r="D34" s="53" t="n">
        <v>333</v>
      </c>
      <c r="E34" s="264" t="n">
        <v>0.4012048192771084</v>
      </c>
      <c r="F34" s="266" t="n">
        <v>0.45</v>
      </c>
      <c r="G34" s="53">
        <f>D34-F34*$E$3</f>
        <v/>
      </c>
      <c r="H34" s="211">
        <f>G34/D34</f>
        <v/>
      </c>
      <c r="I34" s="53">
        <f>G34/10</f>
        <v/>
      </c>
      <c r="J34" s="214" t="inlineStr">
        <is>
          <t>профессор</t>
        </is>
      </c>
      <c r="K34" s="215" t="n">
        <v>0</v>
      </c>
      <c r="L34" s="215" t="n">
        <v>0</v>
      </c>
      <c r="M34" s="43" t="n"/>
      <c r="N34" s="53" t="n"/>
      <c r="O34" s="53" t="n"/>
      <c r="P34" s="53" t="n"/>
      <c r="Q34" s="53" t="n"/>
      <c r="R34" s="53" t="n"/>
      <c r="S34" s="53" t="n"/>
      <c r="T34" s="53" t="n"/>
      <c r="U34" s="216">
        <f>SUM(K34:T34)</f>
        <v/>
      </c>
      <c r="V34">
        <f>U34-G34</f>
        <v/>
      </c>
    </row>
    <row r="35" ht="15.75" customHeight="1" s="2">
      <c r="A35" s="53" t="inlineStr">
        <is>
          <t xml:space="preserve">Смыков Андрей Федорович </t>
        </is>
      </c>
      <c r="B35" s="53" t="n">
        <v>467</v>
      </c>
      <c r="C35" s="53" t="n">
        <v>450</v>
      </c>
      <c r="D35" s="53" t="n">
        <v>917</v>
      </c>
      <c r="E35" s="264" t="n">
        <v>1.104819277108434</v>
      </c>
      <c r="F35" s="265" t="n">
        <v>0.9</v>
      </c>
      <c r="G35" s="53">
        <f>D35-F35*$E$3</f>
        <v/>
      </c>
      <c r="H35" s="211">
        <f>G35/D35</f>
        <v/>
      </c>
      <c r="I35" s="53">
        <f>G35/10</f>
        <v/>
      </c>
      <c r="J35" s="214" t="inlineStr">
        <is>
          <t>профессор</t>
        </is>
      </c>
      <c r="K35" s="215" t="n">
        <v>12</v>
      </c>
      <c r="L35" s="215" t="n">
        <v>12</v>
      </c>
      <c r="M35" s="43" t="n">
        <v>18</v>
      </c>
      <c r="N35" s="53" t="n">
        <v>18</v>
      </c>
      <c r="O35" s="53" t="n">
        <v>20</v>
      </c>
      <c r="P35" s="53" t="n">
        <v>18</v>
      </c>
      <c r="Q35" s="53" t="n">
        <v>20</v>
      </c>
      <c r="R35" s="53" t="n">
        <v>18</v>
      </c>
      <c r="S35" s="53" t="n">
        <v>18</v>
      </c>
      <c r="T35" s="53" t="n">
        <v>16</v>
      </c>
      <c r="U35" s="216">
        <f>SUM(K35:T35)</f>
        <v/>
      </c>
      <c r="V35">
        <f>U35-G35</f>
        <v/>
      </c>
    </row>
    <row r="36" ht="15.75" customHeight="1" s="2">
      <c r="A36" s="53" t="inlineStr">
        <is>
          <t xml:space="preserve">Соколов Алексей Викторович </t>
        </is>
      </c>
      <c r="B36" s="53" t="n">
        <v>240.75</v>
      </c>
      <c r="C36" s="53" t="n">
        <v>592.75</v>
      </c>
      <c r="D36" s="53" t="n">
        <v>833.5</v>
      </c>
      <c r="E36" s="264" t="n">
        <v>1.004216867469879</v>
      </c>
      <c r="F36" s="265" t="n">
        <v>0.95</v>
      </c>
      <c r="G36" s="53">
        <f>D36-F36*$E$3</f>
        <v/>
      </c>
      <c r="H36" s="211">
        <f>G36/D36</f>
        <v/>
      </c>
      <c r="I36" s="53">
        <f>G36/10</f>
        <v/>
      </c>
      <c r="J36" s="214" t="inlineStr">
        <is>
          <t>доцент</t>
        </is>
      </c>
      <c r="K36" s="215" t="n">
        <v>12</v>
      </c>
      <c r="L36" s="267" t="n">
        <v>6</v>
      </c>
      <c r="M36" s="43" t="n">
        <v>4</v>
      </c>
      <c r="N36" s="53" t="n">
        <v>4</v>
      </c>
      <c r="O36" s="53" t="n">
        <v>4</v>
      </c>
      <c r="P36" s="53" t="n">
        <v>2</v>
      </c>
      <c r="Q36" s="53" t="n">
        <v>2</v>
      </c>
      <c r="R36" s="53" t="n">
        <v>2</v>
      </c>
      <c r="S36" s="53" t="n">
        <v>2</v>
      </c>
      <c r="T36" s="53" t="n">
        <v>2</v>
      </c>
      <c r="U36" s="216">
        <f>SUM(K36:T36)</f>
        <v/>
      </c>
      <c r="V36">
        <f>U36-G36</f>
        <v/>
      </c>
    </row>
    <row r="37" ht="15.75" customHeight="1" s="2">
      <c r="A37" s="272" t="inlineStr">
        <is>
          <t>Степанов Владимир Валерьевич</t>
        </is>
      </c>
      <c r="B37" s="272" t="n">
        <v>210</v>
      </c>
      <c r="C37" s="272" t="n">
        <v>214.5</v>
      </c>
      <c r="D37" s="272" t="n">
        <v>424.5</v>
      </c>
      <c r="E37" s="273" t="n">
        <v>0.5114457831325301</v>
      </c>
      <c r="F37" s="266" t="n">
        <v>0.4</v>
      </c>
      <c r="G37" s="53">
        <f>D37-F37*$E$3</f>
        <v/>
      </c>
      <c r="H37" s="211">
        <f>G37/D37</f>
        <v/>
      </c>
      <c r="I37" s="53">
        <f>G37/10</f>
        <v/>
      </c>
      <c r="J37" s="214" t="inlineStr">
        <is>
          <t>доцент</t>
        </is>
      </c>
      <c r="K37" s="215" t="n">
        <v>10</v>
      </c>
      <c r="L37" s="215" t="n">
        <v>10</v>
      </c>
      <c r="M37" s="43" t="n">
        <v>10</v>
      </c>
      <c r="N37" s="53" t="n">
        <v>8</v>
      </c>
      <c r="O37" s="53" t="n">
        <v>10</v>
      </c>
      <c r="P37" s="53" t="n">
        <v>8</v>
      </c>
      <c r="Q37" s="53" t="n">
        <v>8</v>
      </c>
      <c r="R37" s="53" t="n">
        <v>8</v>
      </c>
      <c r="S37" s="53" t="n">
        <v>8</v>
      </c>
      <c r="T37" s="53" t="n">
        <v>8</v>
      </c>
      <c r="U37" s="216">
        <f>SUM(K37:T37)</f>
        <v/>
      </c>
      <c r="V37">
        <f>U37-G37</f>
        <v/>
      </c>
    </row>
    <row r="38" ht="15.75" customHeight="1" s="2">
      <c r="A38" s="53" t="inlineStr">
        <is>
          <t xml:space="preserve">Телицына Ольга Валентиновна </t>
        </is>
      </c>
      <c r="B38" s="53" t="n">
        <v>306</v>
      </c>
      <c r="C38" s="53" t="n">
        <v>335</v>
      </c>
      <c r="D38" s="53" t="n">
        <v>641</v>
      </c>
      <c r="E38" s="264" t="n">
        <v>0.772289156626506</v>
      </c>
      <c r="F38" s="266" t="n">
        <v>0.65</v>
      </c>
      <c r="G38" s="53">
        <f>D38-F38*$E$3</f>
        <v/>
      </c>
      <c r="H38" s="211">
        <f>G38/D38</f>
        <v/>
      </c>
      <c r="I38" s="53">
        <f>G38/10</f>
        <v/>
      </c>
      <c r="J38" s="214" t="inlineStr">
        <is>
          <t>доцент</t>
        </is>
      </c>
      <c r="K38" s="215" t="n">
        <v>10</v>
      </c>
      <c r="L38" s="215" t="n">
        <v>10</v>
      </c>
      <c r="M38" s="43" t="n">
        <v>10</v>
      </c>
      <c r="N38" s="53" t="n">
        <v>10</v>
      </c>
      <c r="O38" s="53" t="n">
        <v>10</v>
      </c>
      <c r="P38" s="53" t="n">
        <v>10</v>
      </c>
      <c r="Q38" s="53" t="n">
        <v>10</v>
      </c>
      <c r="R38" s="53" t="n">
        <v>12</v>
      </c>
      <c r="S38" s="53" t="n">
        <v>10</v>
      </c>
      <c r="T38" s="53" t="n">
        <v>10</v>
      </c>
      <c r="U38" s="216">
        <f>SUM(K38:T38)</f>
        <v/>
      </c>
      <c r="V38">
        <f>U38-G38</f>
        <v/>
      </c>
    </row>
    <row r="39" ht="15.75" customHeight="1" s="2">
      <c r="A39" s="53" t="inlineStr">
        <is>
          <t>Федоров Анатолий Александрович</t>
        </is>
      </c>
      <c r="B39" s="53" t="n">
        <v>128.75</v>
      </c>
      <c r="C39" s="53" t="n">
        <v>172.75</v>
      </c>
      <c r="D39" s="53" t="n">
        <v>301.5</v>
      </c>
      <c r="E39" s="264" t="n">
        <v>0.3632530120481928</v>
      </c>
      <c r="F39" s="266" t="n">
        <v>0.25</v>
      </c>
      <c r="G39" s="53">
        <f>D39-F39*$E$3</f>
        <v/>
      </c>
      <c r="H39" s="211">
        <f>G39/D39</f>
        <v/>
      </c>
      <c r="I39" s="53">
        <f>G39/10</f>
        <v/>
      </c>
      <c r="J39" s="214" t="inlineStr">
        <is>
          <t>профессор</t>
        </is>
      </c>
      <c r="K39" s="215" t="n">
        <v>8</v>
      </c>
      <c r="L39" s="215" t="n">
        <v>8</v>
      </c>
      <c r="M39" s="43" t="n">
        <v>10</v>
      </c>
      <c r="N39" s="53" t="n">
        <v>10</v>
      </c>
      <c r="O39" s="53" t="n">
        <v>10</v>
      </c>
      <c r="P39" s="53" t="n">
        <v>10</v>
      </c>
      <c r="Q39" s="53" t="n">
        <v>10</v>
      </c>
      <c r="R39" s="53" t="n">
        <v>10</v>
      </c>
      <c r="S39" s="53" t="n">
        <v>10</v>
      </c>
      <c r="T39" s="53" t="n">
        <v>8</v>
      </c>
      <c r="U39" s="216">
        <f>SUM(K39:T39)</f>
        <v/>
      </c>
      <c r="V39">
        <f>U39-G39</f>
        <v/>
      </c>
    </row>
    <row r="40" ht="15.75" customHeight="1" s="2">
      <c r="A40" s="53" t="inlineStr">
        <is>
          <t xml:space="preserve">Федоров Сергей Александрович </t>
        </is>
      </c>
      <c r="B40" s="53" t="n">
        <v>431</v>
      </c>
      <c r="C40" s="53" t="n">
        <v>448</v>
      </c>
      <c r="D40" s="53" t="n">
        <v>879</v>
      </c>
      <c r="E40" s="264" t="n">
        <v>1.059036144578313</v>
      </c>
      <c r="F40" s="265" t="n">
        <v>0.9</v>
      </c>
      <c r="G40" s="53">
        <f>D40-F40*$E$3</f>
        <v/>
      </c>
      <c r="H40" s="211">
        <f>G40/D40</f>
        <v/>
      </c>
      <c r="I40" s="53">
        <f>G40/10</f>
        <v/>
      </c>
      <c r="J40" s="214" t="inlineStr">
        <is>
          <t>доцент</t>
        </is>
      </c>
      <c r="K40" s="215" t="n">
        <v>16</v>
      </c>
      <c r="L40" s="267" t="n">
        <v>12</v>
      </c>
      <c r="M40" s="43" t="n">
        <v>16</v>
      </c>
      <c r="N40" s="53" t="n">
        <v>14</v>
      </c>
      <c r="O40" s="53" t="n">
        <v>14</v>
      </c>
      <c r="P40" s="53" t="n">
        <v>12</v>
      </c>
      <c r="Q40" s="53" t="n">
        <v>12</v>
      </c>
      <c r="R40" s="53" t="n">
        <v>12</v>
      </c>
      <c r="S40" s="53" t="n">
        <v>10</v>
      </c>
      <c r="T40" s="53" t="n">
        <v>10</v>
      </c>
      <c r="U40" s="216">
        <f>SUM(K40:T40)</f>
        <v/>
      </c>
      <c r="V40">
        <f>U40-G40</f>
        <v/>
      </c>
    </row>
    <row r="41" ht="15.75" customHeight="1" s="2">
      <c r="A41" s="53" t="inlineStr">
        <is>
          <t xml:space="preserve">Фролов Вадим Анатольевич </t>
        </is>
      </c>
      <c r="B41" s="53" t="n">
        <v>195</v>
      </c>
      <c r="C41" s="53" t="n">
        <v>99</v>
      </c>
      <c r="D41" s="53" t="n">
        <v>294</v>
      </c>
      <c r="E41" s="264" t="n">
        <v>0.3542168674698795</v>
      </c>
      <c r="F41" s="266" t="n">
        <v>0.3</v>
      </c>
      <c r="G41" s="53">
        <f>D41-F41*$E$3</f>
        <v/>
      </c>
      <c r="H41" s="211">
        <f>G41/D41</f>
        <v/>
      </c>
      <c r="I41" s="53">
        <f>G41/10</f>
        <v/>
      </c>
      <c r="J41" s="214" t="inlineStr">
        <is>
          <t>профессор</t>
        </is>
      </c>
      <c r="K41" s="215" t="n">
        <v>6</v>
      </c>
      <c r="L41" s="215" t="n">
        <v>6</v>
      </c>
      <c r="M41" s="43" t="n">
        <v>4</v>
      </c>
      <c r="N41" s="53" t="n">
        <v>4</v>
      </c>
      <c r="O41" s="53" t="n">
        <v>4</v>
      </c>
      <c r="P41" s="53" t="n">
        <v>4</v>
      </c>
      <c r="Q41" s="53" t="n">
        <v>4</v>
      </c>
      <c r="R41" s="53" t="n">
        <v>4</v>
      </c>
      <c r="S41" s="53" t="n">
        <v>4</v>
      </c>
      <c r="T41" s="53" t="n">
        <v>4</v>
      </c>
      <c r="U41" s="216">
        <f>SUM(K41:T41)</f>
        <v/>
      </c>
      <c r="V41">
        <f>U41-G41</f>
        <v/>
      </c>
    </row>
    <row r="42" ht="15.75" customHeight="1" s="2">
      <c r="A42" s="53" t="inlineStr">
        <is>
          <t>Шаргаев Евгений Олегович</t>
        </is>
      </c>
      <c r="B42" s="53" t="n">
        <v>87</v>
      </c>
      <c r="C42" s="53" t="n">
        <v>0</v>
      </c>
      <c r="D42" s="53" t="n">
        <v>87</v>
      </c>
      <c r="E42" s="264" t="n">
        <v>0.1048192771084337</v>
      </c>
      <c r="F42" s="266" t="n">
        <v>0.1</v>
      </c>
      <c r="G42" s="53">
        <f>D42-F42*$E$3</f>
        <v/>
      </c>
      <c r="H42" s="211">
        <f>G42/D42</f>
        <v/>
      </c>
      <c r="I42" s="53">
        <f>G42/10</f>
        <v/>
      </c>
      <c r="J42" s="270" t="inlineStr">
        <is>
          <t>ассисиент</t>
        </is>
      </c>
      <c r="K42" s="269" t="n"/>
      <c r="L42" s="269" t="n"/>
      <c r="M42" s="43" t="n"/>
      <c r="N42" s="53" t="n"/>
      <c r="O42" s="53" t="n"/>
      <c r="P42" s="53" t="n"/>
      <c r="Q42" s="53" t="n"/>
      <c r="R42" s="53" t="n"/>
      <c r="S42" s="53" t="n"/>
      <c r="T42" s="53" t="n"/>
      <c r="U42" s="216">
        <f>SUM(K42:T42)</f>
        <v/>
      </c>
      <c r="V42">
        <f>U42-G42</f>
        <v/>
      </c>
    </row>
    <row r="43" ht="15.75" customHeight="1" s="2">
      <c r="A43" s="53" t="inlineStr">
        <is>
          <t xml:space="preserve">Шелест Анатолий Ефимович </t>
        </is>
      </c>
      <c r="B43" s="53" t="n">
        <v>32</v>
      </c>
      <c r="C43" s="53" t="n">
        <v>44</v>
      </c>
      <c r="D43" s="53" t="n">
        <v>76</v>
      </c>
      <c r="E43" s="264" t="n">
        <v>0.09156626506024096</v>
      </c>
      <c r="F43" s="266" t="n">
        <v>0.1</v>
      </c>
      <c r="G43" s="53">
        <f>D43-F43*$E$3</f>
        <v/>
      </c>
      <c r="H43" s="211">
        <f>G43/D43</f>
        <v/>
      </c>
      <c r="I43" s="53">
        <f>G43/10</f>
        <v/>
      </c>
      <c r="J43" s="214" t="inlineStr">
        <is>
          <t>профессор</t>
        </is>
      </c>
      <c r="K43" s="215" t="n">
        <v>0</v>
      </c>
      <c r="L43" s="215" t="n">
        <v>0</v>
      </c>
      <c r="M43" s="43" t="n"/>
      <c r="N43" s="53" t="n"/>
      <c r="O43" s="53" t="n"/>
      <c r="P43" s="53" t="n"/>
      <c r="Q43" s="53" t="n"/>
      <c r="R43" s="53" t="n"/>
      <c r="S43" s="53" t="n"/>
      <c r="T43" s="53" t="n"/>
      <c r="U43" s="216">
        <f>SUM(K43:T43)</f>
        <v/>
      </c>
      <c r="V43">
        <f>U43-G43</f>
        <v/>
      </c>
    </row>
    <row r="44" ht="15.75" customHeight="1" s="2">
      <c r="A44" s="53" t="inlineStr">
        <is>
          <t xml:space="preserve">Шленский Алексей Геннадьевич </t>
        </is>
      </c>
      <c r="B44" s="53" t="n">
        <v>303.25</v>
      </c>
      <c r="C44" s="53" t="n">
        <v>254.25</v>
      </c>
      <c r="D44" s="53" t="n">
        <v>557.5</v>
      </c>
      <c r="E44" s="264" t="n">
        <v>0.6716867469879518</v>
      </c>
      <c r="F44" s="274" t="n">
        <v>0.6</v>
      </c>
      <c r="G44" s="53">
        <f>D44-F44*$E$3</f>
        <v/>
      </c>
      <c r="H44" s="211">
        <f>G44/D44</f>
        <v/>
      </c>
      <c r="I44" s="53">
        <f>G44/10</f>
        <v/>
      </c>
      <c r="J44" s="214" t="inlineStr">
        <is>
          <t>доцент</t>
        </is>
      </c>
      <c r="K44" s="215" t="n">
        <v>10</v>
      </c>
      <c r="L44" s="215" t="n">
        <v>10</v>
      </c>
      <c r="M44" s="43" t="n">
        <v>4</v>
      </c>
      <c r="N44" s="53" t="n">
        <v>4</v>
      </c>
      <c r="O44" s="53" t="n">
        <v>4</v>
      </c>
      <c r="P44" s="53" t="n">
        <v>6</v>
      </c>
      <c r="Q44" s="53" t="n">
        <v>4</v>
      </c>
      <c r="R44" s="53" t="n">
        <v>6</v>
      </c>
      <c r="S44" s="53" t="n">
        <v>6</v>
      </c>
      <c r="T44" s="53" t="n">
        <v>6</v>
      </c>
      <c r="U44" s="216">
        <f>SUM(K44:T44)</f>
        <v/>
      </c>
      <c r="V44">
        <f>U44-G44</f>
        <v/>
      </c>
    </row>
    <row r="45" ht="15.75" customHeight="1" s="2">
      <c r="A45" s="53" t="inlineStr">
        <is>
          <t>э-Резерв</t>
        </is>
      </c>
      <c r="B45" s="53" t="n">
        <v>0</v>
      </c>
      <c r="C45" s="53" t="n">
        <v>295</v>
      </c>
      <c r="D45" s="53" t="n">
        <v>295</v>
      </c>
      <c r="E45" s="264" t="n">
        <v>0.3554216867469879</v>
      </c>
      <c r="F45" s="53" t="n"/>
      <c r="G45" s="275" t="n"/>
    </row>
    <row r="46" ht="15.75" customHeight="1" s="2">
      <c r="D46">
        <f>SUM(D4:D45)</f>
        <v/>
      </c>
      <c r="F46" s="133">
        <f>SUM(F4:F45)</f>
        <v/>
      </c>
      <c r="K46">
        <f>SUM(K4:K44)</f>
        <v/>
      </c>
      <c r="L46">
        <f>SUM(L4:L44)</f>
        <v/>
      </c>
      <c r="M46">
        <f>SUM(M4:M44)</f>
        <v/>
      </c>
      <c r="N46">
        <f>SUM(N4:N44)</f>
        <v/>
      </c>
      <c r="O46">
        <f>SUM(O4:O44)</f>
        <v/>
      </c>
      <c r="P46">
        <f>SUM(P4:P44)</f>
        <v/>
      </c>
      <c r="Q46">
        <f>SUM(Q4:Q44)</f>
        <v/>
      </c>
      <c r="R46">
        <f>SUM(R4:R44)</f>
        <v/>
      </c>
      <c r="S46">
        <f>SUM(S4:S44)</f>
        <v/>
      </c>
      <c r="T46">
        <f>SUM(T4:T44)</f>
        <v/>
      </c>
      <c r="U46">
        <f>SUM(U4:U44)</f>
        <v/>
      </c>
    </row>
    <row r="47" ht="15.75" customHeight="1" s="2">
      <c r="K47" s="227">
        <f>K46/$F$51</f>
        <v/>
      </c>
      <c r="L47" s="227">
        <f>L46/$F$51</f>
        <v/>
      </c>
      <c r="M47" s="227">
        <f>M46/$F$51</f>
        <v/>
      </c>
      <c r="N47" s="227">
        <f>N46/$F$51</f>
        <v/>
      </c>
      <c r="O47" s="227">
        <f>O46/$F$51</f>
        <v/>
      </c>
      <c r="P47" s="227">
        <f>P46/$F$51</f>
        <v/>
      </c>
      <c r="Q47" s="227">
        <f>Q46/$F$51</f>
        <v/>
      </c>
      <c r="R47" s="227">
        <f>R46/$F$51</f>
        <v/>
      </c>
      <c r="S47" s="227">
        <f>S46/$F$51</f>
        <v/>
      </c>
      <c r="T47" s="227">
        <f>T46/$F$51</f>
        <v/>
      </c>
      <c r="U47" s="227">
        <f>U46/$F$51</f>
        <v/>
      </c>
    </row>
    <row r="48" ht="15.75" customHeight="1" s="2">
      <c r="F48">
        <f>F46*830</f>
        <v/>
      </c>
    </row>
    <row r="49" ht="15.75" customHeight="1" s="2"/>
    <row r="50" ht="15.75" customHeight="1" s="2">
      <c r="F50">
        <f>D46-F48</f>
        <v/>
      </c>
      <c r="G50">
        <f>F50-200</f>
        <v/>
      </c>
    </row>
    <row r="51" ht="15.75" customHeight="1" s="2">
      <c r="F51" t="n">
        <v>2638</v>
      </c>
    </row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K200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40" customWidth="1" style="2" min="1" max="1"/>
    <col width="10.28515625" customWidth="1" style="2" min="2" max="2"/>
    <col width="11.28515625" customWidth="1" style="2" min="3" max="3"/>
    <col width="8.140625" customWidth="1" style="2" min="4" max="4"/>
    <col width="8.42578125" customWidth="1" style="2" min="5" max="5"/>
    <col width="8" customWidth="1" style="2" min="6" max="26"/>
  </cols>
  <sheetData>
    <row r="3">
      <c r="A3" s="39" t="n"/>
      <c r="B3" s="276" t="n"/>
      <c r="C3" s="276" t="n"/>
      <c r="D3" s="276" t="n"/>
      <c r="E3" s="276" t="n"/>
      <c r="F3" s="39" t="n"/>
      <c r="G3" s="276" t="n"/>
      <c r="H3" s="276" t="n"/>
      <c r="I3" s="276" t="n"/>
      <c r="J3" s="276" t="n"/>
      <c r="K3" s="277" t="n"/>
    </row>
    <row r="4">
      <c r="A4" s="39" t="inlineStr">
        <is>
          <t>ФИО</t>
        </is>
      </c>
      <c r="B4" s="39" t="inlineStr">
        <is>
          <t>осень</t>
        </is>
      </c>
      <c r="C4" s="39" t="inlineStr">
        <is>
          <t>весна</t>
        </is>
      </c>
      <c r="D4" s="39" t="inlineStr">
        <is>
          <t>всего</t>
        </is>
      </c>
      <c r="E4" s="39" t="inlineStr">
        <is>
          <t>830</t>
        </is>
      </c>
      <c r="F4" s="278" t="n"/>
      <c r="G4" s="251" t="n"/>
      <c r="H4" s="251" t="n"/>
      <c r="I4" s="251" t="n"/>
      <c r="J4" s="251" t="n"/>
      <c r="K4" s="279" t="n"/>
    </row>
    <row r="5">
      <c r="A5" s="39" t="inlineStr">
        <is>
          <t xml:space="preserve">Александрова Светлана Сергеевна </t>
        </is>
      </c>
      <c r="B5" s="39" t="n">
        <v>447</v>
      </c>
      <c r="C5" s="39" t="n">
        <v>196</v>
      </c>
      <c r="D5" s="39" t="n">
        <v>643</v>
      </c>
      <c r="E5" s="134" t="n">
        <v>0.7746987951807229</v>
      </c>
      <c r="F5" s="39" t="n"/>
      <c r="G5" s="276" t="n"/>
      <c r="H5" s="276" t="n"/>
      <c r="I5" s="276" t="n"/>
      <c r="J5" s="276" t="n"/>
      <c r="K5" s="277" t="n"/>
    </row>
    <row r="6">
      <c r="A6" s="278" t="n"/>
      <c r="B6" s="278" t="n"/>
      <c r="C6" s="278" t="n"/>
      <c r="D6" s="39" t="inlineStr">
        <is>
          <t>643 Итог</t>
        </is>
      </c>
      <c r="E6" s="276" t="n"/>
      <c r="F6" s="278" t="n"/>
      <c r="G6" s="251" t="n"/>
      <c r="H6" s="251" t="n"/>
      <c r="I6" s="251" t="n"/>
      <c r="J6" s="251" t="n"/>
      <c r="K6" s="279" t="n"/>
    </row>
    <row r="7">
      <c r="A7" s="278" t="n"/>
      <c r="B7" s="278" t="n"/>
      <c r="C7" s="39" t="inlineStr">
        <is>
          <t>196 Итог</t>
        </is>
      </c>
      <c r="D7" s="276" t="n"/>
      <c r="E7" s="276" t="n"/>
      <c r="F7" s="278" t="n"/>
      <c r="G7" s="251" t="n"/>
      <c r="H7" s="251" t="n"/>
      <c r="I7" s="251" t="n"/>
      <c r="J7" s="251" t="n"/>
      <c r="K7" s="279" t="n"/>
    </row>
    <row r="8">
      <c r="A8" s="278" t="n"/>
      <c r="B8" s="39" t="inlineStr">
        <is>
          <t>447 Итог</t>
        </is>
      </c>
      <c r="C8" s="276" t="n"/>
      <c r="D8" s="276" t="n"/>
      <c r="E8" s="276" t="n"/>
      <c r="F8" s="278" t="n"/>
      <c r="G8" s="251" t="n"/>
      <c r="H8" s="251" t="n"/>
      <c r="I8" s="251" t="n"/>
      <c r="J8" s="251" t="n"/>
      <c r="K8" s="279" t="n"/>
    </row>
    <row r="9">
      <c r="A9" s="39" t="inlineStr">
        <is>
          <t>Александрова Светлана Сергеевна  Итог</t>
        </is>
      </c>
      <c r="B9" s="276" t="n"/>
      <c r="C9" s="276" t="n"/>
      <c r="D9" s="276" t="n"/>
      <c r="E9" s="276" t="n"/>
      <c r="F9" s="278" t="n"/>
      <c r="G9" s="251" t="n"/>
      <c r="H9" s="251" t="n"/>
      <c r="I9" s="251" t="n"/>
      <c r="J9" s="251" t="n"/>
      <c r="K9" s="279" t="n"/>
    </row>
    <row r="10">
      <c r="A10" s="39" t="inlineStr">
        <is>
          <t xml:space="preserve">Баберцян Сергей Арамович </t>
        </is>
      </c>
      <c r="B10" s="39" t="n">
        <v>19</v>
      </c>
      <c r="C10" s="39" t="n">
        <v>464</v>
      </c>
      <c r="D10" s="39" t="n">
        <v>483</v>
      </c>
      <c r="E10" s="134" t="n">
        <v>0.5819277108433735</v>
      </c>
      <c r="F10" s="278" t="n"/>
      <c r="G10" s="251" t="n"/>
      <c r="H10" s="251" t="n"/>
      <c r="I10" s="251" t="n"/>
      <c r="J10" s="251" t="n"/>
      <c r="K10" s="279" t="n"/>
    </row>
    <row r="11">
      <c r="A11" s="278" t="n"/>
      <c r="B11" s="278" t="n"/>
      <c r="C11" s="278" t="n"/>
      <c r="D11" s="39" t="inlineStr">
        <is>
          <t>483 Итог</t>
        </is>
      </c>
      <c r="E11" s="276" t="n"/>
      <c r="F11" s="278" t="n"/>
      <c r="G11" s="251" t="n"/>
      <c r="H11" s="251" t="n"/>
      <c r="I11" s="251" t="n"/>
      <c r="J11" s="251" t="n"/>
      <c r="K11" s="279" t="n"/>
    </row>
    <row r="12">
      <c r="A12" s="278" t="n"/>
      <c r="B12" s="278" t="n"/>
      <c r="C12" s="39" t="inlineStr">
        <is>
          <t>464 Итог</t>
        </is>
      </c>
      <c r="D12" s="276" t="n"/>
      <c r="E12" s="276" t="n"/>
      <c r="F12" s="278" t="n"/>
      <c r="G12" s="251" t="n"/>
      <c r="H12" s="251" t="n"/>
      <c r="I12" s="251" t="n"/>
      <c r="J12" s="251" t="n"/>
      <c r="K12" s="279" t="n"/>
    </row>
    <row r="13">
      <c r="A13" s="278" t="n"/>
      <c r="B13" s="39" t="inlineStr">
        <is>
          <t>19 Итог</t>
        </is>
      </c>
      <c r="C13" s="276" t="n"/>
      <c r="D13" s="276" t="n"/>
      <c r="E13" s="276" t="n"/>
      <c r="F13" s="278" t="n"/>
      <c r="G13" s="251" t="n"/>
      <c r="H13" s="251" t="n"/>
      <c r="I13" s="251" t="n"/>
      <c r="J13" s="251" t="n"/>
      <c r="K13" s="279" t="n"/>
    </row>
    <row r="14">
      <c r="A14" s="39" t="inlineStr">
        <is>
          <t>Баберцян Сергей Арамович  Итог</t>
        </is>
      </c>
      <c r="B14" s="276" t="n"/>
      <c r="C14" s="276" t="n"/>
      <c r="D14" s="276" t="n"/>
      <c r="E14" s="276" t="n"/>
      <c r="F14" s="278" t="n"/>
      <c r="G14" s="251" t="n"/>
      <c r="H14" s="251" t="n"/>
      <c r="I14" s="251" t="n"/>
      <c r="J14" s="251" t="n"/>
      <c r="K14" s="279" t="n"/>
    </row>
    <row r="15">
      <c r="A15" s="39" t="inlineStr">
        <is>
          <t xml:space="preserve">Банишев Александр Федорович </t>
        </is>
      </c>
      <c r="B15" s="39" t="n">
        <v>137</v>
      </c>
      <c r="C15" s="39" t="n">
        <v>60</v>
      </c>
      <c r="D15" s="39" t="n">
        <v>197</v>
      </c>
      <c r="E15" s="134" t="n">
        <v>0.2373493975903614</v>
      </c>
      <c r="F15" s="278" t="n"/>
      <c r="G15" s="251" t="n"/>
      <c r="H15" s="251" t="n"/>
      <c r="I15" s="251" t="n"/>
      <c r="J15" s="251" t="n"/>
      <c r="K15" s="279" t="n"/>
    </row>
    <row r="16">
      <c r="A16" s="278" t="n"/>
      <c r="B16" s="278" t="n"/>
      <c r="C16" s="278" t="n"/>
      <c r="D16" s="39" t="inlineStr">
        <is>
          <t>197 Итог</t>
        </is>
      </c>
      <c r="E16" s="276" t="n"/>
      <c r="F16" s="278" t="n"/>
      <c r="G16" s="251" t="n"/>
      <c r="H16" s="251" t="n"/>
      <c r="I16" s="251" t="n"/>
      <c r="J16" s="251" t="n"/>
      <c r="K16" s="279" t="n"/>
    </row>
    <row r="17">
      <c r="A17" s="278" t="n"/>
      <c r="B17" s="278" t="n"/>
      <c r="C17" s="39" t="inlineStr">
        <is>
          <t>60 Итог</t>
        </is>
      </c>
      <c r="D17" s="276" t="n"/>
      <c r="E17" s="276" t="n"/>
      <c r="F17" s="278" t="n"/>
      <c r="G17" s="251" t="n"/>
      <c r="H17" s="251" t="n"/>
      <c r="I17" s="251" t="n"/>
      <c r="J17" s="251" t="n"/>
      <c r="K17" s="279" t="n"/>
    </row>
    <row r="18">
      <c r="A18" s="278" t="n"/>
      <c r="B18" s="39" t="inlineStr">
        <is>
          <t>137 Итог</t>
        </is>
      </c>
      <c r="C18" s="276" t="n"/>
      <c r="D18" s="276" t="n"/>
      <c r="E18" s="276" t="n"/>
      <c r="F18" s="278" t="n"/>
      <c r="G18" s="251" t="n"/>
      <c r="H18" s="251" t="n"/>
      <c r="I18" s="251" t="n"/>
      <c r="J18" s="251" t="n"/>
      <c r="K18" s="279" t="n"/>
    </row>
    <row r="19">
      <c r="A19" s="39" t="inlineStr">
        <is>
          <t>Банишев Александр Федорович  Итог</t>
        </is>
      </c>
      <c r="B19" s="276" t="n"/>
      <c r="C19" s="276" t="n"/>
      <c r="D19" s="276" t="n"/>
      <c r="E19" s="276" t="n"/>
      <c r="F19" s="278" t="n"/>
      <c r="G19" s="251" t="n"/>
      <c r="H19" s="251" t="n"/>
      <c r="I19" s="251" t="n"/>
      <c r="J19" s="251" t="n"/>
      <c r="K19" s="279" t="n"/>
    </row>
    <row r="20">
      <c r="A20" s="39" t="inlineStr">
        <is>
          <t xml:space="preserve">Барабанова Ольга Алексеевна </t>
        </is>
      </c>
      <c r="B20" s="39" t="n">
        <v>305</v>
      </c>
      <c r="C20" s="39" t="n">
        <v>391</v>
      </c>
      <c r="D20" s="39" t="n">
        <v>696</v>
      </c>
      <c r="E20" s="134" t="n">
        <v>0.8385542168674699</v>
      </c>
      <c r="F20" s="278" t="n"/>
      <c r="G20" s="251" t="n"/>
      <c r="H20" s="251" t="n"/>
      <c r="I20" s="251" t="n"/>
      <c r="J20" s="251" t="n"/>
      <c r="K20" s="279" t="n"/>
    </row>
    <row r="21" ht="15.75" customHeight="1" s="2">
      <c r="A21" s="278" t="n"/>
      <c r="B21" s="278" t="n"/>
      <c r="C21" s="278" t="n"/>
      <c r="D21" s="39" t="inlineStr">
        <is>
          <t>696 Итог</t>
        </is>
      </c>
      <c r="E21" s="276" t="n"/>
      <c r="F21" s="278" t="n"/>
      <c r="G21" s="251" t="n"/>
      <c r="H21" s="251" t="n"/>
      <c r="I21" s="251" t="n"/>
      <c r="J21" s="251" t="n"/>
      <c r="K21" s="279" t="n"/>
    </row>
    <row r="22" ht="15.75" customHeight="1" s="2">
      <c r="A22" s="278" t="n"/>
      <c r="B22" s="278" t="n"/>
      <c r="C22" s="39" t="inlineStr">
        <is>
          <t>391 Итог</t>
        </is>
      </c>
      <c r="D22" s="276" t="n"/>
      <c r="E22" s="276" t="n"/>
      <c r="F22" s="278" t="n"/>
      <c r="G22" s="251" t="n"/>
      <c r="H22" s="251" t="n"/>
      <c r="I22" s="251" t="n"/>
      <c r="J22" s="251" t="n"/>
      <c r="K22" s="279" t="n"/>
    </row>
    <row r="23" ht="15.75" customHeight="1" s="2">
      <c r="A23" s="278" t="n"/>
      <c r="B23" s="39" t="inlineStr">
        <is>
          <t>305 Итог</t>
        </is>
      </c>
      <c r="C23" s="276" t="n"/>
      <c r="D23" s="276" t="n"/>
      <c r="E23" s="276" t="n"/>
      <c r="F23" s="278" t="n"/>
      <c r="G23" s="251" t="n"/>
      <c r="H23" s="251" t="n"/>
      <c r="I23" s="251" t="n"/>
      <c r="J23" s="251" t="n"/>
      <c r="K23" s="279" t="n"/>
    </row>
    <row r="24" ht="15.75" customHeight="1" s="2">
      <c r="A24" s="39" t="inlineStr">
        <is>
          <t>Барабанова Ольга Алексеевна  Итог</t>
        </is>
      </c>
      <c r="B24" s="276" t="n"/>
      <c r="C24" s="276" t="n"/>
      <c r="D24" s="276" t="n"/>
      <c r="E24" s="276" t="n"/>
      <c r="F24" s="278" t="n"/>
      <c r="G24" s="251" t="n"/>
      <c r="H24" s="251" t="n"/>
      <c r="I24" s="251" t="n"/>
      <c r="J24" s="251" t="n"/>
      <c r="K24" s="279" t="n"/>
    </row>
    <row r="25" ht="15.75" customHeight="1" s="2">
      <c r="A25" s="39" t="inlineStr">
        <is>
          <t>Бережной Дмитрий Васильевич</t>
        </is>
      </c>
      <c r="B25" s="39" t="n">
        <v>268</v>
      </c>
      <c r="C25" s="39" t="n">
        <v>429</v>
      </c>
      <c r="D25" s="39" t="n">
        <v>697</v>
      </c>
      <c r="E25" s="134" t="n">
        <v>0.8397590361445784</v>
      </c>
      <c r="F25" s="278" t="n"/>
      <c r="G25" s="251" t="n"/>
      <c r="H25" s="251" t="n"/>
      <c r="I25" s="251" t="n"/>
      <c r="J25" s="251" t="n"/>
      <c r="K25" s="279" t="n"/>
    </row>
    <row r="26" ht="15.75" customHeight="1" s="2">
      <c r="A26" s="278" t="n"/>
      <c r="B26" s="278" t="n"/>
      <c r="C26" s="278" t="n"/>
      <c r="D26" s="39" t="inlineStr">
        <is>
          <t>697 Итог</t>
        </is>
      </c>
      <c r="E26" s="276" t="n"/>
      <c r="F26" s="278" t="n"/>
      <c r="G26" s="251" t="n"/>
      <c r="H26" s="251" t="n"/>
      <c r="I26" s="251" t="n"/>
      <c r="J26" s="251" t="n"/>
      <c r="K26" s="279" t="n"/>
    </row>
    <row r="27" ht="15.75" customHeight="1" s="2">
      <c r="A27" s="278" t="n"/>
      <c r="B27" s="278" t="n"/>
      <c r="C27" s="39" t="inlineStr">
        <is>
          <t>429 Итог</t>
        </is>
      </c>
      <c r="D27" s="276" t="n"/>
      <c r="E27" s="276" t="n"/>
      <c r="F27" s="278" t="n"/>
      <c r="G27" s="251" t="n"/>
      <c r="H27" s="251" t="n"/>
      <c r="I27" s="251" t="n"/>
      <c r="J27" s="251" t="n"/>
      <c r="K27" s="279" t="n"/>
    </row>
    <row r="28" ht="15.75" customHeight="1" s="2">
      <c r="A28" s="278" t="n"/>
      <c r="B28" s="39" t="inlineStr">
        <is>
          <t>268 Итог</t>
        </is>
      </c>
      <c r="C28" s="276" t="n"/>
      <c r="D28" s="276" t="n"/>
      <c r="E28" s="276" t="n"/>
      <c r="F28" s="278" t="n"/>
      <c r="G28" s="251" t="n"/>
      <c r="H28" s="251" t="n"/>
      <c r="I28" s="251" t="n"/>
      <c r="J28" s="251" t="n"/>
      <c r="K28" s="279" t="n"/>
    </row>
    <row r="29" ht="15.75" customHeight="1" s="2">
      <c r="A29" s="39" t="inlineStr">
        <is>
          <t>Бережной Дмитрий Васильевич Итог</t>
        </is>
      </c>
      <c r="B29" s="276" t="n"/>
      <c r="C29" s="276" t="n"/>
      <c r="D29" s="276" t="n"/>
      <c r="E29" s="276" t="n"/>
      <c r="F29" s="278" t="n"/>
      <c r="G29" s="251" t="n"/>
      <c r="H29" s="251" t="n"/>
      <c r="I29" s="251" t="n"/>
      <c r="J29" s="251" t="n"/>
      <c r="K29" s="279" t="n"/>
    </row>
    <row r="30" ht="15.75" customHeight="1" s="2">
      <c r="A30" s="39" t="inlineStr">
        <is>
          <t xml:space="preserve">Беспалов Александр Владимирович </t>
        </is>
      </c>
      <c r="B30" s="39" t="n">
        <v>102</v>
      </c>
      <c r="C30" s="39" t="n">
        <v>125</v>
      </c>
      <c r="D30" s="39" t="n">
        <v>227</v>
      </c>
      <c r="E30" s="134" t="n">
        <v>0.2734939759036145</v>
      </c>
      <c r="F30" s="278" t="n"/>
      <c r="G30" s="251" t="n"/>
      <c r="H30" s="251" t="n"/>
      <c r="I30" s="251" t="n"/>
      <c r="J30" s="251" t="n"/>
      <c r="K30" s="279" t="n"/>
    </row>
    <row r="31" ht="15.75" customHeight="1" s="2">
      <c r="A31" s="278" t="n"/>
      <c r="B31" s="278" t="n"/>
      <c r="C31" s="278" t="n"/>
      <c r="D31" s="39" t="inlineStr">
        <is>
          <t>227 Итог</t>
        </is>
      </c>
      <c r="E31" s="276" t="n"/>
      <c r="F31" s="278" t="n"/>
      <c r="G31" s="251" t="n"/>
      <c r="H31" s="251" t="n"/>
      <c r="I31" s="251" t="n"/>
      <c r="J31" s="251" t="n"/>
      <c r="K31" s="279" t="n"/>
    </row>
    <row r="32" ht="15.75" customHeight="1" s="2">
      <c r="A32" s="278" t="n"/>
      <c r="B32" s="278" t="n"/>
      <c r="C32" s="39" t="inlineStr">
        <is>
          <t>125 Итог</t>
        </is>
      </c>
      <c r="D32" s="276" t="n"/>
      <c r="E32" s="276" t="n"/>
      <c r="F32" s="278" t="n"/>
      <c r="G32" s="251" t="n"/>
      <c r="H32" s="251" t="n"/>
      <c r="I32" s="251" t="n"/>
      <c r="J32" s="251" t="n"/>
      <c r="K32" s="279" t="n"/>
    </row>
    <row r="33" ht="15.75" customHeight="1" s="2">
      <c r="A33" s="278" t="n"/>
      <c r="B33" s="39" t="inlineStr">
        <is>
          <t>102 Итог</t>
        </is>
      </c>
      <c r="C33" s="276" t="n"/>
      <c r="D33" s="276" t="n"/>
      <c r="E33" s="276" t="n"/>
      <c r="F33" s="278" t="n"/>
      <c r="G33" s="251" t="n"/>
      <c r="H33" s="251" t="n"/>
      <c r="I33" s="251" t="n"/>
      <c r="J33" s="251" t="n"/>
      <c r="K33" s="279" t="n"/>
    </row>
    <row r="34" ht="15.75" customHeight="1" s="2">
      <c r="A34" s="39" t="inlineStr">
        <is>
          <t>Беспалов Александр Владимирович  Итог</t>
        </is>
      </c>
      <c r="B34" s="276" t="n"/>
      <c r="C34" s="276" t="n"/>
      <c r="D34" s="276" t="n"/>
      <c r="E34" s="276" t="n"/>
      <c r="F34" s="278" t="n"/>
      <c r="G34" s="251" t="n"/>
      <c r="H34" s="251" t="n"/>
      <c r="I34" s="251" t="n"/>
      <c r="J34" s="251" t="n"/>
      <c r="K34" s="279" t="n"/>
    </row>
    <row r="35" ht="15.75" customHeight="1" s="2">
      <c r="A35" s="39" t="inlineStr">
        <is>
          <t xml:space="preserve">Бобрышев Борис Леонидович </t>
        </is>
      </c>
      <c r="B35" s="39" t="n">
        <v>408</v>
      </c>
      <c r="C35" s="39" t="n">
        <v>95</v>
      </c>
      <c r="D35" s="39" t="n">
        <v>503</v>
      </c>
      <c r="E35" s="134" t="n">
        <v>0.6060240963855422</v>
      </c>
      <c r="F35" s="278" t="n"/>
      <c r="G35" s="251" t="n"/>
      <c r="H35" s="251" t="n"/>
      <c r="I35" s="251" t="n"/>
      <c r="J35" s="251" t="n"/>
      <c r="K35" s="279" t="n"/>
    </row>
    <row r="36" ht="15.75" customHeight="1" s="2">
      <c r="A36" s="278" t="n"/>
      <c r="B36" s="278" t="n"/>
      <c r="C36" s="278" t="n"/>
      <c r="D36" s="39" t="inlineStr">
        <is>
          <t>503 Итог</t>
        </is>
      </c>
      <c r="E36" s="276" t="n"/>
      <c r="F36" s="278" t="n"/>
      <c r="G36" s="251" t="n"/>
      <c r="H36" s="251" t="n"/>
      <c r="I36" s="251" t="n"/>
      <c r="J36" s="251" t="n"/>
      <c r="K36" s="279" t="n"/>
    </row>
    <row r="37" ht="15.75" customHeight="1" s="2">
      <c r="A37" s="278" t="n"/>
      <c r="B37" s="278" t="n"/>
      <c r="C37" s="39" t="inlineStr">
        <is>
          <t>95 Итог</t>
        </is>
      </c>
      <c r="D37" s="276" t="n"/>
      <c r="E37" s="276" t="n"/>
      <c r="F37" s="278" t="n"/>
      <c r="G37" s="251" t="n"/>
      <c r="H37" s="251" t="n"/>
      <c r="I37" s="251" t="n"/>
      <c r="J37" s="251" t="n"/>
      <c r="K37" s="279" t="n"/>
    </row>
    <row r="38" ht="15.75" customHeight="1" s="2">
      <c r="A38" s="278" t="n"/>
      <c r="B38" s="39" t="inlineStr">
        <is>
          <t>408 Итог</t>
        </is>
      </c>
      <c r="C38" s="276" t="n"/>
      <c r="D38" s="276" t="n"/>
      <c r="E38" s="276" t="n"/>
      <c r="F38" s="278" t="n"/>
      <c r="G38" s="251" t="n"/>
      <c r="H38" s="251" t="n"/>
      <c r="I38" s="251" t="n"/>
      <c r="J38" s="251" t="n"/>
      <c r="K38" s="279" t="n"/>
    </row>
    <row r="39" ht="15.75" customHeight="1" s="2">
      <c r="A39" s="39" t="inlineStr">
        <is>
          <t>Бобрышев Борис Леонидович  Итог</t>
        </is>
      </c>
      <c r="B39" s="276" t="n"/>
      <c r="C39" s="276" t="n"/>
      <c r="D39" s="276" t="n"/>
      <c r="E39" s="276" t="n"/>
      <c r="F39" s="278" t="n"/>
      <c r="G39" s="251" t="n"/>
      <c r="H39" s="251" t="n"/>
      <c r="I39" s="251" t="n"/>
      <c r="J39" s="251" t="n"/>
      <c r="K39" s="279" t="n"/>
    </row>
    <row r="40" ht="15.75" customHeight="1" s="2">
      <c r="A40" s="39" t="inlineStr">
        <is>
          <t xml:space="preserve">Варфоломеев Максим Сергеевич </t>
        </is>
      </c>
      <c r="B40" s="39" t="n">
        <v>248</v>
      </c>
      <c r="C40" s="39" t="n">
        <v>431</v>
      </c>
      <c r="D40" s="39" t="n">
        <v>679</v>
      </c>
      <c r="E40" s="134" t="n">
        <v>0.8180722891566266</v>
      </c>
      <c r="F40" s="278" t="n"/>
      <c r="G40" s="251" t="n"/>
      <c r="H40" s="251" t="n"/>
      <c r="I40" s="251" t="n"/>
      <c r="J40" s="251" t="n"/>
      <c r="K40" s="279" t="n"/>
    </row>
    <row r="41" ht="15.75" customHeight="1" s="2">
      <c r="A41" s="278" t="n"/>
      <c r="B41" s="278" t="n"/>
      <c r="C41" s="278" t="n"/>
      <c r="D41" s="39" t="inlineStr">
        <is>
          <t>679 Итог</t>
        </is>
      </c>
      <c r="E41" s="276" t="n"/>
      <c r="F41" s="278" t="n"/>
      <c r="G41" s="251" t="n"/>
      <c r="H41" s="251" t="n"/>
      <c r="I41" s="251" t="n"/>
      <c r="J41" s="251" t="n"/>
      <c r="K41" s="279" t="n"/>
    </row>
    <row r="42" ht="15.75" customHeight="1" s="2">
      <c r="A42" s="278" t="n"/>
      <c r="B42" s="278" t="n"/>
      <c r="C42" s="39" t="inlineStr">
        <is>
          <t>431 Итог</t>
        </is>
      </c>
      <c r="D42" s="276" t="n"/>
      <c r="E42" s="276" t="n"/>
      <c r="F42" s="278" t="n"/>
      <c r="G42" s="251" t="n"/>
      <c r="H42" s="251" t="n"/>
      <c r="I42" s="251" t="n"/>
      <c r="J42" s="251" t="n"/>
      <c r="K42" s="279" t="n"/>
    </row>
    <row r="43" ht="15.75" customHeight="1" s="2">
      <c r="A43" s="278" t="n"/>
      <c r="B43" s="39" t="inlineStr">
        <is>
          <t>248 Итог</t>
        </is>
      </c>
      <c r="C43" s="276" t="n"/>
      <c r="D43" s="276" t="n"/>
      <c r="E43" s="276" t="n"/>
      <c r="F43" s="278" t="n"/>
      <c r="G43" s="251" t="n"/>
      <c r="H43" s="251" t="n"/>
      <c r="I43" s="251" t="n"/>
      <c r="J43" s="251" t="n"/>
      <c r="K43" s="279" t="n"/>
    </row>
    <row r="44" ht="15.75" customHeight="1" s="2">
      <c r="A44" s="39" t="inlineStr">
        <is>
          <t>Варфоломеев Максим Сергеевич  Итог</t>
        </is>
      </c>
      <c r="B44" s="276" t="n"/>
      <c r="C44" s="276" t="n"/>
      <c r="D44" s="276" t="n"/>
      <c r="E44" s="276" t="n"/>
      <c r="F44" s="278" t="n"/>
      <c r="G44" s="251" t="n"/>
      <c r="H44" s="251" t="n"/>
      <c r="I44" s="251" t="n"/>
      <c r="J44" s="251" t="n"/>
      <c r="K44" s="279" t="n"/>
    </row>
    <row r="45" ht="15.75" customHeight="1" s="2">
      <c r="A45" s="39" t="inlineStr">
        <is>
          <t xml:space="preserve">Власенко Артем Николаевич </t>
        </is>
      </c>
      <c r="B45" s="39" t="n">
        <v>169</v>
      </c>
      <c r="C45" s="39" t="n">
        <v>316</v>
      </c>
      <c r="D45" s="39" t="n">
        <v>485</v>
      </c>
      <c r="E45" s="134" t="n">
        <v>0.5843373493975904</v>
      </c>
      <c r="F45" s="278" t="n"/>
      <c r="G45" s="251" t="n"/>
      <c r="H45" s="251" t="n"/>
      <c r="I45" s="251" t="n"/>
      <c r="J45" s="251" t="n"/>
      <c r="K45" s="279" t="n"/>
    </row>
    <row r="46" ht="15.75" customHeight="1" s="2">
      <c r="A46" s="278" t="n"/>
      <c r="B46" s="278" t="n"/>
      <c r="C46" s="278" t="n"/>
      <c r="D46" s="39" t="inlineStr">
        <is>
          <t>485 Итог</t>
        </is>
      </c>
      <c r="E46" s="276" t="n"/>
      <c r="F46" s="278" t="n"/>
      <c r="G46" s="251" t="n"/>
      <c r="H46" s="251" t="n"/>
      <c r="I46" s="251" t="n"/>
      <c r="J46" s="251" t="n"/>
      <c r="K46" s="279" t="n"/>
    </row>
    <row r="47" ht="15.75" customHeight="1" s="2">
      <c r="A47" s="278" t="n"/>
      <c r="B47" s="278" t="n"/>
      <c r="C47" s="39" t="inlineStr">
        <is>
          <t>316 Итог</t>
        </is>
      </c>
      <c r="D47" s="276" t="n"/>
      <c r="E47" s="276" t="n"/>
      <c r="F47" s="278" t="n"/>
      <c r="G47" s="251" t="n"/>
      <c r="H47" s="251" t="n"/>
      <c r="I47" s="251" t="n"/>
      <c r="J47" s="251" t="n"/>
      <c r="K47" s="279" t="n"/>
    </row>
    <row r="48" ht="15.75" customHeight="1" s="2">
      <c r="A48" s="278" t="n"/>
      <c r="B48" s="39" t="inlineStr">
        <is>
          <t>169 Итог</t>
        </is>
      </c>
      <c r="C48" s="276" t="n"/>
      <c r="D48" s="276" t="n"/>
      <c r="E48" s="276" t="n"/>
      <c r="F48" s="278" t="n"/>
      <c r="G48" s="251" t="n"/>
      <c r="H48" s="251" t="n"/>
      <c r="I48" s="251" t="n"/>
      <c r="J48" s="251" t="n"/>
      <c r="K48" s="279" t="n"/>
    </row>
    <row r="49" ht="15.75" customHeight="1" s="2">
      <c r="A49" s="39" t="inlineStr">
        <is>
          <t>Власенко Артем Николаевич  Итог</t>
        </is>
      </c>
      <c r="B49" s="276" t="n"/>
      <c r="C49" s="276" t="n"/>
      <c r="D49" s="276" t="n"/>
      <c r="E49" s="276" t="n"/>
      <c r="F49" s="278" t="n"/>
      <c r="G49" s="251" t="n"/>
      <c r="H49" s="251" t="n"/>
      <c r="I49" s="251" t="n"/>
      <c r="J49" s="251" t="n"/>
      <c r="K49" s="279" t="n"/>
    </row>
    <row r="50" ht="15.75" customHeight="1" s="2">
      <c r="A50" s="39" t="inlineStr">
        <is>
          <t>Галкин Виктор Иванович</t>
        </is>
      </c>
      <c r="B50" s="39" t="n">
        <v>318</v>
      </c>
      <c r="C50" s="39" t="n">
        <v>471</v>
      </c>
      <c r="D50" s="39" t="n">
        <v>789</v>
      </c>
      <c r="E50" s="134" t="n">
        <v>0.9506024096385542</v>
      </c>
      <c r="F50" s="278" t="n"/>
      <c r="G50" s="251" t="n"/>
      <c r="H50" s="251" t="n"/>
      <c r="I50" s="251" t="n"/>
      <c r="J50" s="251" t="n"/>
      <c r="K50" s="279" t="n"/>
    </row>
    <row r="51" ht="15.75" customHeight="1" s="2">
      <c r="A51" s="278" t="n"/>
      <c r="B51" s="278" t="n"/>
      <c r="C51" s="278" t="n"/>
      <c r="D51" s="39" t="inlineStr">
        <is>
          <t>789 Итог</t>
        </is>
      </c>
      <c r="E51" s="276" t="n"/>
      <c r="F51" s="278" t="n"/>
      <c r="G51" s="251" t="n"/>
      <c r="H51" s="251" t="n"/>
      <c r="I51" s="251" t="n"/>
      <c r="J51" s="251" t="n"/>
      <c r="K51" s="279" t="n"/>
    </row>
    <row r="52" ht="15.75" customHeight="1" s="2">
      <c r="A52" s="278" t="n"/>
      <c r="B52" s="278" t="n"/>
      <c r="C52" s="39" t="inlineStr">
        <is>
          <t>471 Итог</t>
        </is>
      </c>
      <c r="D52" s="276" t="n"/>
      <c r="E52" s="276" t="n"/>
      <c r="F52" s="278" t="n"/>
      <c r="G52" s="251" t="n"/>
      <c r="H52" s="251" t="n"/>
      <c r="I52" s="251" t="n"/>
      <c r="J52" s="251" t="n"/>
      <c r="K52" s="279" t="n"/>
    </row>
    <row r="53" ht="15.75" customHeight="1" s="2">
      <c r="A53" s="278" t="n"/>
      <c r="B53" s="39" t="inlineStr">
        <is>
          <t>318 Итог</t>
        </is>
      </c>
      <c r="C53" s="276" t="n"/>
      <c r="D53" s="276" t="n"/>
      <c r="E53" s="276" t="n"/>
      <c r="F53" s="278" t="n"/>
      <c r="G53" s="251" t="n"/>
      <c r="H53" s="251" t="n"/>
      <c r="I53" s="251" t="n"/>
      <c r="J53" s="251" t="n"/>
      <c r="K53" s="279" t="n"/>
    </row>
    <row r="54" ht="15.75" customHeight="1" s="2">
      <c r="A54" s="39" t="inlineStr">
        <is>
          <t>Галкин Виктор Иванович Итог</t>
        </is>
      </c>
      <c r="B54" s="276" t="n"/>
      <c r="C54" s="276" t="n"/>
      <c r="D54" s="276" t="n"/>
      <c r="E54" s="276" t="n"/>
      <c r="F54" s="278" t="n"/>
      <c r="G54" s="251" t="n"/>
      <c r="H54" s="251" t="n"/>
      <c r="I54" s="251" t="n"/>
      <c r="J54" s="251" t="n"/>
      <c r="K54" s="279" t="n"/>
    </row>
    <row r="55" ht="15.75" customHeight="1" s="2">
      <c r="A55" s="39" t="inlineStr">
        <is>
          <t xml:space="preserve">Галкин Виктор Иванович </t>
        </is>
      </c>
      <c r="B55" s="39" t="n">
        <v>42</v>
      </c>
      <c r="C55" s="39" t="n">
        <v>0</v>
      </c>
      <c r="D55" s="39" t="n">
        <v>42</v>
      </c>
      <c r="E55" s="134" t="n">
        <v>0.05060240963855422</v>
      </c>
      <c r="F55" s="278" t="n"/>
      <c r="G55" s="251" t="n"/>
      <c r="H55" s="251" t="n"/>
      <c r="I55" s="251" t="n"/>
      <c r="J55" s="251" t="n"/>
      <c r="K55" s="279" t="n"/>
    </row>
    <row r="56" ht="15.75" customHeight="1" s="2">
      <c r="A56" s="278" t="n"/>
      <c r="B56" s="278" t="n"/>
      <c r="C56" s="278" t="n"/>
      <c r="D56" s="39" t="inlineStr">
        <is>
          <t>42 Итог</t>
        </is>
      </c>
      <c r="E56" s="276" t="n"/>
      <c r="F56" s="278" t="n"/>
      <c r="G56" s="251" t="n"/>
      <c r="H56" s="251" t="n"/>
      <c r="I56" s="251" t="n"/>
      <c r="J56" s="251" t="n"/>
      <c r="K56" s="279" t="n"/>
    </row>
    <row r="57" ht="15.75" customHeight="1" s="2">
      <c r="A57" s="278" t="n"/>
      <c r="B57" s="278" t="n"/>
      <c r="C57" s="39" t="inlineStr">
        <is>
          <t>0 Итог</t>
        </is>
      </c>
      <c r="D57" s="276" t="n"/>
      <c r="E57" s="276" t="n"/>
      <c r="F57" s="278" t="n"/>
      <c r="G57" s="251" t="n"/>
      <c r="H57" s="251" t="n"/>
      <c r="I57" s="251" t="n"/>
      <c r="J57" s="251" t="n"/>
      <c r="K57" s="279" t="n"/>
    </row>
    <row r="58" ht="15.75" customHeight="1" s="2">
      <c r="A58" s="278" t="n"/>
      <c r="B58" s="39" t="inlineStr">
        <is>
          <t>42 Итог</t>
        </is>
      </c>
      <c r="C58" s="276" t="n"/>
      <c r="D58" s="276" t="n"/>
      <c r="E58" s="276" t="n"/>
      <c r="F58" s="278" t="n"/>
      <c r="G58" s="251" t="n"/>
      <c r="H58" s="251" t="n"/>
      <c r="I58" s="251" t="n"/>
      <c r="J58" s="251" t="n"/>
      <c r="K58" s="279" t="n"/>
    </row>
    <row r="59" ht="15.75" customHeight="1" s="2">
      <c r="A59" s="39" t="inlineStr">
        <is>
          <t>Галкин Виктор Иванович  Итог</t>
        </is>
      </c>
      <c r="B59" s="276" t="n"/>
      <c r="C59" s="276" t="n"/>
      <c r="D59" s="276" t="n"/>
      <c r="E59" s="276" t="n"/>
      <c r="F59" s="278" t="n"/>
      <c r="G59" s="251" t="n"/>
      <c r="H59" s="251" t="n"/>
      <c r="I59" s="251" t="n"/>
      <c r="J59" s="251" t="n"/>
      <c r="K59" s="279" t="n"/>
    </row>
    <row r="60" ht="15.75" customHeight="1" s="2">
      <c r="A60" s="39" t="inlineStr">
        <is>
          <t xml:space="preserve">Галкин Евгений Владимирович </t>
        </is>
      </c>
      <c r="B60" s="39" t="n">
        <v>399.5</v>
      </c>
      <c r="C60" s="39" t="n">
        <v>432.5</v>
      </c>
      <c r="D60" s="39" t="n">
        <v>832</v>
      </c>
      <c r="E60" s="134" t="n">
        <v>1.002409638554217</v>
      </c>
      <c r="F60" s="278" t="n"/>
      <c r="G60" s="251" t="n"/>
      <c r="H60" s="251" t="n"/>
      <c r="I60" s="251" t="n"/>
      <c r="J60" s="251" t="n"/>
      <c r="K60" s="279" t="n"/>
    </row>
    <row r="61" ht="15.75" customHeight="1" s="2">
      <c r="A61" s="278" t="n"/>
      <c r="B61" s="278" t="n"/>
      <c r="C61" s="278" t="n"/>
      <c r="D61" s="39" t="inlineStr">
        <is>
          <t>832 Итог</t>
        </is>
      </c>
      <c r="E61" s="276" t="n"/>
      <c r="F61" s="278" t="n"/>
      <c r="G61" s="251" t="n"/>
      <c r="H61" s="251" t="n"/>
      <c r="I61" s="251" t="n"/>
      <c r="J61" s="251" t="n"/>
      <c r="K61" s="279" t="n"/>
    </row>
    <row r="62" ht="15.75" customHeight="1" s="2">
      <c r="A62" s="278" t="n"/>
      <c r="B62" s="278" t="n"/>
      <c r="C62" s="39" t="inlineStr">
        <is>
          <t>432,5 Итог</t>
        </is>
      </c>
      <c r="D62" s="276" t="n"/>
      <c r="E62" s="276" t="n"/>
      <c r="F62" s="278" t="n"/>
      <c r="G62" s="251" t="n"/>
      <c r="H62" s="251" t="n"/>
      <c r="I62" s="251" t="n"/>
      <c r="J62" s="251" t="n"/>
      <c r="K62" s="279" t="n"/>
    </row>
    <row r="63" ht="15.75" customHeight="1" s="2">
      <c r="A63" s="278" t="n"/>
      <c r="B63" s="39" t="inlineStr">
        <is>
          <t>399,5 Итог</t>
        </is>
      </c>
      <c r="C63" s="276" t="n"/>
      <c r="D63" s="276" t="n"/>
      <c r="E63" s="276" t="n"/>
      <c r="F63" s="278" t="n"/>
      <c r="G63" s="251" t="n"/>
      <c r="H63" s="251" t="n"/>
      <c r="I63" s="251" t="n"/>
      <c r="J63" s="251" t="n"/>
      <c r="K63" s="279" t="n"/>
    </row>
    <row r="64" ht="15.75" customHeight="1" s="2">
      <c r="A64" s="39" t="inlineStr">
        <is>
          <t>Галкин Евгений Владимирович  Итог</t>
        </is>
      </c>
      <c r="B64" s="276" t="n"/>
      <c r="C64" s="276" t="n"/>
      <c r="D64" s="276" t="n"/>
      <c r="E64" s="276" t="n"/>
      <c r="F64" s="278" t="n"/>
      <c r="G64" s="251" t="n"/>
      <c r="H64" s="251" t="n"/>
      <c r="I64" s="251" t="n"/>
      <c r="J64" s="251" t="n"/>
      <c r="K64" s="279" t="n"/>
    </row>
    <row r="65" ht="15.75" customHeight="1" s="2">
      <c r="A65" s="39" t="inlineStr">
        <is>
          <t>Еремеев Владимир Викторович</t>
        </is>
      </c>
      <c r="B65" s="39" t="n">
        <v>30</v>
      </c>
      <c r="C65" s="39" t="n">
        <v>88</v>
      </c>
      <c r="D65" s="39" t="n">
        <v>118</v>
      </c>
      <c r="E65" s="134" t="n">
        <v>0.1421686746987952</v>
      </c>
      <c r="F65" s="278" t="n"/>
      <c r="G65" s="251" t="n"/>
      <c r="H65" s="251" t="n"/>
      <c r="I65" s="251" t="n"/>
      <c r="J65" s="251" t="n"/>
      <c r="K65" s="279" t="n"/>
    </row>
    <row r="66" ht="15.75" customHeight="1" s="2">
      <c r="A66" s="278" t="n"/>
      <c r="B66" s="278" t="n"/>
      <c r="C66" s="278" t="n"/>
      <c r="D66" s="39" t="inlineStr">
        <is>
          <t>118 Итог</t>
        </is>
      </c>
      <c r="E66" s="276" t="n"/>
      <c r="F66" s="278" t="n"/>
      <c r="G66" s="251" t="n"/>
      <c r="H66" s="251" t="n"/>
      <c r="I66" s="251" t="n"/>
      <c r="J66" s="251" t="n"/>
      <c r="K66" s="279" t="n"/>
    </row>
    <row r="67" ht="15.75" customHeight="1" s="2">
      <c r="A67" s="278" t="n"/>
      <c r="B67" s="278" t="n"/>
      <c r="C67" s="39" t="inlineStr">
        <is>
          <t>88 Итог</t>
        </is>
      </c>
      <c r="D67" s="276" t="n"/>
      <c r="E67" s="276" t="n"/>
      <c r="F67" s="278" t="n"/>
      <c r="G67" s="251" t="n"/>
      <c r="H67" s="251" t="n"/>
      <c r="I67" s="251" t="n"/>
      <c r="J67" s="251" t="n"/>
      <c r="K67" s="279" t="n"/>
    </row>
    <row r="68" ht="15.75" customHeight="1" s="2">
      <c r="A68" s="278" t="n"/>
      <c r="B68" s="39" t="inlineStr">
        <is>
          <t>30 Итог</t>
        </is>
      </c>
      <c r="C68" s="276" t="n"/>
      <c r="D68" s="276" t="n"/>
      <c r="E68" s="276" t="n"/>
      <c r="F68" s="278" t="n"/>
      <c r="G68" s="251" t="n"/>
      <c r="H68" s="251" t="n"/>
      <c r="I68" s="251" t="n"/>
      <c r="J68" s="251" t="n"/>
      <c r="K68" s="279" t="n"/>
    </row>
    <row r="69" ht="15.75" customHeight="1" s="2">
      <c r="A69" s="39" t="inlineStr">
        <is>
          <t>Еремеев Владимир Викторович Итог</t>
        </is>
      </c>
      <c r="B69" s="276" t="n"/>
      <c r="C69" s="276" t="n"/>
      <c r="D69" s="276" t="n"/>
      <c r="E69" s="276" t="n"/>
      <c r="F69" s="278" t="n"/>
      <c r="G69" s="251" t="n"/>
      <c r="H69" s="251" t="n"/>
      <c r="I69" s="251" t="n"/>
      <c r="J69" s="251" t="n"/>
      <c r="K69" s="279" t="n"/>
    </row>
    <row r="70" ht="15.75" customHeight="1" s="2">
      <c r="A70" s="39" t="inlineStr">
        <is>
          <t xml:space="preserve">Еремеев Николай Владимирович </t>
        </is>
      </c>
      <c r="B70" s="39" t="n">
        <v>0</v>
      </c>
      <c r="C70" s="39" t="n">
        <v>155</v>
      </c>
      <c r="D70" s="39" t="n">
        <v>155</v>
      </c>
      <c r="E70" s="134" t="n">
        <v>0.1867469879518072</v>
      </c>
      <c r="F70" s="278" t="n"/>
      <c r="G70" s="251" t="n"/>
      <c r="H70" s="251" t="n"/>
      <c r="I70" s="251" t="n"/>
      <c r="J70" s="251" t="n"/>
      <c r="K70" s="279" t="n"/>
    </row>
    <row r="71" ht="15.75" customHeight="1" s="2">
      <c r="A71" s="278" t="n"/>
      <c r="B71" s="278" t="n"/>
      <c r="C71" s="278" t="n"/>
      <c r="D71" s="39" t="inlineStr">
        <is>
          <t>155 Итог</t>
        </is>
      </c>
      <c r="E71" s="276" t="n"/>
      <c r="F71" s="278" t="n"/>
      <c r="G71" s="251" t="n"/>
      <c r="H71" s="251" t="n"/>
      <c r="I71" s="251" t="n"/>
      <c r="J71" s="251" t="n"/>
      <c r="K71" s="279" t="n"/>
    </row>
    <row r="72" ht="15.75" customHeight="1" s="2">
      <c r="A72" s="278" t="n"/>
      <c r="B72" s="278" t="n"/>
      <c r="C72" s="39" t="inlineStr">
        <is>
          <t>155 Итог</t>
        </is>
      </c>
      <c r="D72" s="276" t="n"/>
      <c r="E72" s="276" t="n"/>
      <c r="F72" s="278" t="n"/>
      <c r="G72" s="251" t="n"/>
      <c r="H72" s="251" t="n"/>
      <c r="I72" s="251" t="n"/>
      <c r="J72" s="251" t="n"/>
      <c r="K72" s="279" t="n"/>
    </row>
    <row r="73" ht="15.75" customHeight="1" s="2">
      <c r="A73" s="278" t="n"/>
      <c r="B73" s="39" t="inlineStr">
        <is>
          <t>0 Итог</t>
        </is>
      </c>
      <c r="C73" s="276" t="n"/>
      <c r="D73" s="276" t="n"/>
      <c r="E73" s="276" t="n"/>
      <c r="F73" s="278" t="n"/>
      <c r="G73" s="251" t="n"/>
      <c r="H73" s="251" t="n"/>
      <c r="I73" s="251" t="n"/>
      <c r="J73" s="251" t="n"/>
      <c r="K73" s="279" t="n"/>
    </row>
    <row r="74" ht="15.75" customHeight="1" s="2">
      <c r="A74" s="39" t="inlineStr">
        <is>
          <t>Еремеев Николай Владимирович  Итог</t>
        </is>
      </c>
      <c r="B74" s="276" t="n"/>
      <c r="C74" s="276" t="n"/>
      <c r="D74" s="276" t="n"/>
      <c r="E74" s="276" t="n"/>
      <c r="F74" s="278" t="n"/>
      <c r="G74" s="251" t="n"/>
      <c r="H74" s="251" t="n"/>
      <c r="I74" s="251" t="n"/>
      <c r="J74" s="251" t="n"/>
      <c r="K74" s="279" t="n"/>
    </row>
    <row r="75" ht="15.75" customHeight="1" s="2">
      <c r="A75" s="39" t="inlineStr">
        <is>
          <t xml:space="preserve">Жаров Максим Владимирович </t>
        </is>
      </c>
      <c r="B75" s="39" t="n">
        <v>487</v>
      </c>
      <c r="C75" s="39" t="n">
        <v>251</v>
      </c>
      <c r="D75" s="39" t="n">
        <v>738</v>
      </c>
      <c r="E75" s="134" t="n">
        <v>0.8891566265060241</v>
      </c>
      <c r="F75" s="278" t="n"/>
      <c r="G75" s="251" t="n"/>
      <c r="H75" s="251" t="n"/>
      <c r="I75" s="251" t="n"/>
      <c r="J75" s="251" t="n"/>
      <c r="K75" s="279" t="n"/>
    </row>
    <row r="76" ht="15.75" customHeight="1" s="2">
      <c r="A76" s="278" t="n"/>
      <c r="B76" s="278" t="n"/>
      <c r="C76" s="278" t="n"/>
      <c r="D76" s="39" t="inlineStr">
        <is>
          <t>738 Итог</t>
        </is>
      </c>
      <c r="E76" s="276" t="n"/>
      <c r="F76" s="278" t="n"/>
      <c r="G76" s="251" t="n"/>
      <c r="H76" s="251" t="n"/>
      <c r="I76" s="251" t="n"/>
      <c r="J76" s="251" t="n"/>
      <c r="K76" s="279" t="n"/>
    </row>
    <row r="77" ht="15.75" customHeight="1" s="2">
      <c r="A77" s="278" t="n"/>
      <c r="B77" s="278" t="n"/>
      <c r="C77" s="39" t="inlineStr">
        <is>
          <t>251 Итог</t>
        </is>
      </c>
      <c r="D77" s="276" t="n"/>
      <c r="E77" s="276" t="n"/>
      <c r="F77" s="278" t="n"/>
      <c r="G77" s="251" t="n"/>
      <c r="H77" s="251" t="n"/>
      <c r="I77" s="251" t="n"/>
      <c r="J77" s="251" t="n"/>
      <c r="K77" s="279" t="n"/>
    </row>
    <row r="78" ht="15.75" customHeight="1" s="2">
      <c r="A78" s="278" t="n"/>
      <c r="B78" s="39" t="inlineStr">
        <is>
          <t>487 Итог</t>
        </is>
      </c>
      <c r="C78" s="276" t="n"/>
      <c r="D78" s="276" t="n"/>
      <c r="E78" s="276" t="n"/>
      <c r="F78" s="278" t="n"/>
      <c r="G78" s="251" t="n"/>
      <c r="H78" s="251" t="n"/>
      <c r="I78" s="251" t="n"/>
      <c r="J78" s="251" t="n"/>
      <c r="K78" s="279" t="n"/>
    </row>
    <row r="79" ht="15.75" customHeight="1" s="2">
      <c r="A79" s="39" t="inlineStr">
        <is>
          <t>Жаров Максим Владимирович  Итог</t>
        </is>
      </c>
      <c r="B79" s="276" t="n"/>
      <c r="C79" s="276" t="n"/>
      <c r="D79" s="276" t="n"/>
      <c r="E79" s="276" t="n"/>
      <c r="F79" s="278" t="n"/>
      <c r="G79" s="251" t="n"/>
      <c r="H79" s="251" t="n"/>
      <c r="I79" s="251" t="n"/>
      <c r="J79" s="251" t="n"/>
      <c r="K79" s="279" t="n"/>
    </row>
    <row r="80" ht="15.75" customHeight="1" s="2">
      <c r="A80" s="39" t="inlineStr">
        <is>
          <t xml:space="preserve">Комаров Роман Сергеевич </t>
        </is>
      </c>
      <c r="B80" s="39" t="n">
        <v>74</v>
      </c>
      <c r="C80" s="39" t="n">
        <v>118</v>
      </c>
      <c r="D80" s="39" t="n">
        <v>192</v>
      </c>
      <c r="E80" s="134" t="n">
        <v>0.2313253012048193</v>
      </c>
      <c r="F80" s="278" t="n"/>
      <c r="G80" s="251" t="n"/>
      <c r="H80" s="251" t="n"/>
      <c r="I80" s="251" t="n"/>
      <c r="J80" s="251" t="n"/>
      <c r="K80" s="279" t="n"/>
    </row>
    <row r="81" ht="15.75" customHeight="1" s="2">
      <c r="A81" s="278" t="n"/>
      <c r="B81" s="278" t="n"/>
      <c r="C81" s="278" t="n"/>
      <c r="D81" s="39" t="inlineStr">
        <is>
          <t>192 Итог</t>
        </is>
      </c>
      <c r="E81" s="276" t="n"/>
      <c r="F81" s="278" t="n"/>
      <c r="G81" s="251" t="n"/>
      <c r="H81" s="251" t="n"/>
      <c r="I81" s="251" t="n"/>
      <c r="J81" s="251" t="n"/>
      <c r="K81" s="279" t="n"/>
    </row>
    <row r="82" ht="15.75" customHeight="1" s="2">
      <c r="A82" s="278" t="n"/>
      <c r="B82" s="278" t="n"/>
      <c r="C82" s="39" t="inlineStr">
        <is>
          <t>118 Итог</t>
        </is>
      </c>
      <c r="D82" s="276" t="n"/>
      <c r="E82" s="276" t="n"/>
      <c r="F82" s="278" t="n"/>
      <c r="G82" s="251" t="n"/>
      <c r="H82" s="251" t="n"/>
      <c r="I82" s="251" t="n"/>
      <c r="J82" s="251" t="n"/>
      <c r="K82" s="279" t="n"/>
    </row>
    <row r="83" ht="15.75" customHeight="1" s="2">
      <c r="A83" s="278" t="n"/>
      <c r="B83" s="39" t="inlineStr">
        <is>
          <t>74 Итог</t>
        </is>
      </c>
      <c r="C83" s="276" t="n"/>
      <c r="D83" s="276" t="n"/>
      <c r="E83" s="276" t="n"/>
      <c r="F83" s="278" t="n"/>
      <c r="G83" s="251" t="n"/>
      <c r="H83" s="251" t="n"/>
      <c r="I83" s="251" t="n"/>
      <c r="J83" s="251" t="n"/>
      <c r="K83" s="279" t="n"/>
    </row>
    <row r="84" ht="15.75" customHeight="1" s="2">
      <c r="A84" s="39" t="inlineStr">
        <is>
          <t>Комаров Роман Сергеевич  Итог</t>
        </is>
      </c>
      <c r="B84" s="276" t="n"/>
      <c r="C84" s="276" t="n"/>
      <c r="D84" s="276" t="n"/>
      <c r="E84" s="276" t="n"/>
      <c r="F84" s="278" t="n"/>
      <c r="G84" s="251" t="n"/>
      <c r="H84" s="251" t="n"/>
      <c r="I84" s="251" t="n"/>
      <c r="J84" s="251" t="n"/>
      <c r="K84" s="279" t="n"/>
    </row>
    <row r="85" ht="15.75" customHeight="1" s="2">
      <c r="A85" s="39" t="inlineStr">
        <is>
          <t xml:space="preserve">Конкевич Валентин Юрьевич </t>
        </is>
      </c>
      <c r="B85" s="39" t="n">
        <v>239</v>
      </c>
      <c r="C85" s="39" t="n">
        <v>381</v>
      </c>
      <c r="D85" s="39" t="n">
        <v>620</v>
      </c>
      <c r="E85" s="134" t="n">
        <v>0.7469879518072289</v>
      </c>
      <c r="F85" s="278" t="n"/>
      <c r="G85" s="251" t="n"/>
      <c r="H85" s="251" t="n"/>
      <c r="I85" s="251" t="n"/>
      <c r="J85" s="251" t="n"/>
      <c r="K85" s="279" t="n"/>
    </row>
    <row r="86" ht="15.75" customHeight="1" s="2">
      <c r="A86" s="278" t="n"/>
      <c r="B86" s="278" t="n"/>
      <c r="C86" s="278" t="n"/>
      <c r="D86" s="39" t="inlineStr">
        <is>
          <t>620 Итог</t>
        </is>
      </c>
      <c r="E86" s="276" t="n"/>
      <c r="F86" s="278" t="n"/>
      <c r="G86" s="251" t="n"/>
      <c r="H86" s="251" t="n"/>
      <c r="I86" s="251" t="n"/>
      <c r="J86" s="251" t="n"/>
      <c r="K86" s="279" t="n"/>
    </row>
    <row r="87" ht="15.75" customHeight="1" s="2">
      <c r="A87" s="278" t="n"/>
      <c r="B87" s="278" t="n"/>
      <c r="C87" s="39" t="inlineStr">
        <is>
          <t>381 Итог</t>
        </is>
      </c>
      <c r="D87" s="276" t="n"/>
      <c r="E87" s="276" t="n"/>
      <c r="F87" s="278" t="n"/>
      <c r="G87" s="251" t="n"/>
      <c r="H87" s="251" t="n"/>
      <c r="I87" s="251" t="n"/>
      <c r="J87" s="251" t="n"/>
      <c r="K87" s="279" t="n"/>
    </row>
    <row r="88" ht="15.75" customHeight="1" s="2">
      <c r="A88" s="278" t="n"/>
      <c r="B88" s="39" t="inlineStr">
        <is>
          <t>239 Итог</t>
        </is>
      </c>
      <c r="C88" s="276" t="n"/>
      <c r="D88" s="276" t="n"/>
      <c r="E88" s="276" t="n"/>
      <c r="F88" s="278" t="n"/>
      <c r="G88" s="251" t="n"/>
      <c r="H88" s="251" t="n"/>
      <c r="I88" s="251" t="n"/>
      <c r="J88" s="251" t="n"/>
      <c r="K88" s="279" t="n"/>
    </row>
    <row r="89" ht="15.75" customHeight="1" s="2">
      <c r="A89" s="39" t="inlineStr">
        <is>
          <t>Конкевич Валентин Юрьевич  Итог</t>
        </is>
      </c>
      <c r="B89" s="276" t="n"/>
      <c r="C89" s="276" t="n"/>
      <c r="D89" s="276" t="n"/>
      <c r="E89" s="276" t="n"/>
      <c r="F89" s="278" t="n"/>
      <c r="G89" s="251" t="n"/>
      <c r="H89" s="251" t="n"/>
      <c r="I89" s="251" t="n"/>
      <c r="J89" s="251" t="n"/>
      <c r="K89" s="279" t="n"/>
    </row>
    <row r="90" ht="15.75" customHeight="1" s="2">
      <c r="A90" s="39" t="inlineStr">
        <is>
          <t xml:space="preserve">Лигачев Александр Егорович </t>
        </is>
      </c>
      <c r="B90" s="39" t="n">
        <v>15</v>
      </c>
      <c r="C90" s="39" t="n">
        <v>196</v>
      </c>
      <c r="D90" s="39" t="n">
        <v>211</v>
      </c>
      <c r="E90" s="134" t="n">
        <v>0.2542168674698795</v>
      </c>
      <c r="F90" s="278" t="n"/>
      <c r="G90" s="251" t="n"/>
      <c r="H90" s="251" t="n"/>
      <c r="I90" s="251" t="n"/>
      <c r="J90" s="251" t="n"/>
      <c r="K90" s="279" t="n"/>
    </row>
    <row r="91" ht="15.75" customHeight="1" s="2">
      <c r="A91" s="278" t="n"/>
      <c r="B91" s="278" t="n"/>
      <c r="C91" s="278" t="n"/>
      <c r="D91" s="39" t="inlineStr">
        <is>
          <t>211 Итог</t>
        </is>
      </c>
      <c r="E91" s="276" t="n"/>
      <c r="F91" s="278" t="n"/>
      <c r="G91" s="251" t="n"/>
      <c r="H91" s="251" t="n"/>
      <c r="I91" s="251" t="n"/>
      <c r="J91" s="251" t="n"/>
      <c r="K91" s="279" t="n"/>
    </row>
    <row r="92" ht="15.75" customHeight="1" s="2">
      <c r="A92" s="278" t="n"/>
      <c r="B92" s="278" t="n"/>
      <c r="C92" s="39" t="inlineStr">
        <is>
          <t>196 Итог</t>
        </is>
      </c>
      <c r="D92" s="276" t="n"/>
      <c r="E92" s="276" t="n"/>
      <c r="F92" s="278" t="n"/>
      <c r="G92" s="251" t="n"/>
      <c r="H92" s="251" t="n"/>
      <c r="I92" s="251" t="n"/>
      <c r="J92" s="251" t="n"/>
      <c r="K92" s="279" t="n"/>
    </row>
    <row r="93" ht="15.75" customHeight="1" s="2">
      <c r="A93" s="278" t="n"/>
      <c r="B93" s="39" t="inlineStr">
        <is>
          <t>15 Итог</t>
        </is>
      </c>
      <c r="C93" s="276" t="n"/>
      <c r="D93" s="276" t="n"/>
      <c r="E93" s="276" t="n"/>
      <c r="F93" s="278" t="n"/>
      <c r="G93" s="251" t="n"/>
      <c r="H93" s="251" t="n"/>
      <c r="I93" s="251" t="n"/>
      <c r="J93" s="251" t="n"/>
      <c r="K93" s="279" t="n"/>
    </row>
    <row r="94" ht="15.75" customHeight="1" s="2">
      <c r="A94" s="39" t="inlineStr">
        <is>
          <t>Лигачев Александр Егорович  Итог</t>
        </is>
      </c>
      <c r="B94" s="276" t="n"/>
      <c r="C94" s="276" t="n"/>
      <c r="D94" s="276" t="n"/>
      <c r="E94" s="276" t="n"/>
      <c r="F94" s="278" t="n"/>
      <c r="G94" s="251" t="n"/>
      <c r="H94" s="251" t="n"/>
      <c r="I94" s="251" t="n"/>
      <c r="J94" s="251" t="n"/>
      <c r="K94" s="279" t="n"/>
    </row>
    <row r="95" ht="15.75" customHeight="1" s="2">
      <c r="A95" s="39" t="inlineStr">
        <is>
          <t xml:space="preserve">Лозован Александр Александрович </t>
        </is>
      </c>
      <c r="B95" s="39" t="n">
        <v>378</v>
      </c>
      <c r="C95" s="39" t="n">
        <v>449</v>
      </c>
      <c r="D95" s="39" t="n">
        <v>827</v>
      </c>
      <c r="E95" s="134" t="n">
        <v>0.9963855421686747</v>
      </c>
      <c r="F95" s="278" t="n"/>
      <c r="G95" s="251" t="n"/>
      <c r="H95" s="251" t="n"/>
      <c r="I95" s="251" t="n"/>
      <c r="J95" s="251" t="n"/>
      <c r="K95" s="279" t="n"/>
    </row>
    <row r="96" ht="15.75" customHeight="1" s="2">
      <c r="A96" s="278" t="n"/>
      <c r="B96" s="278" t="n"/>
      <c r="C96" s="278" t="n"/>
      <c r="D96" s="39" t="inlineStr">
        <is>
          <t>827 Итог</t>
        </is>
      </c>
      <c r="E96" s="276" t="n"/>
      <c r="F96" s="278" t="n"/>
      <c r="G96" s="251" t="n"/>
      <c r="H96" s="251" t="n"/>
      <c r="I96" s="251" t="n"/>
      <c r="J96" s="251" t="n"/>
      <c r="K96" s="279" t="n"/>
    </row>
    <row r="97" ht="15.75" customHeight="1" s="2">
      <c r="A97" s="278" t="n"/>
      <c r="B97" s="278" t="n"/>
      <c r="C97" s="39" t="inlineStr">
        <is>
          <t>449 Итог</t>
        </is>
      </c>
      <c r="D97" s="276" t="n"/>
      <c r="E97" s="276" t="n"/>
      <c r="F97" s="278" t="n"/>
      <c r="G97" s="251" t="n"/>
      <c r="H97" s="251" t="n"/>
      <c r="I97" s="251" t="n"/>
      <c r="J97" s="251" t="n"/>
      <c r="K97" s="279" t="n"/>
    </row>
    <row r="98" ht="15.75" customHeight="1" s="2">
      <c r="A98" s="278" t="n"/>
      <c r="B98" s="39" t="inlineStr">
        <is>
          <t>378 Итог</t>
        </is>
      </c>
      <c r="C98" s="276" t="n"/>
      <c r="D98" s="276" t="n"/>
      <c r="E98" s="276" t="n"/>
      <c r="F98" s="278" t="n"/>
      <c r="G98" s="251" t="n"/>
      <c r="H98" s="251" t="n"/>
      <c r="I98" s="251" t="n"/>
      <c r="J98" s="251" t="n"/>
      <c r="K98" s="279" t="n"/>
    </row>
    <row r="99" ht="15.75" customHeight="1" s="2">
      <c r="A99" s="39" t="inlineStr">
        <is>
          <t>Лозован Александр Александрович  Итог</t>
        </is>
      </c>
      <c r="B99" s="276" t="n"/>
      <c r="C99" s="276" t="n"/>
      <c r="D99" s="276" t="n"/>
      <c r="E99" s="276" t="n"/>
      <c r="F99" s="278" t="n"/>
      <c r="G99" s="251" t="n"/>
      <c r="H99" s="251" t="n"/>
      <c r="I99" s="251" t="n"/>
      <c r="J99" s="251" t="n"/>
      <c r="K99" s="279" t="n"/>
    </row>
    <row r="100" ht="15.75" customHeight="1" s="2">
      <c r="A100" s="39" t="inlineStr">
        <is>
          <t xml:space="preserve">Моисеев Виктор Сергеевич </t>
        </is>
      </c>
      <c r="B100" s="39" t="n">
        <v>457</v>
      </c>
      <c r="C100" s="39" t="n">
        <v>370</v>
      </c>
      <c r="D100" s="39" t="n">
        <v>827</v>
      </c>
      <c r="E100" s="134" t="n">
        <v>0.9963855421686747</v>
      </c>
      <c r="F100" s="278" t="n"/>
      <c r="G100" s="251" t="n"/>
      <c r="H100" s="251" t="n"/>
      <c r="I100" s="251" t="n"/>
      <c r="J100" s="251" t="n"/>
      <c r="K100" s="279" t="n"/>
    </row>
    <row r="101" ht="15.75" customHeight="1" s="2">
      <c r="A101" s="278" t="n"/>
      <c r="B101" s="278" t="n"/>
      <c r="C101" s="278" t="n"/>
      <c r="D101" s="39" t="inlineStr">
        <is>
          <t>827 Итог</t>
        </is>
      </c>
      <c r="E101" s="276" t="n"/>
      <c r="F101" s="278" t="n"/>
      <c r="G101" s="251" t="n"/>
      <c r="H101" s="251" t="n"/>
      <c r="I101" s="251" t="n"/>
      <c r="J101" s="251" t="n"/>
      <c r="K101" s="279" t="n"/>
    </row>
    <row r="102" ht="15.75" customHeight="1" s="2">
      <c r="A102" s="278" t="n"/>
      <c r="B102" s="278" t="n"/>
      <c r="C102" s="39" t="inlineStr">
        <is>
          <t>370 Итог</t>
        </is>
      </c>
      <c r="D102" s="276" t="n"/>
      <c r="E102" s="276" t="n"/>
      <c r="F102" s="278" t="n"/>
      <c r="G102" s="251" t="n"/>
      <c r="H102" s="251" t="n"/>
      <c r="I102" s="251" t="n"/>
      <c r="J102" s="251" t="n"/>
      <c r="K102" s="279" t="n"/>
    </row>
    <row r="103" ht="15.75" customHeight="1" s="2">
      <c r="A103" s="278" t="n"/>
      <c r="B103" s="39" t="inlineStr">
        <is>
          <t>457 Итог</t>
        </is>
      </c>
      <c r="C103" s="276" t="n"/>
      <c r="D103" s="276" t="n"/>
      <c r="E103" s="276" t="n"/>
      <c r="F103" s="278" t="n"/>
      <c r="G103" s="251" t="n"/>
      <c r="H103" s="251" t="n"/>
      <c r="I103" s="251" t="n"/>
      <c r="J103" s="251" t="n"/>
      <c r="K103" s="279" t="n"/>
    </row>
    <row r="104" ht="15.75" customHeight="1" s="2">
      <c r="A104" s="39" t="inlineStr">
        <is>
          <t>Моисеев Виктор Сергеевич  Итог</t>
        </is>
      </c>
      <c r="B104" s="276" t="n"/>
      <c r="C104" s="276" t="n"/>
      <c r="D104" s="276" t="n"/>
      <c r="E104" s="276" t="n"/>
      <c r="F104" s="278" t="n"/>
      <c r="G104" s="251" t="n"/>
      <c r="H104" s="251" t="n"/>
      <c r="I104" s="251" t="n"/>
      <c r="J104" s="251" t="n"/>
      <c r="K104" s="279" t="n"/>
    </row>
    <row r="105" ht="15.75" customHeight="1" s="2">
      <c r="A105" s="39" t="inlineStr">
        <is>
          <t xml:space="preserve">Никитин Михаил Михайлович </t>
        </is>
      </c>
      <c r="B105" s="39" t="n">
        <v>0</v>
      </c>
      <c r="C105" s="39" t="n">
        <v>34</v>
      </c>
      <c r="D105" s="39" t="n">
        <v>34</v>
      </c>
      <c r="E105" s="134" t="n">
        <v>0.04096385542168675</v>
      </c>
      <c r="F105" s="278" t="n"/>
      <c r="G105" s="251" t="n"/>
      <c r="H105" s="251" t="n"/>
      <c r="I105" s="251" t="n"/>
      <c r="J105" s="251" t="n"/>
      <c r="K105" s="279" t="n"/>
    </row>
    <row r="106" ht="15.75" customHeight="1" s="2">
      <c r="A106" s="278" t="n"/>
      <c r="B106" s="278" t="n"/>
      <c r="C106" s="278" t="n"/>
      <c r="D106" s="39" t="inlineStr">
        <is>
          <t>34 Итог</t>
        </is>
      </c>
      <c r="E106" s="276" t="n"/>
      <c r="F106" s="278" t="n"/>
      <c r="G106" s="251" t="n"/>
      <c r="H106" s="251" t="n"/>
      <c r="I106" s="251" t="n"/>
      <c r="J106" s="251" t="n"/>
      <c r="K106" s="279" t="n"/>
    </row>
    <row r="107" ht="15.75" customHeight="1" s="2">
      <c r="A107" s="278" t="n"/>
      <c r="B107" s="278" t="n"/>
      <c r="C107" s="39" t="inlineStr">
        <is>
          <t>34 Итог</t>
        </is>
      </c>
      <c r="D107" s="276" t="n"/>
      <c r="E107" s="276" t="n"/>
      <c r="F107" s="278" t="n"/>
      <c r="G107" s="251" t="n"/>
      <c r="H107" s="251" t="n"/>
      <c r="I107" s="251" t="n"/>
      <c r="J107" s="251" t="n"/>
      <c r="K107" s="279" t="n"/>
    </row>
    <row r="108" ht="15.75" customHeight="1" s="2">
      <c r="A108" s="278" t="n"/>
      <c r="B108" s="39" t="inlineStr">
        <is>
          <t>0 Итог</t>
        </is>
      </c>
      <c r="C108" s="276" t="n"/>
      <c r="D108" s="276" t="n"/>
      <c r="E108" s="276" t="n"/>
      <c r="F108" s="278" t="n"/>
      <c r="G108" s="251" t="n"/>
      <c r="H108" s="251" t="n"/>
      <c r="I108" s="251" t="n"/>
      <c r="J108" s="251" t="n"/>
      <c r="K108" s="279" t="n"/>
    </row>
    <row r="109" ht="15.75" customHeight="1" s="2">
      <c r="A109" s="39" t="inlineStr">
        <is>
          <t>Никитин Михаил Михайлович  Итог</t>
        </is>
      </c>
      <c r="B109" s="276" t="n"/>
      <c r="C109" s="276" t="n"/>
      <c r="D109" s="276" t="n"/>
      <c r="E109" s="276" t="n"/>
      <c r="F109" s="278" t="n"/>
      <c r="G109" s="251" t="n"/>
      <c r="H109" s="251" t="n"/>
      <c r="I109" s="251" t="n"/>
      <c r="J109" s="251" t="n"/>
      <c r="K109" s="279" t="n"/>
    </row>
    <row r="110" ht="15.75" customHeight="1" s="2">
      <c r="A110" s="39" t="inlineStr">
        <is>
          <t xml:space="preserve">Никитина Елена Владимировна </t>
        </is>
      </c>
      <c r="B110" s="39" t="n">
        <v>386</v>
      </c>
      <c r="C110" s="39" t="n">
        <v>508</v>
      </c>
      <c r="D110" s="39" t="n">
        <v>894</v>
      </c>
      <c r="E110" s="134" t="n">
        <v>1.07710843373494</v>
      </c>
      <c r="F110" s="278" t="n"/>
      <c r="G110" s="251" t="n"/>
      <c r="H110" s="251" t="n"/>
      <c r="I110" s="251" t="n"/>
      <c r="J110" s="251" t="n"/>
      <c r="K110" s="279" t="n"/>
    </row>
    <row r="111" ht="15.75" customHeight="1" s="2">
      <c r="A111" s="278" t="n"/>
      <c r="B111" s="278" t="n"/>
      <c r="C111" s="278" t="n"/>
      <c r="D111" s="39" t="inlineStr">
        <is>
          <t>894 Итог</t>
        </is>
      </c>
      <c r="E111" s="276" t="n"/>
      <c r="F111" s="278" t="n"/>
      <c r="G111" s="251" t="n"/>
      <c r="H111" s="251" t="n"/>
      <c r="I111" s="251" t="n"/>
      <c r="J111" s="251" t="n"/>
      <c r="K111" s="279" t="n"/>
    </row>
    <row r="112" ht="15.75" customHeight="1" s="2">
      <c r="A112" s="278" t="n"/>
      <c r="B112" s="278" t="n"/>
      <c r="C112" s="39" t="inlineStr">
        <is>
          <t>508 Итог</t>
        </is>
      </c>
      <c r="D112" s="276" t="n"/>
      <c r="E112" s="276" t="n"/>
      <c r="F112" s="278" t="n"/>
      <c r="G112" s="251" t="n"/>
      <c r="H112" s="251" t="n"/>
      <c r="I112" s="251" t="n"/>
      <c r="J112" s="251" t="n"/>
      <c r="K112" s="279" t="n"/>
    </row>
    <row r="113" ht="15.75" customHeight="1" s="2">
      <c r="A113" s="278" t="n"/>
      <c r="B113" s="39" t="inlineStr">
        <is>
          <t>386 Итог</t>
        </is>
      </c>
      <c r="C113" s="276" t="n"/>
      <c r="D113" s="276" t="n"/>
      <c r="E113" s="276" t="n"/>
      <c r="F113" s="278" t="n"/>
      <c r="G113" s="251" t="n"/>
      <c r="H113" s="251" t="n"/>
      <c r="I113" s="251" t="n"/>
      <c r="J113" s="251" t="n"/>
      <c r="K113" s="279" t="n"/>
    </row>
    <row r="114" ht="15.75" customHeight="1" s="2">
      <c r="A114" s="39" t="inlineStr">
        <is>
          <t>Никитина Елена Владимировна  Итог</t>
        </is>
      </c>
      <c r="B114" s="276" t="n"/>
      <c r="C114" s="276" t="n"/>
      <c r="D114" s="276" t="n"/>
      <c r="E114" s="276" t="n"/>
      <c r="F114" s="278" t="n"/>
      <c r="G114" s="251" t="n"/>
      <c r="H114" s="251" t="n"/>
      <c r="I114" s="251" t="n"/>
      <c r="J114" s="251" t="n"/>
      <c r="K114" s="279" t="n"/>
    </row>
    <row r="115" ht="15.75" customHeight="1" s="2">
      <c r="A115" s="39" t="inlineStr">
        <is>
          <t xml:space="preserve">Палтиевич Андрей Романович </t>
        </is>
      </c>
      <c r="B115" s="39" t="n">
        <v>606</v>
      </c>
      <c r="C115" s="39" t="n">
        <v>329</v>
      </c>
      <c r="D115" s="39" t="n">
        <v>935</v>
      </c>
      <c r="E115" s="134" t="n">
        <v>1.126506024096386</v>
      </c>
      <c r="F115" s="278" t="n"/>
      <c r="G115" s="251" t="n"/>
      <c r="H115" s="251" t="n"/>
      <c r="I115" s="251" t="n"/>
      <c r="J115" s="251" t="n"/>
      <c r="K115" s="279" t="n"/>
    </row>
    <row r="116" ht="15.75" customHeight="1" s="2">
      <c r="A116" s="278" t="n"/>
      <c r="B116" s="278" t="n"/>
      <c r="C116" s="278" t="n"/>
      <c r="D116" s="39" t="inlineStr">
        <is>
          <t>935 Итог</t>
        </is>
      </c>
      <c r="E116" s="276" t="n"/>
      <c r="F116" s="278" t="n"/>
      <c r="G116" s="251" t="n"/>
      <c r="H116" s="251" t="n"/>
      <c r="I116" s="251" t="n"/>
      <c r="J116" s="251" t="n"/>
      <c r="K116" s="279" t="n"/>
    </row>
    <row r="117" ht="15.75" customHeight="1" s="2">
      <c r="A117" s="278" t="n"/>
      <c r="B117" s="278" t="n"/>
      <c r="C117" s="39" t="inlineStr">
        <is>
          <t>329 Итог</t>
        </is>
      </c>
      <c r="D117" s="276" t="n"/>
      <c r="E117" s="276" t="n"/>
      <c r="F117" s="278" t="n"/>
      <c r="G117" s="251" t="n"/>
      <c r="H117" s="251" t="n"/>
      <c r="I117" s="251" t="n"/>
      <c r="J117" s="251" t="n"/>
      <c r="K117" s="279" t="n"/>
    </row>
    <row r="118" ht="15.75" customHeight="1" s="2">
      <c r="A118" s="278" t="n"/>
      <c r="B118" s="39" t="inlineStr">
        <is>
          <t>606 Итог</t>
        </is>
      </c>
      <c r="C118" s="276" t="n"/>
      <c r="D118" s="276" t="n"/>
      <c r="E118" s="276" t="n"/>
      <c r="F118" s="278" t="n"/>
      <c r="G118" s="251" t="n"/>
      <c r="H118" s="251" t="n"/>
      <c r="I118" s="251" t="n"/>
      <c r="J118" s="251" t="n"/>
      <c r="K118" s="279" t="n"/>
    </row>
    <row r="119" ht="15.75" customHeight="1" s="2">
      <c r="A119" s="39" t="inlineStr">
        <is>
          <t>Палтиевич Андрей Романович  Итог</t>
        </is>
      </c>
      <c r="B119" s="276" t="n"/>
      <c r="C119" s="276" t="n"/>
      <c r="D119" s="276" t="n"/>
      <c r="E119" s="276" t="n"/>
      <c r="F119" s="278" t="n"/>
      <c r="G119" s="251" t="n"/>
      <c r="H119" s="251" t="n"/>
      <c r="I119" s="251" t="n"/>
      <c r="J119" s="251" t="n"/>
      <c r="K119" s="279" t="n"/>
    </row>
    <row r="120" ht="15.75" customHeight="1" s="2">
      <c r="A120" s="39" t="inlineStr">
        <is>
          <t xml:space="preserve">Пашков Игорь Николаевич </t>
        </is>
      </c>
      <c r="B120" s="39" t="n">
        <v>191</v>
      </c>
      <c r="C120" s="39" t="n">
        <v>145</v>
      </c>
      <c r="D120" s="39" t="n">
        <v>336</v>
      </c>
      <c r="E120" s="134" t="n">
        <v>0.4048192771084337</v>
      </c>
      <c r="F120" s="278" t="n"/>
      <c r="G120" s="251" t="n"/>
      <c r="H120" s="251" t="n"/>
      <c r="I120" s="251" t="n"/>
      <c r="J120" s="251" t="n"/>
      <c r="K120" s="279" t="n"/>
    </row>
    <row r="121" ht="15.75" customHeight="1" s="2">
      <c r="A121" s="278" t="n"/>
      <c r="B121" s="278" t="n"/>
      <c r="C121" s="278" t="n"/>
      <c r="D121" s="39" t="inlineStr">
        <is>
          <t>336 Итог</t>
        </is>
      </c>
      <c r="E121" s="276" t="n"/>
      <c r="F121" s="278" t="n"/>
      <c r="G121" s="251" t="n"/>
      <c r="H121" s="251" t="n"/>
      <c r="I121" s="251" t="n"/>
      <c r="J121" s="251" t="n"/>
      <c r="K121" s="279" t="n"/>
    </row>
    <row r="122" ht="15.75" customHeight="1" s="2">
      <c r="A122" s="278" t="n"/>
      <c r="B122" s="278" t="n"/>
      <c r="C122" s="39" t="inlineStr">
        <is>
          <t>145 Итог</t>
        </is>
      </c>
      <c r="D122" s="276" t="n"/>
      <c r="E122" s="276" t="n"/>
      <c r="F122" s="278" t="n"/>
      <c r="G122" s="251" t="n"/>
      <c r="H122" s="251" t="n"/>
      <c r="I122" s="251" t="n"/>
      <c r="J122" s="251" t="n"/>
      <c r="K122" s="279" t="n"/>
    </row>
    <row r="123" ht="15.75" customHeight="1" s="2">
      <c r="A123" s="278" t="n"/>
      <c r="B123" s="39" t="inlineStr">
        <is>
          <t>191 Итог</t>
        </is>
      </c>
      <c r="C123" s="276" t="n"/>
      <c r="D123" s="276" t="n"/>
      <c r="E123" s="276" t="n"/>
      <c r="F123" s="278" t="n"/>
      <c r="G123" s="251" t="n"/>
      <c r="H123" s="251" t="n"/>
      <c r="I123" s="251" t="n"/>
      <c r="J123" s="251" t="n"/>
      <c r="K123" s="279" t="n"/>
    </row>
    <row r="124" ht="15.75" customHeight="1" s="2">
      <c r="A124" s="39" t="inlineStr">
        <is>
          <t>Пашков Игорь Николаевич  Итог</t>
        </is>
      </c>
      <c r="B124" s="276" t="n"/>
      <c r="C124" s="276" t="n"/>
      <c r="D124" s="276" t="n"/>
      <c r="E124" s="276" t="n"/>
      <c r="F124" s="278" t="n"/>
      <c r="G124" s="251" t="n"/>
      <c r="H124" s="251" t="n"/>
      <c r="I124" s="251" t="n"/>
      <c r="J124" s="251" t="n"/>
      <c r="K124" s="279" t="n"/>
    </row>
    <row r="125" ht="15.75" customHeight="1" s="2">
      <c r="A125" s="39" t="inlineStr">
        <is>
          <t>Петров Анатолий Павлович</t>
        </is>
      </c>
      <c r="B125" s="39" t="n">
        <v>265</v>
      </c>
      <c r="C125" s="39" t="n">
        <v>400</v>
      </c>
      <c r="D125" s="39" t="n">
        <v>665</v>
      </c>
      <c r="E125" s="134" t="n">
        <v>0.8012048192771084</v>
      </c>
      <c r="F125" s="278" t="n"/>
      <c r="G125" s="251" t="n"/>
      <c r="H125" s="251" t="n"/>
      <c r="I125" s="251" t="n"/>
      <c r="J125" s="251" t="n"/>
      <c r="K125" s="279" t="n"/>
    </row>
    <row r="126" ht="15.75" customHeight="1" s="2">
      <c r="A126" s="278" t="n"/>
      <c r="B126" s="278" t="n"/>
      <c r="C126" s="278" t="n"/>
      <c r="D126" s="39" t="inlineStr">
        <is>
          <t>665 Итог</t>
        </is>
      </c>
      <c r="E126" s="276" t="n"/>
      <c r="F126" s="278" t="n"/>
      <c r="G126" s="251" t="n"/>
      <c r="H126" s="251" t="n"/>
      <c r="I126" s="251" t="n"/>
      <c r="J126" s="251" t="n"/>
      <c r="K126" s="279" t="n"/>
    </row>
    <row r="127" ht="15.75" customHeight="1" s="2">
      <c r="A127" s="278" t="n"/>
      <c r="B127" s="278" t="n"/>
      <c r="C127" s="39" t="inlineStr">
        <is>
          <t>400 Итог</t>
        </is>
      </c>
      <c r="D127" s="276" t="n"/>
      <c r="E127" s="276" t="n"/>
      <c r="F127" s="278" t="n"/>
      <c r="G127" s="251" t="n"/>
      <c r="H127" s="251" t="n"/>
      <c r="I127" s="251" t="n"/>
      <c r="J127" s="251" t="n"/>
      <c r="K127" s="279" t="n"/>
    </row>
    <row r="128" ht="15.75" customHeight="1" s="2">
      <c r="A128" s="278" t="n"/>
      <c r="B128" s="39" t="inlineStr">
        <is>
          <t>265 Итог</t>
        </is>
      </c>
      <c r="C128" s="276" t="n"/>
      <c r="D128" s="276" t="n"/>
      <c r="E128" s="276" t="n"/>
      <c r="F128" s="278" t="n"/>
      <c r="G128" s="251" t="n"/>
      <c r="H128" s="251" t="n"/>
      <c r="I128" s="251" t="n"/>
      <c r="J128" s="251" t="n"/>
      <c r="K128" s="279" t="n"/>
    </row>
    <row r="129" ht="15.75" customHeight="1" s="2">
      <c r="A129" s="39" t="inlineStr">
        <is>
          <t>Петров Анатолий Павлович Итог</t>
        </is>
      </c>
      <c r="B129" s="276" t="n"/>
      <c r="C129" s="276" t="n"/>
      <c r="D129" s="276" t="n"/>
      <c r="E129" s="276" t="n"/>
      <c r="F129" s="278" t="n"/>
      <c r="G129" s="251" t="n"/>
      <c r="H129" s="251" t="n"/>
      <c r="I129" s="251" t="n"/>
      <c r="J129" s="251" t="n"/>
      <c r="K129" s="279" t="n"/>
    </row>
    <row r="130" ht="15.75" customHeight="1" s="2">
      <c r="A130" s="39" t="inlineStr">
        <is>
          <t xml:space="preserve">Петров Игорь Алексеевич </t>
        </is>
      </c>
      <c r="B130" s="39" t="n">
        <v>275</v>
      </c>
      <c r="C130" s="39" t="n">
        <v>151</v>
      </c>
      <c r="D130" s="39" t="n">
        <v>426</v>
      </c>
      <c r="E130" s="134" t="n">
        <v>0.5132530120481927</v>
      </c>
      <c r="F130" s="278" t="n"/>
      <c r="G130" s="251" t="n"/>
      <c r="H130" s="251" t="n"/>
      <c r="I130" s="251" t="n"/>
      <c r="J130" s="251" t="n"/>
      <c r="K130" s="279" t="n"/>
    </row>
    <row r="131" ht="15.75" customHeight="1" s="2">
      <c r="A131" s="278" t="n"/>
      <c r="B131" s="278" t="n"/>
      <c r="C131" s="278" t="n"/>
      <c r="D131" s="39" t="inlineStr">
        <is>
          <t>426 Итог</t>
        </is>
      </c>
      <c r="E131" s="276" t="n"/>
      <c r="F131" s="278" t="n"/>
      <c r="G131" s="251" t="n"/>
      <c r="H131" s="251" t="n"/>
      <c r="I131" s="251" t="n"/>
      <c r="J131" s="251" t="n"/>
      <c r="K131" s="279" t="n"/>
    </row>
    <row r="132" ht="15.75" customHeight="1" s="2">
      <c r="A132" s="278" t="n"/>
      <c r="B132" s="278" t="n"/>
      <c r="C132" s="39" t="inlineStr">
        <is>
          <t>151 Итог</t>
        </is>
      </c>
      <c r="D132" s="276" t="n"/>
      <c r="E132" s="276" t="n"/>
      <c r="F132" s="278" t="n"/>
      <c r="G132" s="251" t="n"/>
      <c r="H132" s="251" t="n"/>
      <c r="I132" s="251" t="n"/>
      <c r="J132" s="251" t="n"/>
      <c r="K132" s="279" t="n"/>
    </row>
    <row r="133" ht="15.75" customHeight="1" s="2">
      <c r="A133" s="278" t="n"/>
      <c r="B133" s="39" t="inlineStr">
        <is>
          <t>275 Итог</t>
        </is>
      </c>
      <c r="C133" s="276" t="n"/>
      <c r="D133" s="276" t="n"/>
      <c r="E133" s="276" t="n"/>
      <c r="F133" s="278" t="n"/>
      <c r="G133" s="251" t="n"/>
      <c r="H133" s="251" t="n"/>
      <c r="I133" s="251" t="n"/>
      <c r="J133" s="251" t="n"/>
      <c r="K133" s="279" t="n"/>
    </row>
    <row r="134" ht="15.75" customHeight="1" s="2">
      <c r="A134" s="39" t="inlineStr">
        <is>
          <t>Петров Игорь Алексеевич  Итог</t>
        </is>
      </c>
      <c r="B134" s="276" t="n"/>
      <c r="C134" s="276" t="n"/>
      <c r="D134" s="276" t="n"/>
      <c r="E134" s="276" t="n"/>
      <c r="F134" s="278" t="n"/>
      <c r="G134" s="251" t="n"/>
      <c r="H134" s="251" t="n"/>
      <c r="I134" s="251" t="n"/>
      <c r="J134" s="251" t="n"/>
      <c r="K134" s="279" t="n"/>
    </row>
    <row r="135" ht="15.75" customHeight="1" s="2">
      <c r="A135" s="39" t="inlineStr">
        <is>
          <t xml:space="preserve">Преображенский Евгений Владимирович </t>
        </is>
      </c>
      <c r="B135" s="39" t="n">
        <v>90</v>
      </c>
      <c r="C135" s="39" t="n">
        <v>296</v>
      </c>
      <c r="D135" s="39" t="n">
        <v>386</v>
      </c>
      <c r="E135" s="134" t="n">
        <v>0.4650602409638554</v>
      </c>
      <c r="F135" s="278" t="n"/>
      <c r="G135" s="251" t="n"/>
      <c r="H135" s="251" t="n"/>
      <c r="I135" s="251" t="n"/>
      <c r="J135" s="251" t="n"/>
      <c r="K135" s="279" t="n"/>
    </row>
    <row r="136" ht="15.75" customHeight="1" s="2">
      <c r="A136" s="278" t="n"/>
      <c r="B136" s="278" t="n"/>
      <c r="C136" s="278" t="n"/>
      <c r="D136" s="39" t="inlineStr">
        <is>
          <t>386 Итог</t>
        </is>
      </c>
      <c r="E136" s="276" t="n"/>
      <c r="F136" s="278" t="n"/>
      <c r="G136" s="251" t="n"/>
      <c r="H136" s="251" t="n"/>
      <c r="I136" s="251" t="n"/>
      <c r="J136" s="251" t="n"/>
      <c r="K136" s="279" t="n"/>
    </row>
    <row r="137" ht="15.75" customHeight="1" s="2">
      <c r="A137" s="278" t="n"/>
      <c r="B137" s="278" t="n"/>
      <c r="C137" s="39" t="inlineStr">
        <is>
          <t>296 Итог</t>
        </is>
      </c>
      <c r="D137" s="276" t="n"/>
      <c r="E137" s="276" t="n"/>
      <c r="F137" s="278" t="n"/>
      <c r="G137" s="251" t="n"/>
      <c r="H137" s="251" t="n"/>
      <c r="I137" s="251" t="n"/>
      <c r="J137" s="251" t="n"/>
      <c r="K137" s="279" t="n"/>
    </row>
    <row r="138" ht="15.75" customHeight="1" s="2">
      <c r="A138" s="278" t="n"/>
      <c r="B138" s="39" t="inlineStr">
        <is>
          <t>90 Итог</t>
        </is>
      </c>
      <c r="C138" s="276" t="n"/>
      <c r="D138" s="276" t="n"/>
      <c r="E138" s="276" t="n"/>
      <c r="F138" s="278" t="n"/>
      <c r="G138" s="251" t="n"/>
      <c r="H138" s="251" t="n"/>
      <c r="I138" s="251" t="n"/>
      <c r="J138" s="251" t="n"/>
      <c r="K138" s="279" t="n"/>
    </row>
    <row r="139" ht="15.75" customHeight="1" s="2">
      <c r="A139" s="39" t="inlineStr">
        <is>
          <t>Преображенский Евгений Владимирович  Итог</t>
        </is>
      </c>
      <c r="B139" s="276" t="n"/>
      <c r="C139" s="276" t="n"/>
      <c r="D139" s="276" t="n"/>
      <c r="E139" s="276" t="n"/>
      <c r="F139" s="278" t="n"/>
      <c r="G139" s="251" t="n"/>
      <c r="H139" s="251" t="n"/>
      <c r="I139" s="251" t="n"/>
      <c r="J139" s="251" t="n"/>
      <c r="K139" s="279" t="n"/>
    </row>
    <row r="140" ht="15.75" customHeight="1" s="2">
      <c r="A140" s="39" t="inlineStr">
        <is>
          <t xml:space="preserve">Ряховский Александр Павлович </t>
        </is>
      </c>
      <c r="B140" s="39" t="n">
        <v>94</v>
      </c>
      <c r="C140" s="39" t="n">
        <v>168</v>
      </c>
      <c r="D140" s="39" t="n">
        <v>262</v>
      </c>
      <c r="E140" s="134" t="n">
        <v>0.3156626506024096</v>
      </c>
      <c r="F140" s="278" t="n"/>
      <c r="G140" s="251" t="n"/>
      <c r="H140" s="251" t="n"/>
      <c r="I140" s="251" t="n"/>
      <c r="J140" s="251" t="n"/>
      <c r="K140" s="279" t="n"/>
    </row>
    <row r="141" ht="15.75" customHeight="1" s="2">
      <c r="A141" s="278" t="n"/>
      <c r="B141" s="278" t="n"/>
      <c r="C141" s="278" t="n"/>
      <c r="D141" s="39" t="inlineStr">
        <is>
          <t>262 Итог</t>
        </is>
      </c>
      <c r="E141" s="276" t="n"/>
      <c r="F141" s="278" t="n"/>
      <c r="G141" s="251" t="n"/>
      <c r="H141" s="251" t="n"/>
      <c r="I141" s="251" t="n"/>
      <c r="J141" s="251" t="n"/>
      <c r="K141" s="279" t="n"/>
    </row>
    <row r="142" ht="15.75" customHeight="1" s="2">
      <c r="A142" s="278" t="n"/>
      <c r="B142" s="278" t="n"/>
      <c r="C142" s="39" t="inlineStr">
        <is>
          <t>168 Итог</t>
        </is>
      </c>
      <c r="D142" s="276" t="n"/>
      <c r="E142" s="276" t="n"/>
      <c r="F142" s="278" t="n"/>
      <c r="G142" s="251" t="n"/>
      <c r="H142" s="251" t="n"/>
      <c r="I142" s="251" t="n"/>
      <c r="J142" s="251" t="n"/>
      <c r="K142" s="279" t="n"/>
    </row>
    <row r="143" ht="15.75" customHeight="1" s="2">
      <c r="A143" s="278" t="n"/>
      <c r="B143" s="39" t="inlineStr">
        <is>
          <t>94 Итог</t>
        </is>
      </c>
      <c r="C143" s="276" t="n"/>
      <c r="D143" s="276" t="n"/>
      <c r="E143" s="276" t="n"/>
      <c r="F143" s="278" t="n"/>
      <c r="G143" s="251" t="n"/>
      <c r="H143" s="251" t="n"/>
      <c r="I143" s="251" t="n"/>
      <c r="J143" s="251" t="n"/>
      <c r="K143" s="279" t="n"/>
    </row>
    <row r="144" ht="15.75" customHeight="1" s="2">
      <c r="A144" s="39" t="inlineStr">
        <is>
          <t>Ряховский Александр Павлович  Итог</t>
        </is>
      </c>
      <c r="B144" s="276" t="n"/>
      <c r="C144" s="276" t="n"/>
      <c r="D144" s="276" t="n"/>
      <c r="E144" s="276" t="n"/>
      <c r="F144" s="278" t="n"/>
      <c r="G144" s="251" t="n"/>
      <c r="H144" s="251" t="n"/>
      <c r="I144" s="251" t="n"/>
      <c r="J144" s="251" t="n"/>
      <c r="K144" s="279" t="n"/>
    </row>
    <row r="145" ht="15.75" customHeight="1" s="2">
      <c r="A145" s="39" t="inlineStr">
        <is>
          <t xml:space="preserve">Серов Михаил Михайлович </t>
        </is>
      </c>
      <c r="B145" s="39" t="n">
        <v>414</v>
      </c>
      <c r="C145" s="39" t="n">
        <v>471</v>
      </c>
      <c r="D145" s="39" t="n">
        <v>885</v>
      </c>
      <c r="E145" s="134" t="n">
        <v>1.066265060240964</v>
      </c>
      <c r="F145" s="278" t="n"/>
      <c r="G145" s="251" t="n"/>
      <c r="H145" s="251" t="n"/>
      <c r="I145" s="251" t="n"/>
      <c r="J145" s="251" t="n"/>
      <c r="K145" s="279" t="n"/>
    </row>
    <row r="146" ht="15.75" customHeight="1" s="2">
      <c r="A146" s="278" t="n"/>
      <c r="B146" s="278" t="n"/>
      <c r="C146" s="278" t="n"/>
      <c r="D146" s="39" t="inlineStr">
        <is>
          <t>885 Итог</t>
        </is>
      </c>
      <c r="E146" s="276" t="n"/>
      <c r="F146" s="278" t="n"/>
      <c r="G146" s="251" t="n"/>
      <c r="H146" s="251" t="n"/>
      <c r="I146" s="251" t="n"/>
      <c r="J146" s="251" t="n"/>
      <c r="K146" s="279" t="n"/>
    </row>
    <row r="147" ht="15.75" customHeight="1" s="2">
      <c r="A147" s="278" t="n"/>
      <c r="B147" s="278" t="n"/>
      <c r="C147" s="39" t="inlineStr">
        <is>
          <t>471 Итог</t>
        </is>
      </c>
      <c r="D147" s="276" t="n"/>
      <c r="E147" s="276" t="n"/>
      <c r="F147" s="278" t="n"/>
      <c r="G147" s="251" t="n"/>
      <c r="H147" s="251" t="n"/>
      <c r="I147" s="251" t="n"/>
      <c r="J147" s="251" t="n"/>
      <c r="K147" s="279" t="n"/>
    </row>
    <row r="148" ht="15.75" customHeight="1" s="2">
      <c r="A148" s="278" t="n"/>
      <c r="B148" s="39" t="inlineStr">
        <is>
          <t>414 Итог</t>
        </is>
      </c>
      <c r="C148" s="276" t="n"/>
      <c r="D148" s="276" t="n"/>
      <c r="E148" s="276" t="n"/>
      <c r="F148" s="278" t="n"/>
      <c r="G148" s="251" t="n"/>
      <c r="H148" s="251" t="n"/>
      <c r="I148" s="251" t="n"/>
      <c r="J148" s="251" t="n"/>
      <c r="K148" s="279" t="n"/>
    </row>
    <row r="149" ht="15.75" customHeight="1" s="2">
      <c r="A149" s="39" t="inlineStr">
        <is>
          <t>Серов Михаил Михайлович  Итог</t>
        </is>
      </c>
      <c r="B149" s="276" t="n"/>
      <c r="C149" s="276" t="n"/>
      <c r="D149" s="276" t="n"/>
      <c r="E149" s="276" t="n"/>
      <c r="F149" s="278" t="n"/>
      <c r="G149" s="251" t="n"/>
      <c r="H149" s="251" t="n"/>
      <c r="I149" s="251" t="n"/>
      <c r="J149" s="251" t="n"/>
      <c r="K149" s="279" t="n"/>
    </row>
    <row r="150" ht="15.75" customHeight="1" s="2">
      <c r="A150" s="39" t="inlineStr">
        <is>
          <t>Сидякин Виталий Александрович</t>
        </is>
      </c>
      <c r="B150" s="39" t="n">
        <v>75</v>
      </c>
      <c r="C150" s="39" t="n">
        <v>389</v>
      </c>
      <c r="D150" s="39" t="n">
        <v>464</v>
      </c>
      <c r="E150" s="134" t="n">
        <v>0.5590361445783133</v>
      </c>
      <c r="F150" s="278" t="n"/>
      <c r="G150" s="251" t="n"/>
      <c r="H150" s="251" t="n"/>
      <c r="I150" s="251" t="n"/>
      <c r="J150" s="251" t="n"/>
      <c r="K150" s="279" t="n"/>
    </row>
    <row r="151" ht="15.75" customHeight="1" s="2">
      <c r="A151" s="278" t="n"/>
      <c r="B151" s="278" t="n"/>
      <c r="C151" s="278" t="n"/>
      <c r="D151" s="39" t="inlineStr">
        <is>
          <t>464 Итог</t>
        </is>
      </c>
      <c r="E151" s="276" t="n"/>
      <c r="F151" s="278" t="n"/>
      <c r="G151" s="251" t="n"/>
      <c r="H151" s="251" t="n"/>
      <c r="I151" s="251" t="n"/>
      <c r="J151" s="251" t="n"/>
      <c r="K151" s="279" t="n"/>
    </row>
    <row r="152" ht="15.75" customHeight="1" s="2">
      <c r="A152" s="278" t="n"/>
      <c r="B152" s="278" t="n"/>
      <c r="C152" s="39" t="inlineStr">
        <is>
          <t>389 Итог</t>
        </is>
      </c>
      <c r="D152" s="276" t="n"/>
      <c r="E152" s="276" t="n"/>
      <c r="F152" s="278" t="n"/>
      <c r="G152" s="251" t="n"/>
      <c r="H152" s="251" t="n"/>
      <c r="I152" s="251" t="n"/>
      <c r="J152" s="251" t="n"/>
      <c r="K152" s="279" t="n"/>
    </row>
    <row r="153" ht="15.75" customHeight="1" s="2">
      <c r="A153" s="278" t="n"/>
      <c r="B153" s="39" t="inlineStr">
        <is>
          <t>75 Итог</t>
        </is>
      </c>
      <c r="C153" s="276" t="n"/>
      <c r="D153" s="276" t="n"/>
      <c r="E153" s="276" t="n"/>
      <c r="F153" s="278" t="n"/>
      <c r="G153" s="251" t="n"/>
      <c r="H153" s="251" t="n"/>
      <c r="I153" s="251" t="n"/>
      <c r="J153" s="251" t="n"/>
      <c r="K153" s="279" t="n"/>
    </row>
    <row r="154" ht="15.75" customHeight="1" s="2">
      <c r="A154" s="39" t="inlineStr">
        <is>
          <t>Сидякин Виталий Александрович Итог</t>
        </is>
      </c>
      <c r="B154" s="276" t="n"/>
      <c r="C154" s="276" t="n"/>
      <c r="D154" s="276" t="n"/>
      <c r="E154" s="276" t="n"/>
      <c r="F154" s="278" t="n"/>
      <c r="G154" s="251" t="n"/>
      <c r="H154" s="251" t="n"/>
      <c r="I154" s="251" t="n"/>
      <c r="J154" s="251" t="n"/>
      <c r="K154" s="279" t="n"/>
    </row>
    <row r="155" ht="15.75" customHeight="1" s="2">
      <c r="A155" s="39" t="inlineStr">
        <is>
          <t xml:space="preserve">Смыков Андрей Федорович </t>
        </is>
      </c>
      <c r="B155" s="39" t="n">
        <v>390</v>
      </c>
      <c r="C155" s="39" t="n">
        <v>448</v>
      </c>
      <c r="D155" s="39" t="n">
        <v>838</v>
      </c>
      <c r="E155" s="134" t="n">
        <v>1.009638554216868</v>
      </c>
      <c r="F155" s="278" t="n"/>
      <c r="G155" s="251" t="n"/>
      <c r="H155" s="251" t="n"/>
      <c r="I155" s="251" t="n"/>
      <c r="J155" s="251" t="n"/>
      <c r="K155" s="279" t="n"/>
    </row>
    <row r="156" ht="15.75" customHeight="1" s="2">
      <c r="A156" s="278" t="n"/>
      <c r="B156" s="278" t="n"/>
      <c r="C156" s="278" t="n"/>
      <c r="D156" s="39" t="inlineStr">
        <is>
          <t>838 Итог</t>
        </is>
      </c>
      <c r="E156" s="276" t="n"/>
      <c r="F156" s="278" t="n"/>
      <c r="G156" s="251" t="n"/>
      <c r="H156" s="251" t="n"/>
      <c r="I156" s="251" t="n"/>
      <c r="J156" s="251" t="n"/>
      <c r="K156" s="279" t="n"/>
    </row>
    <row r="157" ht="15.75" customHeight="1" s="2">
      <c r="A157" s="278" t="n"/>
      <c r="B157" s="278" t="n"/>
      <c r="C157" s="39" t="inlineStr">
        <is>
          <t>448 Итог</t>
        </is>
      </c>
      <c r="D157" s="276" t="n"/>
      <c r="E157" s="276" t="n"/>
      <c r="F157" s="278" t="n"/>
      <c r="G157" s="251" t="n"/>
      <c r="H157" s="251" t="n"/>
      <c r="I157" s="251" t="n"/>
      <c r="J157" s="251" t="n"/>
      <c r="K157" s="279" t="n"/>
    </row>
    <row r="158" ht="15.75" customHeight="1" s="2">
      <c r="A158" s="278" t="n"/>
      <c r="B158" s="39" t="inlineStr">
        <is>
          <t>390 Итог</t>
        </is>
      </c>
      <c r="C158" s="276" t="n"/>
      <c r="D158" s="276" t="n"/>
      <c r="E158" s="276" t="n"/>
      <c r="F158" s="278" t="n"/>
      <c r="G158" s="251" t="n"/>
      <c r="H158" s="251" t="n"/>
      <c r="I158" s="251" t="n"/>
      <c r="J158" s="251" t="n"/>
      <c r="K158" s="279" t="n"/>
    </row>
    <row r="159" ht="15.75" customHeight="1" s="2">
      <c r="A159" s="39" t="inlineStr">
        <is>
          <t>Смыков Андрей Федорович  Итог</t>
        </is>
      </c>
      <c r="B159" s="276" t="n"/>
      <c r="C159" s="276" t="n"/>
      <c r="D159" s="276" t="n"/>
      <c r="E159" s="276" t="n"/>
      <c r="F159" s="278" t="n"/>
      <c r="G159" s="251" t="n"/>
      <c r="H159" s="251" t="n"/>
      <c r="I159" s="251" t="n"/>
      <c r="J159" s="251" t="n"/>
      <c r="K159" s="279" t="n"/>
    </row>
    <row r="160" ht="15.75" customHeight="1" s="2">
      <c r="A160" s="39" t="inlineStr">
        <is>
          <t xml:space="preserve">Соколов Алексей Викторович </t>
        </is>
      </c>
      <c r="B160" s="39" t="n">
        <v>266</v>
      </c>
      <c r="C160" s="39" t="n">
        <v>593</v>
      </c>
      <c r="D160" s="39" t="n">
        <v>859</v>
      </c>
      <c r="E160" s="134" t="n">
        <v>1.034939759036145</v>
      </c>
      <c r="F160" s="278" t="n"/>
      <c r="G160" s="251" t="n"/>
      <c r="H160" s="251" t="n"/>
      <c r="I160" s="251" t="n"/>
      <c r="J160" s="251" t="n"/>
      <c r="K160" s="279" t="n"/>
    </row>
    <row r="161" ht="15.75" customHeight="1" s="2">
      <c r="A161" s="278" t="n"/>
      <c r="B161" s="278" t="n"/>
      <c r="C161" s="278" t="n"/>
      <c r="D161" s="39" t="inlineStr">
        <is>
          <t>859 Итог</t>
        </is>
      </c>
      <c r="E161" s="276" t="n"/>
      <c r="F161" s="278" t="n"/>
      <c r="G161" s="251" t="n"/>
      <c r="H161" s="251" t="n"/>
      <c r="I161" s="251" t="n"/>
      <c r="J161" s="251" t="n"/>
      <c r="K161" s="279" t="n"/>
    </row>
    <row r="162" ht="15.75" customHeight="1" s="2">
      <c r="A162" s="278" t="n"/>
      <c r="B162" s="278" t="n"/>
      <c r="C162" s="39" t="inlineStr">
        <is>
          <t>593 Итог</t>
        </is>
      </c>
      <c r="D162" s="276" t="n"/>
      <c r="E162" s="276" t="n"/>
      <c r="F162" s="278" t="n"/>
      <c r="G162" s="251" t="n"/>
      <c r="H162" s="251" t="n"/>
      <c r="I162" s="251" t="n"/>
      <c r="J162" s="251" t="n"/>
      <c r="K162" s="279" t="n"/>
    </row>
    <row r="163" ht="15.75" customHeight="1" s="2">
      <c r="A163" s="278" t="n"/>
      <c r="B163" s="39" t="inlineStr">
        <is>
          <t>266 Итог</t>
        </is>
      </c>
      <c r="C163" s="276" t="n"/>
      <c r="D163" s="276" t="n"/>
      <c r="E163" s="276" t="n"/>
      <c r="F163" s="278" t="n"/>
      <c r="G163" s="251" t="n"/>
      <c r="H163" s="251" t="n"/>
      <c r="I163" s="251" t="n"/>
      <c r="J163" s="251" t="n"/>
      <c r="K163" s="279" t="n"/>
    </row>
    <row r="164" ht="15.75" customHeight="1" s="2">
      <c r="A164" s="39" t="inlineStr">
        <is>
          <t>Соколов Алексей Викторович  Итог</t>
        </is>
      </c>
      <c r="B164" s="276" t="n"/>
      <c r="C164" s="276" t="n"/>
      <c r="D164" s="276" t="n"/>
      <c r="E164" s="276" t="n"/>
      <c r="F164" s="278" t="n"/>
      <c r="G164" s="251" t="n"/>
      <c r="H164" s="251" t="n"/>
      <c r="I164" s="251" t="n"/>
      <c r="J164" s="251" t="n"/>
      <c r="K164" s="279" t="n"/>
    </row>
    <row r="165" ht="15.75" customHeight="1" s="2">
      <c r="A165" s="39" t="inlineStr">
        <is>
          <t>Степанов Владимир Валерьевич</t>
        </is>
      </c>
      <c r="B165" s="39" t="n">
        <v>245</v>
      </c>
      <c r="C165" s="39" t="n">
        <v>168</v>
      </c>
      <c r="D165" s="39" t="n">
        <v>413</v>
      </c>
      <c r="E165" s="134" t="n">
        <v>0.4975903614457831</v>
      </c>
      <c r="F165" s="278" t="n"/>
      <c r="G165" s="251" t="n"/>
      <c r="H165" s="251" t="n"/>
      <c r="I165" s="251" t="n"/>
      <c r="J165" s="251" t="n"/>
      <c r="K165" s="279" t="n"/>
    </row>
    <row r="166" ht="15.75" customHeight="1" s="2">
      <c r="A166" s="278" t="n"/>
      <c r="B166" s="278" t="n"/>
      <c r="C166" s="278" t="n"/>
      <c r="D166" s="39" t="inlineStr">
        <is>
          <t>413 Итог</t>
        </is>
      </c>
      <c r="E166" s="276" t="n"/>
      <c r="F166" s="278" t="n"/>
      <c r="G166" s="251" t="n"/>
      <c r="H166" s="251" t="n"/>
      <c r="I166" s="251" t="n"/>
      <c r="J166" s="251" t="n"/>
      <c r="K166" s="279" t="n"/>
    </row>
    <row r="167" ht="15.75" customHeight="1" s="2">
      <c r="A167" s="278" t="n"/>
      <c r="B167" s="278" t="n"/>
      <c r="C167" s="39" t="inlineStr">
        <is>
          <t>168 Итог</t>
        </is>
      </c>
      <c r="D167" s="276" t="n"/>
      <c r="E167" s="276" t="n"/>
      <c r="F167" s="278" t="n"/>
      <c r="G167" s="251" t="n"/>
      <c r="H167" s="251" t="n"/>
      <c r="I167" s="251" t="n"/>
      <c r="J167" s="251" t="n"/>
      <c r="K167" s="279" t="n"/>
    </row>
    <row r="168" ht="15.75" customHeight="1" s="2">
      <c r="A168" s="278" t="n"/>
      <c r="B168" s="39" t="inlineStr">
        <is>
          <t>245 Итог</t>
        </is>
      </c>
      <c r="C168" s="276" t="n"/>
      <c r="D168" s="276" t="n"/>
      <c r="E168" s="276" t="n"/>
      <c r="F168" s="278" t="n"/>
      <c r="G168" s="251" t="n"/>
      <c r="H168" s="251" t="n"/>
      <c r="I168" s="251" t="n"/>
      <c r="J168" s="251" t="n"/>
      <c r="K168" s="279" t="n"/>
    </row>
    <row r="169" ht="15.75" customHeight="1" s="2">
      <c r="A169" s="39" t="inlineStr">
        <is>
          <t>Степанов Владимир Валерьевич Итог</t>
        </is>
      </c>
      <c r="B169" s="276" t="n"/>
      <c r="C169" s="276" t="n"/>
      <c r="D169" s="276" t="n"/>
      <c r="E169" s="276" t="n"/>
      <c r="F169" s="278" t="n"/>
      <c r="G169" s="251" t="n"/>
      <c r="H169" s="251" t="n"/>
      <c r="I169" s="251" t="n"/>
      <c r="J169" s="251" t="n"/>
      <c r="K169" s="279" t="n"/>
    </row>
    <row r="170" ht="15.75" customHeight="1" s="2">
      <c r="A170" s="39" t="inlineStr">
        <is>
          <t xml:space="preserve">Телицына Ольга Валентиновна </t>
        </is>
      </c>
      <c r="B170" s="39" t="n">
        <v>260</v>
      </c>
      <c r="C170" s="39" t="n">
        <v>342</v>
      </c>
      <c r="D170" s="39" t="n">
        <v>602</v>
      </c>
      <c r="E170" s="134" t="n">
        <v>0.7253012048192771</v>
      </c>
      <c r="F170" s="278" t="n"/>
      <c r="G170" s="251" t="n"/>
      <c r="H170" s="251" t="n"/>
      <c r="I170" s="251" t="n"/>
      <c r="J170" s="251" t="n"/>
      <c r="K170" s="279" t="n"/>
    </row>
    <row r="171" ht="15.75" customHeight="1" s="2">
      <c r="A171" s="278" t="n"/>
      <c r="B171" s="278" t="n"/>
      <c r="C171" s="278" t="n"/>
      <c r="D171" s="39" t="inlineStr">
        <is>
          <t>602 Итог</t>
        </is>
      </c>
      <c r="E171" s="276" t="n"/>
      <c r="F171" s="278" t="n"/>
      <c r="G171" s="251" t="n"/>
      <c r="H171" s="251" t="n"/>
      <c r="I171" s="251" t="n"/>
      <c r="J171" s="251" t="n"/>
      <c r="K171" s="279" t="n"/>
    </row>
    <row r="172" ht="15.75" customHeight="1" s="2">
      <c r="A172" s="278" t="n"/>
      <c r="B172" s="278" t="n"/>
      <c r="C172" s="39" t="inlineStr">
        <is>
          <t>342 Итог</t>
        </is>
      </c>
      <c r="D172" s="276" t="n"/>
      <c r="E172" s="276" t="n"/>
      <c r="F172" s="278" t="n"/>
      <c r="G172" s="251" t="n"/>
      <c r="H172" s="251" t="n"/>
      <c r="I172" s="251" t="n"/>
      <c r="J172" s="251" t="n"/>
      <c r="K172" s="279" t="n"/>
    </row>
    <row r="173" ht="15.75" customHeight="1" s="2">
      <c r="A173" s="278" t="n"/>
      <c r="B173" s="39" t="inlineStr">
        <is>
          <t>260 Итог</t>
        </is>
      </c>
      <c r="C173" s="276" t="n"/>
      <c r="D173" s="276" t="n"/>
      <c r="E173" s="276" t="n"/>
      <c r="F173" s="278" t="n"/>
      <c r="G173" s="251" t="n"/>
      <c r="H173" s="251" t="n"/>
      <c r="I173" s="251" t="n"/>
      <c r="J173" s="251" t="n"/>
      <c r="K173" s="279" t="n"/>
    </row>
    <row r="174" ht="15.75" customHeight="1" s="2">
      <c r="A174" s="39" t="inlineStr">
        <is>
          <t>Телицына Ольга Валентиновна  Итог</t>
        </is>
      </c>
      <c r="B174" s="276" t="n"/>
      <c r="C174" s="276" t="n"/>
      <c r="D174" s="276" t="n"/>
      <c r="E174" s="276" t="n"/>
      <c r="F174" s="278" t="n"/>
      <c r="G174" s="251" t="n"/>
      <c r="H174" s="251" t="n"/>
      <c r="I174" s="251" t="n"/>
      <c r="J174" s="251" t="n"/>
      <c r="K174" s="279" t="n"/>
    </row>
    <row r="175" ht="15.75" customHeight="1" s="2">
      <c r="A175" s="39" t="inlineStr">
        <is>
          <t>Федоров Анатолий Александрович</t>
        </is>
      </c>
      <c r="B175" s="39" t="n">
        <v>118</v>
      </c>
      <c r="C175" s="39" t="n">
        <v>168</v>
      </c>
      <c r="D175" s="39" t="n">
        <v>286</v>
      </c>
      <c r="E175" s="134" t="n">
        <v>0.344578313253012</v>
      </c>
      <c r="F175" s="278" t="n"/>
      <c r="G175" s="251" t="n"/>
      <c r="H175" s="251" t="n"/>
      <c r="I175" s="251" t="n"/>
      <c r="J175" s="251" t="n"/>
      <c r="K175" s="279" t="n"/>
    </row>
    <row r="176" ht="15.75" customHeight="1" s="2">
      <c r="A176" s="278" t="n"/>
      <c r="B176" s="278" t="n"/>
      <c r="C176" s="278" t="n"/>
      <c r="D176" s="39" t="inlineStr">
        <is>
          <t>286 Итог</t>
        </is>
      </c>
      <c r="E176" s="276" t="n"/>
      <c r="F176" s="278" t="n"/>
      <c r="G176" s="251" t="n"/>
      <c r="H176" s="251" t="n"/>
      <c r="I176" s="251" t="n"/>
      <c r="J176" s="251" t="n"/>
      <c r="K176" s="279" t="n"/>
    </row>
    <row r="177" ht="15.75" customHeight="1" s="2">
      <c r="A177" s="278" t="n"/>
      <c r="B177" s="278" t="n"/>
      <c r="C177" s="39" t="inlineStr">
        <is>
          <t>168 Итог</t>
        </is>
      </c>
      <c r="D177" s="276" t="n"/>
      <c r="E177" s="276" t="n"/>
      <c r="F177" s="278" t="n"/>
      <c r="G177" s="251" t="n"/>
      <c r="H177" s="251" t="n"/>
      <c r="I177" s="251" t="n"/>
      <c r="J177" s="251" t="n"/>
      <c r="K177" s="279" t="n"/>
    </row>
    <row r="178" ht="15.75" customHeight="1" s="2">
      <c r="A178" s="278" t="n"/>
      <c r="B178" s="39" t="inlineStr">
        <is>
          <t>118 Итог</t>
        </is>
      </c>
      <c r="C178" s="276" t="n"/>
      <c r="D178" s="276" t="n"/>
      <c r="E178" s="276" t="n"/>
      <c r="F178" s="278" t="n"/>
      <c r="G178" s="251" t="n"/>
      <c r="H178" s="251" t="n"/>
      <c r="I178" s="251" t="n"/>
      <c r="J178" s="251" t="n"/>
      <c r="K178" s="279" t="n"/>
    </row>
    <row r="179" ht="15.75" customHeight="1" s="2">
      <c r="A179" s="39" t="inlineStr">
        <is>
          <t>Федоров Анатолий Александрович Итог</t>
        </is>
      </c>
      <c r="B179" s="276" t="n"/>
      <c r="C179" s="276" t="n"/>
      <c r="D179" s="276" t="n"/>
      <c r="E179" s="276" t="n"/>
      <c r="F179" s="278" t="n"/>
      <c r="G179" s="251" t="n"/>
      <c r="H179" s="251" t="n"/>
      <c r="I179" s="251" t="n"/>
      <c r="J179" s="251" t="n"/>
      <c r="K179" s="279" t="n"/>
    </row>
    <row r="180" ht="15.75" customHeight="1" s="2">
      <c r="A180" s="39" t="inlineStr">
        <is>
          <t xml:space="preserve">Федоров Сергей Александрович </t>
        </is>
      </c>
      <c r="B180" s="39" t="n">
        <v>434</v>
      </c>
      <c r="C180" s="39" t="n">
        <v>418</v>
      </c>
      <c r="D180" s="39" t="n">
        <v>852</v>
      </c>
      <c r="E180" s="134" t="n">
        <v>1.026506024096385</v>
      </c>
      <c r="F180" s="278" t="n"/>
      <c r="G180" s="251" t="n"/>
      <c r="H180" s="251" t="n"/>
      <c r="I180" s="251" t="n"/>
      <c r="J180" s="251" t="n"/>
      <c r="K180" s="279" t="n"/>
    </row>
    <row r="181" ht="15.75" customHeight="1" s="2">
      <c r="A181" s="278" t="n"/>
      <c r="B181" s="278" t="n"/>
      <c r="C181" s="278" t="n"/>
      <c r="D181" s="39" t="inlineStr">
        <is>
          <t>852 Итог</t>
        </is>
      </c>
      <c r="E181" s="276" t="n"/>
      <c r="F181" s="278" t="n"/>
      <c r="G181" s="251" t="n"/>
      <c r="H181" s="251" t="n"/>
      <c r="I181" s="251" t="n"/>
      <c r="J181" s="251" t="n"/>
      <c r="K181" s="279" t="n"/>
    </row>
    <row r="182" ht="15.75" customHeight="1" s="2">
      <c r="A182" s="278" t="n"/>
      <c r="B182" s="278" t="n"/>
      <c r="C182" s="39" t="inlineStr">
        <is>
          <t>418 Итог</t>
        </is>
      </c>
      <c r="D182" s="276" t="n"/>
      <c r="E182" s="276" t="n"/>
      <c r="F182" s="278" t="n"/>
      <c r="G182" s="251" t="n"/>
      <c r="H182" s="251" t="n"/>
      <c r="I182" s="251" t="n"/>
      <c r="J182" s="251" t="n"/>
      <c r="K182" s="279" t="n"/>
    </row>
    <row r="183" ht="15.75" customHeight="1" s="2">
      <c r="A183" s="278" t="n"/>
      <c r="B183" s="39" t="inlineStr">
        <is>
          <t>434 Итог</t>
        </is>
      </c>
      <c r="C183" s="276" t="n"/>
      <c r="D183" s="276" t="n"/>
      <c r="E183" s="276" t="n"/>
      <c r="F183" s="278" t="n"/>
      <c r="G183" s="251" t="n"/>
      <c r="H183" s="251" t="n"/>
      <c r="I183" s="251" t="n"/>
      <c r="J183" s="251" t="n"/>
      <c r="K183" s="279" t="n"/>
    </row>
    <row r="184" ht="15.75" customHeight="1" s="2">
      <c r="A184" s="39" t="inlineStr">
        <is>
          <t>Федоров Сергей Александрович  Итог</t>
        </is>
      </c>
      <c r="B184" s="276" t="n"/>
      <c r="C184" s="276" t="n"/>
      <c r="D184" s="276" t="n"/>
      <c r="E184" s="276" t="n"/>
      <c r="F184" s="278" t="n"/>
      <c r="G184" s="251" t="n"/>
      <c r="H184" s="251" t="n"/>
      <c r="I184" s="251" t="n"/>
      <c r="J184" s="251" t="n"/>
      <c r="K184" s="279" t="n"/>
    </row>
    <row r="185" ht="15.75" customHeight="1" s="2">
      <c r="A185" s="39" t="inlineStr">
        <is>
          <t xml:space="preserve">Фролов Вадим Анатольевич </t>
        </is>
      </c>
      <c r="B185" s="39" t="n">
        <v>298</v>
      </c>
      <c r="C185" s="39" t="n">
        <v>151</v>
      </c>
      <c r="D185" s="39" t="n">
        <v>449</v>
      </c>
      <c r="E185" s="134" t="n">
        <v>0.5409638554216868</v>
      </c>
      <c r="F185" s="278" t="n"/>
      <c r="G185" s="251" t="n"/>
      <c r="H185" s="251" t="n"/>
      <c r="I185" s="251" t="n"/>
      <c r="J185" s="251" t="n"/>
      <c r="K185" s="279" t="n"/>
    </row>
    <row r="186" ht="15.75" customHeight="1" s="2">
      <c r="A186" s="278" t="n"/>
      <c r="B186" s="278" t="n"/>
      <c r="C186" s="278" t="n"/>
      <c r="D186" s="39" t="inlineStr">
        <is>
          <t>449 Итог</t>
        </is>
      </c>
      <c r="E186" s="276" t="n"/>
      <c r="F186" s="278" t="n"/>
      <c r="G186" s="251" t="n"/>
      <c r="H186" s="251" t="n"/>
      <c r="I186" s="251" t="n"/>
      <c r="J186" s="251" t="n"/>
      <c r="K186" s="279" t="n"/>
    </row>
    <row r="187" ht="15.75" customHeight="1" s="2">
      <c r="A187" s="278" t="n"/>
      <c r="B187" s="278" t="n"/>
      <c r="C187" s="39" t="inlineStr">
        <is>
          <t>151 Итог</t>
        </is>
      </c>
      <c r="D187" s="276" t="n"/>
      <c r="E187" s="276" t="n"/>
      <c r="F187" s="278" t="n"/>
      <c r="G187" s="251" t="n"/>
      <c r="H187" s="251" t="n"/>
      <c r="I187" s="251" t="n"/>
      <c r="J187" s="251" t="n"/>
      <c r="K187" s="279" t="n"/>
    </row>
    <row r="188" ht="15.75" customHeight="1" s="2">
      <c r="A188" s="278" t="n"/>
      <c r="B188" s="39" t="inlineStr">
        <is>
          <t>298 Итог</t>
        </is>
      </c>
      <c r="C188" s="276" t="n"/>
      <c r="D188" s="276" t="n"/>
      <c r="E188" s="276" t="n"/>
      <c r="F188" s="278" t="n"/>
      <c r="G188" s="251" t="n"/>
      <c r="H188" s="251" t="n"/>
      <c r="I188" s="251" t="n"/>
      <c r="J188" s="251" t="n"/>
      <c r="K188" s="279" t="n"/>
    </row>
    <row r="189" ht="15.75" customHeight="1" s="2">
      <c r="A189" s="39" t="inlineStr">
        <is>
          <t>Фролов Вадим Анатольевич  Итог</t>
        </is>
      </c>
      <c r="B189" s="276" t="n"/>
      <c r="C189" s="276" t="n"/>
      <c r="D189" s="276" t="n"/>
      <c r="E189" s="276" t="n"/>
      <c r="F189" s="278" t="n"/>
      <c r="G189" s="251" t="n"/>
      <c r="H189" s="251" t="n"/>
      <c r="I189" s="251" t="n"/>
      <c r="J189" s="251" t="n"/>
      <c r="K189" s="279" t="n"/>
    </row>
    <row r="190" ht="15.75" customHeight="1" s="2">
      <c r="A190" s="39" t="inlineStr">
        <is>
          <t xml:space="preserve">Шелест Анатолий Ефимович </t>
        </is>
      </c>
      <c r="B190" s="39" t="n">
        <v>34</v>
      </c>
      <c r="C190" s="39" t="n">
        <v>46</v>
      </c>
      <c r="D190" s="39" t="n">
        <v>80</v>
      </c>
      <c r="E190" s="134" t="n">
        <v>0.0963855421686747</v>
      </c>
      <c r="F190" s="278" t="n"/>
      <c r="G190" s="251" t="n"/>
      <c r="H190" s="251" t="n"/>
      <c r="I190" s="251" t="n"/>
      <c r="J190" s="251" t="n"/>
      <c r="K190" s="279" t="n"/>
    </row>
    <row r="191" ht="15.75" customHeight="1" s="2">
      <c r="A191" s="278" t="n"/>
      <c r="B191" s="278" t="n"/>
      <c r="C191" s="278" t="n"/>
      <c r="D191" s="39" t="inlineStr">
        <is>
          <t>80 Итог</t>
        </is>
      </c>
      <c r="E191" s="276" t="n"/>
      <c r="F191" s="278" t="n"/>
      <c r="G191" s="251" t="n"/>
      <c r="H191" s="251" t="n"/>
      <c r="I191" s="251" t="n"/>
      <c r="J191" s="251" t="n"/>
      <c r="K191" s="279" t="n"/>
    </row>
    <row r="192" ht="15.75" customHeight="1" s="2">
      <c r="A192" s="278" t="n"/>
      <c r="B192" s="278" t="n"/>
      <c r="C192" s="39" t="inlineStr">
        <is>
          <t>46 Итог</t>
        </is>
      </c>
      <c r="D192" s="276" t="n"/>
      <c r="E192" s="276" t="n"/>
      <c r="F192" s="278" t="n"/>
      <c r="G192" s="251" t="n"/>
      <c r="H192" s="251" t="n"/>
      <c r="I192" s="251" t="n"/>
      <c r="J192" s="251" t="n"/>
      <c r="K192" s="279" t="n"/>
    </row>
    <row r="193" ht="15.75" customHeight="1" s="2">
      <c r="A193" s="278" t="n"/>
      <c r="B193" s="39" t="inlineStr">
        <is>
          <t>34 Итог</t>
        </is>
      </c>
      <c r="C193" s="276" t="n"/>
      <c r="D193" s="276" t="n"/>
      <c r="E193" s="276" t="n"/>
      <c r="F193" s="278" t="n"/>
      <c r="G193" s="251" t="n"/>
      <c r="H193" s="251" t="n"/>
      <c r="I193" s="251" t="n"/>
      <c r="J193" s="251" t="n"/>
      <c r="K193" s="279" t="n"/>
    </row>
    <row r="194" ht="15.75" customHeight="1" s="2">
      <c r="A194" s="39" t="inlineStr">
        <is>
          <t>Шелест Анатолий Ефимович  Итог</t>
        </is>
      </c>
      <c r="B194" s="276" t="n"/>
      <c r="C194" s="276" t="n"/>
      <c r="D194" s="276" t="n"/>
      <c r="E194" s="276" t="n"/>
      <c r="F194" s="278" t="n"/>
      <c r="G194" s="251" t="n"/>
      <c r="H194" s="251" t="n"/>
      <c r="I194" s="251" t="n"/>
      <c r="J194" s="251" t="n"/>
      <c r="K194" s="279" t="n"/>
    </row>
    <row r="195" ht="15.75" customHeight="1" s="2">
      <c r="A195" s="39" t="inlineStr">
        <is>
          <t xml:space="preserve">Шленский Алексей Геннадьевич </t>
        </is>
      </c>
      <c r="B195" s="39" t="n">
        <v>308.5</v>
      </c>
      <c r="C195" s="39" t="n">
        <v>285.5</v>
      </c>
      <c r="D195" s="39" t="n">
        <v>594</v>
      </c>
      <c r="E195" s="134" t="n">
        <v>0.7156626506024096</v>
      </c>
      <c r="F195" s="278" t="n"/>
      <c r="G195" s="251" t="n"/>
      <c r="H195" s="251" t="n"/>
      <c r="I195" s="251" t="n"/>
      <c r="J195" s="251" t="n"/>
      <c r="K195" s="279" t="n"/>
    </row>
    <row r="196" ht="15.75" customHeight="1" s="2">
      <c r="A196" s="278" t="n"/>
      <c r="B196" s="278" t="n"/>
      <c r="C196" s="278" t="n"/>
      <c r="D196" s="39" t="inlineStr">
        <is>
          <t>594 Итог</t>
        </is>
      </c>
      <c r="E196" s="276" t="n"/>
      <c r="F196" s="278" t="n"/>
      <c r="G196" s="251" t="n"/>
      <c r="H196" s="251" t="n"/>
      <c r="I196" s="251" t="n"/>
      <c r="J196" s="251" t="n"/>
      <c r="K196" s="279" t="n"/>
    </row>
    <row r="197" ht="15.75" customHeight="1" s="2">
      <c r="A197" s="278" t="n"/>
      <c r="B197" s="278" t="n"/>
      <c r="C197" s="39" t="inlineStr">
        <is>
          <t>285,5 Итог</t>
        </is>
      </c>
      <c r="D197" s="276" t="n"/>
      <c r="E197" s="276" t="n"/>
      <c r="F197" s="278" t="n"/>
      <c r="G197" s="251" t="n"/>
      <c r="H197" s="251" t="n"/>
      <c r="I197" s="251" t="n"/>
      <c r="J197" s="251" t="n"/>
      <c r="K197" s="279" t="n"/>
    </row>
    <row r="198" ht="15.75" customHeight="1" s="2">
      <c r="A198" s="278" t="n"/>
      <c r="B198" s="39" t="inlineStr">
        <is>
          <t>308,5 Итог</t>
        </is>
      </c>
      <c r="C198" s="276" t="n"/>
      <c r="D198" s="276" t="n"/>
      <c r="E198" s="276" t="n"/>
      <c r="F198" s="278" t="n"/>
      <c r="G198" s="251" t="n"/>
      <c r="H198" s="251" t="n"/>
      <c r="I198" s="251" t="n"/>
      <c r="J198" s="251" t="n"/>
      <c r="K198" s="279" t="n"/>
    </row>
    <row r="199" ht="15.75" customHeight="1" s="2">
      <c r="A199" s="39" t="inlineStr">
        <is>
          <t>Шленский Алексей Геннадьевич  Итог</t>
        </is>
      </c>
      <c r="B199" s="276" t="n"/>
      <c r="C199" s="276" t="n"/>
      <c r="D199" s="276" t="n"/>
      <c r="E199" s="276" t="n"/>
      <c r="F199" s="278" t="n"/>
      <c r="G199" s="251" t="n"/>
      <c r="H199" s="251" t="n"/>
      <c r="I199" s="251" t="n"/>
      <c r="J199" s="251" t="n"/>
      <c r="K199" s="279" t="n"/>
    </row>
    <row r="200" ht="15.75" customHeight="1" s="2">
      <c r="A200" s="125" t="inlineStr">
        <is>
          <t>Общий итог</t>
        </is>
      </c>
      <c r="B200" s="280" t="n"/>
      <c r="C200" s="280" t="n"/>
      <c r="D200" s="280" t="n"/>
      <c r="E200" s="280" t="n"/>
      <c r="F200" s="281" t="n"/>
      <c r="G200" s="282" t="n"/>
      <c r="H200" s="282" t="n"/>
      <c r="I200" s="282" t="n"/>
      <c r="J200" s="282" t="n"/>
      <c r="K200" s="283" t="n"/>
    </row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K2:X55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8" customWidth="1" style="2" min="1" max="26"/>
  </cols>
  <sheetData>
    <row r="2">
      <c r="K2" s="284" t="n">
        <v>50</v>
      </c>
    </row>
    <row r="3">
      <c r="K3" s="284" t="n">
        <v>1</v>
      </c>
    </row>
    <row r="4">
      <c r="K4" s="284" t="n">
        <v>1</v>
      </c>
    </row>
    <row r="5">
      <c r="K5" s="284" t="n">
        <v>10</v>
      </c>
    </row>
    <row r="6">
      <c r="K6" s="284" t="n">
        <v>27</v>
      </c>
    </row>
    <row r="7">
      <c r="K7" s="284" t="n">
        <v>26</v>
      </c>
    </row>
    <row r="8">
      <c r="K8" s="284" t="n">
        <v>5</v>
      </c>
    </row>
    <row r="9">
      <c r="K9" s="284" t="n">
        <v>3</v>
      </c>
      <c r="O9" s="247" t="n">
        <v>774</v>
      </c>
    </row>
    <row r="10">
      <c r="K10" s="284" t="n">
        <v>14</v>
      </c>
      <c r="O10" s="247" t="n">
        <v>590</v>
      </c>
    </row>
    <row r="11">
      <c r="K11" s="284" t="n">
        <v>36</v>
      </c>
      <c r="O11" s="247" t="n">
        <v>371</v>
      </c>
      <c r="U11" t="n">
        <v>3</v>
      </c>
      <c r="V11" t="n">
        <v>3</v>
      </c>
      <c r="W11" t="n">
        <v>44.5</v>
      </c>
      <c r="X11" s="53" t="n">
        <v>3</v>
      </c>
    </row>
    <row r="12">
      <c r="K12" s="284" t="n">
        <v>40</v>
      </c>
      <c r="O12" s="247" t="n">
        <v>519</v>
      </c>
      <c r="R12" s="285" t="n">
        <v>30</v>
      </c>
      <c r="U12" t="n">
        <v>24.5</v>
      </c>
      <c r="V12" t="n">
        <v>24.5</v>
      </c>
      <c r="W12" t="n">
        <v>24.5</v>
      </c>
      <c r="X12" s="53" t="n">
        <v>24.5</v>
      </c>
    </row>
    <row r="13">
      <c r="K13" s="284" t="n">
        <v>6</v>
      </c>
      <c r="O13" s="247" t="n">
        <v>637.2</v>
      </c>
      <c r="R13" s="285" t="n">
        <v>30</v>
      </c>
      <c r="U13" t="n">
        <v>116</v>
      </c>
      <c r="V13" t="n">
        <v>116</v>
      </c>
      <c r="W13" t="n">
        <v>116</v>
      </c>
      <c r="X13" s="53" t="n">
        <v>116</v>
      </c>
    </row>
    <row r="14">
      <c r="K14" s="284" t="n">
        <v>3</v>
      </c>
      <c r="O14" s="247" t="n">
        <v>273.44</v>
      </c>
      <c r="R14" s="286" t="n">
        <v>5</v>
      </c>
      <c r="X14" s="53" t="n"/>
    </row>
    <row r="15">
      <c r="K15" s="284" t="n">
        <v>39</v>
      </c>
      <c r="O15" s="247" t="n">
        <v>511</v>
      </c>
      <c r="R15" s="287" t="n">
        <v>20</v>
      </c>
      <c r="W15" t="n">
        <v>32</v>
      </c>
      <c r="X15" s="53" t="n">
        <v>32</v>
      </c>
    </row>
    <row r="16">
      <c r="K16" s="284" t="n">
        <v>39</v>
      </c>
      <c r="O16" s="247" t="n">
        <v>815.3</v>
      </c>
      <c r="R16" s="287" t="n">
        <v>5</v>
      </c>
      <c r="U16" t="n">
        <v>10</v>
      </c>
      <c r="V16" t="n">
        <v>10</v>
      </c>
      <c r="W16" t="n">
        <v>10</v>
      </c>
      <c r="X16" s="53" t="n">
        <v>10</v>
      </c>
    </row>
    <row r="17">
      <c r="K17" s="284" t="n">
        <v>32</v>
      </c>
      <c r="O17" s="247" t="n">
        <v>373</v>
      </c>
      <c r="R17" s="285" t="n">
        <v>60</v>
      </c>
      <c r="U17" t="n">
        <v>11</v>
      </c>
      <c r="V17" t="n">
        <v>11</v>
      </c>
      <c r="W17" t="n">
        <v>11</v>
      </c>
      <c r="X17" s="53" t="n">
        <v>11</v>
      </c>
    </row>
    <row r="18">
      <c r="K18" s="284" t="n">
        <v>43</v>
      </c>
      <c r="O18" s="247" t="n">
        <v>863</v>
      </c>
      <c r="R18" s="288" t="n">
        <v>40</v>
      </c>
      <c r="U18" t="n">
        <v>40</v>
      </c>
      <c r="V18" t="n">
        <v>40</v>
      </c>
      <c r="W18" t="n">
        <v>40</v>
      </c>
      <c r="X18" s="53" t="n">
        <v>40</v>
      </c>
    </row>
    <row r="19">
      <c r="K19" s="284" t="n">
        <v>15</v>
      </c>
      <c r="O19" s="247" t="n">
        <v>1053.89</v>
      </c>
      <c r="R19" s="286" t="n">
        <v>35</v>
      </c>
      <c r="X19" s="53" t="n"/>
    </row>
    <row r="20">
      <c r="K20" s="284" t="n">
        <v>45</v>
      </c>
      <c r="O20" s="247" t="n">
        <v>201</v>
      </c>
      <c r="R20" s="285" t="n">
        <v>30</v>
      </c>
      <c r="U20" t="n">
        <v>183</v>
      </c>
      <c r="V20" t="n">
        <v>183</v>
      </c>
      <c r="W20" t="n">
        <v>183</v>
      </c>
      <c r="X20" s="53" t="n">
        <v>183</v>
      </c>
    </row>
    <row r="21" ht="15.75" customHeight="1" s="2">
      <c r="K21" s="284" t="n">
        <v>50</v>
      </c>
      <c r="O21" s="247" t="n">
        <v>177.22</v>
      </c>
      <c r="R21" s="286" t="n">
        <v>35</v>
      </c>
      <c r="U21" t="n">
        <v>289.5</v>
      </c>
      <c r="V21" t="n">
        <v>289.5</v>
      </c>
      <c r="W21" t="n">
        <v>289.5</v>
      </c>
      <c r="X21" s="53" t="n">
        <v>289.5</v>
      </c>
    </row>
    <row r="22" ht="15.75" customHeight="1" s="2">
      <c r="K22" s="284" t="n">
        <v>1</v>
      </c>
      <c r="O22" s="247" t="n">
        <v>971</v>
      </c>
      <c r="R22" s="285" t="n">
        <v>30</v>
      </c>
      <c r="V22" t="n">
        <v>34.5</v>
      </c>
      <c r="W22" t="n">
        <v>34.5</v>
      </c>
      <c r="X22" s="53" t="n">
        <v>34.5</v>
      </c>
    </row>
    <row r="23" ht="15.75" customHeight="1" s="2">
      <c r="K23" s="284" t="n">
        <v>1</v>
      </c>
      <c r="O23" s="247" t="n">
        <v>262.56</v>
      </c>
      <c r="R23" s="285" t="n">
        <v>30</v>
      </c>
      <c r="U23" t="n">
        <v>16</v>
      </c>
      <c r="V23" t="n">
        <v>16</v>
      </c>
      <c r="W23" t="n">
        <v>16</v>
      </c>
      <c r="X23" s="53" t="n">
        <v>16</v>
      </c>
    </row>
    <row r="24" ht="15.75" customHeight="1" s="2">
      <c r="K24" s="284" t="n">
        <v>32</v>
      </c>
      <c r="O24" s="247" t="n">
        <v>445.56</v>
      </c>
      <c r="R24" s="285" t="n">
        <v>30</v>
      </c>
      <c r="U24" t="n">
        <v>168.5</v>
      </c>
      <c r="V24" t="n">
        <v>168.5</v>
      </c>
      <c r="W24" t="n">
        <v>168.5</v>
      </c>
      <c r="X24" s="53" t="n">
        <v>168.5</v>
      </c>
    </row>
    <row r="25" ht="15.75" customHeight="1" s="2">
      <c r="K25" s="284" t="n">
        <v>20</v>
      </c>
      <c r="O25" s="247" t="n">
        <v>306</v>
      </c>
      <c r="R25" s="233">
        <f>SUM(R12:R24)</f>
        <v/>
      </c>
      <c r="U25" t="n">
        <v>8.5</v>
      </c>
      <c r="V25" t="n">
        <v>8.5</v>
      </c>
      <c r="W25" t="n">
        <v>8.5</v>
      </c>
      <c r="X25" s="53" t="n">
        <v>8.5</v>
      </c>
    </row>
    <row r="26" ht="15.75" customHeight="1" s="2">
      <c r="K26" s="284" t="n">
        <v>20</v>
      </c>
      <c r="O26" s="247" t="n">
        <v>131</v>
      </c>
      <c r="U26" t="n">
        <v>5.5</v>
      </c>
      <c r="V26" t="n">
        <v>5.5</v>
      </c>
      <c r="W26" t="n">
        <v>5.5</v>
      </c>
      <c r="X26" s="53" t="n">
        <v>5.5</v>
      </c>
    </row>
    <row r="27" ht="15.75" customHeight="1" s="2">
      <c r="K27" s="284" t="n">
        <v>20</v>
      </c>
      <c r="O27" s="247" t="n">
        <v>1130.02</v>
      </c>
      <c r="U27" t="n">
        <v>2.5</v>
      </c>
      <c r="V27" t="n">
        <v>2.5</v>
      </c>
      <c r="W27" t="n">
        <v>2.5</v>
      </c>
      <c r="X27" s="53" t="n">
        <v>2.5</v>
      </c>
    </row>
    <row r="28" ht="15.75" customHeight="1" s="2">
      <c r="K28" s="284" t="n">
        <v>7</v>
      </c>
      <c r="O28" s="247" t="n">
        <v>774.2</v>
      </c>
      <c r="U28" t="n">
        <v>26</v>
      </c>
      <c r="V28" t="n">
        <v>26</v>
      </c>
      <c r="W28" t="n">
        <v>26</v>
      </c>
      <c r="X28" s="53" t="n">
        <v>26</v>
      </c>
    </row>
    <row r="29" ht="15.75" customHeight="1" s="2">
      <c r="K29" s="284" t="n">
        <v>9</v>
      </c>
      <c r="O29" s="247" t="n">
        <v>951.33</v>
      </c>
      <c r="X29" s="53" t="n">
        <v>-3</v>
      </c>
    </row>
    <row r="30" ht="15.75" customHeight="1" s="2">
      <c r="K30" s="284" t="n">
        <v>5</v>
      </c>
      <c r="O30" s="247" t="n">
        <v>941.89</v>
      </c>
      <c r="U30" t="n">
        <v>299.5</v>
      </c>
      <c r="V30" t="n">
        <v>299.5</v>
      </c>
      <c r="W30" t="n">
        <v>299.5</v>
      </c>
      <c r="X30" s="53" t="n">
        <v>299.5</v>
      </c>
    </row>
    <row r="31" ht="15.75" customHeight="1" s="2">
      <c r="K31" s="284" t="n">
        <v>4</v>
      </c>
      <c r="O31" s="247" t="n">
        <v>601.77</v>
      </c>
      <c r="X31" s="53" t="n"/>
    </row>
    <row r="32" ht="15.75" customHeight="1" s="2">
      <c r="K32" s="284" t="n">
        <v>4</v>
      </c>
      <c r="O32" s="247" t="n">
        <v>836.89</v>
      </c>
      <c r="U32" t="n">
        <v>13</v>
      </c>
      <c r="V32" t="n">
        <v>13</v>
      </c>
      <c r="W32" t="n">
        <v>13</v>
      </c>
      <c r="X32" s="53" t="n">
        <v>13</v>
      </c>
    </row>
    <row r="33" ht="15.75" customHeight="1" s="2">
      <c r="K33" s="284" t="n">
        <v>4</v>
      </c>
      <c r="O33" s="247" t="n">
        <v>516.5</v>
      </c>
      <c r="U33" t="n">
        <v>56</v>
      </c>
      <c r="V33" t="n">
        <v>56</v>
      </c>
      <c r="W33" t="n">
        <v>56</v>
      </c>
      <c r="X33" s="53" t="n">
        <v>56</v>
      </c>
    </row>
    <row r="34" ht="15.75" customHeight="1" s="2">
      <c r="K34" s="284" t="n">
        <v>15</v>
      </c>
      <c r="O34" s="247" t="n">
        <v>669.67</v>
      </c>
      <c r="U34" t="n">
        <v>1.5</v>
      </c>
      <c r="V34" t="n">
        <v>1.5</v>
      </c>
      <c r="W34" t="n">
        <v>1.5</v>
      </c>
      <c r="X34" s="53" t="n">
        <v>1.5</v>
      </c>
    </row>
    <row r="35" ht="15.75" customHeight="1" s="2">
      <c r="K35" s="284" t="n">
        <v>3.6</v>
      </c>
      <c r="O35" s="247" t="n">
        <v>514</v>
      </c>
      <c r="U35" t="n">
        <v>38</v>
      </c>
      <c r="V35" t="n">
        <v>38</v>
      </c>
      <c r="W35" t="n">
        <v>38</v>
      </c>
      <c r="X35" s="53" t="n">
        <v>38</v>
      </c>
    </row>
    <row r="36" ht="15.75" customHeight="1" s="2">
      <c r="K36" s="284" t="n">
        <v>45</v>
      </c>
      <c r="O36" s="247" t="n">
        <v>1008.98</v>
      </c>
      <c r="U36" t="n">
        <v>54</v>
      </c>
      <c r="V36" t="n">
        <v>54</v>
      </c>
      <c r="W36" t="n">
        <v>54</v>
      </c>
      <c r="X36" s="53" t="n">
        <v>54</v>
      </c>
    </row>
    <row r="37" ht="15.75" customHeight="1" s="2">
      <c r="K37" s="284" t="n">
        <v>50</v>
      </c>
      <c r="O37" s="247" t="n">
        <v>203.77</v>
      </c>
      <c r="U37" t="n">
        <v>8.5</v>
      </c>
      <c r="V37" t="n">
        <v>8.5</v>
      </c>
      <c r="W37" t="n">
        <v>8.5</v>
      </c>
      <c r="X37" s="53" t="n">
        <v>8.5</v>
      </c>
    </row>
    <row r="38" ht="15.75" customHeight="1" s="2">
      <c r="K38" s="284" t="n">
        <v>48.6</v>
      </c>
      <c r="O38" s="247" t="n">
        <v>869.6</v>
      </c>
      <c r="U38" t="n">
        <v>108.5</v>
      </c>
      <c r="V38" t="n">
        <v>108.5</v>
      </c>
      <c r="W38" t="n">
        <v>108.5</v>
      </c>
      <c r="X38" s="53" t="n">
        <v>108.5</v>
      </c>
    </row>
    <row r="39" ht="15.75" customHeight="1" s="2">
      <c r="O39" s="247" t="n">
        <v>946.22</v>
      </c>
      <c r="U39" t="n">
        <v>155</v>
      </c>
      <c r="V39" t="n">
        <v>155</v>
      </c>
      <c r="W39" t="n">
        <v>155</v>
      </c>
      <c r="X39" s="53" t="n">
        <v>155</v>
      </c>
    </row>
    <row r="40" ht="15.75" customHeight="1" s="2">
      <c r="K40" s="133">
        <f>SUM(K2:K38)</f>
        <v/>
      </c>
      <c r="O40" s="247" t="n">
        <v>507</v>
      </c>
      <c r="U40" t="n">
        <v>32.5</v>
      </c>
      <c r="V40" t="n">
        <v>32.5</v>
      </c>
      <c r="W40" t="n">
        <v>32.5</v>
      </c>
      <c r="X40" s="53" t="n">
        <v>32.5</v>
      </c>
    </row>
    <row r="41" ht="15.75" customHeight="1" s="2">
      <c r="O41" s="247" t="n">
        <v>301.2</v>
      </c>
      <c r="U41" t="n">
        <v>24.5</v>
      </c>
      <c r="V41" t="n">
        <v>24.5</v>
      </c>
      <c r="W41" t="n">
        <v>24.5</v>
      </c>
      <c r="X41" s="53" t="n">
        <v>24.5</v>
      </c>
    </row>
    <row r="42" ht="15.75" customHeight="1" s="2">
      <c r="O42" s="247" t="n">
        <v>236</v>
      </c>
      <c r="U42" t="n">
        <v>116.5</v>
      </c>
      <c r="V42" t="n">
        <v>116.5</v>
      </c>
      <c r="W42" t="n">
        <v>33.5</v>
      </c>
      <c r="X42" s="53" t="n">
        <v>75</v>
      </c>
    </row>
    <row r="43" ht="15.75" customHeight="1" s="2">
      <c r="O43" s="247" t="n">
        <v>538.5599999999999</v>
      </c>
      <c r="U43" t="n">
        <v>66.5</v>
      </c>
      <c r="V43" t="n">
        <v>66.5</v>
      </c>
      <c r="W43" t="n">
        <v>66.5</v>
      </c>
      <c r="X43" s="53" t="n">
        <v>66.5</v>
      </c>
    </row>
    <row r="44" ht="15.75" customHeight="1" s="2">
      <c r="O44" s="247" t="n">
        <v>51</v>
      </c>
      <c r="U44" t="n">
        <v>3.5</v>
      </c>
      <c r="V44" t="n">
        <v>3.5</v>
      </c>
      <c r="W44" t="n">
        <v>3.5</v>
      </c>
      <c r="X44" s="53" t="n">
        <v>3.5</v>
      </c>
    </row>
    <row r="45" ht="15.75" customHeight="1" s="2">
      <c r="O45" s="247" t="n">
        <v>253</v>
      </c>
      <c r="U45" t="n">
        <v>1.5</v>
      </c>
      <c r="V45" t="n">
        <v>1.5</v>
      </c>
      <c r="W45" t="n">
        <v>1.5</v>
      </c>
      <c r="X45" s="53" t="n">
        <v>1.5</v>
      </c>
    </row>
    <row r="46" ht="15.75" customHeight="1" s="2">
      <c r="O46" s="247" t="n">
        <v>637.22</v>
      </c>
      <c r="X46" s="53" t="n"/>
    </row>
    <row r="47" ht="15.75" customHeight="1" s="2">
      <c r="X47" s="53" t="n"/>
    </row>
    <row r="48" ht="15.75" customHeight="1" s="2">
      <c r="O48">
        <f>SUM(O9:O46)</f>
        <v/>
      </c>
      <c r="U48" t="n">
        <v>11.5</v>
      </c>
      <c r="V48" t="n">
        <v>11.5</v>
      </c>
      <c r="W48" t="n">
        <v>11.5</v>
      </c>
      <c r="X48" s="53" t="n">
        <v>11.5</v>
      </c>
    </row>
    <row r="49" ht="15.75" customHeight="1" s="2">
      <c r="U49" t="n">
        <v>48.5</v>
      </c>
      <c r="V49" t="n">
        <v>7</v>
      </c>
      <c r="W49" t="n">
        <v>7</v>
      </c>
      <c r="X49" s="53" t="n">
        <v>7</v>
      </c>
    </row>
    <row r="50" ht="15.75" customHeight="1" s="2">
      <c r="U50" t="n">
        <v>30</v>
      </c>
      <c r="V50" t="n">
        <v>30</v>
      </c>
      <c r="W50" t="n">
        <v>30</v>
      </c>
      <c r="X50" s="53" t="n">
        <v>30</v>
      </c>
    </row>
    <row r="51" ht="15.75" customHeight="1" s="2">
      <c r="U51" t="n">
        <v>80</v>
      </c>
      <c r="V51" t="n">
        <v>80</v>
      </c>
      <c r="W51" t="n">
        <v>80</v>
      </c>
      <c r="X51" s="53" t="n">
        <v>80</v>
      </c>
    </row>
    <row r="52" ht="15.75" customHeight="1" s="2">
      <c r="U52" t="n">
        <v>38</v>
      </c>
      <c r="V52" t="n">
        <v>38</v>
      </c>
      <c r="W52" t="n">
        <v>38</v>
      </c>
      <c r="X52" s="53" t="n">
        <v>38</v>
      </c>
    </row>
    <row r="53" ht="15.75" customHeight="1" s="2">
      <c r="U53" t="n">
        <v>38</v>
      </c>
      <c r="V53" t="n">
        <v>38</v>
      </c>
      <c r="W53" t="n">
        <v>38</v>
      </c>
      <c r="X53" s="53" t="n">
        <v>38</v>
      </c>
    </row>
    <row r="54" ht="15.75" customHeight="1" s="2">
      <c r="U54" t="n">
        <v>38</v>
      </c>
      <c r="V54" t="n">
        <v>38</v>
      </c>
      <c r="W54" t="n">
        <v>38</v>
      </c>
      <c r="X54" s="53" t="n">
        <v>38</v>
      </c>
    </row>
    <row r="55" ht="15.75" customHeight="1" s="2">
      <c r="U55">
        <f>SUM(U11:U54)</f>
        <v/>
      </c>
      <c r="V55">
        <f>SUM(V11:V54)</f>
        <v/>
      </c>
      <c r="W55">
        <f>SUM(W11:W54)</f>
        <v/>
      </c>
      <c r="X55">
        <f>SUM(X11:X54)</f>
        <v/>
      </c>
    </row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01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7.7109375" customWidth="1" style="2" min="1" max="1"/>
    <col width="44.5703125" customWidth="1" style="2" min="2" max="2"/>
    <col width="11.85546875" customWidth="1" style="2" min="3" max="4"/>
    <col width="12.42578125" customWidth="1" style="2" min="5" max="5"/>
    <col width="6" customWidth="1" style="2" min="6" max="6"/>
    <col width="5.7109375" customWidth="1" style="2" min="7" max="7"/>
    <col width="9.42578125" customWidth="1" style="2" min="8" max="8"/>
    <col width="32.28515625" customWidth="1" style="2" min="9" max="9"/>
    <col width="16.140625" customWidth="1" style="2" min="10" max="10"/>
    <col width="8" customWidth="1" style="2" min="11" max="11"/>
    <col width="21.5703125" customWidth="1" style="2" min="12" max="12"/>
    <col width="6.28515625" customWidth="1" style="2" min="13" max="13"/>
    <col width="7.42578125" customWidth="1" style="2" min="14" max="14"/>
    <col width="6.140625" customWidth="1" style="2" min="15" max="15"/>
    <col width="6.7109375" customWidth="1" style="2" min="16" max="16"/>
    <col width="8" customWidth="1" style="2" min="17" max="26"/>
  </cols>
  <sheetData>
    <row r="1">
      <c r="A1" s="3" t="inlineStr">
        <is>
          <t>семестр</t>
        </is>
      </c>
      <c r="B1" s="4" t="inlineStr">
        <is>
          <t>Дисциплина</t>
        </is>
      </c>
      <c r="C1" s="4" t="inlineStr">
        <is>
          <t>Вид нагрузки</t>
        </is>
      </c>
      <c r="D1" s="4" t="inlineStr">
        <is>
          <t>Группы</t>
        </is>
      </c>
      <c r="E1" s="5" t="inlineStr">
        <is>
          <t>Нагрузка</t>
        </is>
      </c>
      <c r="F1" s="4" t="inlineStr">
        <is>
          <t>Поток</t>
        </is>
      </c>
      <c r="G1" s="4" t="inlineStr">
        <is>
          <t>Количества часов по УП</t>
        </is>
      </c>
      <c r="H1" s="4" t="inlineStr">
        <is>
          <t>Табельный №</t>
        </is>
      </c>
      <c r="I1" s="4" t="inlineStr">
        <is>
          <t>ФИО</t>
        </is>
      </c>
      <c r="J1" s="6" t="inlineStr">
        <is>
          <t>Должность</t>
        </is>
      </c>
      <c r="K1" s="4" t="inlineStr">
        <is>
          <t>Желаемая аудитория</t>
        </is>
      </c>
      <c r="L1" s="4" t="inlineStr">
        <is>
          <t>Описание (пожелания по дням недели, времени, требования по техническому обеспечению аудитории)</t>
        </is>
      </c>
      <c r="M1" s="7" t="inlineStr">
        <is>
          <t>осень</t>
        </is>
      </c>
      <c r="N1" s="7" t="inlineStr">
        <is>
          <t>весна</t>
        </is>
      </c>
      <c r="O1" s="7" t="inlineStr">
        <is>
          <t>всего</t>
        </is>
      </c>
      <c r="P1" s="7" t="n">
        <v>830</v>
      </c>
    </row>
    <row r="2">
      <c r="A2" s="8" t="inlineStr">
        <is>
          <t>осень</t>
        </is>
      </c>
      <c r="B2" s="289" t="inlineStr">
        <is>
          <t>История профессии</t>
        </is>
      </c>
      <c r="C2" s="289" t="inlineStr">
        <is>
          <t>ЛР</t>
        </is>
      </c>
      <c r="D2" s="289" t="inlineStr">
        <is>
          <t>Т11О-102Б-19</t>
        </is>
      </c>
      <c r="E2" s="284" t="n">
        <v>8</v>
      </c>
      <c r="F2" s="289" t="inlineStr">
        <is>
          <t>08947</t>
        </is>
      </c>
      <c r="G2" s="284" t="n">
        <v>16</v>
      </c>
      <c r="H2" s="289" t="inlineStr">
        <is>
          <t>82066</t>
        </is>
      </c>
      <c r="I2" s="289" t="inlineStr">
        <is>
          <t>Серов Михаил Михайлович</t>
        </is>
      </c>
      <c r="J2" s="289" t="inlineStr">
        <is>
          <t>профессор</t>
        </is>
      </c>
      <c r="K2" s="289" t="n"/>
      <c r="L2" s="289" t="n"/>
      <c r="M2" s="12">
        <f>SUMIFS($E$2:$E$300,$A$2:$A$300,"осень",$I$2:$I$300,I2)</f>
        <v/>
      </c>
      <c r="N2" s="13">
        <f>SUMIFS($E$2:$E$300,$A$2:$A$300,"весна",$I$2:$I$300,I2)</f>
        <v/>
      </c>
      <c r="O2" s="14">
        <f>M2+N2</f>
        <v/>
      </c>
      <c r="P2" s="15">
        <f>O2/$P$1</f>
        <v/>
      </c>
    </row>
    <row r="3">
      <c r="A3" s="8" t="inlineStr">
        <is>
          <t>осень</t>
        </is>
      </c>
      <c r="B3" s="289" t="inlineStr">
        <is>
          <t>История профессии</t>
        </is>
      </c>
      <c r="C3" s="289" t="inlineStr">
        <is>
          <t>ЛР</t>
        </is>
      </c>
      <c r="D3" s="289" t="inlineStr">
        <is>
          <t>Т11О-101Б-19</t>
        </is>
      </c>
      <c r="E3" s="284" t="n">
        <v>8</v>
      </c>
      <c r="F3" s="289" t="inlineStr">
        <is>
          <t>08947</t>
        </is>
      </c>
      <c r="G3" s="284" t="n">
        <v>16</v>
      </c>
      <c r="H3" s="289" t="inlineStr">
        <is>
          <t>82066</t>
        </is>
      </c>
      <c r="I3" s="289" t="inlineStr">
        <is>
          <t>Серов Михаил Михайлович</t>
        </is>
      </c>
      <c r="J3" s="289" t="inlineStr">
        <is>
          <t>профессор</t>
        </is>
      </c>
      <c r="K3" s="289" t="n"/>
      <c r="L3" s="289" t="n"/>
      <c r="M3" s="12">
        <f>SUMIFS($E$2:$E$300,$A$2:$A$300,"осень",$I$2:$I$300,I3)</f>
        <v/>
      </c>
      <c r="N3" s="13">
        <f>SUMIFS($E$2:$E$300,$A$2:$A$300,"весна",$I$2:$I$300,I3)</f>
        <v/>
      </c>
      <c r="O3" s="14">
        <f>M3+N3</f>
        <v/>
      </c>
      <c r="P3" s="15">
        <f>O3/$P$1</f>
        <v/>
      </c>
    </row>
    <row r="4">
      <c r="A4" s="8" t="inlineStr">
        <is>
          <t>осень</t>
        </is>
      </c>
      <c r="B4" s="289" t="inlineStr">
        <is>
          <t>Материаловедение и технология композиционных материалов</t>
        </is>
      </c>
      <c r="C4" s="289" t="inlineStr">
        <is>
          <t>ПЗ</t>
        </is>
      </c>
      <c r="D4" s="289" t="inlineStr">
        <is>
          <t>Т1О-404Б-16</t>
        </is>
      </c>
      <c r="E4" s="284" t="n">
        <v>16</v>
      </c>
      <c r="F4" s="289" t="inlineStr">
        <is>
          <t>04869</t>
        </is>
      </c>
      <c r="G4" s="284" t="n">
        <v>16</v>
      </c>
      <c r="H4" s="289" t="inlineStr">
        <is>
          <t>94222</t>
        </is>
      </c>
      <c r="I4" s="289" t="inlineStr">
        <is>
          <t>Кубатина Екатерина Павловна</t>
        </is>
      </c>
      <c r="J4" s="289" t="inlineStr">
        <is>
          <t>ассистент</t>
        </is>
      </c>
      <c r="K4" s="289" t="n"/>
      <c r="L4" s="289" t="n"/>
      <c r="M4" s="12">
        <f>SUMIFS($E$2:$E$300,$A$2:$A$300,"осень",$I$2:$I$300,I4)</f>
        <v/>
      </c>
      <c r="N4" s="13">
        <f>SUMIFS($E$2:$E$300,$A$2:$A$300,"весна",$I$2:$I$300,I4)</f>
        <v/>
      </c>
      <c r="O4" s="14">
        <f>M4+N4</f>
        <v/>
      </c>
      <c r="P4" s="15">
        <f>O4/$P$1</f>
        <v/>
      </c>
    </row>
    <row r="5">
      <c r="A5" s="8" t="inlineStr">
        <is>
          <t>осень</t>
        </is>
      </c>
      <c r="B5" s="289" t="inlineStr">
        <is>
          <t>Материаловедение и технология композиционных материалов</t>
        </is>
      </c>
      <c r="C5" s="289" t="inlineStr">
        <is>
          <t>КСР</t>
        </is>
      </c>
      <c r="D5" s="289" t="inlineStr">
        <is>
          <t>Т1О-404Б-16</t>
        </is>
      </c>
      <c r="E5" s="284" t="n">
        <v>24</v>
      </c>
      <c r="F5" s="289" t="inlineStr">
        <is>
          <t>04869</t>
        </is>
      </c>
      <c r="G5" s="284" t="n">
        <v>24</v>
      </c>
      <c r="H5" s="289" t="inlineStr">
        <is>
          <t>94222</t>
        </is>
      </c>
      <c r="I5" s="289" t="inlineStr">
        <is>
          <t>Кубатина Екатерина Павловна</t>
        </is>
      </c>
      <c r="J5" s="289" t="inlineStr">
        <is>
          <t>ассистент</t>
        </is>
      </c>
      <c r="K5" s="289" t="n"/>
      <c r="L5" s="289" t="n"/>
      <c r="M5" s="12">
        <f>SUMIFS($E$2:$E$300,$A$2:$A$300,"осень",$I$2:$I$300,I5)</f>
        <v/>
      </c>
      <c r="N5" s="13">
        <f>SUMIFS($E$2:$E$300,$A$2:$A$300,"весна",$I$2:$I$300,I5)</f>
        <v/>
      </c>
      <c r="O5" s="14">
        <f>M5+N5</f>
        <v/>
      </c>
      <c r="P5" s="15">
        <f>O5/$P$1</f>
        <v/>
      </c>
    </row>
    <row r="6">
      <c r="A6" s="8" t="inlineStr">
        <is>
          <t>осень</t>
        </is>
      </c>
      <c r="B6" s="289" t="inlineStr">
        <is>
          <t>Материаловедение и технология композиционных материалов</t>
        </is>
      </c>
      <c r="C6" s="289" t="inlineStr">
        <is>
          <t>КР</t>
        </is>
      </c>
      <c r="D6" s="289" t="inlineStr">
        <is>
          <t>Т1О-404Б-16</t>
        </is>
      </c>
      <c r="E6" s="284" t="n">
        <v>39</v>
      </c>
      <c r="F6" s="289" t="inlineStr">
        <is>
          <t>04869</t>
        </is>
      </c>
      <c r="G6" s="290" t="n">
        <v>0</v>
      </c>
      <c r="H6" s="289" t="inlineStr">
        <is>
          <t>94222</t>
        </is>
      </c>
      <c r="I6" s="289" t="inlineStr">
        <is>
          <t>Кубатина Екатерина Павловна</t>
        </is>
      </c>
      <c r="J6" s="289" t="inlineStr">
        <is>
          <t>ассистент</t>
        </is>
      </c>
      <c r="K6" s="289" t="n"/>
      <c r="L6" s="289" t="n"/>
      <c r="M6" s="12">
        <f>SUMIFS($E$2:$E$300,$A$2:$A$300,"осень",$I$2:$I$300,I6)</f>
        <v/>
      </c>
      <c r="N6" s="13">
        <f>SUMIFS($E$2:$E$300,$A$2:$A$300,"весна",$I$2:$I$300,I6)</f>
        <v/>
      </c>
      <c r="O6" s="14">
        <f>M6+N6</f>
        <v/>
      </c>
      <c r="P6" s="15">
        <f>O6/$P$1</f>
        <v/>
      </c>
    </row>
    <row r="7">
      <c r="A7" s="8" t="inlineStr">
        <is>
          <t>осень</t>
        </is>
      </c>
      <c r="B7" s="289" t="inlineStr">
        <is>
          <t>Материаловедение и технология композиционных материалов</t>
        </is>
      </c>
      <c r="C7" s="289" t="inlineStr">
        <is>
          <t>Экзамен</t>
        </is>
      </c>
      <c r="D7" s="289" t="inlineStr">
        <is>
          <t>Т1О-404Б-16</t>
        </is>
      </c>
      <c r="E7" s="284" t="n">
        <v>7</v>
      </c>
      <c r="F7" s="289" t="inlineStr">
        <is>
          <t>04869</t>
        </is>
      </c>
      <c r="G7" s="290" t="n">
        <v>0</v>
      </c>
      <c r="H7" s="289" t="inlineStr">
        <is>
          <t>94222</t>
        </is>
      </c>
      <c r="I7" s="289" t="inlineStr">
        <is>
          <t>Кубатина Екатерина Павловна</t>
        </is>
      </c>
      <c r="J7" s="289" t="inlineStr">
        <is>
          <t>ассистент</t>
        </is>
      </c>
      <c r="K7" s="291" t="inlineStr">
        <is>
          <t>не заводить</t>
        </is>
      </c>
      <c r="L7" s="289" t="inlineStr">
        <is>
          <t>компенсировано</t>
        </is>
      </c>
      <c r="M7" s="12">
        <f>SUMIFS($E$2:$E$300,$A$2:$A$300,"осень",$I$2:$I$300,I7)</f>
        <v/>
      </c>
      <c r="N7" s="13">
        <f>SUMIFS($E$2:$E$300,$A$2:$A$300,"весна",$I$2:$I$300,I7)</f>
        <v/>
      </c>
      <c r="O7" s="14">
        <f>M7+N7</f>
        <v/>
      </c>
      <c r="P7" s="15">
        <f>O7/$P$1</f>
        <v/>
      </c>
    </row>
    <row r="8">
      <c r="A8" s="8" t="inlineStr">
        <is>
          <t>осень</t>
        </is>
      </c>
      <c r="B8" s="289" t="inlineStr">
        <is>
          <t>Материаловедение и технология композиционных материалов</t>
        </is>
      </c>
      <c r="C8" s="292" t="inlineStr">
        <is>
          <t>Экзамен</t>
        </is>
      </c>
      <c r="D8" s="289" t="inlineStr">
        <is>
          <t>Т1О-404Б-16</t>
        </is>
      </c>
      <c r="E8" s="284" t="n">
        <v>-7</v>
      </c>
      <c r="F8" s="289" t="inlineStr">
        <is>
          <t>04869</t>
        </is>
      </c>
      <c r="G8" s="290" t="n">
        <v>0</v>
      </c>
      <c r="H8" s="289" t="inlineStr">
        <is>
          <t>82026</t>
        </is>
      </c>
      <c r="I8" s="289" t="inlineStr">
        <is>
          <t>Александрова Светлана Сергеевна</t>
        </is>
      </c>
      <c r="J8" s="289" t="inlineStr">
        <is>
          <t>доцент</t>
        </is>
      </c>
      <c r="K8" s="291" t="inlineStr">
        <is>
          <t>не заводить</t>
        </is>
      </c>
      <c r="L8" s="289" t="n"/>
      <c r="M8" s="12">
        <f>SUMIFS($E$2:$E$300,$A$2:$A$300,"осень",$I$2:$I$300,I8)</f>
        <v/>
      </c>
      <c r="N8" s="13">
        <f>SUMIFS($E$2:$E$300,$A$2:$A$300,"весна",$I$2:$I$300,I8)</f>
        <v/>
      </c>
      <c r="O8" s="14">
        <f>M8+N8</f>
        <v/>
      </c>
      <c r="P8" s="15">
        <f>O8/$P$1</f>
        <v/>
      </c>
    </row>
    <row r="9">
      <c r="A9" s="8" t="inlineStr">
        <is>
          <t>осень</t>
        </is>
      </c>
      <c r="B9" s="289" t="inlineStr">
        <is>
          <t>Материаловедение и технология композиционных материалов</t>
        </is>
      </c>
      <c r="C9" s="292" t="inlineStr">
        <is>
          <t>Экзамен</t>
        </is>
      </c>
      <c r="D9" s="289" t="inlineStr">
        <is>
          <t>Т1О-404Б-16</t>
        </is>
      </c>
      <c r="E9" s="284" t="n">
        <v>7</v>
      </c>
      <c r="F9" s="289" t="inlineStr">
        <is>
          <t>04869</t>
        </is>
      </c>
      <c r="G9" s="290" t="n">
        <v>0</v>
      </c>
      <c r="H9" s="289" t="inlineStr">
        <is>
          <t>82026</t>
        </is>
      </c>
      <c r="I9" s="289" t="inlineStr">
        <is>
          <t>Александрова Светлана Сергеевна</t>
        </is>
      </c>
      <c r="J9" s="289" t="inlineStr">
        <is>
          <t>доцент</t>
        </is>
      </c>
      <c r="K9" s="289" t="n"/>
      <c r="L9" s="289" t="n"/>
      <c r="M9" s="12">
        <f>SUMIFS($E$2:$E$300,$A$2:$A$300,"осень",$I$2:$I$300,I9)</f>
        <v/>
      </c>
      <c r="N9" s="13">
        <f>SUMIFS($E$2:$E$300,$A$2:$A$300,"весна",$I$2:$I$300,I9)</f>
        <v/>
      </c>
      <c r="O9" s="14">
        <f>M9+N9</f>
        <v/>
      </c>
      <c r="P9" s="15">
        <f>O9/$P$1</f>
        <v/>
      </c>
    </row>
    <row r="10">
      <c r="A10" s="8" t="inlineStr">
        <is>
          <t>осень</t>
        </is>
      </c>
      <c r="B10" s="289" t="inlineStr">
        <is>
          <t>Материаловедение и технология композиционных материалов</t>
        </is>
      </c>
      <c r="C10" s="289" t="inlineStr">
        <is>
          <t>ЛК</t>
        </is>
      </c>
      <c r="D10" s="289" t="inlineStr">
        <is>
          <t>Т1О-404Б-16</t>
        </is>
      </c>
      <c r="E10" s="284" t="n">
        <v>24</v>
      </c>
      <c r="F10" s="289" t="inlineStr">
        <is>
          <t>04869</t>
        </is>
      </c>
      <c r="G10" s="284" t="n">
        <v>24</v>
      </c>
      <c r="H10" s="289" t="inlineStr">
        <is>
          <t>94222</t>
        </is>
      </c>
      <c r="I10" s="289" t="inlineStr">
        <is>
          <t>Кубатина Екатерина Павловна</t>
        </is>
      </c>
      <c r="J10" s="289" t="inlineStr">
        <is>
          <t>ассистент</t>
        </is>
      </c>
      <c r="K10" s="291" t="inlineStr">
        <is>
          <t>не заводить</t>
        </is>
      </c>
      <c r="L10" s="289" t="inlineStr">
        <is>
          <t>компенсировано</t>
        </is>
      </c>
      <c r="M10" s="12">
        <f>SUMIFS($E$2:$E$300,$A$2:$A$300,"осень",$I$2:$I$300,I10)</f>
        <v/>
      </c>
      <c r="N10" s="13">
        <f>SUMIFS($E$2:$E$300,$A$2:$A$300,"весна",$I$2:$I$300,I10)</f>
        <v/>
      </c>
      <c r="O10" s="14">
        <f>M10+N10</f>
        <v/>
      </c>
      <c r="P10" s="15">
        <f>O10/$P$1</f>
        <v/>
      </c>
    </row>
    <row r="11">
      <c r="A11" s="8" t="inlineStr">
        <is>
          <t>осень</t>
        </is>
      </c>
      <c r="B11" s="289" t="inlineStr">
        <is>
          <t>Материаловедение и технология композиционных материалов</t>
        </is>
      </c>
      <c r="C11" s="292" t="inlineStr">
        <is>
          <t>ЛК</t>
        </is>
      </c>
      <c r="D11" s="289" t="inlineStr">
        <is>
          <t>Т1О-404Б-16</t>
        </is>
      </c>
      <c r="E11" s="284" t="n">
        <v>-24</v>
      </c>
      <c r="F11" s="289" t="inlineStr">
        <is>
          <t>04869</t>
        </is>
      </c>
      <c r="G11" s="284" t="n">
        <v>24</v>
      </c>
      <c r="H11" s="289" t="inlineStr">
        <is>
          <t>82026</t>
        </is>
      </c>
      <c r="I11" s="289" t="inlineStr">
        <is>
          <t>Александрова Светлана Сергеевна</t>
        </is>
      </c>
      <c r="J11" s="289" t="inlineStr">
        <is>
          <t>доцент</t>
        </is>
      </c>
      <c r="K11" s="291" t="inlineStr">
        <is>
          <t>не заводить</t>
        </is>
      </c>
      <c r="L11" s="289" t="inlineStr">
        <is>
          <t>Кубатина Екатерина Павловна</t>
        </is>
      </c>
      <c r="M11" s="12">
        <f>SUMIFS($E$2:$E$300,$A$2:$A$300,"осень",$I$2:$I$300,I11)</f>
        <v/>
      </c>
      <c r="N11" s="13">
        <f>SUMIFS($E$2:$E$300,$A$2:$A$300,"весна",$I$2:$I$300,I11)</f>
        <v/>
      </c>
      <c r="O11" s="14">
        <f>M11+N11</f>
        <v/>
      </c>
      <c r="P11" s="15">
        <f>O11/$P$1</f>
        <v/>
      </c>
    </row>
    <row r="12">
      <c r="A12" s="8" t="inlineStr">
        <is>
          <t>осень</t>
        </is>
      </c>
      <c r="B12" s="289" t="inlineStr">
        <is>
          <t>Материаловедение и технология композиционных материалов</t>
        </is>
      </c>
      <c r="C12" s="292" t="inlineStr">
        <is>
          <t>ЛК</t>
        </is>
      </c>
      <c r="D12" s="289" t="inlineStr">
        <is>
          <t>Т1О-404Б-16</t>
        </is>
      </c>
      <c r="E12" s="284" t="n">
        <v>24</v>
      </c>
      <c r="F12" s="289" t="inlineStr">
        <is>
          <t>04869</t>
        </is>
      </c>
      <c r="G12" s="284" t="n">
        <v>24</v>
      </c>
      <c r="H12" s="289" t="inlineStr">
        <is>
          <t>82026</t>
        </is>
      </c>
      <c r="I12" s="289" t="inlineStr">
        <is>
          <t>Александрова Светлана Сергеевна</t>
        </is>
      </c>
      <c r="J12" s="289" t="inlineStr">
        <is>
          <t>доцент</t>
        </is>
      </c>
      <c r="K12" s="289" t="n"/>
      <c r="L12" s="289" t="inlineStr">
        <is>
          <t>Кубатина Екатерина Павловна</t>
        </is>
      </c>
      <c r="M12" s="12">
        <f>SUMIFS($E$2:$E$300,$A$2:$A$300,"осень",$I$2:$I$300,I12)</f>
        <v/>
      </c>
      <c r="N12" s="13">
        <f>SUMIFS($E$2:$E$300,$A$2:$A$300,"весна",$I$2:$I$300,I12)</f>
        <v/>
      </c>
      <c r="O12" s="14">
        <f>M12+N12</f>
        <v/>
      </c>
      <c r="P12" s="15">
        <f>O12/$P$1</f>
        <v/>
      </c>
    </row>
    <row r="13">
      <c r="A13" s="8" t="inlineStr">
        <is>
          <t>осень</t>
        </is>
      </c>
      <c r="B13" s="289" t="inlineStr">
        <is>
          <t>Материаловедение и технология композиционных материалов</t>
        </is>
      </c>
      <c r="C13" s="289" t="inlineStr">
        <is>
          <t>Консультация</t>
        </is>
      </c>
      <c r="D13" s="289" t="inlineStr">
        <is>
          <t>Т1О-404Б-16</t>
        </is>
      </c>
      <c r="E13" s="284" t="n">
        <v>3</v>
      </c>
      <c r="F13" s="289" t="inlineStr">
        <is>
          <t>04869</t>
        </is>
      </c>
      <c r="G13" s="290" t="n">
        <v>0</v>
      </c>
      <c r="H13" s="289" t="inlineStr">
        <is>
          <t>94222</t>
        </is>
      </c>
      <c r="I13" s="289" t="inlineStr">
        <is>
          <t>Кубатина Екатерина Павловна</t>
        </is>
      </c>
      <c r="J13" s="289" t="inlineStr">
        <is>
          <t>ассистент</t>
        </is>
      </c>
      <c r="K13" s="289" t="n"/>
      <c r="L13" s="289" t="n"/>
      <c r="M13" s="12">
        <f>SUMIFS($E$2:$E$300,$A$2:$A$300,"осень",$I$2:$I$300,I13)</f>
        <v/>
      </c>
      <c r="N13" s="13">
        <f>SUMIFS($E$2:$E$300,$A$2:$A$300,"весна",$I$2:$I$300,I13)</f>
        <v/>
      </c>
      <c r="O13" s="14">
        <f>M13+N13</f>
        <v/>
      </c>
      <c r="P13" s="15">
        <f>O13/$P$1</f>
        <v/>
      </c>
    </row>
    <row r="14">
      <c r="A14" s="8" t="inlineStr">
        <is>
          <t>осень</t>
        </is>
      </c>
      <c r="B14" s="289" t="inlineStr">
        <is>
          <t>Материаловедение порошковых материалов</t>
        </is>
      </c>
      <c r="C14" s="289" t="inlineStr">
        <is>
          <t>ЛК</t>
        </is>
      </c>
      <c r="D14" s="289" t="inlineStr">
        <is>
          <t>Т1О-404Б-16</t>
        </is>
      </c>
      <c r="E14" s="284" t="n">
        <v>12</v>
      </c>
      <c r="F14" s="289" t="inlineStr">
        <is>
          <t>04869</t>
        </is>
      </c>
      <c r="G14" s="284" t="n">
        <v>12</v>
      </c>
      <c r="H14" s="289" t="inlineStr">
        <is>
          <t>82066</t>
        </is>
      </c>
      <c r="I14" s="289" t="inlineStr">
        <is>
          <t>Серов Михаил Михайлович</t>
        </is>
      </c>
      <c r="J14" s="289" t="inlineStr">
        <is>
          <t>профессор</t>
        </is>
      </c>
      <c r="K14" s="289" t="n"/>
      <c r="L14" s="289" t="n"/>
      <c r="M14" s="12">
        <f>SUMIFS($E$2:$E$300,$A$2:$A$300,"осень",$I$2:$I$300,I14)</f>
        <v/>
      </c>
      <c r="N14" s="13">
        <f>SUMIFS($E$2:$E$300,$A$2:$A$300,"весна",$I$2:$I$300,I14)</f>
        <v/>
      </c>
      <c r="O14" s="14">
        <f>M14+N14</f>
        <v/>
      </c>
      <c r="P14" s="15">
        <f>O14/$P$1</f>
        <v/>
      </c>
    </row>
    <row r="15">
      <c r="A15" s="8" t="inlineStr">
        <is>
          <t>осень</t>
        </is>
      </c>
      <c r="B15" s="289" t="inlineStr">
        <is>
          <t>Материаловедение порошковых материалов</t>
        </is>
      </c>
      <c r="C15" s="289" t="inlineStr">
        <is>
          <t>Зачет с оценкой</t>
        </is>
      </c>
      <c r="D15" s="289" t="inlineStr">
        <is>
          <t>Т1О-404Б-16</t>
        </is>
      </c>
      <c r="E15" s="284" t="n">
        <v>5</v>
      </c>
      <c r="F15" s="289" t="inlineStr">
        <is>
          <t>04869</t>
        </is>
      </c>
      <c r="G15" s="290" t="n">
        <v>0</v>
      </c>
      <c r="H15" s="289" t="inlineStr">
        <is>
          <t>82066</t>
        </is>
      </c>
      <c r="I15" s="289" t="inlineStr">
        <is>
          <t>Серов Михаил Михайлович</t>
        </is>
      </c>
      <c r="J15" s="289" t="inlineStr">
        <is>
          <t>профессор</t>
        </is>
      </c>
      <c r="K15" s="289" t="n"/>
      <c r="L15" s="289" t="n"/>
      <c r="M15" s="12">
        <f>SUMIFS($E$2:$E$300,$A$2:$A$300,"осень",$I$2:$I$300,I15)</f>
        <v/>
      </c>
      <c r="N15" s="13">
        <f>SUMIFS($E$2:$E$300,$A$2:$A$300,"весна",$I$2:$I$300,I15)</f>
        <v/>
      </c>
      <c r="O15" s="14">
        <f>M15+N15</f>
        <v/>
      </c>
      <c r="P15" s="15">
        <f>O15/$P$1</f>
        <v/>
      </c>
    </row>
    <row r="16">
      <c r="A16" s="8" t="inlineStr">
        <is>
          <t>осень</t>
        </is>
      </c>
      <c r="B16" s="289" t="inlineStr">
        <is>
          <t>Материаловедение порошковых материалов</t>
        </is>
      </c>
      <c r="C16" s="289" t="inlineStr">
        <is>
          <t>ПЗ</t>
        </is>
      </c>
      <c r="D16" s="289" t="inlineStr">
        <is>
          <t>Т1О-404Б-16</t>
        </is>
      </c>
      <c r="E16" s="284" t="n">
        <v>12</v>
      </c>
      <c r="F16" s="289" t="inlineStr">
        <is>
          <t>04869</t>
        </is>
      </c>
      <c r="G16" s="284" t="n">
        <v>12</v>
      </c>
      <c r="H16" s="289" t="inlineStr">
        <is>
          <t>82066</t>
        </is>
      </c>
      <c r="I16" s="289" t="inlineStr">
        <is>
          <t>Серов Михаил Михайлович</t>
        </is>
      </c>
      <c r="J16" s="289" t="inlineStr">
        <is>
          <t>профессор</t>
        </is>
      </c>
      <c r="K16" s="289" t="n"/>
      <c r="L16" s="289" t="n"/>
      <c r="M16" s="12">
        <f>SUMIFS($E$2:$E$300,$A$2:$A$300,"осень",$I$2:$I$300,I16)</f>
        <v/>
      </c>
      <c r="N16" s="13">
        <f>SUMIFS($E$2:$E$300,$A$2:$A$300,"весна",$I$2:$I$300,I16)</f>
        <v/>
      </c>
      <c r="O16" s="14">
        <f>M16+N16</f>
        <v/>
      </c>
      <c r="P16" s="15">
        <f>O16/$P$1</f>
        <v/>
      </c>
    </row>
    <row r="17">
      <c r="A17" s="8" t="inlineStr">
        <is>
          <t>осень</t>
        </is>
      </c>
      <c r="B17" s="289" t="inlineStr">
        <is>
          <t>Материаловедение порошковых материалов</t>
        </is>
      </c>
      <c r="C17" s="289" t="inlineStr">
        <is>
          <t>КСР</t>
        </is>
      </c>
      <c r="D17" s="289" t="inlineStr">
        <is>
          <t>Т1О-404Б-16</t>
        </is>
      </c>
      <c r="E17" s="284" t="n">
        <v>4</v>
      </c>
      <c r="F17" s="289" t="inlineStr">
        <is>
          <t>04869</t>
        </is>
      </c>
      <c r="G17" s="284" t="n">
        <v>4</v>
      </c>
      <c r="H17" s="289" t="inlineStr">
        <is>
          <t>82066</t>
        </is>
      </c>
      <c r="I17" s="289" t="inlineStr">
        <is>
          <t>Серов Михаил Михайлович</t>
        </is>
      </c>
      <c r="J17" s="289" t="inlineStr">
        <is>
          <t>профессор</t>
        </is>
      </c>
      <c r="K17" s="289" t="n"/>
      <c r="L17" s="289" t="n"/>
      <c r="M17" s="12">
        <f>SUMIFS($E$2:$E$300,$A$2:$A$300,"осень",$I$2:$I$300,I17)</f>
        <v/>
      </c>
      <c r="N17" s="13">
        <f>SUMIFS($E$2:$E$300,$A$2:$A$300,"весна",$I$2:$I$300,I17)</f>
        <v/>
      </c>
      <c r="O17" s="14">
        <f>M17+N17</f>
        <v/>
      </c>
      <c r="P17" s="15">
        <f>O17/$P$1</f>
        <v/>
      </c>
    </row>
    <row r="18">
      <c r="A18" s="8" t="inlineStr">
        <is>
          <t>осень</t>
        </is>
      </c>
      <c r="B18" s="289" t="inlineStr">
        <is>
          <t>Материаловедение порошковых материалов</t>
        </is>
      </c>
      <c r="C18" s="289" t="inlineStr">
        <is>
          <t>Консультация</t>
        </is>
      </c>
      <c r="D18" s="289" t="inlineStr">
        <is>
          <t>Т1О-404Б-16</t>
        </is>
      </c>
      <c r="E18" s="284" t="n">
        <v>1</v>
      </c>
      <c r="F18" s="289" t="inlineStr">
        <is>
          <t>04869</t>
        </is>
      </c>
      <c r="G18" s="290" t="n">
        <v>0</v>
      </c>
      <c r="H18" s="289" t="inlineStr">
        <is>
          <t>82066</t>
        </is>
      </c>
      <c r="I18" s="289" t="inlineStr">
        <is>
          <t>Серов Михаил Михайлович</t>
        </is>
      </c>
      <c r="J18" s="289" t="inlineStr">
        <is>
          <t>профессор</t>
        </is>
      </c>
      <c r="K18" s="289" t="n"/>
      <c r="L18" s="289" t="n"/>
      <c r="M18" s="12">
        <f>SUMIFS($E$2:$E$300,$A$2:$A$300,"осень",$I$2:$I$300,I18)</f>
        <v/>
      </c>
      <c r="N18" s="13">
        <f>SUMIFS($E$2:$E$300,$A$2:$A$300,"весна",$I$2:$I$300,I18)</f>
        <v/>
      </c>
      <c r="O18" s="14">
        <f>M18+N18</f>
        <v/>
      </c>
      <c r="P18" s="15">
        <f>O18/$P$1</f>
        <v/>
      </c>
    </row>
    <row r="19">
      <c r="A19" s="8" t="inlineStr">
        <is>
          <t>осень</t>
        </is>
      </c>
      <c r="B19" s="289" t="inlineStr">
        <is>
          <t>Методология научных исследований</t>
        </is>
      </c>
      <c r="C19" s="289" t="inlineStr">
        <is>
          <t>ПЗ</t>
        </is>
      </c>
      <c r="D19" s="289" t="inlineStr">
        <is>
          <t>Т11О-103М-19</t>
        </is>
      </c>
      <c r="E19" s="284" t="n">
        <v>44</v>
      </c>
      <c r="F19" s="289" t="inlineStr">
        <is>
          <t>07987</t>
        </is>
      </c>
      <c r="G19" s="284" t="n">
        <v>44</v>
      </c>
      <c r="H19" s="289" t="inlineStr">
        <is>
          <t>82026</t>
        </is>
      </c>
      <c r="I19" s="289" t="inlineStr">
        <is>
          <t>Александрова Светлана Сергеевна</t>
        </is>
      </c>
      <c r="J19" s="289" t="inlineStr">
        <is>
          <t>доцент</t>
        </is>
      </c>
      <c r="K19" s="289" t="n"/>
      <c r="L19" s="289" t="n"/>
      <c r="M19" s="12">
        <f>SUMIFS($E$2:$E$300,$A$2:$A$300,"осень",$I$2:$I$300,I19)</f>
        <v/>
      </c>
      <c r="N19" s="13">
        <f>SUMIFS($E$2:$E$300,$A$2:$A$300,"весна",$I$2:$I$300,I19)</f>
        <v/>
      </c>
      <c r="O19" s="14">
        <f>M19+N19</f>
        <v/>
      </c>
      <c r="P19" s="15">
        <f>O19/$P$1</f>
        <v/>
      </c>
    </row>
    <row r="20">
      <c r="A20" s="8" t="inlineStr">
        <is>
          <t>осень</t>
        </is>
      </c>
      <c r="B20" s="289" t="inlineStr">
        <is>
          <t>Методы контроля и анализа порошковых материалов</t>
        </is>
      </c>
      <c r="C20" s="289" t="inlineStr">
        <is>
          <t>Зачет с оценкой</t>
        </is>
      </c>
      <c r="D20" s="289" t="inlineStr">
        <is>
          <t>Т1О-404Б-16</t>
        </is>
      </c>
      <c r="E20" s="284" t="n">
        <v>5</v>
      </c>
      <c r="F20" s="289" t="inlineStr">
        <is>
          <t>04869</t>
        </is>
      </c>
      <c r="G20" s="290" t="n">
        <v>0</v>
      </c>
      <c r="H20" s="289" t="inlineStr">
        <is>
          <t>82066</t>
        </is>
      </c>
      <c r="I20" s="289" t="inlineStr">
        <is>
          <t>Серов Михаил Михайлович</t>
        </is>
      </c>
      <c r="J20" s="289" t="inlineStr">
        <is>
          <t>профессор</t>
        </is>
      </c>
      <c r="K20" s="289" t="n"/>
      <c r="L20" s="289" t="n"/>
      <c r="M20" s="12">
        <f>SUMIFS($E$2:$E$300,$A$2:$A$300,"осень",$I$2:$I$300,I20)</f>
        <v/>
      </c>
      <c r="N20" s="13">
        <f>SUMIFS($E$2:$E$300,$A$2:$A$300,"весна",$I$2:$I$300,I20)</f>
        <v/>
      </c>
      <c r="O20" s="14">
        <f>M20+N20</f>
        <v/>
      </c>
      <c r="P20" s="15">
        <f>O20/$P$1</f>
        <v/>
      </c>
    </row>
    <row r="21" ht="15.75" customHeight="1" s="2">
      <c r="A21" s="8" t="inlineStr">
        <is>
          <t>осень</t>
        </is>
      </c>
      <c r="B21" s="289" t="inlineStr">
        <is>
          <t>Методы контроля и анализа порошковых материалов</t>
        </is>
      </c>
      <c r="C21" s="289" t="inlineStr">
        <is>
          <t>ПЗ</t>
        </is>
      </c>
      <c r="D21" s="289" t="inlineStr">
        <is>
          <t>Т1О-404Б-16</t>
        </is>
      </c>
      <c r="E21" s="284" t="n">
        <v>12</v>
      </c>
      <c r="F21" s="289" t="inlineStr">
        <is>
          <t>04869</t>
        </is>
      </c>
      <c r="G21" s="284" t="n">
        <v>12</v>
      </c>
      <c r="H21" s="289" t="inlineStr">
        <is>
          <t>82066</t>
        </is>
      </c>
      <c r="I21" s="289" t="inlineStr">
        <is>
          <t>Серов Михаил Михайлович</t>
        </is>
      </c>
      <c r="J21" s="289" t="inlineStr">
        <is>
          <t>профессор</t>
        </is>
      </c>
      <c r="K21" s="289" t="n"/>
      <c r="L21" s="289" t="n"/>
      <c r="M21" s="12">
        <f>SUMIFS($E$2:$E$300,$A$2:$A$300,"осень",$I$2:$I$300,I21)</f>
        <v/>
      </c>
      <c r="N21" s="13">
        <f>SUMIFS($E$2:$E$300,$A$2:$A$300,"весна",$I$2:$I$300,I21)</f>
        <v/>
      </c>
      <c r="O21" s="14">
        <f>M21+N21</f>
        <v/>
      </c>
      <c r="P21" s="15">
        <f>O21/$P$1</f>
        <v/>
      </c>
    </row>
    <row r="22" ht="15.75" customHeight="1" s="2">
      <c r="A22" s="8" t="inlineStr">
        <is>
          <t>осень</t>
        </is>
      </c>
      <c r="B22" s="289" t="inlineStr">
        <is>
          <t>Методы контроля и анализа порошковых материалов</t>
        </is>
      </c>
      <c r="C22" s="289" t="inlineStr">
        <is>
          <t>ЛР</t>
        </is>
      </c>
      <c r="D22" s="289" t="inlineStr">
        <is>
          <t>Т1О-404Б-16</t>
        </is>
      </c>
      <c r="E22" s="284" t="n">
        <v>8</v>
      </c>
      <c r="F22" s="289" t="inlineStr">
        <is>
          <t>04869</t>
        </is>
      </c>
      <c r="G22" s="284" t="n">
        <v>8</v>
      </c>
      <c r="H22" s="289" t="inlineStr">
        <is>
          <t>82066</t>
        </is>
      </c>
      <c r="I22" s="289" t="inlineStr">
        <is>
          <t>Серов Михаил Михайлович</t>
        </is>
      </c>
      <c r="J22" s="289" t="inlineStr">
        <is>
          <t>профессор</t>
        </is>
      </c>
      <c r="K22" s="289" t="n"/>
      <c r="L22" s="289" t="n"/>
      <c r="M22" s="12">
        <f>SUMIFS($E$2:$E$300,$A$2:$A$300,"осень",$I$2:$I$300,I22)</f>
        <v/>
      </c>
      <c r="N22" s="13">
        <f>SUMIFS($E$2:$E$300,$A$2:$A$300,"весна",$I$2:$I$300,I22)</f>
        <v/>
      </c>
      <c r="O22" s="14">
        <f>M22+N22</f>
        <v/>
      </c>
      <c r="P22" s="15">
        <f>O22/$P$1</f>
        <v/>
      </c>
    </row>
    <row r="23" ht="15.75" customHeight="1" s="2">
      <c r="A23" s="8" t="inlineStr">
        <is>
          <t>осень</t>
        </is>
      </c>
      <c r="B23" s="289" t="inlineStr">
        <is>
          <t>Методы контроля и анализа порошковых материалов</t>
        </is>
      </c>
      <c r="C23" s="289" t="inlineStr">
        <is>
          <t>КСР</t>
        </is>
      </c>
      <c r="D23" s="289" t="inlineStr">
        <is>
          <t>Т1О-404Б-16</t>
        </is>
      </c>
      <c r="E23" s="284" t="n">
        <v>8</v>
      </c>
      <c r="F23" s="289" t="inlineStr">
        <is>
          <t>04869</t>
        </is>
      </c>
      <c r="G23" s="284" t="n">
        <v>8</v>
      </c>
      <c r="H23" s="289" t="inlineStr">
        <is>
          <t>82066</t>
        </is>
      </c>
      <c r="I23" s="289" t="inlineStr">
        <is>
          <t>Серов Михаил Михайлович</t>
        </is>
      </c>
      <c r="J23" s="289" t="inlineStr">
        <is>
          <t>профессор</t>
        </is>
      </c>
      <c r="K23" s="289" t="n"/>
      <c r="L23" s="289" t="n"/>
      <c r="M23" s="12">
        <f>SUMIFS($E$2:$E$300,$A$2:$A$300,"осень",$I$2:$I$300,I23)</f>
        <v/>
      </c>
      <c r="N23" s="13">
        <f>SUMIFS($E$2:$E$300,$A$2:$A$300,"весна",$I$2:$I$300,I23)</f>
        <v/>
      </c>
      <c r="O23" s="14">
        <f>M23+N23</f>
        <v/>
      </c>
      <c r="P23" s="15">
        <f>O23/$P$1</f>
        <v/>
      </c>
    </row>
    <row r="24" ht="15.75" customHeight="1" s="2">
      <c r="A24" s="8" t="inlineStr">
        <is>
          <t>осень</t>
        </is>
      </c>
      <c r="B24" s="289" t="inlineStr">
        <is>
          <t>Методы контроля и анализа порошковых материалов</t>
        </is>
      </c>
      <c r="C24" s="289" t="inlineStr">
        <is>
          <t>Консультация</t>
        </is>
      </c>
      <c r="D24" s="289" t="inlineStr">
        <is>
          <t>Т1О-404Б-16</t>
        </is>
      </c>
      <c r="E24" s="284" t="n">
        <v>1</v>
      </c>
      <c r="F24" s="289" t="inlineStr">
        <is>
          <t>04869</t>
        </is>
      </c>
      <c r="G24" s="290" t="n">
        <v>0</v>
      </c>
      <c r="H24" s="289" t="inlineStr">
        <is>
          <t>82066</t>
        </is>
      </c>
      <c r="I24" s="289" t="inlineStr">
        <is>
          <t>Серов Михаил Михайлович</t>
        </is>
      </c>
      <c r="J24" s="289" t="inlineStr">
        <is>
          <t>профессор</t>
        </is>
      </c>
      <c r="K24" s="289" t="n"/>
      <c r="L24" s="289" t="n"/>
      <c r="M24" s="12">
        <f>SUMIFS($E$2:$E$300,$A$2:$A$300,"осень",$I$2:$I$300,I24)</f>
        <v/>
      </c>
      <c r="N24" s="13">
        <f>SUMIFS($E$2:$E$300,$A$2:$A$300,"весна",$I$2:$I$300,I24)</f>
        <v/>
      </c>
      <c r="O24" s="14">
        <f>M24+N24</f>
        <v/>
      </c>
      <c r="P24" s="15">
        <f>O24/$P$1</f>
        <v/>
      </c>
    </row>
    <row r="25" ht="15.75" customHeight="1" s="2">
      <c r="A25" s="8" t="inlineStr">
        <is>
          <t>осень</t>
        </is>
      </c>
      <c r="B25" s="289" t="inlineStr">
        <is>
          <t>Методы контроля и анализа порошковых материалов</t>
        </is>
      </c>
      <c r="C25" s="289" t="inlineStr">
        <is>
          <t>ЛК</t>
        </is>
      </c>
      <c r="D25" s="289" t="inlineStr">
        <is>
          <t>Т1О-404Б-16</t>
        </is>
      </c>
      <c r="E25" s="284" t="n">
        <v>16</v>
      </c>
      <c r="F25" s="289" t="inlineStr">
        <is>
          <t>04869</t>
        </is>
      </c>
      <c r="G25" s="284" t="n">
        <v>16</v>
      </c>
      <c r="H25" s="289" t="inlineStr">
        <is>
          <t>82066</t>
        </is>
      </c>
      <c r="I25" s="289" t="inlineStr">
        <is>
          <t>Серов Михаил Михайлович</t>
        </is>
      </c>
      <c r="J25" s="289" t="inlineStr">
        <is>
          <t>профессор</t>
        </is>
      </c>
      <c r="K25" s="289" t="n"/>
      <c r="L25" s="289" t="n"/>
      <c r="M25" s="12">
        <f>SUMIFS($E$2:$E$300,$A$2:$A$300,"осень",$I$2:$I$300,I25)</f>
        <v/>
      </c>
      <c r="N25" s="13">
        <f>SUMIFS($E$2:$E$300,$A$2:$A$300,"весна",$I$2:$I$300,I25)</f>
        <v/>
      </c>
      <c r="O25" s="14">
        <f>M25+N25</f>
        <v/>
      </c>
      <c r="P25" s="15">
        <f>O25/$P$1</f>
        <v/>
      </c>
    </row>
    <row r="26" ht="15.75" customHeight="1" s="2">
      <c r="A26" s="8" t="inlineStr">
        <is>
          <t>осень</t>
        </is>
      </c>
      <c r="B26" s="289" t="inlineStr">
        <is>
          <t>Моделирование процессов и объектов в порошковой металлургии и нанесении покрытий</t>
        </is>
      </c>
      <c r="C26" s="289" t="inlineStr">
        <is>
          <t>Зачет с оценкой</t>
        </is>
      </c>
      <c r="D26" s="289" t="inlineStr">
        <is>
          <t>Т11О-103М-19</t>
        </is>
      </c>
      <c r="E26" s="284" t="n">
        <v>3</v>
      </c>
      <c r="F26" s="289" t="inlineStr">
        <is>
          <t>06203</t>
        </is>
      </c>
      <c r="G26" s="290" t="n">
        <v>0</v>
      </c>
      <c r="H26" s="289" t="inlineStr">
        <is>
          <t>82026</t>
        </is>
      </c>
      <c r="I26" s="289" t="inlineStr">
        <is>
          <t>Александрова Светлана Сергеевна</t>
        </is>
      </c>
      <c r="J26" s="289" t="inlineStr">
        <is>
          <t>доцент</t>
        </is>
      </c>
      <c r="K26" s="289" t="n"/>
      <c r="L26" s="289" t="n"/>
      <c r="M26" s="12">
        <f>SUMIFS($E$2:$E$300,$A$2:$A$300,"осень",$I$2:$I$300,I26)</f>
        <v/>
      </c>
      <c r="N26" s="13">
        <f>SUMIFS($E$2:$E$300,$A$2:$A$300,"весна",$I$2:$I$300,I26)</f>
        <v/>
      </c>
      <c r="O26" s="14">
        <f>M26+N26</f>
        <v/>
      </c>
      <c r="P26" s="15">
        <f>O26/$P$1</f>
        <v/>
      </c>
    </row>
    <row r="27" ht="15.75" customHeight="1" s="2">
      <c r="A27" s="8" t="inlineStr">
        <is>
          <t>осень</t>
        </is>
      </c>
      <c r="B27" s="289" t="inlineStr">
        <is>
          <t>Моделирование процессов и объектов в порошковой металлургии и нанесении покрытий</t>
        </is>
      </c>
      <c r="C27" s="289" t="inlineStr">
        <is>
          <t>Зачет с оценкой</t>
        </is>
      </c>
      <c r="D27" s="289" t="inlineStr">
        <is>
          <t>Т11О-203М-18</t>
        </is>
      </c>
      <c r="E27" s="284" t="n">
        <v>3</v>
      </c>
      <c r="F27" s="289" t="inlineStr">
        <is>
          <t>06203</t>
        </is>
      </c>
      <c r="G27" s="290" t="n">
        <v>0</v>
      </c>
      <c r="H27" s="289" t="inlineStr">
        <is>
          <t>82026</t>
        </is>
      </c>
      <c r="I27" s="289" t="inlineStr">
        <is>
          <t>Александрова Светлана Сергеевна</t>
        </is>
      </c>
      <c r="J27" s="289" t="inlineStr">
        <is>
          <t>доцент</t>
        </is>
      </c>
      <c r="K27" s="289" t="n"/>
      <c r="L27" s="289" t="n"/>
      <c r="M27" s="12">
        <f>SUMIFS($E$2:$E$300,$A$2:$A$300,"осень",$I$2:$I$300,I27)</f>
        <v/>
      </c>
      <c r="N27" s="13">
        <f>SUMIFS($E$2:$E$300,$A$2:$A$300,"весна",$I$2:$I$300,I27)</f>
        <v/>
      </c>
      <c r="O27" s="14">
        <f>M27+N27</f>
        <v/>
      </c>
      <c r="P27" s="15">
        <f>O27/$P$1</f>
        <v/>
      </c>
    </row>
    <row r="28" ht="15.75" customHeight="1" s="2">
      <c r="A28" s="8" t="inlineStr">
        <is>
          <t>осень</t>
        </is>
      </c>
      <c r="B28" s="289" t="inlineStr">
        <is>
          <t>Моделирование процессов и объектов в порошковой металлургии и нанесении покрытий</t>
        </is>
      </c>
      <c r="C28" s="289" t="inlineStr">
        <is>
          <t>КР</t>
        </is>
      </c>
      <c r="D28" s="289" t="inlineStr">
        <is>
          <t>Т11О-203М-18</t>
        </is>
      </c>
      <c r="E28" s="284" t="n">
        <v>27</v>
      </c>
      <c r="F28" s="289" t="inlineStr">
        <is>
          <t>06203</t>
        </is>
      </c>
      <c r="G28" s="290" t="n">
        <v>0</v>
      </c>
      <c r="H28" s="289" t="inlineStr">
        <is>
          <t>82026</t>
        </is>
      </c>
      <c r="I28" s="289" t="inlineStr">
        <is>
          <t>Александрова Светлана Сергеевна</t>
        </is>
      </c>
      <c r="J28" s="289" t="inlineStr">
        <is>
          <t>доцент</t>
        </is>
      </c>
      <c r="K28" s="289" t="n"/>
      <c r="L28" s="289" t="n"/>
      <c r="M28" s="12">
        <f>SUMIFS($E$2:$E$300,$A$2:$A$300,"осень",$I$2:$I$300,I28)</f>
        <v/>
      </c>
      <c r="N28" s="13">
        <f>SUMIFS($E$2:$E$300,$A$2:$A$300,"весна",$I$2:$I$300,I28)</f>
        <v/>
      </c>
      <c r="O28" s="14">
        <f>M28+N28</f>
        <v/>
      </c>
      <c r="P28" s="15">
        <f>O28/$P$1</f>
        <v/>
      </c>
    </row>
    <row r="29" ht="15.75" customHeight="1" s="2">
      <c r="A29" s="8" t="inlineStr">
        <is>
          <t>осень</t>
        </is>
      </c>
      <c r="B29" s="289" t="inlineStr">
        <is>
          <t>Моделирование процессов и объектов в порошковой металлургии и нанесении покрытий</t>
        </is>
      </c>
      <c r="C29" s="289" t="inlineStr">
        <is>
          <t>Консультация</t>
        </is>
      </c>
      <c r="D29" s="289" t="inlineStr">
        <is>
          <t>Т11О-103М-19</t>
        </is>
      </c>
      <c r="E29" s="284" t="n">
        <v>1</v>
      </c>
      <c r="F29" s="289" t="inlineStr">
        <is>
          <t>06203</t>
        </is>
      </c>
      <c r="G29" s="290" t="n">
        <v>0</v>
      </c>
      <c r="H29" s="289" t="inlineStr">
        <is>
          <t>82026</t>
        </is>
      </c>
      <c r="I29" s="289" t="inlineStr">
        <is>
          <t>Александрова Светлана Сергеевна</t>
        </is>
      </c>
      <c r="J29" s="289" t="inlineStr">
        <is>
          <t>доцент</t>
        </is>
      </c>
      <c r="K29" s="289" t="n"/>
      <c r="L29" s="289" t="n"/>
      <c r="M29" s="12">
        <f>SUMIFS($E$2:$E$300,$A$2:$A$300,"осень",$I$2:$I$300,I29)</f>
        <v/>
      </c>
      <c r="N29" s="13">
        <f>SUMIFS($E$2:$E$300,$A$2:$A$300,"весна",$I$2:$I$300,I29)</f>
        <v/>
      </c>
      <c r="O29" s="14">
        <f>M29+N29</f>
        <v/>
      </c>
      <c r="P29" s="15">
        <f>O29/$P$1</f>
        <v/>
      </c>
    </row>
    <row r="30" ht="15.75" customHeight="1" s="2">
      <c r="A30" s="8" t="inlineStr">
        <is>
          <t>осень</t>
        </is>
      </c>
      <c r="B30" s="289" t="inlineStr">
        <is>
          <t>Моделирование процессов и объектов в порошковой металлургии и нанесении покрытий</t>
        </is>
      </c>
      <c r="C30" s="289" t="inlineStr">
        <is>
          <t>Консультация</t>
        </is>
      </c>
      <c r="D30" s="289" t="inlineStr">
        <is>
          <t>Т11О-203М-18</t>
        </is>
      </c>
      <c r="E30" s="284" t="n">
        <v>2</v>
      </c>
      <c r="F30" s="289" t="inlineStr">
        <is>
          <t>06203</t>
        </is>
      </c>
      <c r="G30" s="290" t="n">
        <v>0</v>
      </c>
      <c r="H30" s="289" t="inlineStr">
        <is>
          <t>82026</t>
        </is>
      </c>
      <c r="I30" s="289" t="inlineStr">
        <is>
          <t>Александрова Светлана Сергеевна</t>
        </is>
      </c>
      <c r="J30" s="289" t="inlineStr">
        <is>
          <t>доцент</t>
        </is>
      </c>
      <c r="K30" s="289" t="n"/>
      <c r="L30" s="289" t="n"/>
      <c r="M30" s="12">
        <f>SUMIFS($E$2:$E$300,$A$2:$A$300,"осень",$I$2:$I$300,I30)</f>
        <v/>
      </c>
      <c r="N30" s="13">
        <f>SUMIFS($E$2:$E$300,$A$2:$A$300,"весна",$I$2:$I$300,I30)</f>
        <v/>
      </c>
      <c r="O30" s="14">
        <f>M30+N30</f>
        <v/>
      </c>
      <c r="P30" s="15">
        <f>O30/$P$1</f>
        <v/>
      </c>
    </row>
    <row r="31" ht="15.75" customHeight="1" s="2">
      <c r="A31" s="8" t="inlineStr">
        <is>
          <t>осень</t>
        </is>
      </c>
      <c r="B31" s="289" t="inlineStr">
        <is>
          <t>Моделирование процессов и объектов в порошковой металлургии и нанесении покрытий</t>
        </is>
      </c>
      <c r="C31" s="289" t="inlineStr">
        <is>
          <t>ПЗ</t>
        </is>
      </c>
      <c r="D31" s="289" t="inlineStr">
        <is>
          <t>Т11О-103М-19</t>
        </is>
      </c>
      <c r="E31" s="284" t="n">
        <v>48</v>
      </c>
      <c r="F31" s="289" t="inlineStr">
        <is>
          <t>06203</t>
        </is>
      </c>
      <c r="G31" s="284" t="n">
        <v>48</v>
      </c>
      <c r="H31" s="289" t="inlineStr">
        <is>
          <t>82026</t>
        </is>
      </c>
      <c r="I31" s="289" t="inlineStr">
        <is>
          <t>Александрова Светлана Сергеевна</t>
        </is>
      </c>
      <c r="J31" s="289" t="inlineStr">
        <is>
          <t>доцент</t>
        </is>
      </c>
      <c r="K31" s="289" t="n"/>
      <c r="L31" s="289" t="inlineStr">
        <is>
          <t>кроме вт, чт, сб</t>
        </is>
      </c>
      <c r="M31" s="12">
        <f>SUMIFS($E$2:$E$300,$A$2:$A$300,"осень",$I$2:$I$300,I31)</f>
        <v/>
      </c>
      <c r="N31" s="13">
        <f>SUMIFS($E$2:$E$300,$A$2:$A$300,"весна",$I$2:$I$300,I31)</f>
        <v/>
      </c>
      <c r="O31" s="14">
        <f>M31+N31</f>
        <v/>
      </c>
      <c r="P31" s="15">
        <f>O31/$P$1</f>
        <v/>
      </c>
    </row>
    <row r="32" ht="15.75" customHeight="1" s="2">
      <c r="A32" s="8" t="inlineStr">
        <is>
          <t>осень</t>
        </is>
      </c>
      <c r="B32" s="289" t="inlineStr">
        <is>
          <t>Моделирование процессов и объектов в порошковой металлургии и нанесении покрытий</t>
        </is>
      </c>
      <c r="C32" s="289" t="inlineStr">
        <is>
          <t>ПЗ</t>
        </is>
      </c>
      <c r="D32" s="289" t="inlineStr">
        <is>
          <t>Т11О-203М-18</t>
        </is>
      </c>
      <c r="E32" s="284" t="n">
        <v>32</v>
      </c>
      <c r="F32" s="289" t="inlineStr">
        <is>
          <t>06203</t>
        </is>
      </c>
      <c r="G32" s="284" t="n">
        <v>32</v>
      </c>
      <c r="H32" s="289" t="inlineStr">
        <is>
          <t>82026</t>
        </is>
      </c>
      <c r="I32" s="289" t="inlineStr">
        <is>
          <t>Александрова Светлана Сергеевна</t>
        </is>
      </c>
      <c r="J32" s="289" t="inlineStr">
        <is>
          <t>доцент</t>
        </is>
      </c>
      <c r="K32" s="289" t="n"/>
      <c r="L32" s="289" t="inlineStr">
        <is>
          <t>кроме вт,чт, сб</t>
        </is>
      </c>
      <c r="M32" s="12">
        <f>SUMIFS($E$2:$E$300,$A$2:$A$300,"осень",$I$2:$I$300,I32)</f>
        <v/>
      </c>
      <c r="N32" s="13">
        <f>SUMIFS($E$2:$E$300,$A$2:$A$300,"весна",$I$2:$I$300,I32)</f>
        <v/>
      </c>
      <c r="O32" s="14">
        <f>M32+N32</f>
        <v/>
      </c>
      <c r="P32" s="15">
        <f>O32/$P$1</f>
        <v/>
      </c>
    </row>
    <row r="33" ht="15.75" customHeight="1" s="2">
      <c r="A33" s="8" t="inlineStr">
        <is>
          <t>осень</t>
        </is>
      </c>
      <c r="B33" s="289" t="inlineStr">
        <is>
          <t>Моделирование процессов и объектов в порошковой металлургии и нанесении покрытий</t>
        </is>
      </c>
      <c r="C33" s="289" t="inlineStr">
        <is>
          <t>ЛК</t>
        </is>
      </c>
      <c r="D33" s="289" t="inlineStr">
        <is>
          <t>Т11О-203М-18</t>
        </is>
      </c>
      <c r="E33" s="284" t="n">
        <v>32</v>
      </c>
      <c r="F33" s="289" t="inlineStr">
        <is>
          <t>06203</t>
        </is>
      </c>
      <c r="G33" s="284" t="n">
        <v>32</v>
      </c>
      <c r="H33" s="289" t="inlineStr">
        <is>
          <t>82026</t>
        </is>
      </c>
      <c r="I33" s="289" t="inlineStr">
        <is>
          <t>Александрова Светлана Сергеевна</t>
        </is>
      </c>
      <c r="J33" s="289" t="inlineStr">
        <is>
          <t>доцент</t>
        </is>
      </c>
      <c r="K33" s="289" t="n"/>
      <c r="L33" s="289" t="inlineStr">
        <is>
          <t>кроме вт,чт, сб</t>
        </is>
      </c>
      <c r="M33" s="12">
        <f>SUMIFS($E$2:$E$300,$A$2:$A$300,"осень",$I$2:$I$300,I33)</f>
        <v/>
      </c>
      <c r="N33" s="13">
        <f>SUMIFS($E$2:$E$300,$A$2:$A$300,"весна",$I$2:$I$300,I33)</f>
        <v/>
      </c>
      <c r="O33" s="14">
        <f>M33+N33</f>
        <v/>
      </c>
      <c r="P33" s="15">
        <f>O33/$P$1</f>
        <v/>
      </c>
    </row>
    <row r="34" ht="15.75" customHeight="1" s="2">
      <c r="A34" s="8" t="inlineStr">
        <is>
          <t>осень</t>
        </is>
      </c>
      <c r="B34" s="289" t="inlineStr">
        <is>
          <t>Моделирование процессов и объектов в порошковой металлургии и нанесении покрытий</t>
        </is>
      </c>
      <c r="C34" s="289" t="inlineStr">
        <is>
          <t>КР</t>
        </is>
      </c>
      <c r="D34" s="289" t="inlineStr">
        <is>
          <t>Т11О-103М-19</t>
        </is>
      </c>
      <c r="E34" s="284" t="n">
        <v>24</v>
      </c>
      <c r="F34" s="289" t="inlineStr">
        <is>
          <t>06203</t>
        </is>
      </c>
      <c r="G34" s="290" t="n">
        <v>0</v>
      </c>
      <c r="H34" s="289" t="inlineStr">
        <is>
          <t>82026</t>
        </is>
      </c>
      <c r="I34" s="289" t="inlineStr">
        <is>
          <t>Александрова Светлана Сергеевна</t>
        </is>
      </c>
      <c r="J34" s="289" t="inlineStr">
        <is>
          <t>доцент</t>
        </is>
      </c>
      <c r="K34" s="289" t="n"/>
      <c r="L34" s="289" t="n"/>
      <c r="M34" s="12">
        <f>SUMIFS($E$2:$E$300,$A$2:$A$300,"осень",$I$2:$I$300,I34)</f>
        <v/>
      </c>
      <c r="N34" s="13">
        <f>SUMIFS($E$2:$E$300,$A$2:$A$300,"весна",$I$2:$I$300,I34)</f>
        <v/>
      </c>
      <c r="O34" s="14">
        <f>M34+N34</f>
        <v/>
      </c>
      <c r="P34" s="15">
        <f>O34/$P$1</f>
        <v/>
      </c>
    </row>
    <row r="35" ht="15.75" customHeight="1" s="2">
      <c r="A35" s="8" t="inlineStr">
        <is>
          <t>осень</t>
        </is>
      </c>
      <c r="B35" s="289" t="inlineStr">
        <is>
          <t>Моделирование процессов и объектов в порошковой металлургии и нанесении покрытий</t>
        </is>
      </c>
      <c r="C35" s="289" t="inlineStr">
        <is>
          <t>ЛК</t>
        </is>
      </c>
      <c r="D35" s="289" t="inlineStr">
        <is>
          <t>Т11О-103М-19</t>
        </is>
      </c>
      <c r="E35" s="284" t="n">
        <v>18</v>
      </c>
      <c r="F35" s="289" t="inlineStr">
        <is>
          <t>06203</t>
        </is>
      </c>
      <c r="G35" s="284" t="n">
        <v>18</v>
      </c>
      <c r="H35" s="289" t="inlineStr">
        <is>
          <t>82026</t>
        </is>
      </c>
      <c r="I35" s="289" t="inlineStr">
        <is>
          <t>Александрова Светлана Сергеевна</t>
        </is>
      </c>
      <c r="J35" s="289" t="inlineStr">
        <is>
          <t>доцент</t>
        </is>
      </c>
      <c r="K35" s="289" t="n"/>
      <c r="L35" s="289" t="inlineStr">
        <is>
          <t>кроме вт, чт, сб</t>
        </is>
      </c>
      <c r="M35" s="12">
        <f>SUMIFS($E$2:$E$300,$A$2:$A$300,"осень",$I$2:$I$300,I35)</f>
        <v/>
      </c>
      <c r="N35" s="13">
        <f>SUMIFS($E$2:$E$300,$A$2:$A$300,"весна",$I$2:$I$300,I35)</f>
        <v/>
      </c>
      <c r="O35" s="14">
        <f>M35+N35</f>
        <v/>
      </c>
      <c r="P35" s="15">
        <f>O35/$P$1</f>
        <v/>
      </c>
    </row>
    <row r="36" ht="15.75" customHeight="1" s="2">
      <c r="A36" s="8" t="inlineStr">
        <is>
          <t>осень</t>
        </is>
      </c>
      <c r="B36" s="289" t="inlineStr">
        <is>
          <t>Научно-исследовательская практика</t>
        </is>
      </c>
      <c r="C36" s="289" t="inlineStr">
        <is>
          <t>Преддипломная практика</t>
        </is>
      </c>
      <c r="D36" s="289" t="inlineStr">
        <is>
          <t>Т1О-407А-16</t>
        </is>
      </c>
      <c r="E36" s="284" t="n">
        <v>10</v>
      </c>
      <c r="F36" s="289" t="n"/>
      <c r="G36" s="290" t="n">
        <v>0</v>
      </c>
      <c r="H36" s="289" t="inlineStr">
        <is>
          <t>82090</t>
        </is>
      </c>
      <c r="I36" s="289" t="inlineStr">
        <is>
          <t>Барабанова Ольга Алексеевна</t>
        </is>
      </c>
      <c r="J36" s="289" t="inlineStr">
        <is>
          <t>профессор</t>
        </is>
      </c>
      <c r="K36" s="289" t="n"/>
      <c r="L36" s="289" t="n"/>
      <c r="M36" s="12">
        <f>SUMIFS($E$2:$E$300,$A$2:$A$300,"осень",$I$2:$I$300,I36)</f>
        <v/>
      </c>
      <c r="N36" s="13">
        <f>SUMIFS($E$2:$E$300,$A$2:$A$300,"весна",$I$2:$I$300,I36)</f>
        <v/>
      </c>
      <c r="O36" s="14">
        <f>M36+N36</f>
        <v/>
      </c>
      <c r="P36" s="15">
        <f>O36/$P$1</f>
        <v/>
      </c>
    </row>
    <row r="37" ht="15.75" customHeight="1" s="2">
      <c r="A37" s="8" t="inlineStr">
        <is>
          <t>осень</t>
        </is>
      </c>
      <c r="B37" s="289" t="inlineStr">
        <is>
          <t>Основы автоматизации технологических процессов</t>
        </is>
      </c>
      <c r="C37" s="289" t="inlineStr">
        <is>
          <t>ЛК</t>
        </is>
      </c>
      <c r="D37" s="289" t="inlineStr">
        <is>
          <t>Т1О-305Б-17, Т1О-307Б-17, Т1О-308Б-17</t>
        </is>
      </c>
      <c r="E37" s="284" t="n">
        <v>24</v>
      </c>
      <c r="F37" s="289" t="inlineStr">
        <is>
          <t>11366</t>
        </is>
      </c>
      <c r="G37" s="284" t="n">
        <v>24</v>
      </c>
      <c r="H37" s="289" t="inlineStr">
        <is>
          <t>82026</t>
        </is>
      </c>
      <c r="I37" s="289" t="inlineStr">
        <is>
          <t>Александрова Светлана Сергеевна</t>
        </is>
      </c>
      <c r="J37" s="289" t="inlineStr">
        <is>
          <t>доцент</t>
        </is>
      </c>
      <c r="K37" s="289" t="n"/>
      <c r="L37" s="289" t="inlineStr">
        <is>
          <t>кроме вт,чт, сб</t>
        </is>
      </c>
      <c r="M37" s="12">
        <f>SUMIFS($E$2:$E$300,$A$2:$A$300,"осень",$I$2:$I$300,I37)</f>
        <v/>
      </c>
      <c r="N37" s="13">
        <f>SUMIFS($E$2:$E$300,$A$2:$A$300,"весна",$I$2:$I$300,I37)</f>
        <v/>
      </c>
      <c r="O37" s="14">
        <f>M37+N37</f>
        <v/>
      </c>
      <c r="P37" s="15">
        <f>O37/$P$1</f>
        <v/>
      </c>
    </row>
    <row r="38" ht="15.75" customHeight="1" s="2">
      <c r="A38" s="8" t="inlineStr">
        <is>
          <t>осень</t>
        </is>
      </c>
      <c r="B38" s="289" t="inlineStr">
        <is>
          <t>Основы автоматизации технологических процессов</t>
        </is>
      </c>
      <c r="C38" s="289" t="inlineStr">
        <is>
          <t>ПЗ</t>
        </is>
      </c>
      <c r="D38" s="289" t="inlineStr">
        <is>
          <t>Т1О-305Б-17</t>
        </is>
      </c>
      <c r="E38" s="284" t="n">
        <v>8</v>
      </c>
      <c r="F38" s="289" t="inlineStr">
        <is>
          <t>11366</t>
        </is>
      </c>
      <c r="G38" s="284" t="n">
        <v>8</v>
      </c>
      <c r="H38" s="289" t="inlineStr">
        <is>
          <t>82026</t>
        </is>
      </c>
      <c r="I38" s="289" t="inlineStr">
        <is>
          <t>Александрова Светлана Сергеевна</t>
        </is>
      </c>
      <c r="J38" s="289" t="inlineStr">
        <is>
          <t>доцент</t>
        </is>
      </c>
      <c r="K38" s="289" t="n"/>
      <c r="L38" s="289" t="inlineStr">
        <is>
          <t>кроме вт,чт, сб</t>
        </is>
      </c>
      <c r="M38" s="12">
        <f>SUMIFS($E$2:$E$300,$A$2:$A$300,"осень",$I$2:$I$300,I38)</f>
        <v/>
      </c>
      <c r="N38" s="13">
        <f>SUMIFS($E$2:$E$300,$A$2:$A$300,"весна",$I$2:$I$300,I38)</f>
        <v/>
      </c>
      <c r="O38" s="14">
        <f>M38+N38</f>
        <v/>
      </c>
      <c r="P38" s="15">
        <f>O38/$P$1</f>
        <v/>
      </c>
    </row>
    <row r="39" ht="15.75" customHeight="1" s="2">
      <c r="A39" s="8" t="inlineStr">
        <is>
          <t>осень</t>
        </is>
      </c>
      <c r="B39" s="289" t="inlineStr">
        <is>
          <t>Основы автоматизации технологических процессов</t>
        </is>
      </c>
      <c r="C39" s="289" t="inlineStr">
        <is>
          <t>ПЗ</t>
        </is>
      </c>
      <c r="D39" s="289" t="inlineStr">
        <is>
          <t>Т1О-308Б-17</t>
        </is>
      </c>
      <c r="E39" s="284" t="n">
        <v>8</v>
      </c>
      <c r="F39" s="289" t="inlineStr">
        <is>
          <t>11366</t>
        </is>
      </c>
      <c r="G39" s="284" t="n">
        <v>8</v>
      </c>
      <c r="H39" s="289" t="inlineStr">
        <is>
          <t>82026</t>
        </is>
      </c>
      <c r="I39" s="289" t="inlineStr">
        <is>
          <t>Александрова Светлана Сергеевна</t>
        </is>
      </c>
      <c r="J39" s="289" t="inlineStr">
        <is>
          <t>доцент</t>
        </is>
      </c>
      <c r="K39" s="289" t="n"/>
      <c r="L39" s="289" t="inlineStr">
        <is>
          <t>кроме вт,чт, сб</t>
        </is>
      </c>
      <c r="M39" s="12">
        <f>SUMIFS($E$2:$E$300,$A$2:$A$300,"осень",$I$2:$I$300,I39)</f>
        <v/>
      </c>
      <c r="N39" s="13">
        <f>SUMIFS($E$2:$E$300,$A$2:$A$300,"весна",$I$2:$I$300,I39)</f>
        <v/>
      </c>
      <c r="O39" s="14">
        <f>M39+N39</f>
        <v/>
      </c>
      <c r="P39" s="15">
        <f>O39/$P$1</f>
        <v/>
      </c>
    </row>
    <row r="40" ht="15.75" customHeight="1" s="2">
      <c r="A40" s="8" t="inlineStr">
        <is>
          <t>осень</t>
        </is>
      </c>
      <c r="B40" s="289" t="inlineStr">
        <is>
          <t>Основы автоматизации технологических процессов</t>
        </is>
      </c>
      <c r="C40" s="289" t="inlineStr">
        <is>
          <t>ПЗ</t>
        </is>
      </c>
      <c r="D40" s="289" t="inlineStr">
        <is>
          <t>Т1О-307Б-17</t>
        </is>
      </c>
      <c r="E40" s="284" t="n">
        <v>8</v>
      </c>
      <c r="F40" s="289" t="inlineStr">
        <is>
          <t>11366</t>
        </is>
      </c>
      <c r="G40" s="284" t="n">
        <v>8</v>
      </c>
      <c r="H40" s="289" t="inlineStr">
        <is>
          <t>82026</t>
        </is>
      </c>
      <c r="I40" s="289" t="inlineStr">
        <is>
          <t>Александрова Светлана Сергеевна</t>
        </is>
      </c>
      <c r="J40" s="289" t="inlineStr">
        <is>
          <t>доцент</t>
        </is>
      </c>
      <c r="K40" s="289" t="n"/>
      <c r="L40" s="289" t="inlineStr">
        <is>
          <t>кроме вт,чт, сб</t>
        </is>
      </c>
      <c r="M40" s="12">
        <f>SUMIFS($E$2:$E$300,$A$2:$A$300,"осень",$I$2:$I$300,I40)</f>
        <v/>
      </c>
      <c r="N40" s="13">
        <f>SUMIFS($E$2:$E$300,$A$2:$A$300,"весна",$I$2:$I$300,I40)</f>
        <v/>
      </c>
      <c r="O40" s="14">
        <f>M40+N40</f>
        <v/>
      </c>
      <c r="P40" s="15">
        <f>O40/$P$1</f>
        <v/>
      </c>
    </row>
    <row r="41" ht="15.75" customHeight="1" s="2">
      <c r="A41" s="8" t="inlineStr">
        <is>
          <t>осень</t>
        </is>
      </c>
      <c r="B41" s="289" t="inlineStr">
        <is>
          <t>Основы автоматизации технологических процессов</t>
        </is>
      </c>
      <c r="C41" s="289" t="inlineStr">
        <is>
          <t>Консультация</t>
        </is>
      </c>
      <c r="D41" s="289" t="inlineStr">
        <is>
          <t>Т1О-305Б-17</t>
        </is>
      </c>
      <c r="E41" s="284" t="n">
        <v>3</v>
      </c>
      <c r="F41" s="289" t="inlineStr">
        <is>
          <t>11366</t>
        </is>
      </c>
      <c r="G41" s="290" t="n">
        <v>0</v>
      </c>
      <c r="H41" s="289" t="inlineStr">
        <is>
          <t>82026</t>
        </is>
      </c>
      <c r="I41" s="289" t="inlineStr">
        <is>
          <t>Александрова Светлана Сергеевна</t>
        </is>
      </c>
      <c r="J41" s="289" t="inlineStr">
        <is>
          <t>доцент</t>
        </is>
      </c>
      <c r="K41" s="289" t="n"/>
      <c r="L41" s="289" t="inlineStr">
        <is>
          <t>кроме вт,чт, сб</t>
        </is>
      </c>
      <c r="M41" s="12">
        <f>SUMIFS($E$2:$E$300,$A$2:$A$300,"осень",$I$2:$I$300,I41)</f>
        <v/>
      </c>
      <c r="N41" s="13">
        <f>SUMIFS($E$2:$E$300,$A$2:$A$300,"весна",$I$2:$I$300,I41)</f>
        <v/>
      </c>
      <c r="O41" s="14">
        <f>M41+N41</f>
        <v/>
      </c>
      <c r="P41" s="15">
        <f>O41/$P$1</f>
        <v/>
      </c>
    </row>
    <row r="42" ht="15.75" customHeight="1" s="2">
      <c r="A42" s="8" t="inlineStr">
        <is>
          <t>осень</t>
        </is>
      </c>
      <c r="B42" s="289" t="inlineStr">
        <is>
          <t>Основы автоматизации технологических процессов</t>
        </is>
      </c>
      <c r="C42" s="289" t="inlineStr">
        <is>
          <t>Экзамен</t>
        </is>
      </c>
      <c r="D42" s="289" t="inlineStr">
        <is>
          <t>Т1О-307Б-17</t>
        </is>
      </c>
      <c r="E42" s="284" t="n">
        <v>7</v>
      </c>
      <c r="F42" s="289" t="inlineStr">
        <is>
          <t>11366</t>
        </is>
      </c>
      <c r="G42" s="290" t="n">
        <v>0</v>
      </c>
      <c r="H42" s="289" t="inlineStr">
        <is>
          <t>82026</t>
        </is>
      </c>
      <c r="I42" s="289" t="inlineStr">
        <is>
          <t>Александрова Светлана Сергеевна</t>
        </is>
      </c>
      <c r="J42" s="289" t="inlineStr">
        <is>
          <t>доцент</t>
        </is>
      </c>
      <c r="K42" s="289" t="n"/>
      <c r="L42" s="289" t="n"/>
      <c r="M42" s="12">
        <f>SUMIFS($E$2:$E$300,$A$2:$A$300,"осень",$I$2:$I$300,I42)</f>
        <v/>
      </c>
      <c r="N42" s="13">
        <f>SUMIFS($E$2:$E$300,$A$2:$A$300,"весна",$I$2:$I$300,I42)</f>
        <v/>
      </c>
      <c r="O42" s="14">
        <f>M42+N42</f>
        <v/>
      </c>
      <c r="P42" s="15">
        <f>O42/$P$1</f>
        <v/>
      </c>
    </row>
    <row r="43" ht="15.75" customHeight="1" s="2">
      <c r="A43" s="8" t="inlineStr">
        <is>
          <t>осень</t>
        </is>
      </c>
      <c r="B43" s="289" t="inlineStr">
        <is>
          <t>Основы автоматизации технологических процессов</t>
        </is>
      </c>
      <c r="C43" s="289" t="inlineStr">
        <is>
          <t>Экзамен</t>
        </is>
      </c>
      <c r="D43" s="289" t="inlineStr">
        <is>
          <t>Т1О-305Б-17</t>
        </is>
      </c>
      <c r="E43" s="284" t="n">
        <v>14</v>
      </c>
      <c r="F43" s="289" t="inlineStr">
        <is>
          <t>11366</t>
        </is>
      </c>
      <c r="G43" s="290" t="n">
        <v>0</v>
      </c>
      <c r="H43" s="289" t="inlineStr">
        <is>
          <t>82026</t>
        </is>
      </c>
      <c r="I43" s="289" t="inlineStr">
        <is>
          <t>Александрова Светлана Сергеевна</t>
        </is>
      </c>
      <c r="J43" s="289" t="inlineStr">
        <is>
          <t>доцент</t>
        </is>
      </c>
      <c r="K43" s="289" t="n"/>
      <c r="L43" s="289" t="n"/>
      <c r="M43" s="12">
        <f>SUMIFS($E$2:$E$300,$A$2:$A$300,"осень",$I$2:$I$300,I43)</f>
        <v/>
      </c>
      <c r="N43" s="13">
        <f>SUMIFS($E$2:$E$300,$A$2:$A$300,"весна",$I$2:$I$300,I43)</f>
        <v/>
      </c>
      <c r="O43" s="14">
        <f>M43+N43</f>
        <v/>
      </c>
      <c r="P43" s="15">
        <f>O43/$P$1</f>
        <v/>
      </c>
    </row>
    <row r="44" ht="15.75" customHeight="1" s="2">
      <c r="A44" s="8" t="inlineStr">
        <is>
          <t>осень</t>
        </is>
      </c>
      <c r="B44" s="289" t="inlineStr">
        <is>
          <t>Основы автоматизации технологических процессов</t>
        </is>
      </c>
      <c r="C44" s="289" t="inlineStr">
        <is>
          <t>Экзамен</t>
        </is>
      </c>
      <c r="D44" s="289" t="inlineStr">
        <is>
          <t>Т1О-308Б-17</t>
        </is>
      </c>
      <c r="E44" s="284" t="n">
        <v>9</v>
      </c>
      <c r="F44" s="289" t="inlineStr">
        <is>
          <t>11366</t>
        </is>
      </c>
      <c r="G44" s="290" t="n">
        <v>0</v>
      </c>
      <c r="H44" s="289" t="inlineStr">
        <is>
          <t>82026</t>
        </is>
      </c>
      <c r="I44" s="289" t="inlineStr">
        <is>
          <t>Александрова Светлана Сергеевна</t>
        </is>
      </c>
      <c r="J44" s="289" t="inlineStr">
        <is>
          <t>доцент</t>
        </is>
      </c>
      <c r="K44" s="289" t="n"/>
      <c r="L44" s="289" t="n"/>
      <c r="M44" s="12">
        <f>SUMIFS($E$2:$E$300,$A$2:$A$300,"осень",$I$2:$I$300,I44)</f>
        <v/>
      </c>
      <c r="N44" s="13">
        <f>SUMIFS($E$2:$E$300,$A$2:$A$300,"весна",$I$2:$I$300,I44)</f>
        <v/>
      </c>
      <c r="O44" s="14">
        <f>M44+N44</f>
        <v/>
      </c>
      <c r="P44" s="15">
        <f>O44/$P$1</f>
        <v/>
      </c>
    </row>
    <row r="45" ht="15.75" customHeight="1" s="2">
      <c r="A45" s="8" t="inlineStr">
        <is>
          <t>осень</t>
        </is>
      </c>
      <c r="B45" s="289" t="inlineStr">
        <is>
          <t>Основы автоматизации технологических процессов</t>
        </is>
      </c>
      <c r="C45" s="289" t="inlineStr">
        <is>
          <t>Консультация</t>
        </is>
      </c>
      <c r="D45" s="289" t="inlineStr">
        <is>
          <t>Т1О-307Б-17</t>
        </is>
      </c>
      <c r="E45" s="284" t="n">
        <v>3</v>
      </c>
      <c r="F45" s="289" t="inlineStr">
        <is>
          <t>11366</t>
        </is>
      </c>
      <c r="G45" s="290" t="n">
        <v>0</v>
      </c>
      <c r="H45" s="289" t="inlineStr">
        <is>
          <t>82026</t>
        </is>
      </c>
      <c r="I45" s="289" t="inlineStr">
        <is>
          <t>Александрова Светлана Сергеевна</t>
        </is>
      </c>
      <c r="J45" s="289" t="inlineStr">
        <is>
          <t>доцент</t>
        </is>
      </c>
      <c r="K45" s="289" t="n"/>
      <c r="L45" s="289" t="inlineStr">
        <is>
          <t>кроме вт,чт, сб</t>
        </is>
      </c>
      <c r="M45" s="12">
        <f>SUMIFS($E$2:$E$300,$A$2:$A$300,"осень",$I$2:$I$300,I45)</f>
        <v/>
      </c>
      <c r="N45" s="13">
        <f>SUMIFS($E$2:$E$300,$A$2:$A$300,"весна",$I$2:$I$300,I45)</f>
        <v/>
      </c>
      <c r="O45" s="14">
        <f>M45+N45</f>
        <v/>
      </c>
      <c r="P45" s="15">
        <f>O45/$P$1</f>
        <v/>
      </c>
    </row>
    <row r="46" ht="15.75" customHeight="1" s="2">
      <c r="A46" s="8" t="inlineStr">
        <is>
          <t>осень</t>
        </is>
      </c>
      <c r="B46" s="289" t="inlineStr">
        <is>
          <t>Основы автоматизации технологических процессов</t>
        </is>
      </c>
      <c r="C46" s="289" t="inlineStr">
        <is>
          <t>Консультация</t>
        </is>
      </c>
      <c r="D46" s="289" t="inlineStr">
        <is>
          <t>Т1О-308Б-17</t>
        </is>
      </c>
      <c r="E46" s="284" t="n">
        <v>3</v>
      </c>
      <c r="F46" s="289" t="inlineStr">
        <is>
          <t>11366</t>
        </is>
      </c>
      <c r="G46" s="290" t="n">
        <v>0</v>
      </c>
      <c r="H46" s="289" t="inlineStr">
        <is>
          <t>82026</t>
        </is>
      </c>
      <c r="I46" s="289" t="inlineStr">
        <is>
          <t>Александрова Светлана Сергеевна</t>
        </is>
      </c>
      <c r="J46" s="289" t="inlineStr">
        <is>
          <t>доцент</t>
        </is>
      </c>
      <c r="K46" s="289" t="n"/>
      <c r="L46" s="289" t="inlineStr">
        <is>
          <t>кроме вт,чт, сб</t>
        </is>
      </c>
      <c r="M46" s="12">
        <f>SUMIFS($E$2:$E$300,$A$2:$A$300,"осень",$I$2:$I$300,I46)</f>
        <v/>
      </c>
      <c r="N46" s="13">
        <f>SUMIFS($E$2:$E$300,$A$2:$A$300,"весна",$I$2:$I$300,I46)</f>
        <v/>
      </c>
      <c r="O46" s="14">
        <f>M46+N46</f>
        <v/>
      </c>
      <c r="P46" s="15">
        <f>O46/$P$1</f>
        <v/>
      </c>
    </row>
    <row r="47" ht="15.75" customHeight="1" s="2">
      <c r="A47" s="8" t="inlineStr">
        <is>
          <t>осень</t>
        </is>
      </c>
      <c r="B47" s="289" t="inlineStr">
        <is>
          <t>Основы автоматизации технологических процессов</t>
        </is>
      </c>
      <c r="C47" s="289" t="inlineStr">
        <is>
          <t>ЛР</t>
        </is>
      </c>
      <c r="D47" s="289" t="inlineStr">
        <is>
          <t>Т1О-305Б-17</t>
        </is>
      </c>
      <c r="E47" s="284" t="n">
        <v>48</v>
      </c>
      <c r="F47" s="289" t="inlineStr">
        <is>
          <t>11366</t>
        </is>
      </c>
      <c r="G47" s="284" t="n">
        <v>24</v>
      </c>
      <c r="H47" s="289" t="inlineStr">
        <is>
          <t>82026</t>
        </is>
      </c>
      <c r="I47" s="289" t="inlineStr">
        <is>
          <t>Александрова Светлана Сергеевна</t>
        </is>
      </c>
      <c r="J47" s="289" t="inlineStr">
        <is>
          <t>доцент</t>
        </is>
      </c>
      <c r="K47" s="289" t="n"/>
      <c r="L47" s="289" t="inlineStr">
        <is>
          <t>кроме вт,чт, сб</t>
        </is>
      </c>
      <c r="M47" s="12">
        <f>SUMIFS($E$2:$E$300,$A$2:$A$300,"осень",$I$2:$I$300,I47)</f>
        <v/>
      </c>
      <c r="N47" s="13">
        <f>SUMIFS($E$2:$E$300,$A$2:$A$300,"весна",$I$2:$I$300,I47)</f>
        <v/>
      </c>
      <c r="O47" s="14">
        <f>M47+N47</f>
        <v/>
      </c>
      <c r="P47" s="15">
        <f>O47/$P$1</f>
        <v/>
      </c>
    </row>
    <row r="48" ht="15.75" customHeight="1" s="2">
      <c r="A48" s="8" t="inlineStr">
        <is>
          <t>осень</t>
        </is>
      </c>
      <c r="B48" s="289" t="inlineStr">
        <is>
          <t>Основы автоматизации технологических процессов</t>
        </is>
      </c>
      <c r="C48" s="289" t="inlineStr">
        <is>
          <t>ЛР</t>
        </is>
      </c>
      <c r="D48" s="289" t="inlineStr">
        <is>
          <t>Т1О-308Б-17</t>
        </is>
      </c>
      <c r="E48" s="284" t="n">
        <v>48</v>
      </c>
      <c r="F48" s="289" t="inlineStr">
        <is>
          <t>11366</t>
        </is>
      </c>
      <c r="G48" s="284" t="n">
        <v>24</v>
      </c>
      <c r="H48" s="289" t="inlineStr">
        <is>
          <t>82026</t>
        </is>
      </c>
      <c r="I48" s="289" t="inlineStr">
        <is>
          <t>Александрова Светлана Сергеевна</t>
        </is>
      </c>
      <c r="J48" s="289" t="inlineStr">
        <is>
          <t>доцент</t>
        </is>
      </c>
      <c r="K48" s="289" t="n"/>
      <c r="L48" s="289" t="inlineStr">
        <is>
          <t>кроме вт,чт, сб</t>
        </is>
      </c>
      <c r="M48" s="12">
        <f>SUMIFS($E$2:$E$300,$A$2:$A$300,"осень",$I$2:$I$300,I48)</f>
        <v/>
      </c>
      <c r="N48" s="13">
        <f>SUMIFS($E$2:$E$300,$A$2:$A$300,"весна",$I$2:$I$300,I48)</f>
        <v/>
      </c>
      <c r="O48" s="14">
        <f>M48+N48</f>
        <v/>
      </c>
      <c r="P48" s="15">
        <f>O48/$P$1</f>
        <v/>
      </c>
    </row>
    <row r="49" ht="15.75" customHeight="1" s="2">
      <c r="A49" s="8" t="inlineStr">
        <is>
          <t>осень</t>
        </is>
      </c>
      <c r="B49" s="289" t="inlineStr">
        <is>
          <t>Основы автоматизации технологических процессов</t>
        </is>
      </c>
      <c r="C49" s="289" t="inlineStr">
        <is>
          <t>ЛР</t>
        </is>
      </c>
      <c r="D49" s="289" t="inlineStr">
        <is>
          <t>Т1О-307Б-17</t>
        </is>
      </c>
      <c r="E49" s="284" t="n">
        <v>24</v>
      </c>
      <c r="F49" s="289" t="inlineStr">
        <is>
          <t>11366</t>
        </is>
      </c>
      <c r="G49" s="284" t="n">
        <v>24</v>
      </c>
      <c r="H49" s="289" t="inlineStr">
        <is>
          <t>82026</t>
        </is>
      </c>
      <c r="I49" s="289" t="inlineStr">
        <is>
          <t>Александрова Светлана Сергеевна</t>
        </is>
      </c>
      <c r="J49" s="289" t="inlineStr">
        <is>
          <t>доцент</t>
        </is>
      </c>
      <c r="K49" s="289" t="n"/>
      <c r="L49" s="289" t="inlineStr">
        <is>
          <t>кроме вт,чт, сб</t>
        </is>
      </c>
      <c r="M49" s="12">
        <f>SUMIFS($E$2:$E$300,$A$2:$A$300,"осень",$I$2:$I$300,I49)</f>
        <v/>
      </c>
      <c r="N49" s="13">
        <f>SUMIFS($E$2:$E$300,$A$2:$A$300,"весна",$I$2:$I$300,I49)</f>
        <v/>
      </c>
      <c r="O49" s="14">
        <f>M49+N49</f>
        <v/>
      </c>
      <c r="P49" s="15">
        <f>O49/$P$1</f>
        <v/>
      </c>
    </row>
    <row r="50" ht="15.75" customHeight="1" s="2">
      <c r="A50" s="8" t="inlineStr">
        <is>
          <t>осень</t>
        </is>
      </c>
      <c r="B50" s="289" t="inlineStr">
        <is>
          <t>Основы вакуумной техники</t>
        </is>
      </c>
      <c r="C50" s="289" t="inlineStr">
        <is>
          <t>ЛК</t>
        </is>
      </c>
      <c r="D50" s="289" t="inlineStr">
        <is>
          <t>Т1О-404Б-16</t>
        </is>
      </c>
      <c r="E50" s="284" t="n">
        <v>26</v>
      </c>
      <c r="F50" s="289" t="inlineStr">
        <is>
          <t>04869</t>
        </is>
      </c>
      <c r="G50" s="284" t="n">
        <v>26</v>
      </c>
      <c r="H50" s="289" t="inlineStr">
        <is>
          <t>94222</t>
        </is>
      </c>
      <c r="I50" s="289" t="inlineStr">
        <is>
          <t>Кубатина Екатерина Павловна</t>
        </is>
      </c>
      <c r="J50" s="289" t="inlineStr">
        <is>
          <t>ассистент</t>
        </is>
      </c>
      <c r="K50" s="291" t="inlineStr">
        <is>
          <t>не заводить</t>
        </is>
      </c>
      <c r="L50" s="289" t="inlineStr">
        <is>
          <t>компенсировано</t>
        </is>
      </c>
      <c r="M50" s="12">
        <f>SUMIFS($E$2:$E$300,$A$2:$A$300,"осень",$I$2:$I$300,I50)</f>
        <v/>
      </c>
      <c r="N50" s="13">
        <f>SUMIFS($E$2:$E$300,$A$2:$A$300,"весна",$I$2:$I$300,I50)</f>
        <v/>
      </c>
      <c r="O50" s="14">
        <f>M50+N50</f>
        <v/>
      </c>
      <c r="P50" s="15">
        <f>O50/$P$1</f>
        <v/>
      </c>
    </row>
    <row r="51" ht="15.75" customHeight="1" s="2">
      <c r="A51" s="8" t="inlineStr">
        <is>
          <t>осень</t>
        </is>
      </c>
      <c r="B51" s="289" t="inlineStr">
        <is>
          <t>Основы вакуумной техники</t>
        </is>
      </c>
      <c r="C51" s="292" t="inlineStr">
        <is>
          <t>ЛК</t>
        </is>
      </c>
      <c r="D51" s="289" t="inlineStr">
        <is>
          <t>Т1О-404Б-16</t>
        </is>
      </c>
      <c r="E51" s="284" t="n">
        <v>-26</v>
      </c>
      <c r="F51" s="289" t="inlineStr">
        <is>
          <t>04869</t>
        </is>
      </c>
      <c r="G51" s="284" t="n">
        <v>26</v>
      </c>
      <c r="H51" s="289" t="inlineStr">
        <is>
          <t>82026</t>
        </is>
      </c>
      <c r="I51" s="289" t="inlineStr">
        <is>
          <t>Александрова Светлана Сергеевна</t>
        </is>
      </c>
      <c r="J51" s="289" t="inlineStr">
        <is>
          <t>доцент</t>
        </is>
      </c>
      <c r="K51" s="291" t="inlineStr">
        <is>
          <t>не заводить</t>
        </is>
      </c>
      <c r="L51" s="289" t="n"/>
      <c r="M51" s="12">
        <f>SUMIFS($E$2:$E$300,$A$2:$A$300,"осень",$I$2:$I$300,I51)</f>
        <v/>
      </c>
      <c r="N51" s="13">
        <f>SUMIFS($E$2:$E$300,$A$2:$A$300,"весна",$I$2:$I$300,I51)</f>
        <v/>
      </c>
      <c r="O51" s="14">
        <f>M51+N51</f>
        <v/>
      </c>
      <c r="P51" s="15">
        <f>O51/$P$1</f>
        <v/>
      </c>
    </row>
    <row r="52" ht="15.75" customHeight="1" s="2">
      <c r="A52" s="8" t="inlineStr">
        <is>
          <t>осень</t>
        </is>
      </c>
      <c r="B52" s="289" t="inlineStr">
        <is>
          <t>Основы вакуумной техники</t>
        </is>
      </c>
      <c r="C52" s="292" t="inlineStr">
        <is>
          <t>ЛК</t>
        </is>
      </c>
      <c r="D52" s="289" t="inlineStr">
        <is>
          <t>Т1О-404Б-16</t>
        </is>
      </c>
      <c r="E52" s="284" t="n">
        <v>26</v>
      </c>
      <c r="F52" s="289" t="inlineStr">
        <is>
          <t>04869</t>
        </is>
      </c>
      <c r="G52" s="284" t="n">
        <v>26</v>
      </c>
      <c r="H52" s="289" t="inlineStr">
        <is>
          <t>82026</t>
        </is>
      </c>
      <c r="I52" s="289" t="inlineStr">
        <is>
          <t>Александрова Светлана Сергеевна</t>
        </is>
      </c>
      <c r="J52" s="289" t="inlineStr">
        <is>
          <t>доцент</t>
        </is>
      </c>
      <c r="K52" s="289" t="n"/>
      <c r="L52" s="289" t="inlineStr">
        <is>
          <t>Кубатина Екатерина Павловна</t>
        </is>
      </c>
      <c r="M52" s="12">
        <f>SUMIFS($E$2:$E$300,$A$2:$A$300,"осень",$I$2:$I$300,I52)</f>
        <v/>
      </c>
      <c r="N52" s="13">
        <f>SUMIFS($E$2:$E$300,$A$2:$A$300,"весна",$I$2:$I$300,I52)</f>
        <v/>
      </c>
      <c r="O52" s="14">
        <f>M52+N52</f>
        <v/>
      </c>
      <c r="P52" s="15">
        <f>O52/$P$1</f>
        <v/>
      </c>
    </row>
    <row r="53" ht="15.75" customHeight="1" s="2">
      <c r="A53" s="8" t="inlineStr">
        <is>
          <t>осень</t>
        </is>
      </c>
      <c r="B53" s="289" t="inlineStr">
        <is>
          <t>Основы вакуумной техники</t>
        </is>
      </c>
      <c r="C53" s="289" t="inlineStr">
        <is>
          <t>Зачет с оценкой</t>
        </is>
      </c>
      <c r="D53" s="289" t="inlineStr">
        <is>
          <t>Т1О-404Б-16</t>
        </is>
      </c>
      <c r="E53" s="284" t="n">
        <v>5</v>
      </c>
      <c r="F53" s="289" t="inlineStr">
        <is>
          <t>04869</t>
        </is>
      </c>
      <c r="G53" s="290" t="n">
        <v>0</v>
      </c>
      <c r="H53" s="289" t="inlineStr">
        <is>
          <t>94222</t>
        </is>
      </c>
      <c r="I53" s="289" t="inlineStr">
        <is>
          <t>Кубатина Екатерина Павловна</t>
        </is>
      </c>
      <c r="J53" s="289" t="inlineStr">
        <is>
          <t>ассистент</t>
        </is>
      </c>
      <c r="K53" s="291" t="inlineStr">
        <is>
          <t>не заводить</t>
        </is>
      </c>
      <c r="L53" s="289" t="inlineStr">
        <is>
          <t>компенсировано</t>
        </is>
      </c>
      <c r="M53" s="12">
        <f>SUMIFS($E$2:$E$300,$A$2:$A$300,"осень",$I$2:$I$300,I53)</f>
        <v/>
      </c>
      <c r="N53" s="13">
        <f>SUMIFS($E$2:$E$300,$A$2:$A$300,"весна",$I$2:$I$300,I53)</f>
        <v/>
      </c>
      <c r="O53" s="14">
        <f>M53+N53</f>
        <v/>
      </c>
      <c r="P53" s="15">
        <f>O53/$P$1</f>
        <v/>
      </c>
    </row>
    <row r="54" ht="15.75" customHeight="1" s="2">
      <c r="A54" s="8" t="inlineStr">
        <is>
          <t>осень</t>
        </is>
      </c>
      <c r="B54" s="289" t="inlineStr">
        <is>
          <t>Основы вакуумной техники</t>
        </is>
      </c>
      <c r="C54" s="292" t="inlineStr">
        <is>
          <t>Зачет с оценкой</t>
        </is>
      </c>
      <c r="D54" s="289" t="inlineStr">
        <is>
          <t>Т1О-404Б-16</t>
        </is>
      </c>
      <c r="E54" s="284" t="n">
        <v>-5</v>
      </c>
      <c r="F54" s="289" t="inlineStr">
        <is>
          <t>04869</t>
        </is>
      </c>
      <c r="G54" s="290" t="n">
        <v>0</v>
      </c>
      <c r="H54" s="289" t="inlineStr">
        <is>
          <t>82026</t>
        </is>
      </c>
      <c r="I54" s="289" t="inlineStr">
        <is>
          <t>Александрова Светлана Сергеевна</t>
        </is>
      </c>
      <c r="J54" s="289" t="inlineStr">
        <is>
          <t>доцент</t>
        </is>
      </c>
      <c r="K54" s="291" t="inlineStr">
        <is>
          <t>не заводить</t>
        </is>
      </c>
      <c r="L54" s="289" t="n"/>
      <c r="M54" s="12">
        <f>SUMIFS($E$2:$E$300,$A$2:$A$300,"осень",$I$2:$I$300,I54)</f>
        <v/>
      </c>
      <c r="N54" s="13">
        <f>SUMIFS($E$2:$E$300,$A$2:$A$300,"весна",$I$2:$I$300,I54)</f>
        <v/>
      </c>
      <c r="O54" s="14">
        <f>M54+N54</f>
        <v/>
      </c>
      <c r="P54" s="15">
        <f>O54/$P$1</f>
        <v/>
      </c>
    </row>
    <row r="55" ht="15.75" customHeight="1" s="2">
      <c r="A55" s="8" t="inlineStr">
        <is>
          <t>осень</t>
        </is>
      </c>
      <c r="B55" s="289" t="inlineStr">
        <is>
          <t>Основы вакуумной техники</t>
        </is>
      </c>
      <c r="C55" s="292" t="inlineStr">
        <is>
          <t>Зачет с оценкой</t>
        </is>
      </c>
      <c r="D55" s="289" t="inlineStr">
        <is>
          <t>Т1О-404Б-16</t>
        </is>
      </c>
      <c r="E55" s="284" t="n">
        <v>5</v>
      </c>
      <c r="F55" s="289" t="inlineStr">
        <is>
          <t>04869</t>
        </is>
      </c>
      <c r="G55" s="290" t="n">
        <v>0</v>
      </c>
      <c r="H55" s="289" t="inlineStr">
        <is>
          <t>82026</t>
        </is>
      </c>
      <c r="I55" s="289" t="inlineStr">
        <is>
          <t>Александрова Светлана Сергеевна</t>
        </is>
      </c>
      <c r="J55" s="289" t="inlineStr">
        <is>
          <t>доцент</t>
        </is>
      </c>
      <c r="K55" s="97" t="n"/>
      <c r="L55" s="289" t="inlineStr">
        <is>
          <t>Кубатина Екатерина Павловна</t>
        </is>
      </c>
      <c r="M55" s="12">
        <f>SUMIFS($E$2:$E$300,$A$2:$A$300,"осень",$I$2:$I$300,I55)</f>
        <v/>
      </c>
      <c r="N55" s="13">
        <f>SUMIFS($E$2:$E$300,$A$2:$A$300,"весна",$I$2:$I$300,I55)</f>
        <v/>
      </c>
      <c r="O55" s="14">
        <f>M55+N55</f>
        <v/>
      </c>
      <c r="P55" s="15">
        <f>O55/$P$1</f>
        <v/>
      </c>
    </row>
    <row r="56" ht="15.75" customHeight="1" s="2">
      <c r="A56" s="8" t="inlineStr">
        <is>
          <t>осень</t>
        </is>
      </c>
      <c r="B56" s="289" t="inlineStr">
        <is>
          <t>Основы вакуумной техники</t>
        </is>
      </c>
      <c r="C56" s="289" t="inlineStr">
        <is>
          <t>КСР</t>
        </is>
      </c>
      <c r="D56" s="289" t="inlineStr">
        <is>
          <t>Т1О-404Б-16</t>
        </is>
      </c>
      <c r="E56" s="284" t="n">
        <v>8</v>
      </c>
      <c r="F56" s="289" t="inlineStr">
        <is>
          <t>04869</t>
        </is>
      </c>
      <c r="G56" s="284" t="n">
        <v>8</v>
      </c>
      <c r="H56" s="289" t="inlineStr">
        <is>
          <t>94222</t>
        </is>
      </c>
      <c r="I56" s="289" t="inlineStr">
        <is>
          <t>Кубатина Екатерина Павловна</t>
        </is>
      </c>
      <c r="J56" s="289" t="inlineStr">
        <is>
          <t>ассистент</t>
        </is>
      </c>
      <c r="K56" s="289" t="n"/>
      <c r="L56" s="289" t="n"/>
      <c r="M56" s="12">
        <f>SUMIFS($E$2:$E$300,$A$2:$A$300,"осень",$I$2:$I$300,I56)</f>
        <v/>
      </c>
      <c r="N56" s="13">
        <f>SUMIFS($E$2:$E$300,$A$2:$A$300,"весна",$I$2:$I$300,I56)</f>
        <v/>
      </c>
      <c r="O56" s="14">
        <f>M56+N56</f>
        <v/>
      </c>
      <c r="P56" s="15">
        <f>O56/$P$1</f>
        <v/>
      </c>
    </row>
    <row r="57" ht="15.75" customHeight="1" s="2">
      <c r="A57" s="8" t="inlineStr">
        <is>
          <t>осень</t>
        </is>
      </c>
      <c r="B57" s="289" t="inlineStr">
        <is>
          <t>Основы вакуумной техники</t>
        </is>
      </c>
      <c r="C57" s="289" t="inlineStr">
        <is>
          <t>Консультация</t>
        </is>
      </c>
      <c r="D57" s="289" t="inlineStr">
        <is>
          <t>Т1О-404Б-16</t>
        </is>
      </c>
      <c r="E57" s="284" t="n">
        <v>1</v>
      </c>
      <c r="F57" s="289" t="inlineStr">
        <is>
          <t>04869</t>
        </is>
      </c>
      <c r="G57" s="290" t="n">
        <v>0</v>
      </c>
      <c r="H57" s="289" t="inlineStr">
        <is>
          <t>94222</t>
        </is>
      </c>
      <c r="I57" s="289" t="inlineStr">
        <is>
          <t>Кубатина Екатерина Павловна</t>
        </is>
      </c>
      <c r="J57" s="289" t="inlineStr">
        <is>
          <t>ассистент</t>
        </is>
      </c>
      <c r="K57" s="289" t="n"/>
      <c r="L57" s="289" t="n"/>
      <c r="M57" s="12">
        <f>SUMIFS($E$2:$E$300,$A$2:$A$300,"осень",$I$2:$I$300,I57)</f>
        <v/>
      </c>
      <c r="N57" s="13">
        <f>SUMIFS($E$2:$E$300,$A$2:$A$300,"весна",$I$2:$I$300,I57)</f>
        <v/>
      </c>
      <c r="O57" s="14">
        <f>M57+N57</f>
        <v/>
      </c>
      <c r="P57" s="15">
        <f>O57/$P$1</f>
        <v/>
      </c>
    </row>
    <row r="58" ht="15.75" customHeight="1" s="2">
      <c r="A58" s="8" t="inlineStr">
        <is>
          <t>осень</t>
        </is>
      </c>
      <c r="B58" s="289" t="inlineStr">
        <is>
          <t>Основы вакуумной техники</t>
        </is>
      </c>
      <c r="C58" s="289" t="inlineStr">
        <is>
          <t>ЛР</t>
        </is>
      </c>
      <c r="D58" s="289" t="inlineStr">
        <is>
          <t>Т1О-404Б-16</t>
        </is>
      </c>
      <c r="E58" s="284" t="n">
        <v>16</v>
      </c>
      <c r="F58" s="289" t="inlineStr">
        <is>
          <t>04869</t>
        </is>
      </c>
      <c r="G58" s="284" t="n">
        <v>16</v>
      </c>
      <c r="H58" s="289" t="inlineStr">
        <is>
          <t>94222</t>
        </is>
      </c>
      <c r="I58" s="289" t="inlineStr">
        <is>
          <t>Кубатина Екатерина Павловна</t>
        </is>
      </c>
      <c r="J58" s="289" t="inlineStr">
        <is>
          <t>ассистент</t>
        </is>
      </c>
      <c r="K58" s="289" t="n"/>
      <c r="L58" s="289" t="n"/>
      <c r="M58" s="12">
        <f>SUMIFS($E$2:$E$300,$A$2:$A$300,"осень",$I$2:$I$300,I58)</f>
        <v/>
      </c>
      <c r="N58" s="13">
        <f>SUMIFS($E$2:$E$300,$A$2:$A$300,"весна",$I$2:$I$300,I58)</f>
        <v/>
      </c>
      <c r="O58" s="14">
        <f>M58+N58</f>
        <v/>
      </c>
      <c r="P58" s="15">
        <f>O58/$P$1</f>
        <v/>
      </c>
    </row>
    <row r="59" ht="15.75" customHeight="1" s="2">
      <c r="A59" s="8" t="inlineStr">
        <is>
          <t>осень</t>
        </is>
      </c>
      <c r="B59" s="289" t="inlineStr">
        <is>
          <t>Основы вакуумной техники</t>
        </is>
      </c>
      <c r="C59" s="289" t="inlineStr">
        <is>
          <t>ПЗ</t>
        </is>
      </c>
      <c r="D59" s="289" t="inlineStr">
        <is>
          <t>Т1О-404Б-16</t>
        </is>
      </c>
      <c r="E59" s="284" t="n">
        <v>18</v>
      </c>
      <c r="F59" s="289" t="inlineStr">
        <is>
          <t>04869</t>
        </is>
      </c>
      <c r="G59" s="284" t="n">
        <v>18</v>
      </c>
      <c r="H59" s="289" t="inlineStr">
        <is>
          <t>94222</t>
        </is>
      </c>
      <c r="I59" s="289" t="inlineStr">
        <is>
          <t>Кубатина Екатерина Павловна</t>
        </is>
      </c>
      <c r="J59" s="289" t="inlineStr">
        <is>
          <t>ассистент</t>
        </is>
      </c>
      <c r="K59" s="289" t="n"/>
      <c r="L59" s="289" t="n"/>
      <c r="M59" s="12">
        <f>SUMIFS($E$2:$E$300,$A$2:$A$300,"осень",$I$2:$I$300,I59)</f>
        <v/>
      </c>
      <c r="N59" s="13">
        <f>SUMIFS($E$2:$E$300,$A$2:$A$300,"весна",$I$2:$I$300,I59)</f>
        <v/>
      </c>
      <c r="O59" s="14">
        <f>M59+N59</f>
        <v/>
      </c>
      <c r="P59" s="15">
        <f>O59/$P$1</f>
        <v/>
      </c>
    </row>
    <row r="60" ht="15.75" customHeight="1" s="2">
      <c r="A60" s="8" t="inlineStr">
        <is>
          <t>осень</t>
        </is>
      </c>
      <c r="B60" s="289" t="inlineStr">
        <is>
          <t>Основы кристаллографии</t>
        </is>
      </c>
      <c r="C60" s="289" t="inlineStr">
        <is>
          <t>Консультация</t>
        </is>
      </c>
      <c r="D60" s="289" t="inlineStr">
        <is>
          <t>Т11О-203М-18</t>
        </is>
      </c>
      <c r="E60" s="284" t="n">
        <v>2</v>
      </c>
      <c r="F60" s="289" t="inlineStr">
        <is>
          <t>06203</t>
        </is>
      </c>
      <c r="G60" s="290" t="n">
        <v>0</v>
      </c>
      <c r="H60" s="289" t="inlineStr">
        <is>
          <t>93685</t>
        </is>
      </c>
      <c r="I60" s="289" t="inlineStr">
        <is>
          <t>Банишев Александр Федорович</t>
        </is>
      </c>
      <c r="J60" s="289" t="inlineStr">
        <is>
          <t>профессор</t>
        </is>
      </c>
      <c r="K60" s="289" t="n"/>
      <c r="L60" s="289" t="inlineStr">
        <is>
          <t>только понедельник!</t>
        </is>
      </c>
      <c r="M60" s="12">
        <f>SUMIFS($E$2:$E$300,$A$2:$A$300,"осень",$I$2:$I$300,I60)</f>
        <v/>
      </c>
      <c r="N60" s="13">
        <f>SUMIFS($E$2:$E$300,$A$2:$A$300,"весна",$I$2:$I$300,I60)</f>
        <v/>
      </c>
      <c r="O60" s="14">
        <f>M60+N60</f>
        <v/>
      </c>
      <c r="P60" s="15">
        <f>O60/$P$1</f>
        <v/>
      </c>
    </row>
    <row r="61" ht="15.75" customHeight="1" s="2">
      <c r="A61" s="8" t="inlineStr">
        <is>
          <t>осень</t>
        </is>
      </c>
      <c r="B61" s="289" t="inlineStr">
        <is>
          <t>Основы кристаллографии</t>
        </is>
      </c>
      <c r="C61" s="289" t="inlineStr">
        <is>
          <t>Консультация</t>
        </is>
      </c>
      <c r="D61" s="289" t="inlineStr">
        <is>
          <t>Т11О-103М-19</t>
        </is>
      </c>
      <c r="E61" s="284" t="n">
        <v>1</v>
      </c>
      <c r="F61" s="289" t="inlineStr">
        <is>
          <t>06203</t>
        </is>
      </c>
      <c r="G61" s="290" t="n">
        <v>0</v>
      </c>
      <c r="H61" s="289" t="inlineStr">
        <is>
          <t>93685</t>
        </is>
      </c>
      <c r="I61" s="289" t="inlineStr">
        <is>
          <t>Банишев Александр Федорович</t>
        </is>
      </c>
      <c r="J61" s="289" t="inlineStr">
        <is>
          <t>профессор</t>
        </is>
      </c>
      <c r="K61" s="289" t="n"/>
      <c r="L61" s="289" t="inlineStr">
        <is>
          <t>только понедельник!</t>
        </is>
      </c>
      <c r="M61" s="12">
        <f>SUMIFS($E$2:$E$300,$A$2:$A$300,"осень",$I$2:$I$300,I61)</f>
        <v/>
      </c>
      <c r="N61" s="13">
        <f>SUMIFS($E$2:$E$300,$A$2:$A$300,"весна",$I$2:$I$300,I61)</f>
        <v/>
      </c>
      <c r="O61" s="14">
        <f>M61+N61</f>
        <v/>
      </c>
      <c r="P61" s="15">
        <f>O61/$P$1</f>
        <v/>
      </c>
    </row>
    <row r="62" ht="15.75" customHeight="1" s="2">
      <c r="A62" s="8" t="inlineStr">
        <is>
          <t>осень</t>
        </is>
      </c>
      <c r="B62" s="289" t="inlineStr">
        <is>
          <t>Основы кристаллографии</t>
        </is>
      </c>
      <c r="C62" s="289" t="inlineStr">
        <is>
          <t>Зачет</t>
        </is>
      </c>
      <c r="D62" s="289" t="inlineStr">
        <is>
          <t>Т11О-103М-19</t>
        </is>
      </c>
      <c r="E62" s="284" t="n">
        <v>3</v>
      </c>
      <c r="F62" s="289" t="inlineStr">
        <is>
          <t>06203</t>
        </is>
      </c>
      <c r="G62" s="290" t="n">
        <v>0</v>
      </c>
      <c r="H62" s="289" t="inlineStr">
        <is>
          <t>93685</t>
        </is>
      </c>
      <c r="I62" s="289" t="inlineStr">
        <is>
          <t>Банишев Александр Федорович</t>
        </is>
      </c>
      <c r="J62" s="289" t="inlineStr">
        <is>
          <t>профессор</t>
        </is>
      </c>
      <c r="K62" s="289" t="n"/>
      <c r="L62" s="289" t="inlineStr">
        <is>
          <t>только понедельник!</t>
        </is>
      </c>
      <c r="M62" s="12">
        <f>SUMIFS($E$2:$E$300,$A$2:$A$300,"осень",$I$2:$I$300,I62)</f>
        <v/>
      </c>
      <c r="N62" s="13">
        <f>SUMIFS($E$2:$E$300,$A$2:$A$300,"весна",$I$2:$I$300,I62)</f>
        <v/>
      </c>
      <c r="O62" s="14">
        <f>M62+N62</f>
        <v/>
      </c>
      <c r="P62" s="15">
        <f>O62/$P$1</f>
        <v/>
      </c>
    </row>
    <row r="63" ht="15.75" customHeight="1" s="2">
      <c r="A63" s="8" t="inlineStr">
        <is>
          <t>осень</t>
        </is>
      </c>
      <c r="B63" s="289" t="inlineStr">
        <is>
          <t>Основы кристаллографии</t>
        </is>
      </c>
      <c r="C63" s="289" t="inlineStr">
        <is>
          <t>ПЗ</t>
        </is>
      </c>
      <c r="D63" s="289" t="inlineStr">
        <is>
          <t>Т11О-103М-19</t>
        </is>
      </c>
      <c r="E63" s="284" t="n">
        <v>32</v>
      </c>
      <c r="F63" s="289" t="inlineStr">
        <is>
          <t>06203</t>
        </is>
      </c>
      <c r="G63" s="284" t="n">
        <v>32</v>
      </c>
      <c r="H63" s="289" t="inlineStr">
        <is>
          <t>93685</t>
        </is>
      </c>
      <c r="I63" s="289" t="inlineStr">
        <is>
          <t>Банишев Александр Федорович</t>
        </is>
      </c>
      <c r="J63" s="289" t="inlineStr">
        <is>
          <t>профессор</t>
        </is>
      </c>
      <c r="K63" s="289" t="n"/>
      <c r="L63" s="289" t="inlineStr">
        <is>
          <t>только понедельник!</t>
        </is>
      </c>
      <c r="M63" s="12">
        <f>SUMIFS($E$2:$E$300,$A$2:$A$300,"осень",$I$2:$I$300,I63)</f>
        <v/>
      </c>
      <c r="N63" s="13">
        <f>SUMIFS($E$2:$E$300,$A$2:$A$300,"весна",$I$2:$I$300,I63)</f>
        <v/>
      </c>
      <c r="O63" s="14">
        <f>M63+N63</f>
        <v/>
      </c>
      <c r="P63" s="15">
        <f>O63/$P$1</f>
        <v/>
      </c>
    </row>
    <row r="64" ht="15.75" customHeight="1" s="2">
      <c r="A64" s="8" t="inlineStr">
        <is>
          <t>осень</t>
        </is>
      </c>
      <c r="B64" s="289" t="inlineStr">
        <is>
          <t>Основы кристаллографии</t>
        </is>
      </c>
      <c r="C64" s="289" t="inlineStr">
        <is>
          <t>ПЗ</t>
        </is>
      </c>
      <c r="D64" s="289" t="inlineStr">
        <is>
          <t>Т11О-203М-18</t>
        </is>
      </c>
      <c r="E64" s="284" t="n">
        <v>44</v>
      </c>
      <c r="F64" s="289" t="inlineStr">
        <is>
          <t>06203</t>
        </is>
      </c>
      <c r="G64" s="284" t="n">
        <v>44</v>
      </c>
      <c r="H64" s="289" t="inlineStr">
        <is>
          <t>93685</t>
        </is>
      </c>
      <c r="I64" s="289" t="inlineStr">
        <is>
          <t>Банишев Александр Федорович</t>
        </is>
      </c>
      <c r="J64" s="289" t="inlineStr">
        <is>
          <t>профессор</t>
        </is>
      </c>
      <c r="K64" s="289" t="n"/>
      <c r="L64" s="289" t="inlineStr">
        <is>
          <t>только понедельник!</t>
        </is>
      </c>
      <c r="M64" s="12">
        <f>SUMIFS($E$2:$E$300,$A$2:$A$300,"осень",$I$2:$I$300,I64)</f>
        <v/>
      </c>
      <c r="N64" s="13">
        <f>SUMIFS($E$2:$E$300,$A$2:$A$300,"весна",$I$2:$I$300,I64)</f>
        <v/>
      </c>
      <c r="O64" s="14">
        <f>M64+N64</f>
        <v/>
      </c>
      <c r="P64" s="15">
        <f>O64/$P$1</f>
        <v/>
      </c>
    </row>
    <row r="65" ht="15.75" customHeight="1" s="2">
      <c r="A65" s="8" t="inlineStr">
        <is>
          <t>осень</t>
        </is>
      </c>
      <c r="B65" s="289" t="inlineStr">
        <is>
          <t>Основы кристаллографии</t>
        </is>
      </c>
      <c r="C65" s="289" t="inlineStr">
        <is>
          <t>Зачет с оценкой</t>
        </is>
      </c>
      <c r="D65" s="289" t="inlineStr">
        <is>
          <t>Т11О-203М-18</t>
        </is>
      </c>
      <c r="E65" s="284" t="n">
        <v>3</v>
      </c>
      <c r="F65" s="289" t="inlineStr">
        <is>
          <t>06203</t>
        </is>
      </c>
      <c r="G65" s="290" t="n">
        <v>0</v>
      </c>
      <c r="H65" s="289" t="inlineStr">
        <is>
          <t>93685</t>
        </is>
      </c>
      <c r="I65" s="289" t="inlineStr">
        <is>
          <t>Банишев Александр Федорович</t>
        </is>
      </c>
      <c r="J65" s="289" t="inlineStr">
        <is>
          <t>профессор</t>
        </is>
      </c>
      <c r="K65" s="289" t="n"/>
      <c r="L65" s="289" t="inlineStr">
        <is>
          <t>только понедельник!</t>
        </is>
      </c>
      <c r="M65" s="12">
        <f>SUMIFS($E$2:$E$300,$A$2:$A$300,"осень",$I$2:$I$300,I65)</f>
        <v/>
      </c>
      <c r="N65" s="13">
        <f>SUMIFS($E$2:$E$300,$A$2:$A$300,"весна",$I$2:$I$300,I65)</f>
        <v/>
      </c>
      <c r="O65" s="14">
        <f>M65+N65</f>
        <v/>
      </c>
      <c r="P65" s="15">
        <f>O65/$P$1</f>
        <v/>
      </c>
    </row>
    <row r="66" ht="15.75" customHeight="1" s="2">
      <c r="A66" s="8" t="inlineStr">
        <is>
          <t>осень</t>
        </is>
      </c>
      <c r="B66" s="289" t="inlineStr">
        <is>
          <t>Основы кристаллографии</t>
        </is>
      </c>
      <c r="C66" s="289" t="inlineStr">
        <is>
          <t>ЛК</t>
        </is>
      </c>
      <c r="D66" s="289" t="inlineStr">
        <is>
          <t>Т11О-203М-18</t>
        </is>
      </c>
      <c r="E66" s="284" t="n">
        <v>32</v>
      </c>
      <c r="F66" s="289" t="inlineStr">
        <is>
          <t>06203</t>
        </is>
      </c>
      <c r="G66" s="284" t="n">
        <v>32</v>
      </c>
      <c r="H66" s="289" t="inlineStr">
        <is>
          <t>93685</t>
        </is>
      </c>
      <c r="I66" s="289" t="inlineStr">
        <is>
          <t>Банишев Александр Федорович</t>
        </is>
      </c>
      <c r="J66" s="289" t="inlineStr">
        <is>
          <t>профессор</t>
        </is>
      </c>
      <c r="K66" s="289" t="n"/>
      <c r="L66" s="289" t="inlineStr">
        <is>
          <t>только понедельник!</t>
        </is>
      </c>
      <c r="M66" s="12">
        <f>SUMIFS($E$2:$E$300,$A$2:$A$300,"осень",$I$2:$I$300,I66)</f>
        <v/>
      </c>
      <c r="N66" s="13">
        <f>SUMIFS($E$2:$E$300,$A$2:$A$300,"весна",$I$2:$I$300,I66)</f>
        <v/>
      </c>
      <c r="O66" s="14">
        <f>M66+N66</f>
        <v/>
      </c>
      <c r="P66" s="15">
        <f>O66/$P$1</f>
        <v/>
      </c>
    </row>
    <row r="67" ht="15.75" customHeight="1" s="2">
      <c r="A67" s="8" t="inlineStr">
        <is>
          <t>осень</t>
        </is>
      </c>
      <c r="B67" s="289" t="inlineStr">
        <is>
          <t>Основы кристаллографии</t>
        </is>
      </c>
      <c r="C67" s="289" t="inlineStr">
        <is>
          <t>ЛК</t>
        </is>
      </c>
      <c r="D67" s="289" t="inlineStr">
        <is>
          <t>Т11О-103М-19</t>
        </is>
      </c>
      <c r="E67" s="284" t="n">
        <v>18</v>
      </c>
      <c r="F67" s="289" t="inlineStr">
        <is>
          <t>06203</t>
        </is>
      </c>
      <c r="G67" s="284" t="n">
        <v>18</v>
      </c>
      <c r="H67" s="289" t="inlineStr">
        <is>
          <t>93685</t>
        </is>
      </c>
      <c r="I67" s="289" t="inlineStr">
        <is>
          <t>Банишев Александр Федорович</t>
        </is>
      </c>
      <c r="J67" s="289" t="inlineStr">
        <is>
          <t>профессор</t>
        </is>
      </c>
      <c r="K67" s="289" t="n"/>
      <c r="L67" s="289" t="inlineStr">
        <is>
          <t>только понедельник!</t>
        </is>
      </c>
      <c r="M67" s="12">
        <f>SUMIFS($E$2:$E$300,$A$2:$A$300,"осень",$I$2:$I$300,I67)</f>
        <v/>
      </c>
      <c r="N67" s="13">
        <f>SUMIFS($E$2:$E$300,$A$2:$A$300,"весна",$I$2:$I$300,I67)</f>
        <v/>
      </c>
      <c r="O67" s="14">
        <f>M67+N67</f>
        <v/>
      </c>
      <c r="P67" s="15">
        <f>O67/$P$1</f>
        <v/>
      </c>
    </row>
    <row r="68" ht="15.75" customHeight="1" s="2">
      <c r="A68" s="8" t="inlineStr">
        <is>
          <t>осень</t>
        </is>
      </c>
      <c r="B68" s="289" t="inlineStr">
        <is>
          <t>Основы САПР в металлургии</t>
        </is>
      </c>
      <c r="C68" s="289" t="inlineStr">
        <is>
          <t>Зачет с оценкой</t>
        </is>
      </c>
      <c r="D68" s="289" t="inlineStr">
        <is>
          <t>Т1О-303Б-17</t>
        </is>
      </c>
      <c r="E68" s="284" t="n">
        <v>6</v>
      </c>
      <c r="F68" s="289" t="inlineStr">
        <is>
          <t>08947</t>
        </is>
      </c>
      <c r="G68" s="290" t="n">
        <v>0</v>
      </c>
      <c r="H68" s="289" t="inlineStr">
        <is>
          <t>82026</t>
        </is>
      </c>
      <c r="I68" s="289" t="inlineStr">
        <is>
          <t>Александрова Светлана Сергеевна</t>
        </is>
      </c>
      <c r="J68" s="289" t="inlineStr">
        <is>
          <t>доцент</t>
        </is>
      </c>
      <c r="K68" s="289" t="n"/>
      <c r="L68" s="289" t="n"/>
      <c r="M68" s="12">
        <f>SUMIFS($E$2:$E$300,$A$2:$A$300,"осень",$I$2:$I$300,I68)</f>
        <v/>
      </c>
      <c r="N68" s="13">
        <f>SUMIFS($E$2:$E$300,$A$2:$A$300,"весна",$I$2:$I$300,I68)</f>
        <v/>
      </c>
      <c r="O68" s="14">
        <f>M68+N68</f>
        <v/>
      </c>
      <c r="P68" s="15">
        <f>O68/$P$1</f>
        <v/>
      </c>
    </row>
    <row r="69" ht="15.75" customHeight="1" s="2">
      <c r="A69" s="8" t="inlineStr">
        <is>
          <t>осень</t>
        </is>
      </c>
      <c r="B69" s="289" t="inlineStr">
        <is>
          <t>Основы САПР в металлургии</t>
        </is>
      </c>
      <c r="C69" s="289" t="inlineStr">
        <is>
          <t>Зачет с оценкой</t>
        </is>
      </c>
      <c r="D69" s="289" t="inlineStr">
        <is>
          <t>Т1О-302Б-17</t>
        </is>
      </c>
      <c r="E69" s="284" t="n">
        <v>4</v>
      </c>
      <c r="F69" s="289" t="inlineStr">
        <is>
          <t>08947</t>
        </is>
      </c>
      <c r="G69" s="290" t="n">
        <v>0</v>
      </c>
      <c r="H69" s="289" t="inlineStr">
        <is>
          <t>82026</t>
        </is>
      </c>
      <c r="I69" s="289" t="inlineStr">
        <is>
          <t>Александрова Светлана Сергеевна</t>
        </is>
      </c>
      <c r="J69" s="289" t="inlineStr">
        <is>
          <t>доцент</t>
        </is>
      </c>
      <c r="K69" s="289" t="n"/>
      <c r="L69" s="289" t="n"/>
      <c r="M69" s="12">
        <f>SUMIFS($E$2:$E$300,$A$2:$A$300,"осень",$I$2:$I$300,I69)</f>
        <v/>
      </c>
      <c r="N69" s="13">
        <f>SUMIFS($E$2:$E$300,$A$2:$A$300,"весна",$I$2:$I$300,I69)</f>
        <v/>
      </c>
      <c r="O69" s="14">
        <f>M69+N69</f>
        <v/>
      </c>
      <c r="P69" s="15">
        <f>O69/$P$1</f>
        <v/>
      </c>
    </row>
    <row r="70" ht="15.75" customHeight="1" s="2">
      <c r="A70" s="8" t="inlineStr">
        <is>
          <t>осень</t>
        </is>
      </c>
      <c r="B70" s="289" t="inlineStr">
        <is>
          <t>Основы САПР в металлургии</t>
        </is>
      </c>
      <c r="C70" s="289" t="inlineStr">
        <is>
          <t>ПЗ</t>
        </is>
      </c>
      <c r="D70" s="289" t="inlineStr">
        <is>
          <t>Т1О-303Б-17</t>
        </is>
      </c>
      <c r="E70" s="284" t="n">
        <v>30</v>
      </c>
      <c r="F70" s="289" t="inlineStr">
        <is>
          <t>08947</t>
        </is>
      </c>
      <c r="G70" s="284" t="n">
        <v>30</v>
      </c>
      <c r="H70" s="289" t="inlineStr">
        <is>
          <t>82026</t>
        </is>
      </c>
      <c r="I70" s="289" t="inlineStr">
        <is>
          <t>Александрова Светлана Сергеевна</t>
        </is>
      </c>
      <c r="J70" s="289" t="inlineStr">
        <is>
          <t>доцент</t>
        </is>
      </c>
      <c r="K70" s="289" t="n"/>
      <c r="L70" s="289" t="inlineStr">
        <is>
          <t>кроме вт,чт, сб</t>
        </is>
      </c>
      <c r="M70" s="12">
        <f>SUMIFS($E$2:$E$300,$A$2:$A$300,"осень",$I$2:$I$300,I70)</f>
        <v/>
      </c>
      <c r="N70" s="13">
        <f>SUMIFS($E$2:$E$300,$A$2:$A$300,"весна",$I$2:$I$300,I70)</f>
        <v/>
      </c>
      <c r="O70" s="14">
        <f>M70+N70</f>
        <v/>
      </c>
      <c r="P70" s="15">
        <f>O70/$P$1</f>
        <v/>
      </c>
    </row>
    <row r="71" ht="15.75" customHeight="1" s="2">
      <c r="A71" s="8" t="inlineStr">
        <is>
          <t>осень</t>
        </is>
      </c>
      <c r="B71" s="289" t="inlineStr">
        <is>
          <t>Основы САПР в металлургии</t>
        </is>
      </c>
      <c r="C71" s="289" t="inlineStr">
        <is>
          <t>Консультация</t>
        </is>
      </c>
      <c r="D71" s="289" t="inlineStr">
        <is>
          <t>Т1О-302Б-17</t>
        </is>
      </c>
      <c r="E71" s="284" t="n">
        <v>1</v>
      </c>
      <c r="F71" s="289" t="inlineStr">
        <is>
          <t>08947</t>
        </is>
      </c>
      <c r="G71" s="290" t="n">
        <v>0</v>
      </c>
      <c r="H71" s="289" t="inlineStr">
        <is>
          <t>82026</t>
        </is>
      </c>
      <c r="I71" s="289" t="inlineStr">
        <is>
          <t>Александрова Светлана Сергеевна</t>
        </is>
      </c>
      <c r="J71" s="289" t="inlineStr">
        <is>
          <t>доцент</t>
        </is>
      </c>
      <c r="K71" s="289" t="n"/>
      <c r="L71" s="289" t="inlineStr">
        <is>
          <t>кроме вт,чт, сб</t>
        </is>
      </c>
      <c r="M71" s="12">
        <f>SUMIFS($E$2:$E$300,$A$2:$A$300,"осень",$I$2:$I$300,I71)</f>
        <v/>
      </c>
      <c r="N71" s="13">
        <f>SUMIFS($E$2:$E$300,$A$2:$A$300,"весна",$I$2:$I$300,I71)</f>
        <v/>
      </c>
      <c r="O71" s="14">
        <f>M71+N71</f>
        <v/>
      </c>
      <c r="P71" s="15">
        <f>O71/$P$1</f>
        <v/>
      </c>
    </row>
    <row r="72" ht="15.75" customHeight="1" s="2">
      <c r="A72" s="8" t="inlineStr">
        <is>
          <t>осень</t>
        </is>
      </c>
      <c r="B72" s="289" t="inlineStr">
        <is>
          <t>Основы САПР в металлургии</t>
        </is>
      </c>
      <c r="C72" s="289" t="inlineStr">
        <is>
          <t>Консультация</t>
        </is>
      </c>
      <c r="D72" s="289" t="inlineStr">
        <is>
          <t>Т1О-303Б-17</t>
        </is>
      </c>
      <c r="E72" s="284" t="n">
        <v>1</v>
      </c>
      <c r="F72" s="289" t="inlineStr">
        <is>
          <t>08947</t>
        </is>
      </c>
      <c r="G72" s="290" t="n">
        <v>0</v>
      </c>
      <c r="H72" s="289" t="inlineStr">
        <is>
          <t>82026</t>
        </is>
      </c>
      <c r="I72" s="289" t="inlineStr">
        <is>
          <t>Александрова Светлана Сергеевна</t>
        </is>
      </c>
      <c r="J72" s="289" t="inlineStr">
        <is>
          <t>доцент</t>
        </is>
      </c>
      <c r="K72" s="289" t="n"/>
      <c r="L72" s="289" t="inlineStr">
        <is>
          <t>кроме вт,чт, сб</t>
        </is>
      </c>
      <c r="M72" s="12">
        <f>SUMIFS($E$2:$E$300,$A$2:$A$300,"осень",$I$2:$I$300,I72)</f>
        <v/>
      </c>
      <c r="N72" s="13">
        <f>SUMIFS($E$2:$E$300,$A$2:$A$300,"весна",$I$2:$I$300,I72)</f>
        <v/>
      </c>
      <c r="O72" s="14">
        <f>M72+N72</f>
        <v/>
      </c>
      <c r="P72" s="15">
        <f>O72/$P$1</f>
        <v/>
      </c>
    </row>
    <row r="73" ht="15.75" customHeight="1" s="2">
      <c r="A73" s="8" t="inlineStr">
        <is>
          <t>осень</t>
        </is>
      </c>
      <c r="B73" s="289" t="inlineStr">
        <is>
          <t>Основы САПР в металлургии</t>
        </is>
      </c>
      <c r="C73" s="289" t="inlineStr">
        <is>
          <t>Зачет с оценкой</t>
        </is>
      </c>
      <c r="D73" s="289" t="inlineStr">
        <is>
          <t>Т1О-301Б-17</t>
        </is>
      </c>
      <c r="E73" s="284" t="n">
        <v>5</v>
      </c>
      <c r="F73" s="289" t="inlineStr">
        <is>
          <t>08947</t>
        </is>
      </c>
      <c r="G73" s="290" t="n">
        <v>0</v>
      </c>
      <c r="H73" s="289" t="inlineStr">
        <is>
          <t>82026</t>
        </is>
      </c>
      <c r="I73" s="289" t="inlineStr">
        <is>
          <t>Александрова Светлана Сергеевна</t>
        </is>
      </c>
      <c r="J73" s="289" t="inlineStr">
        <is>
          <t>доцент</t>
        </is>
      </c>
      <c r="K73" s="289" t="n"/>
      <c r="L73" s="289" t="inlineStr">
        <is>
          <t>кроме вт,чт, сб</t>
        </is>
      </c>
      <c r="M73" s="12">
        <f>SUMIFS($E$2:$E$300,$A$2:$A$300,"осень",$I$2:$I$300,I73)</f>
        <v/>
      </c>
      <c r="N73" s="13">
        <f>SUMIFS($E$2:$E$300,$A$2:$A$300,"весна",$I$2:$I$300,I73)</f>
        <v/>
      </c>
      <c r="O73" s="14">
        <f>M73+N73</f>
        <v/>
      </c>
      <c r="P73" s="15">
        <f>O73/$P$1</f>
        <v/>
      </c>
    </row>
    <row r="74" ht="15.75" customHeight="1" s="2">
      <c r="A74" s="8" t="inlineStr">
        <is>
          <t>осень</t>
        </is>
      </c>
      <c r="B74" s="289" t="inlineStr">
        <is>
          <t>Основы САПР в металлургии</t>
        </is>
      </c>
      <c r="C74" s="289" t="inlineStr">
        <is>
          <t>Консультация</t>
        </is>
      </c>
      <c r="D74" s="289" t="inlineStr">
        <is>
          <t>Т1О-301Б-17</t>
        </is>
      </c>
      <c r="E74" s="284" t="n">
        <v>1</v>
      </c>
      <c r="F74" s="289" t="inlineStr">
        <is>
          <t>08947</t>
        </is>
      </c>
      <c r="G74" s="290" t="n">
        <v>0</v>
      </c>
      <c r="H74" s="289" t="inlineStr">
        <is>
          <t>82026</t>
        </is>
      </c>
      <c r="I74" s="289" t="inlineStr">
        <is>
          <t>Александрова Светлана Сергеевна</t>
        </is>
      </c>
      <c r="J74" s="289" t="inlineStr">
        <is>
          <t>доцент</t>
        </is>
      </c>
      <c r="K74" s="289" t="n"/>
      <c r="L74" s="289" t="inlineStr">
        <is>
          <t>кроме вт,чт, сб</t>
        </is>
      </c>
      <c r="M74" s="12">
        <f>SUMIFS($E$2:$E$300,$A$2:$A$300,"осень",$I$2:$I$300,I74)</f>
        <v/>
      </c>
      <c r="N74" s="13">
        <f>SUMIFS($E$2:$E$300,$A$2:$A$300,"весна",$I$2:$I$300,I74)</f>
        <v/>
      </c>
      <c r="O74" s="14">
        <f>M74+N74</f>
        <v/>
      </c>
      <c r="P74" s="15">
        <f>O74/$P$1</f>
        <v/>
      </c>
    </row>
    <row r="75" ht="15.75" customHeight="1" s="2">
      <c r="A75" s="8" t="inlineStr">
        <is>
          <t>осень</t>
        </is>
      </c>
      <c r="B75" s="289" t="inlineStr">
        <is>
          <t>Основы САПР в металлургии</t>
        </is>
      </c>
      <c r="C75" s="289" t="inlineStr">
        <is>
          <t>ЛК</t>
        </is>
      </c>
      <c r="D75" s="289" t="inlineStr">
        <is>
          <t>Т1О-301Б-17, Т1О-302Б-17, Т1О-303Б-17</t>
        </is>
      </c>
      <c r="E75" s="284" t="n">
        <v>24</v>
      </c>
      <c r="F75" s="289" t="inlineStr">
        <is>
          <t>08947</t>
        </is>
      </c>
      <c r="G75" s="284" t="n">
        <v>24</v>
      </c>
      <c r="H75" s="289" t="inlineStr">
        <is>
          <t>82026</t>
        </is>
      </c>
      <c r="I75" s="289" t="inlineStr">
        <is>
          <t>Александрова Светлана Сергеевна</t>
        </is>
      </c>
      <c r="J75" s="289" t="inlineStr">
        <is>
          <t>доцент</t>
        </is>
      </c>
      <c r="K75" s="289" t="n"/>
      <c r="L75" s="289" t="inlineStr">
        <is>
          <t>кроме вт,чт, сб</t>
        </is>
      </c>
      <c r="M75" s="12">
        <f>SUMIFS($E$2:$E$300,$A$2:$A$300,"осень",$I$2:$I$300,I75)</f>
        <v/>
      </c>
      <c r="N75" s="13">
        <f>SUMIFS($E$2:$E$300,$A$2:$A$300,"весна",$I$2:$I$300,I75)</f>
        <v/>
      </c>
      <c r="O75" s="14">
        <f>M75+N75</f>
        <v/>
      </c>
      <c r="P75" s="15">
        <f>O75/$P$1</f>
        <v/>
      </c>
    </row>
    <row r="76" ht="15.75" customHeight="1" s="2">
      <c r="A76" s="8" t="inlineStr">
        <is>
          <t>осень</t>
        </is>
      </c>
      <c r="B76" s="289" t="inlineStr">
        <is>
          <t>Педагогическая практика</t>
        </is>
      </c>
      <c r="C76" s="289" t="inlineStr">
        <is>
          <t>Преддипломная практика</t>
        </is>
      </c>
      <c r="D76" s="289" t="inlineStr">
        <is>
          <t>Т1О-407А-16</t>
        </is>
      </c>
      <c r="E76" s="284" t="n">
        <v>2</v>
      </c>
      <c r="F76" s="289" t="n"/>
      <c r="G76" s="290" t="n">
        <v>0</v>
      </c>
      <c r="H76" s="289" t="inlineStr">
        <is>
          <t>82090</t>
        </is>
      </c>
      <c r="I76" s="289" t="inlineStr">
        <is>
          <t>Барабанова Ольга Алексеевна</t>
        </is>
      </c>
      <c r="J76" s="289" t="inlineStr">
        <is>
          <t>профессор</t>
        </is>
      </c>
      <c r="K76" s="289" t="n"/>
      <c r="L76" s="289" t="n"/>
      <c r="M76" s="12">
        <f>SUMIFS($E$2:$E$300,$A$2:$A$300,"осень",$I$2:$I$300,I76)</f>
        <v/>
      </c>
      <c r="N76" s="13">
        <f>SUMIFS($E$2:$E$300,$A$2:$A$300,"весна",$I$2:$I$300,I76)</f>
        <v/>
      </c>
      <c r="O76" s="14">
        <f>M76+N76</f>
        <v/>
      </c>
      <c r="P76" s="15">
        <f>O76/$P$1</f>
        <v/>
      </c>
    </row>
    <row r="77" ht="15.75" customHeight="1" s="2">
      <c r="A77" s="8" t="inlineStr">
        <is>
          <t>осень</t>
        </is>
      </c>
      <c r="B77" s="289" t="inlineStr">
        <is>
          <t>Порошковая металлургия и композиционные материалы</t>
        </is>
      </c>
      <c r="C77" s="289" t="inlineStr">
        <is>
          <t>Консультация</t>
        </is>
      </c>
      <c r="D77" s="289" t="inlineStr">
        <is>
          <t>Т1О-307А-17</t>
        </is>
      </c>
      <c r="E77" s="284" t="n">
        <v>5</v>
      </c>
      <c r="F77" s="289" t="inlineStr">
        <is>
          <t>11368</t>
        </is>
      </c>
      <c r="G77" s="290" t="n">
        <v>0</v>
      </c>
      <c r="H77" s="289" t="inlineStr">
        <is>
          <t>82066</t>
        </is>
      </c>
      <c r="I77" s="289" t="inlineStr">
        <is>
          <t>Серов Михаил Михайлович</t>
        </is>
      </c>
      <c r="J77" s="289" t="inlineStr">
        <is>
          <t>профессор</t>
        </is>
      </c>
      <c r="K77" s="289" t="n"/>
      <c r="L77" s="289" t="n"/>
      <c r="M77" s="12">
        <f>SUMIFS($E$2:$E$300,$A$2:$A$300,"осень",$I$2:$I$300,I77)</f>
        <v/>
      </c>
      <c r="N77" s="13">
        <f>SUMIFS($E$2:$E$300,$A$2:$A$300,"весна",$I$2:$I$300,I77)</f>
        <v/>
      </c>
      <c r="O77" s="14">
        <f>M77+N77</f>
        <v/>
      </c>
      <c r="P77" s="15">
        <f>O77/$P$1</f>
        <v/>
      </c>
    </row>
    <row r="78" ht="15.75" customHeight="1" s="2">
      <c r="A78" s="8" t="inlineStr">
        <is>
          <t>осень</t>
        </is>
      </c>
      <c r="B78" s="289" t="inlineStr">
        <is>
          <t>Порошковая металлургия и композиционные материалы</t>
        </is>
      </c>
      <c r="C78" s="289" t="inlineStr">
        <is>
          <t>ЛК</t>
        </is>
      </c>
      <c r="D78" s="289" t="inlineStr">
        <is>
          <t>Т1О-307А-17</t>
        </is>
      </c>
      <c r="E78" s="284" t="n">
        <v>68</v>
      </c>
      <c r="F78" s="289" t="inlineStr">
        <is>
          <t>11368</t>
        </is>
      </c>
      <c r="G78" s="284" t="n">
        <v>68</v>
      </c>
      <c r="H78" s="289" t="inlineStr">
        <is>
          <t>82066</t>
        </is>
      </c>
      <c r="I78" s="289" t="inlineStr">
        <is>
          <t>Серов Михаил Михайлович</t>
        </is>
      </c>
      <c r="J78" s="289" t="inlineStr">
        <is>
          <t>профессор</t>
        </is>
      </c>
      <c r="K78" s="289" t="n"/>
      <c r="L78" s="289" t="n"/>
      <c r="M78" s="12">
        <f>SUMIFS($E$2:$E$300,$A$2:$A$300,"осень",$I$2:$I$300,I78)</f>
        <v/>
      </c>
      <c r="N78" s="13">
        <f>SUMIFS($E$2:$E$300,$A$2:$A$300,"весна",$I$2:$I$300,I78)</f>
        <v/>
      </c>
      <c r="O78" s="14">
        <f>M78+N78</f>
        <v/>
      </c>
      <c r="P78" s="15">
        <f>O78/$P$1</f>
        <v/>
      </c>
    </row>
    <row r="79" ht="15.75" customHeight="1" s="2">
      <c r="A79" s="8" t="inlineStr">
        <is>
          <t>осень</t>
        </is>
      </c>
      <c r="B79" s="289" t="inlineStr">
        <is>
          <t>Порошковая металлургия и композиционные материалы</t>
        </is>
      </c>
      <c r="C79" s="289" t="inlineStr">
        <is>
          <t>ПЗ</t>
        </is>
      </c>
      <c r="D79" s="289" t="inlineStr">
        <is>
          <t>Т1О-307А-17</t>
        </is>
      </c>
      <c r="E79" s="284" t="n">
        <v>20</v>
      </c>
      <c r="F79" s="289" t="inlineStr">
        <is>
          <t>11368</t>
        </is>
      </c>
      <c r="G79" s="284" t="n">
        <v>20</v>
      </c>
      <c r="H79" s="289" t="inlineStr">
        <is>
          <t>82066</t>
        </is>
      </c>
      <c r="I79" s="289" t="inlineStr">
        <is>
          <t>Серов Михаил Михайлович</t>
        </is>
      </c>
      <c r="J79" s="289" t="inlineStr">
        <is>
          <t>профессор</t>
        </is>
      </c>
      <c r="K79" s="289" t="n"/>
      <c r="L79" s="289" t="n"/>
      <c r="M79" s="12">
        <f>SUMIFS($E$2:$E$300,$A$2:$A$300,"осень",$I$2:$I$300,I79)</f>
        <v/>
      </c>
      <c r="N79" s="13">
        <f>SUMIFS($E$2:$E$300,$A$2:$A$300,"весна",$I$2:$I$300,I79)</f>
        <v/>
      </c>
      <c r="O79" s="14">
        <f>M79+N79</f>
        <v/>
      </c>
      <c r="P79" s="15">
        <f>O79/$P$1</f>
        <v/>
      </c>
    </row>
    <row r="80" ht="15.75" customHeight="1" s="2">
      <c r="A80" s="8" t="inlineStr">
        <is>
          <t>осень</t>
        </is>
      </c>
      <c r="B80" s="289" t="inlineStr">
        <is>
          <t>Порошковая металлургия и композиционные материалы</t>
        </is>
      </c>
      <c r="C80" s="289" t="inlineStr">
        <is>
          <t>Экзамен</t>
        </is>
      </c>
      <c r="D80" s="289" t="inlineStr">
        <is>
          <t>Т1О-307А-17</t>
        </is>
      </c>
      <c r="E80" s="284" t="n">
        <v>1</v>
      </c>
      <c r="F80" s="289" t="inlineStr">
        <is>
          <t>11368</t>
        </is>
      </c>
      <c r="G80" s="290" t="n">
        <v>0</v>
      </c>
      <c r="H80" s="289" t="inlineStr">
        <is>
          <t>82066</t>
        </is>
      </c>
      <c r="I80" s="289" t="inlineStr">
        <is>
          <t>Серов Михаил Михайлович</t>
        </is>
      </c>
      <c r="J80" s="289" t="inlineStr">
        <is>
          <t>профессор</t>
        </is>
      </c>
      <c r="K80" s="289" t="n"/>
      <c r="L80" s="289" t="n"/>
      <c r="M80" s="12">
        <f>SUMIFS($E$2:$E$300,$A$2:$A$300,"осень",$I$2:$I$300,I80)</f>
        <v/>
      </c>
      <c r="N80" s="13">
        <f>SUMIFS($E$2:$E$300,$A$2:$A$300,"весна",$I$2:$I$300,I80)</f>
        <v/>
      </c>
      <c r="O80" s="14">
        <f>M80+N80</f>
        <v/>
      </c>
      <c r="P80" s="15">
        <f>O80/$P$1</f>
        <v/>
      </c>
    </row>
    <row r="81" ht="15.75" customHeight="1" s="2">
      <c r="A81" s="8" t="inlineStr">
        <is>
          <t>осень</t>
        </is>
      </c>
      <c r="B81" s="289" t="inlineStr">
        <is>
          <t>Производственная практика</t>
        </is>
      </c>
      <c r="C81" s="289" t="inlineStr">
        <is>
          <t>Преддипломная практика</t>
        </is>
      </c>
      <c r="D81" s="289" t="inlineStr">
        <is>
          <t>Т11О-203М-18</t>
        </is>
      </c>
      <c r="E81" s="284" t="n">
        <v>32</v>
      </c>
      <c r="F81" s="289" t="n"/>
      <c r="G81" s="290" t="n">
        <v>0</v>
      </c>
      <c r="H81" s="289" t="inlineStr">
        <is>
          <t>82060</t>
        </is>
      </c>
      <c r="I81" s="289" t="inlineStr">
        <is>
          <t>Лозован Александр Александрович</t>
        </is>
      </c>
      <c r="J81" s="289" t="inlineStr">
        <is>
          <t>профессор</t>
        </is>
      </c>
      <c r="K81" s="289" t="n"/>
      <c r="L81" s="289" t="n"/>
      <c r="M81" s="12">
        <f>SUMIFS($E$2:$E$300,$A$2:$A$300,"осень",$I$2:$I$300,I81)</f>
        <v/>
      </c>
      <c r="N81" s="13">
        <f>SUMIFS($E$2:$E$300,$A$2:$A$300,"весна",$I$2:$I$300,I81)</f>
        <v/>
      </c>
      <c r="O81" s="14">
        <f>M81+N81</f>
        <v/>
      </c>
      <c r="P81" s="15">
        <f>O81/$P$1</f>
        <v/>
      </c>
    </row>
    <row r="82" ht="15.75" customHeight="1" s="2">
      <c r="A82" s="8" t="inlineStr">
        <is>
          <t>осень</t>
        </is>
      </c>
      <c r="B82" s="289" t="inlineStr">
        <is>
          <t>Разработка ресурсосберегающих технологий диффузионной сварки</t>
        </is>
      </c>
      <c r="C82" s="289" t="inlineStr">
        <is>
          <t>ЛК</t>
        </is>
      </c>
      <c r="D82" s="289" t="inlineStr">
        <is>
          <t>Т11О-103М-19</t>
        </is>
      </c>
      <c r="E82" s="284" t="n">
        <v>12</v>
      </c>
      <c r="F82" s="289" t="inlineStr">
        <is>
          <t>06203</t>
        </is>
      </c>
      <c r="G82" s="284" t="n">
        <v>12</v>
      </c>
      <c r="H82" s="289" t="inlineStr">
        <is>
          <t>82090</t>
        </is>
      </c>
      <c r="I82" s="289" t="inlineStr">
        <is>
          <t>Барабанова Ольга Алексеевна</t>
        </is>
      </c>
      <c r="J82" s="289" t="inlineStr">
        <is>
          <t>профессор</t>
        </is>
      </c>
      <c r="K82" s="289" t="n"/>
      <c r="L82" s="289" t="n"/>
      <c r="M82" s="12">
        <f>SUMIFS($E$2:$E$300,$A$2:$A$300,"осень",$I$2:$I$300,I82)</f>
        <v/>
      </c>
      <c r="N82" s="13">
        <f>SUMIFS($E$2:$E$300,$A$2:$A$300,"весна",$I$2:$I$300,I82)</f>
        <v/>
      </c>
      <c r="O82" s="14">
        <f>M82+N82</f>
        <v/>
      </c>
      <c r="P82" s="15">
        <f>O82/$P$1</f>
        <v/>
      </c>
    </row>
    <row r="83" ht="15.75" customHeight="1" s="2">
      <c r="A83" s="8" t="inlineStr">
        <is>
          <t>осень</t>
        </is>
      </c>
      <c r="B83" s="289" t="inlineStr">
        <is>
          <t>Разработка ресурсосберегающих технологий диффузионной сварки</t>
        </is>
      </c>
      <c r="C83" s="289" t="inlineStr">
        <is>
          <t>ПЗ</t>
        </is>
      </c>
      <c r="D83" s="289" t="inlineStr">
        <is>
          <t>Т11О-103М-19</t>
        </is>
      </c>
      <c r="E83" s="284" t="n">
        <v>26</v>
      </c>
      <c r="F83" s="289" t="inlineStr">
        <is>
          <t>06203</t>
        </is>
      </c>
      <c r="G83" s="284" t="n">
        <v>26</v>
      </c>
      <c r="H83" s="289" t="inlineStr">
        <is>
          <t>82090</t>
        </is>
      </c>
      <c r="I83" s="289" t="inlineStr">
        <is>
          <t>Барабанова Ольга Алексеевна</t>
        </is>
      </c>
      <c r="J83" s="289" t="inlineStr">
        <is>
          <t>профессор</t>
        </is>
      </c>
      <c r="K83" s="289" t="n"/>
      <c r="L83" s="289" t="n"/>
      <c r="M83" s="12">
        <f>SUMIFS($E$2:$E$300,$A$2:$A$300,"осень",$I$2:$I$300,I83)</f>
        <v/>
      </c>
      <c r="N83" s="13">
        <f>SUMIFS($E$2:$E$300,$A$2:$A$300,"весна",$I$2:$I$300,I83)</f>
        <v/>
      </c>
      <c r="O83" s="14">
        <f>M83+N83</f>
        <v/>
      </c>
      <c r="P83" s="15">
        <f>O83/$P$1</f>
        <v/>
      </c>
    </row>
    <row r="84" ht="15.75" customHeight="1" s="2">
      <c r="A84" s="8" t="inlineStr">
        <is>
          <t>осень</t>
        </is>
      </c>
      <c r="B84" s="289" t="inlineStr">
        <is>
          <t>Разработка ресурсосберегающих технологий диффузионной сварки</t>
        </is>
      </c>
      <c r="C84" s="289" t="inlineStr">
        <is>
          <t>Консультация</t>
        </is>
      </c>
      <c r="D84" s="289" t="inlineStr">
        <is>
          <t>Т11О-103М-19</t>
        </is>
      </c>
      <c r="E84" s="284" t="n">
        <v>1</v>
      </c>
      <c r="F84" s="289" t="inlineStr">
        <is>
          <t>06203</t>
        </is>
      </c>
      <c r="G84" s="290" t="n">
        <v>0</v>
      </c>
      <c r="H84" s="289" t="inlineStr">
        <is>
          <t>82090</t>
        </is>
      </c>
      <c r="I84" s="289" t="inlineStr">
        <is>
          <t>Барабанова Ольга Алексеевна</t>
        </is>
      </c>
      <c r="J84" s="289" t="inlineStr">
        <is>
          <t>профессор</t>
        </is>
      </c>
      <c r="K84" s="289" t="n"/>
      <c r="L84" s="289" t="n"/>
      <c r="M84" s="12">
        <f>SUMIFS($E$2:$E$300,$A$2:$A$300,"осень",$I$2:$I$300,I84)</f>
        <v/>
      </c>
      <c r="N84" s="13">
        <f>SUMIFS($E$2:$E$300,$A$2:$A$300,"весна",$I$2:$I$300,I84)</f>
        <v/>
      </c>
      <c r="O84" s="14">
        <f>M84+N84</f>
        <v/>
      </c>
      <c r="P84" s="15">
        <f>O84/$P$1</f>
        <v/>
      </c>
    </row>
    <row r="85" ht="15.75" customHeight="1" s="2">
      <c r="A85" s="8" t="inlineStr">
        <is>
          <t>осень</t>
        </is>
      </c>
      <c r="B85" s="289" t="inlineStr">
        <is>
          <t>Разработка ресурсосберегающих технологий диффузионной сварки</t>
        </is>
      </c>
      <c r="C85" s="289" t="inlineStr">
        <is>
          <t>Зачет с оценкой</t>
        </is>
      </c>
      <c r="D85" s="289" t="inlineStr">
        <is>
          <t>Т11О-103М-19</t>
        </is>
      </c>
      <c r="E85" s="284" t="n">
        <v>3</v>
      </c>
      <c r="F85" s="289" t="inlineStr">
        <is>
          <t>06203</t>
        </is>
      </c>
      <c r="G85" s="290" t="n">
        <v>0</v>
      </c>
      <c r="H85" s="289" t="inlineStr">
        <is>
          <t>82090</t>
        </is>
      </c>
      <c r="I85" s="289" t="inlineStr">
        <is>
          <t>Барабанова Ольга Алексеевна</t>
        </is>
      </c>
      <c r="J85" s="289" t="inlineStr">
        <is>
          <t>профессор</t>
        </is>
      </c>
      <c r="K85" s="289" t="n"/>
      <c r="L85" s="289" t="n"/>
      <c r="M85" s="12">
        <f>SUMIFS($E$2:$E$300,$A$2:$A$300,"осень",$I$2:$I$300,I85)</f>
        <v/>
      </c>
      <c r="N85" s="13">
        <f>SUMIFS($E$2:$E$300,$A$2:$A$300,"весна",$I$2:$I$300,I85)</f>
        <v/>
      </c>
      <c r="O85" s="14">
        <f>M85+N85</f>
        <v/>
      </c>
      <c r="P85" s="15">
        <f>O85/$P$1</f>
        <v/>
      </c>
    </row>
    <row r="86" ht="15.75" customHeight="1" s="2">
      <c r="A86" s="8" t="inlineStr">
        <is>
          <t>осень</t>
        </is>
      </c>
      <c r="B86" s="289" t="inlineStr">
        <is>
          <t>Руководство аспирантами</t>
        </is>
      </c>
      <c r="C86" s="289" t="inlineStr">
        <is>
          <t>Руководство аспирантами</t>
        </is>
      </c>
      <c r="D86" s="289" t="inlineStr">
        <is>
          <t>Т1О-307А-17</t>
        </is>
      </c>
      <c r="E86" s="284" t="n">
        <v>25</v>
      </c>
      <c r="F86" s="289" t="n"/>
      <c r="G86" s="290" t="n">
        <v>0</v>
      </c>
      <c r="H86" s="289" t="inlineStr">
        <is>
          <t>82060</t>
        </is>
      </c>
      <c r="I86" s="289" t="inlineStr">
        <is>
          <t>Лозован Александр Александрович</t>
        </is>
      </c>
      <c r="J86" s="289" t="inlineStr">
        <is>
          <t>профессор</t>
        </is>
      </c>
      <c r="K86" s="289" t="n"/>
      <c r="L86" s="289" t="n"/>
      <c r="M86" s="12">
        <f>SUMIFS($E$2:$E$300,$A$2:$A$300,"осень",$I$2:$I$300,I86)</f>
        <v/>
      </c>
      <c r="N86" s="13">
        <f>SUMIFS($E$2:$E$300,$A$2:$A$300,"весна",$I$2:$I$300,I86)</f>
        <v/>
      </c>
      <c r="O86" s="14">
        <f>M86+N86</f>
        <v/>
      </c>
      <c r="P86" s="15">
        <f>O86/$P$1</f>
        <v/>
      </c>
    </row>
    <row r="87" ht="15.75" customHeight="1" s="2">
      <c r="A87" s="8" t="inlineStr">
        <is>
          <t>осень</t>
        </is>
      </c>
      <c r="B87" s="289" t="inlineStr">
        <is>
          <t>Руководство аспирантами</t>
        </is>
      </c>
      <c r="C87" s="289" t="inlineStr">
        <is>
          <t>Руководство аспирантами</t>
        </is>
      </c>
      <c r="D87" s="289" t="inlineStr">
        <is>
          <t>Т11О-207А-18</t>
        </is>
      </c>
      <c r="E87" s="284" t="n">
        <v>75</v>
      </c>
      <c r="F87" s="289" t="n"/>
      <c r="G87" s="290" t="n">
        <v>0</v>
      </c>
      <c r="H87" s="289" t="inlineStr">
        <is>
          <t>82060</t>
        </is>
      </c>
      <c r="I87" s="289" t="inlineStr">
        <is>
          <t>Лозован Александр Александрович</t>
        </is>
      </c>
      <c r="J87" s="289" t="inlineStr">
        <is>
          <t>профессор</t>
        </is>
      </c>
      <c r="K87" s="289" t="n"/>
      <c r="L87" s="289" t="n"/>
      <c r="M87" s="12">
        <f>SUMIFS($E$2:$E$300,$A$2:$A$300,"осень",$I$2:$I$300,I87)</f>
        <v/>
      </c>
      <c r="N87" s="13">
        <f>SUMIFS($E$2:$E$300,$A$2:$A$300,"весна",$I$2:$I$300,I87)</f>
        <v/>
      </c>
      <c r="O87" s="14">
        <f>M87+N87</f>
        <v/>
      </c>
      <c r="P87" s="15">
        <f>O87/$P$1</f>
        <v/>
      </c>
    </row>
    <row r="88" ht="15.75" customHeight="1" s="2">
      <c r="A88" s="8" t="inlineStr">
        <is>
          <t>осень</t>
        </is>
      </c>
      <c r="B88" s="289" t="inlineStr">
        <is>
          <t>Руководство аспирантами</t>
        </is>
      </c>
      <c r="C88" s="289" t="inlineStr">
        <is>
          <t>Руководство аспирантами</t>
        </is>
      </c>
      <c r="D88" s="289" t="inlineStr">
        <is>
          <t>Т11О-107А-19</t>
        </is>
      </c>
      <c r="E88" s="284" t="n">
        <v>25.01</v>
      </c>
      <c r="F88" s="289" t="n"/>
      <c r="G88" s="290" t="n">
        <v>0</v>
      </c>
      <c r="H88" s="289" t="inlineStr">
        <is>
          <t>82060</t>
        </is>
      </c>
      <c r="I88" s="289" t="inlineStr">
        <is>
          <t>Лозован Александр Александрович</t>
        </is>
      </c>
      <c r="J88" s="289" t="inlineStr">
        <is>
          <t>профессор</t>
        </is>
      </c>
      <c r="K88" s="289" t="n"/>
      <c r="L88" s="289" t="n"/>
      <c r="M88" s="12">
        <f>SUMIFS($E$2:$E$300,$A$2:$A$300,"осень",$I$2:$I$300,I88)</f>
        <v/>
      </c>
      <c r="N88" s="13">
        <f>SUMIFS($E$2:$E$300,$A$2:$A$300,"весна",$I$2:$I$300,I88)</f>
        <v/>
      </c>
      <c r="O88" s="14">
        <f>M88+N88</f>
        <v/>
      </c>
      <c r="P88" s="15">
        <f>O88/$P$1</f>
        <v/>
      </c>
    </row>
    <row r="89" ht="15.75" customHeight="1" s="2">
      <c r="A89" s="8" t="inlineStr">
        <is>
          <t>осень</t>
        </is>
      </c>
      <c r="B89" s="289" t="inlineStr">
        <is>
          <t>Руководство аспирантами</t>
        </is>
      </c>
      <c r="C89" s="289" t="inlineStr">
        <is>
          <t>Руководство аспирантами</t>
        </is>
      </c>
      <c r="D89" s="289" t="inlineStr">
        <is>
          <t>Т11О-107А-19</t>
        </is>
      </c>
      <c r="E89" s="284" t="n">
        <v>49.99</v>
      </c>
      <c r="F89" s="289" t="n"/>
      <c r="G89" s="290" t="n">
        <v>0</v>
      </c>
      <c r="H89" s="289" t="inlineStr">
        <is>
          <t>82066</t>
        </is>
      </c>
      <c r="I89" s="289" t="inlineStr">
        <is>
          <t>Серов Михаил Михайлович</t>
        </is>
      </c>
      <c r="J89" s="289" t="inlineStr">
        <is>
          <t>профессор</t>
        </is>
      </c>
      <c r="K89" s="289" t="n"/>
      <c r="L89" s="289" t="n"/>
      <c r="M89" s="12">
        <f>SUMIFS($E$2:$E$300,$A$2:$A$300,"осень",$I$2:$I$300,I89)</f>
        <v/>
      </c>
      <c r="N89" s="13">
        <f>SUMIFS($E$2:$E$300,$A$2:$A$300,"весна",$I$2:$I$300,I89)</f>
        <v/>
      </c>
      <c r="O89" s="14">
        <f>M89+N89</f>
        <v/>
      </c>
      <c r="P89" s="15">
        <f>O89/$P$1</f>
        <v/>
      </c>
    </row>
    <row r="90" ht="15.75" customHeight="1" s="2">
      <c r="A90" s="8" t="inlineStr">
        <is>
          <t>осень</t>
        </is>
      </c>
      <c r="B90" s="289" t="inlineStr">
        <is>
          <t>Руководство аспирантами</t>
        </is>
      </c>
      <c r="C90" s="289" t="inlineStr">
        <is>
          <t>Руководство аспирантами</t>
        </is>
      </c>
      <c r="D90" s="289" t="inlineStr">
        <is>
          <t>Т1О-407А-16</t>
        </is>
      </c>
      <c r="E90" s="284" t="n">
        <v>25</v>
      </c>
      <c r="F90" s="289" t="n"/>
      <c r="G90" s="290" t="n">
        <v>0</v>
      </c>
      <c r="H90" s="289" t="inlineStr">
        <is>
          <t>82090</t>
        </is>
      </c>
      <c r="I90" s="289" t="inlineStr">
        <is>
          <t>Барабанова Ольга Алексеевна</t>
        </is>
      </c>
      <c r="J90" s="289" t="inlineStr">
        <is>
          <t>профессор</t>
        </is>
      </c>
      <c r="K90" s="289" t="n"/>
      <c r="L90" s="289" t="n"/>
      <c r="M90" s="12">
        <f>SUMIFS($E$2:$E$300,$A$2:$A$300,"осень",$I$2:$I$300,I90)</f>
        <v/>
      </c>
      <c r="N90" s="13">
        <f>SUMIFS($E$2:$E$300,$A$2:$A$300,"весна",$I$2:$I$300,I90)</f>
        <v/>
      </c>
      <c r="O90" s="14">
        <f>M90+N90</f>
        <v/>
      </c>
      <c r="P90" s="15">
        <f>O90/$P$1</f>
        <v/>
      </c>
    </row>
    <row r="91" ht="15.75" customHeight="1" s="2">
      <c r="A91" s="8" t="inlineStr">
        <is>
          <t>осень</t>
        </is>
      </c>
      <c r="B91" s="289" t="inlineStr">
        <is>
          <t>Руководство магистрами</t>
        </is>
      </c>
      <c r="C91" s="289" t="inlineStr">
        <is>
          <t>Руководство магистрами</t>
        </is>
      </c>
      <c r="D91" s="289" t="inlineStr">
        <is>
          <t>Т11О-103М-19</t>
        </is>
      </c>
      <c r="E91" s="284" t="n">
        <v>30</v>
      </c>
      <c r="F91" s="289" t="n"/>
      <c r="G91" s="290" t="n">
        <v>0</v>
      </c>
      <c r="H91" s="289" t="inlineStr">
        <is>
          <t>82066</t>
        </is>
      </c>
      <c r="I91" s="289" t="inlineStr">
        <is>
          <t>Серов Михаил Михайлович</t>
        </is>
      </c>
      <c r="J91" s="289" t="inlineStr">
        <is>
          <t>профессор</t>
        </is>
      </c>
      <c r="K91" s="289" t="n"/>
      <c r="L91" s="289" t="n"/>
      <c r="M91" s="12">
        <f>SUMIFS($E$2:$E$300,$A$2:$A$300,"осень",$I$2:$I$300,I91)</f>
        <v/>
      </c>
      <c r="N91" s="13">
        <f>SUMIFS($E$2:$E$300,$A$2:$A$300,"весна",$I$2:$I$300,I91)</f>
        <v/>
      </c>
      <c r="O91" s="14">
        <f>M91+N91</f>
        <v/>
      </c>
      <c r="P91" s="15">
        <f>O91/$P$1</f>
        <v/>
      </c>
    </row>
    <row r="92" ht="15.75" customHeight="1" s="2">
      <c r="A92" s="8" t="inlineStr">
        <is>
          <t>осень</t>
        </is>
      </c>
      <c r="B92" s="289" t="inlineStr">
        <is>
          <t>Руководство магистрами</t>
        </is>
      </c>
      <c r="C92" s="289" t="inlineStr">
        <is>
          <t>Руководство магистрами</t>
        </is>
      </c>
      <c r="D92" s="289" t="inlineStr">
        <is>
          <t>Т11О-203М-18</t>
        </is>
      </c>
      <c r="E92" s="284" t="n">
        <v>15</v>
      </c>
      <c r="F92" s="289" t="n"/>
      <c r="G92" s="290" t="n">
        <v>0</v>
      </c>
      <c r="H92" s="289" t="inlineStr">
        <is>
          <t>82066</t>
        </is>
      </c>
      <c r="I92" s="289" t="inlineStr">
        <is>
          <t>Серов Михаил Михайлович</t>
        </is>
      </c>
      <c r="J92" s="289" t="inlineStr">
        <is>
          <t>профессор</t>
        </is>
      </c>
      <c r="K92" s="289" t="n"/>
      <c r="L92" s="289" t="inlineStr">
        <is>
          <t>1</t>
        </is>
      </c>
      <c r="M92" s="12">
        <f>SUMIFS($E$2:$E$300,$A$2:$A$300,"осень",$I$2:$I$300,I92)</f>
        <v/>
      </c>
      <c r="N92" s="13">
        <f>SUMIFS($E$2:$E$300,$A$2:$A$300,"весна",$I$2:$I$300,I92)</f>
        <v/>
      </c>
      <c r="O92" s="14">
        <f>M92+N92</f>
        <v/>
      </c>
      <c r="P92" s="15">
        <f>O92/$P$1</f>
        <v/>
      </c>
    </row>
    <row r="93" ht="15.75" customHeight="1" s="2">
      <c r="A93" s="8" t="inlineStr">
        <is>
          <t>осень</t>
        </is>
      </c>
      <c r="B93" s="289" t="inlineStr">
        <is>
          <t>Руководство магистрами</t>
        </is>
      </c>
      <c r="C93" s="289" t="inlineStr">
        <is>
          <t>Руководство магистрами</t>
        </is>
      </c>
      <c r="D93" s="289" t="inlineStr">
        <is>
          <t>Т11О-203М-18</t>
        </is>
      </c>
      <c r="E93" s="284" t="n">
        <v>30</v>
      </c>
      <c r="F93" s="289" t="n"/>
      <c r="G93" s="290" t="n">
        <v>0</v>
      </c>
      <c r="H93" s="289" t="inlineStr">
        <is>
          <t>93685</t>
        </is>
      </c>
      <c r="I93" s="289" t="inlineStr">
        <is>
          <t>Банишев Александр Федорович</t>
        </is>
      </c>
      <c r="J93" s="289" t="inlineStr">
        <is>
          <t>профессор</t>
        </is>
      </c>
      <c r="K93" s="289" t="n"/>
      <c r="L93" s="289" t="inlineStr">
        <is>
          <t>2 чел только понедельник!</t>
        </is>
      </c>
      <c r="M93" s="12">
        <f>SUMIFS($E$2:$E$300,$A$2:$A$300,"осень",$I$2:$I$300,I93)</f>
        <v/>
      </c>
      <c r="N93" s="13">
        <f>SUMIFS($E$2:$E$300,$A$2:$A$300,"весна",$I$2:$I$300,I93)</f>
        <v/>
      </c>
      <c r="O93" s="14">
        <f>M93+N93</f>
        <v/>
      </c>
      <c r="P93" s="15">
        <f>O93/$P$1</f>
        <v/>
      </c>
    </row>
    <row r="94" ht="15.75" customHeight="1" s="2">
      <c r="A94" s="8" t="inlineStr">
        <is>
          <t>осень</t>
        </is>
      </c>
      <c r="B94" s="289" t="inlineStr">
        <is>
          <t>Руководство магистрами</t>
        </is>
      </c>
      <c r="C94" s="289" t="inlineStr">
        <is>
          <t>Руководство магистрами</t>
        </is>
      </c>
      <c r="D94" s="289" t="inlineStr">
        <is>
          <t>Т11О-103М-19</t>
        </is>
      </c>
      <c r="E94" s="284" t="n">
        <v>30</v>
      </c>
      <c r="F94" s="289" t="n"/>
      <c r="G94" s="290" t="n">
        <v>0</v>
      </c>
      <c r="H94" s="289" t="inlineStr">
        <is>
          <t>93685</t>
        </is>
      </c>
      <c r="I94" s="289" t="inlineStr">
        <is>
          <t>Банишев Александр Федорович</t>
        </is>
      </c>
      <c r="J94" s="289" t="inlineStr">
        <is>
          <t>профессор</t>
        </is>
      </c>
      <c r="K94" s="289" t="n"/>
      <c r="L94" s="289" t="n"/>
      <c r="M94" s="12">
        <f>SUMIFS($E$2:$E$300,$A$2:$A$300,"осень",$I$2:$I$300,I94)</f>
        <v/>
      </c>
      <c r="N94" s="13">
        <f>SUMIFS($E$2:$E$300,$A$2:$A$300,"весна",$I$2:$I$300,I94)</f>
        <v/>
      </c>
      <c r="O94" s="14">
        <f>M94+N94</f>
        <v/>
      </c>
      <c r="P94" s="15">
        <f>O94/$P$1</f>
        <v/>
      </c>
    </row>
    <row r="95" ht="15.75" customHeight="1" s="2">
      <c r="A95" s="8" t="inlineStr">
        <is>
          <t>осень</t>
        </is>
      </c>
      <c r="B95" s="289" t="inlineStr">
        <is>
          <t>Руководство магистрами</t>
        </is>
      </c>
      <c r="C95" s="289" t="inlineStr">
        <is>
          <t>Руководство магистрами</t>
        </is>
      </c>
      <c r="D95" s="289" t="inlineStr">
        <is>
          <t>Т11О-103М-19</t>
        </is>
      </c>
      <c r="E95" s="284" t="n">
        <v>30</v>
      </c>
      <c r="F95" s="289" t="n"/>
      <c r="G95" s="290" t="n">
        <v>0</v>
      </c>
      <c r="H95" s="289" t="inlineStr">
        <is>
          <t>82060</t>
        </is>
      </c>
      <c r="I95" s="289" t="inlineStr">
        <is>
          <t>Лозован Александр Александрович</t>
        </is>
      </c>
      <c r="J95" s="289" t="inlineStr">
        <is>
          <t>профессор</t>
        </is>
      </c>
      <c r="K95" s="289" t="n"/>
      <c r="L95" s="289" t="n"/>
      <c r="M95" s="12">
        <f>SUMIFS($E$2:$E$300,$A$2:$A$300,"осень",$I$2:$I$300,I95)</f>
        <v/>
      </c>
      <c r="N95" s="13">
        <f>SUMIFS($E$2:$E$300,$A$2:$A$300,"весна",$I$2:$I$300,I95)</f>
        <v/>
      </c>
      <c r="O95" s="14">
        <f>M95+N95</f>
        <v/>
      </c>
      <c r="P95" s="15">
        <f>O95/$P$1</f>
        <v/>
      </c>
    </row>
    <row r="96" ht="15.75" customHeight="1" s="2">
      <c r="A96" s="8" t="inlineStr">
        <is>
          <t>осень</t>
        </is>
      </c>
      <c r="B96" s="289" t="inlineStr">
        <is>
          <t>Руководство магистрами</t>
        </is>
      </c>
      <c r="C96" s="289" t="inlineStr">
        <is>
          <t>Руководство магистрами</t>
        </is>
      </c>
      <c r="D96" s="289" t="inlineStr">
        <is>
          <t>Т11О-203М-18</t>
        </is>
      </c>
      <c r="E96" s="284" t="n">
        <v>60</v>
      </c>
      <c r="F96" s="289" t="n"/>
      <c r="G96" s="290" t="n">
        <v>0</v>
      </c>
      <c r="H96" s="289" t="inlineStr">
        <is>
          <t>82060</t>
        </is>
      </c>
      <c r="I96" s="289" t="inlineStr">
        <is>
          <t>Лозован Александр Александрович</t>
        </is>
      </c>
      <c r="J96" s="289" t="inlineStr">
        <is>
          <t>профессор</t>
        </is>
      </c>
      <c r="K96" s="289" t="n"/>
      <c r="L96" s="289" t="inlineStr">
        <is>
          <t>4</t>
        </is>
      </c>
      <c r="M96" s="12">
        <f>SUMIFS($E$2:$E$300,$A$2:$A$300,"осень",$I$2:$I$300,I96)</f>
        <v/>
      </c>
      <c r="N96" s="13">
        <f>SUMIFS($E$2:$E$300,$A$2:$A$300,"весна",$I$2:$I$300,I96)</f>
        <v/>
      </c>
      <c r="O96" s="14">
        <f>M96+N96</f>
        <v/>
      </c>
      <c r="P96" s="15">
        <f>O96/$P$1</f>
        <v/>
      </c>
    </row>
    <row r="97" ht="15.75" customHeight="1" s="2">
      <c r="A97" s="8" t="inlineStr">
        <is>
          <t>осень</t>
        </is>
      </c>
      <c r="B97" s="289" t="inlineStr">
        <is>
          <t>Руководство магистрами</t>
        </is>
      </c>
      <c r="C97" s="289" t="inlineStr">
        <is>
          <t>Руководство магистрами</t>
        </is>
      </c>
      <c r="D97" s="289" t="inlineStr">
        <is>
          <t>Т11О-203М-18</t>
        </is>
      </c>
      <c r="E97" s="284" t="n">
        <v>30</v>
      </c>
      <c r="F97" s="289" t="n"/>
      <c r="G97" s="290" t="n">
        <v>0</v>
      </c>
      <c r="H97" s="289" t="inlineStr">
        <is>
          <t>82090</t>
        </is>
      </c>
      <c r="I97" s="289" t="inlineStr">
        <is>
          <t>Барабанова Ольга Алексеевна</t>
        </is>
      </c>
      <c r="J97" s="289" t="inlineStr">
        <is>
          <t>профессор</t>
        </is>
      </c>
      <c r="K97" s="289" t="n"/>
      <c r="L97" s="289" t="inlineStr">
        <is>
          <t>2</t>
        </is>
      </c>
      <c r="M97" s="12">
        <f>SUMIFS($E$2:$E$300,$A$2:$A$300,"осень",$I$2:$I$300,I97)</f>
        <v/>
      </c>
      <c r="N97" s="13">
        <f>SUMIFS($E$2:$E$300,$A$2:$A$300,"весна",$I$2:$I$300,I97)</f>
        <v/>
      </c>
      <c r="O97" s="14">
        <f>M97+N97</f>
        <v/>
      </c>
      <c r="P97" s="15">
        <f>O97/$P$1</f>
        <v/>
      </c>
    </row>
    <row r="98" ht="15.75" customHeight="1" s="2">
      <c r="A98" s="8" t="inlineStr">
        <is>
          <t>осень</t>
        </is>
      </c>
      <c r="B98" s="289" t="inlineStr">
        <is>
          <t>Руководство магистрами</t>
        </is>
      </c>
      <c r="C98" s="289" t="inlineStr">
        <is>
          <t>Руководство магистрами</t>
        </is>
      </c>
      <c r="D98" s="289" t="inlineStr">
        <is>
          <t>Т11О-103М-19</t>
        </is>
      </c>
      <c r="E98" s="284" t="n">
        <v>30</v>
      </c>
      <c r="F98" s="289" t="n"/>
      <c r="G98" s="290" t="n">
        <v>0</v>
      </c>
      <c r="H98" s="289" t="inlineStr">
        <is>
          <t>82090</t>
        </is>
      </c>
      <c r="I98" s="289" t="inlineStr">
        <is>
          <t>Барабанова Ольга Алексеевна</t>
        </is>
      </c>
      <c r="J98" s="289" t="inlineStr">
        <is>
          <t>профессор</t>
        </is>
      </c>
      <c r="K98" s="289" t="n"/>
      <c r="L98" s="289" t="n"/>
      <c r="M98" s="12">
        <f>SUMIFS($E$2:$E$300,$A$2:$A$300,"осень",$I$2:$I$300,I98)</f>
        <v/>
      </c>
      <c r="N98" s="13">
        <f>SUMIFS($E$2:$E$300,$A$2:$A$300,"весна",$I$2:$I$300,I98)</f>
        <v/>
      </c>
      <c r="O98" s="14">
        <f>M98+N98</f>
        <v/>
      </c>
      <c r="P98" s="15">
        <f>O98/$P$1</f>
        <v/>
      </c>
    </row>
    <row r="99" ht="15.75" customHeight="1" s="2">
      <c r="A99" s="293" t="inlineStr">
        <is>
          <t>осень</t>
        </is>
      </c>
      <c r="B99" s="289" t="inlineStr">
        <is>
          <t>Спецглавы информатики</t>
        </is>
      </c>
      <c r="C99" s="289" t="inlineStr">
        <is>
          <t>Консультация</t>
        </is>
      </c>
      <c r="D99" s="289" t="inlineStr">
        <is>
          <t>Т11О-202Б-18</t>
        </is>
      </c>
      <c r="E99" s="284" t="n">
        <v>1</v>
      </c>
      <c r="F99" s="289" t="inlineStr">
        <is>
          <t>08947</t>
        </is>
      </c>
      <c r="G99" s="290" t="n">
        <v>0</v>
      </c>
      <c r="H99" s="289" t="inlineStr">
        <is>
          <t>82026</t>
        </is>
      </c>
      <c r="I99" s="289" t="inlineStr">
        <is>
          <t>Александрова Светлана Сергеевна</t>
        </is>
      </c>
      <c r="J99" s="289" t="inlineStr">
        <is>
          <t>доцент</t>
        </is>
      </c>
      <c r="K99" s="289" t="n"/>
      <c r="L99" s="289" t="inlineStr">
        <is>
          <t>кроме вт,чт, сб</t>
        </is>
      </c>
      <c r="M99" s="12">
        <f>SUMIFS($E$2:$E$300,$A$2:$A$300,"осень",$I$2:$I$300,I99)</f>
        <v/>
      </c>
      <c r="N99" s="13">
        <f>SUMIFS($E$2:$E$300,$A$2:$A$300,"весна",$I$2:$I$300,I99)</f>
        <v/>
      </c>
      <c r="O99" s="14">
        <f>M99+N99</f>
        <v/>
      </c>
      <c r="P99" s="15">
        <f>O99/$P$1</f>
        <v/>
      </c>
    </row>
    <row r="100" ht="15.75" customHeight="1" s="2">
      <c r="A100" s="8" t="inlineStr">
        <is>
          <t>осень</t>
        </is>
      </c>
      <c r="B100" s="289" t="inlineStr">
        <is>
          <t>Спецглавы информатики</t>
        </is>
      </c>
      <c r="C100" s="289" t="inlineStr">
        <is>
          <t>Консультация</t>
        </is>
      </c>
      <c r="D100" s="289" t="inlineStr">
        <is>
          <t>Т11О-201Б-18</t>
        </is>
      </c>
      <c r="E100" s="284" t="n">
        <v>1</v>
      </c>
      <c r="F100" s="289" t="inlineStr">
        <is>
          <t>08947</t>
        </is>
      </c>
      <c r="G100" s="290" t="n">
        <v>0</v>
      </c>
      <c r="H100" s="289" t="inlineStr">
        <is>
          <t>82026</t>
        </is>
      </c>
      <c r="I100" s="289" t="inlineStr">
        <is>
          <t>Александрова Светлана Сергеевна</t>
        </is>
      </c>
      <c r="J100" s="289" t="inlineStr">
        <is>
          <t>доцент</t>
        </is>
      </c>
      <c r="K100" s="289" t="n"/>
      <c r="L100" s="289" t="inlineStr">
        <is>
          <t>кроме вт,чт, сб</t>
        </is>
      </c>
      <c r="M100" s="12">
        <f>SUMIFS($E$2:$E$300,$A$2:$A$300,"осень",$I$2:$I$300,I100)</f>
        <v/>
      </c>
      <c r="N100" s="13">
        <f>SUMIFS($E$2:$E$300,$A$2:$A$300,"весна",$I$2:$I$300,I100)</f>
        <v/>
      </c>
      <c r="O100" s="14">
        <f>M100+N100</f>
        <v/>
      </c>
      <c r="P100" s="15">
        <f>O100/$P$1</f>
        <v/>
      </c>
    </row>
    <row r="101" ht="15.75" customHeight="1" s="2">
      <c r="A101" s="8" t="inlineStr">
        <is>
          <t>осень</t>
        </is>
      </c>
      <c r="B101" s="289" t="inlineStr">
        <is>
          <t>Спецглавы информатики</t>
        </is>
      </c>
      <c r="C101" s="289" t="inlineStr">
        <is>
          <t>ПЗ</t>
        </is>
      </c>
      <c r="D101" s="289" t="inlineStr">
        <is>
          <t>Т11О-202Б-18</t>
        </is>
      </c>
      <c r="E101" s="284" t="n">
        <v>48</v>
      </c>
      <c r="F101" s="289" t="inlineStr">
        <is>
          <t>08947</t>
        </is>
      </c>
      <c r="G101" s="284" t="n">
        <v>48</v>
      </c>
      <c r="H101" s="289" t="inlineStr">
        <is>
          <t>82026</t>
        </is>
      </c>
      <c r="I101" s="289" t="inlineStr">
        <is>
          <t>Александрова Светлана Сергеевна</t>
        </is>
      </c>
      <c r="J101" s="289" t="inlineStr">
        <is>
          <t>доцент</t>
        </is>
      </c>
      <c r="K101" s="289" t="n"/>
      <c r="L101" s="289" t="inlineStr">
        <is>
          <t>кроме вт,чт, сб</t>
        </is>
      </c>
      <c r="M101" s="12">
        <f>SUMIFS($E$2:$E$300,$A$2:$A$300,"осень",$I$2:$I$300,I101)</f>
        <v/>
      </c>
      <c r="N101" s="13">
        <f>SUMIFS($E$2:$E$300,$A$2:$A$300,"весна",$I$2:$I$300,I101)</f>
        <v/>
      </c>
      <c r="O101" s="14">
        <f>M101+N101</f>
        <v/>
      </c>
      <c r="P101" s="15">
        <f>O101/$P$1</f>
        <v/>
      </c>
    </row>
    <row r="102" ht="15.75" customHeight="1" s="2">
      <c r="A102" s="293" t="inlineStr">
        <is>
          <t>осень</t>
        </is>
      </c>
      <c r="B102" s="289" t="inlineStr">
        <is>
          <t>Спецглавы информатики</t>
        </is>
      </c>
      <c r="C102" s="289" t="inlineStr">
        <is>
          <t>ЛК</t>
        </is>
      </c>
      <c r="D102" s="289" t="inlineStr">
        <is>
          <t>Т11О-201Б-18, Т11О-202Б-18</t>
        </is>
      </c>
      <c r="E102" s="284" t="n">
        <v>24</v>
      </c>
      <c r="F102" s="289" t="inlineStr">
        <is>
          <t>08947</t>
        </is>
      </c>
      <c r="G102" s="284" t="n">
        <v>24</v>
      </c>
      <c r="H102" s="289" t="inlineStr">
        <is>
          <t>82026</t>
        </is>
      </c>
      <c r="I102" s="289" t="inlineStr">
        <is>
          <t>Александрова Светлана Сергеевна</t>
        </is>
      </c>
      <c r="J102" s="289" t="inlineStr">
        <is>
          <t>доцент</t>
        </is>
      </c>
      <c r="K102" s="289" t="n"/>
      <c r="L102" s="289" t="inlineStr">
        <is>
          <t>кроме вт,чт, сб</t>
        </is>
      </c>
      <c r="M102" s="12">
        <f>SUMIFS($E$2:$E$300,$A$2:$A$300,"осень",$I$2:$I$300,I102)</f>
        <v/>
      </c>
      <c r="N102" s="13">
        <f>SUMIFS($E$2:$E$300,$A$2:$A$300,"весна",$I$2:$I$300,I102)</f>
        <v/>
      </c>
      <c r="O102" s="14">
        <f>M102+N102</f>
        <v/>
      </c>
      <c r="P102" s="15">
        <f>O102/$P$1</f>
        <v/>
      </c>
    </row>
    <row r="103" ht="15.75" customHeight="1" s="2">
      <c r="A103" s="8" t="inlineStr">
        <is>
          <t>осень</t>
        </is>
      </c>
      <c r="B103" s="289" t="inlineStr">
        <is>
          <t>Спецглавы информатики</t>
        </is>
      </c>
      <c r="C103" s="289" t="inlineStr">
        <is>
          <t>ПЗ</t>
        </is>
      </c>
      <c r="D103" s="289" t="inlineStr">
        <is>
          <t>Т11О-201Б-18</t>
        </is>
      </c>
      <c r="E103" s="284" t="n">
        <v>48</v>
      </c>
      <c r="F103" s="289" t="inlineStr">
        <is>
          <t>08947</t>
        </is>
      </c>
      <c r="G103" s="284" t="n">
        <v>48</v>
      </c>
      <c r="H103" s="289" t="inlineStr">
        <is>
          <t>82026</t>
        </is>
      </c>
      <c r="I103" s="289" t="inlineStr">
        <is>
          <t>Александрова Светлана Сергеевна</t>
        </is>
      </c>
      <c r="J103" s="289" t="inlineStr">
        <is>
          <t>доцент</t>
        </is>
      </c>
      <c r="K103" s="289" t="n"/>
      <c r="L103" s="289" t="inlineStr">
        <is>
          <t>кроме вт,чт, сб</t>
        </is>
      </c>
      <c r="M103" s="12">
        <f>SUMIFS($E$2:$E$300,$A$2:$A$300,"осень",$I$2:$I$300,I103)</f>
        <v/>
      </c>
      <c r="N103" s="13">
        <f>SUMIFS($E$2:$E$300,$A$2:$A$300,"весна",$I$2:$I$300,I103)</f>
        <v/>
      </c>
      <c r="O103" s="14">
        <f>M103+N103</f>
        <v/>
      </c>
      <c r="P103" s="15">
        <f>O103/$P$1</f>
        <v/>
      </c>
    </row>
    <row r="104" ht="15.75" customHeight="1" s="2">
      <c r="A104" s="8" t="inlineStr">
        <is>
          <t>осень</t>
        </is>
      </c>
      <c r="B104" s="289" t="inlineStr">
        <is>
          <t>Спецглавы информатики</t>
        </is>
      </c>
      <c r="C104" s="289" t="inlineStr">
        <is>
          <t>Зачет с оценкой</t>
        </is>
      </c>
      <c r="D104" s="289" t="inlineStr">
        <is>
          <t>Т11О-202Б-18</t>
        </is>
      </c>
      <c r="E104" s="284" t="n">
        <v>7</v>
      </c>
      <c r="F104" s="289" t="inlineStr">
        <is>
          <t>08947</t>
        </is>
      </c>
      <c r="G104" s="290" t="n">
        <v>0</v>
      </c>
      <c r="H104" s="289" t="inlineStr">
        <is>
          <t>82026</t>
        </is>
      </c>
      <c r="I104" s="289" t="inlineStr">
        <is>
          <t>Александрова Светлана Сергеевна</t>
        </is>
      </c>
      <c r="J104" s="289" t="inlineStr">
        <is>
          <t>доцент</t>
        </is>
      </c>
      <c r="K104" s="289" t="n"/>
      <c r="L104" s="289" t="n"/>
      <c r="M104" s="12">
        <f>SUMIFS($E$2:$E$300,$A$2:$A$300,"осень",$I$2:$I$300,I104)</f>
        <v/>
      </c>
      <c r="N104" s="13">
        <f>SUMIFS($E$2:$E$300,$A$2:$A$300,"весна",$I$2:$I$300,I104)</f>
        <v/>
      </c>
      <c r="O104" s="14">
        <f>M104+N104</f>
        <v/>
      </c>
      <c r="P104" s="15">
        <f>O104/$P$1</f>
        <v/>
      </c>
    </row>
    <row r="105" ht="15.75" customHeight="1" s="2">
      <c r="A105" s="8" t="inlineStr">
        <is>
          <t>осень</t>
        </is>
      </c>
      <c r="B105" s="289" t="inlineStr">
        <is>
          <t>Спецглавы информатики</t>
        </is>
      </c>
      <c r="C105" s="289" t="inlineStr">
        <is>
          <t>Зачет с оценкой</t>
        </is>
      </c>
      <c r="D105" s="289" t="inlineStr">
        <is>
          <t>Т11О-201Б-18</t>
        </is>
      </c>
      <c r="E105" s="284" t="n">
        <v>7</v>
      </c>
      <c r="F105" s="289" t="inlineStr">
        <is>
          <t>08947</t>
        </is>
      </c>
      <c r="G105" s="290" t="n">
        <v>0</v>
      </c>
      <c r="H105" s="289" t="inlineStr">
        <is>
          <t>82026</t>
        </is>
      </c>
      <c r="I105" s="289" t="inlineStr">
        <is>
          <t>Александрова Светлана Сергеевна</t>
        </is>
      </c>
      <c r="J105" s="289" t="inlineStr">
        <is>
          <t>доцент</t>
        </is>
      </c>
      <c r="K105" s="289" t="n"/>
      <c r="L105" s="289" t="n"/>
      <c r="M105" s="12">
        <f>SUMIFS($E$2:$E$300,$A$2:$A$300,"осень",$I$2:$I$300,I105)</f>
        <v/>
      </c>
      <c r="N105" s="13">
        <f>SUMIFS($E$2:$E$300,$A$2:$A$300,"весна",$I$2:$I$300,I105)</f>
        <v/>
      </c>
      <c r="O105" s="14">
        <f>M105+N105</f>
        <v/>
      </c>
      <c r="P105" s="15">
        <f>O105/$P$1</f>
        <v/>
      </c>
    </row>
    <row r="106" ht="15.75" customHeight="1" s="2">
      <c r="A106" s="8" t="inlineStr">
        <is>
          <t>осень</t>
        </is>
      </c>
      <c r="B106" s="289" t="inlineStr">
        <is>
          <t>Теория процессов создания современных материалов и покрытий</t>
        </is>
      </c>
      <c r="C106" s="289" t="inlineStr">
        <is>
          <t>ЛК</t>
        </is>
      </c>
      <c r="D106" s="289" t="inlineStr">
        <is>
          <t>Т1З-202А-18</t>
        </is>
      </c>
      <c r="E106" s="284" t="n">
        <v>24</v>
      </c>
      <c r="F106" s="289" t="inlineStr">
        <is>
          <t>11295</t>
        </is>
      </c>
      <c r="G106" s="284" t="n">
        <v>24</v>
      </c>
      <c r="H106" s="289" t="inlineStr">
        <is>
          <t>82060</t>
        </is>
      </c>
      <c r="I106" s="289" t="inlineStr">
        <is>
          <t>Лозован Александр Александрович</t>
        </is>
      </c>
      <c r="J106" s="289" t="inlineStr">
        <is>
          <t>профессор</t>
        </is>
      </c>
      <c r="K106" s="289" t="n"/>
      <c r="L106" s="289" t="n"/>
      <c r="M106" s="12">
        <f>SUMIFS($E$2:$E$300,$A$2:$A$300,"осень",$I$2:$I$300,I106)</f>
        <v/>
      </c>
      <c r="N106" s="13">
        <f>SUMIFS($E$2:$E$300,$A$2:$A$300,"весна",$I$2:$I$300,I106)</f>
        <v/>
      </c>
      <c r="O106" s="14">
        <f>M106+N106</f>
        <v/>
      </c>
      <c r="P106" s="15">
        <f>O106/$P$1</f>
        <v/>
      </c>
    </row>
    <row r="107" ht="15.75" customHeight="1" s="2">
      <c r="A107" s="8" t="inlineStr">
        <is>
          <t>осень</t>
        </is>
      </c>
      <c r="B107" s="289" t="inlineStr">
        <is>
          <t>Теория процессов создания современных материалов и покрытий</t>
        </is>
      </c>
      <c r="C107" s="289" t="inlineStr">
        <is>
          <t>Зачет с оценкой</t>
        </is>
      </c>
      <c r="D107" s="289" t="inlineStr">
        <is>
          <t>Т11О-204А-18</t>
        </is>
      </c>
      <c r="E107" s="284" t="n">
        <v>1</v>
      </c>
      <c r="F107" s="289" t="inlineStr">
        <is>
          <t>11459</t>
        </is>
      </c>
      <c r="G107" s="290" t="n">
        <v>0</v>
      </c>
      <c r="H107" s="289" t="inlineStr">
        <is>
          <t>82060</t>
        </is>
      </c>
      <c r="I107" s="289" t="inlineStr">
        <is>
          <t>Лозован Александр Александрович</t>
        </is>
      </c>
      <c r="J107" s="289" t="inlineStr">
        <is>
          <t>профессор</t>
        </is>
      </c>
      <c r="K107" s="289" t="n"/>
      <c r="L107" s="289" t="n"/>
      <c r="M107" s="12">
        <f>SUMIFS($E$2:$E$300,$A$2:$A$300,"осень",$I$2:$I$300,I107)</f>
        <v/>
      </c>
      <c r="N107" s="13">
        <f>SUMIFS($E$2:$E$300,$A$2:$A$300,"весна",$I$2:$I$300,I107)</f>
        <v/>
      </c>
      <c r="O107" s="14">
        <f>M107+N107</f>
        <v/>
      </c>
      <c r="P107" s="15">
        <f>O107/$P$1</f>
        <v/>
      </c>
    </row>
    <row r="108" ht="15.75" customHeight="1" s="2">
      <c r="A108" s="8" t="inlineStr">
        <is>
          <t>осень</t>
        </is>
      </c>
      <c r="B108" s="289" t="inlineStr">
        <is>
          <t>Теория процессов создания современных материалов и покрытий</t>
        </is>
      </c>
      <c r="C108" s="289" t="inlineStr">
        <is>
          <t>Зачет с оценкой</t>
        </is>
      </c>
      <c r="D108" s="289" t="inlineStr">
        <is>
          <t>Т11О-207А-18</t>
        </is>
      </c>
      <c r="E108" s="284" t="n">
        <v>1</v>
      </c>
      <c r="F108" s="289" t="inlineStr">
        <is>
          <t>11459</t>
        </is>
      </c>
      <c r="G108" s="290" t="n">
        <v>0</v>
      </c>
      <c r="H108" s="289" t="inlineStr">
        <is>
          <t>82060</t>
        </is>
      </c>
      <c r="I108" s="289" t="inlineStr">
        <is>
          <t>Лозован Александр Александрович</t>
        </is>
      </c>
      <c r="J108" s="289" t="inlineStr">
        <is>
          <t>профессор</t>
        </is>
      </c>
      <c r="K108" s="289" t="n"/>
      <c r="L108" s="289" t="n"/>
      <c r="M108" s="12">
        <f>SUMIFS($E$2:$E$300,$A$2:$A$300,"осень",$I$2:$I$300,I108)</f>
        <v/>
      </c>
      <c r="N108" s="13">
        <f>SUMIFS($E$2:$E$300,$A$2:$A$300,"весна",$I$2:$I$300,I108)</f>
        <v/>
      </c>
      <c r="O108" s="14">
        <f>M108+N108</f>
        <v/>
      </c>
      <c r="P108" s="15">
        <f>O108/$P$1</f>
        <v/>
      </c>
    </row>
    <row r="109" ht="15.75" customHeight="1" s="2">
      <c r="A109" s="8" t="inlineStr">
        <is>
          <t>осень</t>
        </is>
      </c>
      <c r="B109" s="289" t="inlineStr">
        <is>
          <t>Теория процессов создания современных материалов и покрытий</t>
        </is>
      </c>
      <c r="C109" s="289" t="inlineStr">
        <is>
          <t>Консультация</t>
        </is>
      </c>
      <c r="D109" s="289" t="inlineStr">
        <is>
          <t>Т1З-202А-18</t>
        </is>
      </c>
      <c r="E109" s="284" t="n">
        <v>2</v>
      </c>
      <c r="F109" s="289" t="inlineStr">
        <is>
          <t>11295</t>
        </is>
      </c>
      <c r="G109" s="290" t="n">
        <v>0</v>
      </c>
      <c r="H109" s="289" t="inlineStr">
        <is>
          <t>82060</t>
        </is>
      </c>
      <c r="I109" s="289" t="inlineStr">
        <is>
          <t>Лозован Александр Александрович</t>
        </is>
      </c>
      <c r="J109" s="289" t="inlineStr">
        <is>
          <t>профессор</t>
        </is>
      </c>
      <c r="K109" s="289" t="n"/>
      <c r="L109" s="289" t="n"/>
      <c r="M109" s="12">
        <f>SUMIFS($E$2:$E$300,$A$2:$A$300,"осень",$I$2:$I$300,I109)</f>
        <v/>
      </c>
      <c r="N109" s="13">
        <f>SUMIFS($E$2:$E$300,$A$2:$A$300,"весна",$I$2:$I$300,I109)</f>
        <v/>
      </c>
      <c r="O109" s="14">
        <f>M109+N109</f>
        <v/>
      </c>
      <c r="P109" s="15">
        <f>O109/$P$1</f>
        <v/>
      </c>
    </row>
    <row r="110" ht="15.75" customHeight="1" s="2">
      <c r="A110" s="8" t="inlineStr">
        <is>
          <t>осень</t>
        </is>
      </c>
      <c r="B110" s="289" t="inlineStr">
        <is>
          <t>Теория процессов создания современных материалов и покрытий</t>
        </is>
      </c>
      <c r="C110" s="289" t="inlineStr">
        <is>
          <t>Консультация</t>
        </is>
      </c>
      <c r="D110" s="289" t="inlineStr">
        <is>
          <t>Т11О-204А-18</t>
        </is>
      </c>
      <c r="E110" s="284" t="n">
        <v>1</v>
      </c>
      <c r="F110" s="289" t="inlineStr">
        <is>
          <t>11459</t>
        </is>
      </c>
      <c r="G110" s="290" t="n">
        <v>0</v>
      </c>
      <c r="H110" s="289" t="inlineStr">
        <is>
          <t>82060</t>
        </is>
      </c>
      <c r="I110" s="289" t="inlineStr">
        <is>
          <t>Лозован Александр Александрович</t>
        </is>
      </c>
      <c r="J110" s="289" t="inlineStr">
        <is>
          <t>профессор</t>
        </is>
      </c>
      <c r="K110" s="289" t="n"/>
      <c r="L110" s="289" t="n"/>
      <c r="M110" s="12">
        <f>SUMIFS($E$2:$E$300,$A$2:$A$300,"осень",$I$2:$I$300,I110)</f>
        <v/>
      </c>
      <c r="N110" s="13">
        <f>SUMIFS($E$2:$E$300,$A$2:$A$300,"весна",$I$2:$I$300,I110)</f>
        <v/>
      </c>
      <c r="O110" s="14">
        <f>M110+N110</f>
        <v/>
      </c>
      <c r="P110" s="15">
        <f>O110/$P$1</f>
        <v/>
      </c>
    </row>
    <row r="111" ht="15.75" customHeight="1" s="2">
      <c r="A111" s="8" t="inlineStr">
        <is>
          <t>осень</t>
        </is>
      </c>
      <c r="B111" s="289" t="inlineStr">
        <is>
          <t>Теория процессов создания современных материалов и покрытий</t>
        </is>
      </c>
      <c r="C111" s="289" t="inlineStr">
        <is>
          <t>Консультация</t>
        </is>
      </c>
      <c r="D111" s="289" t="inlineStr">
        <is>
          <t>Т11О-207А-18</t>
        </is>
      </c>
      <c r="E111" s="284" t="n">
        <v>1</v>
      </c>
      <c r="F111" s="289" t="inlineStr">
        <is>
          <t>11459</t>
        </is>
      </c>
      <c r="G111" s="290" t="n">
        <v>0</v>
      </c>
      <c r="H111" s="289" t="inlineStr">
        <is>
          <t>82060</t>
        </is>
      </c>
      <c r="I111" s="289" t="inlineStr">
        <is>
          <t>Лозован Александр Александрович</t>
        </is>
      </c>
      <c r="J111" s="289" t="inlineStr">
        <is>
          <t>профессор</t>
        </is>
      </c>
      <c r="K111" s="289" t="n"/>
      <c r="L111" s="289" t="n"/>
      <c r="M111" s="12">
        <f>SUMIFS($E$2:$E$300,$A$2:$A$300,"осень",$I$2:$I$300,I111)</f>
        <v/>
      </c>
      <c r="N111" s="13">
        <f>SUMIFS($E$2:$E$300,$A$2:$A$300,"весна",$I$2:$I$300,I111)</f>
        <v/>
      </c>
      <c r="O111" s="14">
        <f>M111+N111</f>
        <v/>
      </c>
      <c r="P111" s="15">
        <f>O111/$P$1</f>
        <v/>
      </c>
    </row>
    <row r="112" ht="15.75" customHeight="1" s="2">
      <c r="A112" s="8" t="inlineStr">
        <is>
          <t>осень</t>
        </is>
      </c>
      <c r="B112" s="289" t="inlineStr">
        <is>
          <t>Теория процессов создания современных материалов и покрытий</t>
        </is>
      </c>
      <c r="C112" s="289" t="inlineStr">
        <is>
          <t>ПЗ</t>
        </is>
      </c>
      <c r="D112" s="289" t="inlineStr">
        <is>
          <t>Т11О-204А-18, Т11О-207А-18</t>
        </is>
      </c>
      <c r="E112" s="284" t="n">
        <v>8</v>
      </c>
      <c r="F112" s="289" t="inlineStr">
        <is>
          <t>11459</t>
        </is>
      </c>
      <c r="G112" s="284" t="n">
        <v>8</v>
      </c>
      <c r="H112" s="289" t="inlineStr">
        <is>
          <t>82060</t>
        </is>
      </c>
      <c r="I112" s="289" t="inlineStr">
        <is>
          <t>Лозован Александр Александрович</t>
        </is>
      </c>
      <c r="J112" s="289" t="inlineStr">
        <is>
          <t>профессор</t>
        </is>
      </c>
      <c r="K112" s="289" t="n"/>
      <c r="L112" s="289" t="n"/>
      <c r="M112" s="12">
        <f>SUMIFS($E$2:$E$300,$A$2:$A$300,"осень",$I$2:$I$300,I112)</f>
        <v/>
      </c>
      <c r="N112" s="13">
        <f>SUMIFS($E$2:$E$300,$A$2:$A$300,"весна",$I$2:$I$300,I112)</f>
        <v/>
      </c>
      <c r="O112" s="14">
        <f>M112+N112</f>
        <v/>
      </c>
      <c r="P112" s="15">
        <f>O112/$P$1</f>
        <v/>
      </c>
    </row>
    <row r="113" ht="15.75" customHeight="1" s="2">
      <c r="A113" s="8" t="inlineStr">
        <is>
          <t>осень</t>
        </is>
      </c>
      <c r="B113" s="289" t="inlineStr">
        <is>
          <t>Теория процессов создания современных материалов и покрытий</t>
        </is>
      </c>
      <c r="C113" s="289" t="inlineStr">
        <is>
          <t>ПЗ</t>
        </is>
      </c>
      <c r="D113" s="289" t="inlineStr">
        <is>
          <t>Т1З-202А-18</t>
        </is>
      </c>
      <c r="E113" s="284" t="n">
        <v>8</v>
      </c>
      <c r="F113" s="289" t="inlineStr">
        <is>
          <t>11295</t>
        </is>
      </c>
      <c r="G113" s="284" t="n">
        <v>8</v>
      </c>
      <c r="H113" s="289" t="inlineStr">
        <is>
          <t>82060</t>
        </is>
      </c>
      <c r="I113" s="289" t="inlineStr">
        <is>
          <t>Лозован Александр Александрович</t>
        </is>
      </c>
      <c r="J113" s="289" t="inlineStr">
        <is>
          <t>профессор</t>
        </is>
      </c>
      <c r="K113" s="289" t="n"/>
      <c r="L113" s="289" t="n"/>
      <c r="M113" s="12">
        <f>SUMIFS($E$2:$E$300,$A$2:$A$300,"осень",$I$2:$I$300,I113)</f>
        <v/>
      </c>
      <c r="N113" s="13">
        <f>SUMIFS($E$2:$E$300,$A$2:$A$300,"весна",$I$2:$I$300,I113)</f>
        <v/>
      </c>
      <c r="O113" s="14">
        <f>M113+N113</f>
        <v/>
      </c>
      <c r="P113" s="15">
        <f>O113/$P$1</f>
        <v/>
      </c>
    </row>
    <row r="114" ht="15.75" customHeight="1" s="2">
      <c r="A114" s="8" t="inlineStr">
        <is>
          <t>осень</t>
        </is>
      </c>
      <c r="B114" s="289" t="inlineStr">
        <is>
          <t>Теория процессов создания современных материалов и покрытий</t>
        </is>
      </c>
      <c r="C114" s="289" t="inlineStr">
        <is>
          <t>ЛК</t>
        </is>
      </c>
      <c r="D114" s="289" t="inlineStr">
        <is>
          <t>Т11О-204А-18, Т11О-207А-18</t>
        </is>
      </c>
      <c r="E114" s="284" t="n">
        <v>24</v>
      </c>
      <c r="F114" s="289" t="inlineStr">
        <is>
          <t>11459</t>
        </is>
      </c>
      <c r="G114" s="284" t="n">
        <v>24</v>
      </c>
      <c r="H114" s="289" t="inlineStr">
        <is>
          <t>82060</t>
        </is>
      </c>
      <c r="I114" s="289" t="inlineStr">
        <is>
          <t>Лозован Александр Александрович</t>
        </is>
      </c>
      <c r="J114" s="289" t="inlineStr">
        <is>
          <t>профессор</t>
        </is>
      </c>
      <c r="K114" s="289" t="n"/>
      <c r="L114" s="289" t="n"/>
      <c r="M114" s="12">
        <f>SUMIFS($E$2:$E$300,$A$2:$A$300,"осень",$I$2:$I$300,I114)</f>
        <v/>
      </c>
      <c r="N114" s="13">
        <f>SUMIFS($E$2:$E$300,$A$2:$A$300,"весна",$I$2:$I$300,I114)</f>
        <v/>
      </c>
      <c r="O114" s="14">
        <f>M114+N114</f>
        <v/>
      </c>
      <c r="P114" s="15">
        <f>O114/$P$1</f>
        <v/>
      </c>
    </row>
    <row r="115" ht="15.75" customHeight="1" s="2">
      <c r="A115" s="8" t="inlineStr">
        <is>
          <t>осень</t>
        </is>
      </c>
      <c r="B115" s="289" t="inlineStr">
        <is>
          <t>Теория, технология и оборудование для создания покрытий</t>
        </is>
      </c>
      <c r="C115" s="289" t="inlineStr">
        <is>
          <t>КСР</t>
        </is>
      </c>
      <c r="D115" s="289" t="inlineStr">
        <is>
          <t>Т1О-404Б-16</t>
        </is>
      </c>
      <c r="E115" s="284" t="n">
        <v>6</v>
      </c>
      <c r="F115" s="289" t="inlineStr">
        <is>
          <t>04869</t>
        </is>
      </c>
      <c r="G115" s="284" t="n">
        <v>6</v>
      </c>
      <c r="H115" s="289" t="inlineStr">
        <is>
          <t>93685</t>
        </is>
      </c>
      <c r="I115" s="289" t="inlineStr">
        <is>
          <t>Банишев Александр Федорович</t>
        </is>
      </c>
      <c r="J115" s="289" t="inlineStr">
        <is>
          <t>профессор</t>
        </is>
      </c>
      <c r="K115" s="289" t="n"/>
      <c r="L115" s="289" t="inlineStr">
        <is>
          <t>только понедельник!</t>
        </is>
      </c>
      <c r="M115" s="12">
        <f>SUMIFS($E$2:$E$300,$A$2:$A$300,"осень",$I$2:$I$300,I115)</f>
        <v/>
      </c>
      <c r="N115" s="13">
        <f>SUMIFS($E$2:$E$300,$A$2:$A$300,"весна",$I$2:$I$300,I115)</f>
        <v/>
      </c>
      <c r="O115" s="14">
        <f>M115+N115</f>
        <v/>
      </c>
      <c r="P115" s="15">
        <f>O115/$P$1</f>
        <v/>
      </c>
    </row>
    <row r="116" ht="15.75" customHeight="1" s="2">
      <c r="A116" s="8" t="inlineStr">
        <is>
          <t>осень</t>
        </is>
      </c>
      <c r="B116" s="289" t="inlineStr">
        <is>
          <t>Теория, технология и оборудование для создания покрытий</t>
        </is>
      </c>
      <c r="C116" s="289" t="inlineStr">
        <is>
          <t>Консультация</t>
        </is>
      </c>
      <c r="D116" s="289" t="inlineStr">
        <is>
          <t>Т1О-404Б-16</t>
        </is>
      </c>
      <c r="E116" s="284" t="n">
        <v>1</v>
      </c>
      <c r="F116" s="289" t="inlineStr">
        <is>
          <t>04869</t>
        </is>
      </c>
      <c r="G116" s="290" t="n">
        <v>0</v>
      </c>
      <c r="H116" s="289" t="inlineStr">
        <is>
          <t>93685</t>
        </is>
      </c>
      <c r="I116" s="289" t="inlineStr">
        <is>
          <t>Банишев Александр Федорович</t>
        </is>
      </c>
      <c r="J116" s="289" t="inlineStr">
        <is>
          <t>профессор</t>
        </is>
      </c>
      <c r="K116" s="289" t="n"/>
      <c r="L116" s="289" t="inlineStr">
        <is>
          <t>только понедельник!</t>
        </is>
      </c>
      <c r="M116" s="12">
        <f>SUMIFS($E$2:$E$300,$A$2:$A$300,"осень",$I$2:$I$300,I116)</f>
        <v/>
      </c>
      <c r="N116" s="13">
        <f>SUMIFS($E$2:$E$300,$A$2:$A$300,"весна",$I$2:$I$300,I116)</f>
        <v/>
      </c>
      <c r="O116" s="14">
        <f>M116+N116</f>
        <v/>
      </c>
      <c r="P116" s="15">
        <f>O116/$P$1</f>
        <v/>
      </c>
    </row>
    <row r="117" ht="15.75" customHeight="1" s="2">
      <c r="A117" s="8" t="inlineStr">
        <is>
          <t>осень</t>
        </is>
      </c>
      <c r="B117" s="289" t="inlineStr">
        <is>
          <t>Теория, технология и оборудование для создания покрытий</t>
        </is>
      </c>
      <c r="C117" s="289" t="inlineStr">
        <is>
          <t>ЛР</t>
        </is>
      </c>
      <c r="D117" s="289" t="inlineStr">
        <is>
          <t>Т1О-404Б-16</t>
        </is>
      </c>
      <c r="E117" s="284" t="n">
        <v>12</v>
      </c>
      <c r="F117" s="289" t="inlineStr">
        <is>
          <t>04869</t>
        </is>
      </c>
      <c r="G117" s="284" t="n">
        <v>12</v>
      </c>
      <c r="H117" s="289" t="inlineStr">
        <is>
          <t>82060</t>
        </is>
      </c>
      <c r="I117" s="289" t="inlineStr">
        <is>
          <t>Лозован Александр Александрович</t>
        </is>
      </c>
      <c r="J117" s="289" t="inlineStr">
        <is>
          <t>профессор</t>
        </is>
      </c>
      <c r="K117" s="289" t="n"/>
      <c r="L117" s="289" t="n"/>
      <c r="M117" s="12">
        <f>SUMIFS($E$2:$E$300,$A$2:$A$300,"осень",$I$2:$I$300,I117)</f>
        <v/>
      </c>
      <c r="N117" s="13">
        <f>SUMIFS($E$2:$E$300,$A$2:$A$300,"весна",$I$2:$I$300,I117)</f>
        <v/>
      </c>
      <c r="O117" s="14">
        <f>M117+N117</f>
        <v/>
      </c>
      <c r="P117" s="15">
        <f>O117/$P$1</f>
        <v/>
      </c>
    </row>
    <row r="118" ht="15.75" customHeight="1" s="2">
      <c r="A118" s="8" t="inlineStr">
        <is>
          <t>осень</t>
        </is>
      </c>
      <c r="B118" s="289" t="inlineStr">
        <is>
          <t>Теория, технология и оборудование для создания покрытий</t>
        </is>
      </c>
      <c r="C118" s="289" t="inlineStr">
        <is>
          <t>ЛК</t>
        </is>
      </c>
      <c r="D118" s="289" t="inlineStr">
        <is>
          <t>Т1О-404Б-16</t>
        </is>
      </c>
      <c r="E118" s="284" t="n">
        <v>20</v>
      </c>
      <c r="F118" s="289" t="inlineStr">
        <is>
          <t>04869</t>
        </is>
      </c>
      <c r="G118" s="284" t="n">
        <v>20</v>
      </c>
      <c r="H118" s="289" t="inlineStr">
        <is>
          <t>93685</t>
        </is>
      </c>
      <c r="I118" s="289" t="inlineStr">
        <is>
          <t>Банишев Александр Федорович</t>
        </is>
      </c>
      <c r="J118" s="289" t="inlineStr">
        <is>
          <t>профессор</t>
        </is>
      </c>
      <c r="K118" s="289" t="n"/>
      <c r="L118" s="289" t="inlineStr">
        <is>
          <t>только понедельник!</t>
        </is>
      </c>
      <c r="M118" s="12">
        <f>SUMIFS($E$2:$E$300,$A$2:$A$300,"осень",$I$2:$I$300,I118)</f>
        <v/>
      </c>
      <c r="N118" s="13">
        <f>SUMIFS($E$2:$E$300,$A$2:$A$300,"весна",$I$2:$I$300,I118)</f>
        <v/>
      </c>
      <c r="O118" s="14">
        <f>M118+N118</f>
        <v/>
      </c>
      <c r="P118" s="15">
        <f>O118/$P$1</f>
        <v/>
      </c>
    </row>
    <row r="119" ht="15.75" customHeight="1" s="2">
      <c r="A119" s="8" t="inlineStr">
        <is>
          <t>осень</t>
        </is>
      </c>
      <c r="B119" s="289" t="inlineStr">
        <is>
          <t>Теория, технология и оборудование для создания покрытий</t>
        </is>
      </c>
      <c r="C119" s="289" t="inlineStr">
        <is>
          <t>Зачет с оценкой</t>
        </is>
      </c>
      <c r="D119" s="289" t="inlineStr">
        <is>
          <t>Т1О-404Б-16</t>
        </is>
      </c>
      <c r="E119" s="284" t="n">
        <v>5</v>
      </c>
      <c r="F119" s="289" t="inlineStr">
        <is>
          <t>04869</t>
        </is>
      </c>
      <c r="G119" s="290" t="n">
        <v>0</v>
      </c>
      <c r="H119" s="289" t="inlineStr">
        <is>
          <t>93685</t>
        </is>
      </c>
      <c r="I119" s="289" t="inlineStr">
        <is>
          <t>Банишев Александр Федорович</t>
        </is>
      </c>
      <c r="J119" s="289" t="inlineStr">
        <is>
          <t>профессор</t>
        </is>
      </c>
      <c r="K119" s="289" t="n"/>
      <c r="L119" s="289" t="inlineStr">
        <is>
          <t>только понедельник!</t>
        </is>
      </c>
      <c r="M119" s="12">
        <f>SUMIFS($E$2:$E$300,$A$2:$A$300,"осень",$I$2:$I$300,I119)</f>
        <v/>
      </c>
      <c r="N119" s="13">
        <f>SUMIFS($E$2:$E$300,$A$2:$A$300,"весна",$I$2:$I$300,I119)</f>
        <v/>
      </c>
      <c r="O119" s="14">
        <f>M119+N119</f>
        <v/>
      </c>
      <c r="P119" s="15">
        <f>O119/$P$1</f>
        <v/>
      </c>
    </row>
    <row r="120" ht="15.75" customHeight="1" s="2">
      <c r="A120" s="8" t="inlineStr">
        <is>
          <t>осень</t>
        </is>
      </c>
      <c r="B120" s="289" t="inlineStr">
        <is>
          <t>Теория, технология и оборудование для создания покрытий</t>
        </is>
      </c>
      <c r="C120" s="289" t="inlineStr">
        <is>
          <t>ПЗ</t>
        </is>
      </c>
      <c r="D120" s="289" t="inlineStr">
        <is>
          <t>Т1О-404Б-16</t>
        </is>
      </c>
      <c r="E120" s="284" t="n">
        <v>12</v>
      </c>
      <c r="F120" s="289" t="inlineStr">
        <is>
          <t>04869</t>
        </is>
      </c>
      <c r="G120" s="284" t="n">
        <v>12</v>
      </c>
      <c r="H120" s="289" t="inlineStr">
        <is>
          <t>93685</t>
        </is>
      </c>
      <c r="I120" s="289" t="inlineStr">
        <is>
          <t>Банишев Александр Федорович</t>
        </is>
      </c>
      <c r="J120" s="289" t="inlineStr">
        <is>
          <t>профессор</t>
        </is>
      </c>
      <c r="K120" s="289" t="n"/>
      <c r="L120" s="289" t="n"/>
      <c r="M120" s="12">
        <f>SUMIFS($E$2:$E$300,$A$2:$A$300,"осень",$I$2:$I$300,I120)</f>
        <v/>
      </c>
      <c r="N120" s="13">
        <f>SUMIFS($E$2:$E$300,$A$2:$A$300,"весна",$I$2:$I$300,I120)</f>
        <v/>
      </c>
      <c r="O120" s="14">
        <f>M120+N120</f>
        <v/>
      </c>
      <c r="P120" s="15">
        <f>O120/$P$1</f>
        <v/>
      </c>
    </row>
    <row r="121" ht="15.75" customHeight="1" s="2">
      <c r="A121" s="8" t="inlineStr">
        <is>
          <t>осень</t>
        </is>
      </c>
      <c r="B121" s="289" t="inlineStr">
        <is>
          <t>Теория, технология и оборудование нанесения покрытий</t>
        </is>
      </c>
      <c r="C121" s="289" t="inlineStr">
        <is>
          <t>Зачет</t>
        </is>
      </c>
      <c r="D121" s="289" t="inlineStr">
        <is>
          <t>Т11О-103М-19</t>
        </is>
      </c>
      <c r="E121" s="284" t="n">
        <v>3</v>
      </c>
      <c r="F121" s="289" t="inlineStr">
        <is>
          <t>06203</t>
        </is>
      </c>
      <c r="G121" s="290" t="n">
        <v>0</v>
      </c>
      <c r="H121" s="289" t="inlineStr">
        <is>
          <t>93685</t>
        </is>
      </c>
      <c r="I121" s="289" t="inlineStr">
        <is>
          <t>Банишев Александр Федорович</t>
        </is>
      </c>
      <c r="J121" s="289" t="inlineStr">
        <is>
          <t>профессор</t>
        </is>
      </c>
      <c r="K121" s="289" t="n"/>
      <c r="L121" s="289" t="inlineStr">
        <is>
          <t>только понедельник!</t>
        </is>
      </c>
      <c r="M121" s="12">
        <f>SUMIFS($E$2:$E$300,$A$2:$A$300,"осень",$I$2:$I$300,I121)</f>
        <v/>
      </c>
      <c r="N121" s="13">
        <f>SUMIFS($E$2:$E$300,$A$2:$A$300,"весна",$I$2:$I$300,I121)</f>
        <v/>
      </c>
      <c r="O121" s="14">
        <f>M121+N121</f>
        <v/>
      </c>
      <c r="P121" s="15">
        <f>O121/$P$1</f>
        <v/>
      </c>
    </row>
    <row r="122" ht="15.75" customHeight="1" s="2">
      <c r="A122" s="8" t="inlineStr">
        <is>
          <t>осень</t>
        </is>
      </c>
      <c r="B122" s="289" t="inlineStr">
        <is>
          <t>Теория, технология и оборудование нанесения покрытий</t>
        </is>
      </c>
      <c r="C122" s="289" t="inlineStr">
        <is>
          <t>ПЗ</t>
        </is>
      </c>
      <c r="D122" s="289" t="inlineStr">
        <is>
          <t>Т11О-103М-19</t>
        </is>
      </c>
      <c r="E122" s="284" t="n">
        <v>22</v>
      </c>
      <c r="F122" s="289" t="inlineStr">
        <is>
          <t>06203</t>
        </is>
      </c>
      <c r="G122" s="284" t="n">
        <v>22</v>
      </c>
      <c r="H122" s="289" t="inlineStr">
        <is>
          <t>93685</t>
        </is>
      </c>
      <c r="I122" s="289" t="inlineStr">
        <is>
          <t>Банишев Александр Федорович</t>
        </is>
      </c>
      <c r="J122" s="289" t="inlineStr">
        <is>
          <t>профессор</t>
        </is>
      </c>
      <c r="K122" s="289" t="n"/>
      <c r="L122" s="289" t="inlineStr">
        <is>
          <t>только понедельник!</t>
        </is>
      </c>
      <c r="M122" s="12">
        <f>SUMIFS($E$2:$E$300,$A$2:$A$300,"осень",$I$2:$I$300,I122)</f>
        <v/>
      </c>
      <c r="N122" s="13">
        <f>SUMIFS($E$2:$E$300,$A$2:$A$300,"весна",$I$2:$I$300,I122)</f>
        <v/>
      </c>
      <c r="O122" s="14">
        <f>M122+N122</f>
        <v/>
      </c>
      <c r="P122" s="15">
        <f>O122/$P$1</f>
        <v/>
      </c>
    </row>
    <row r="123" ht="15.75" customHeight="1" s="2">
      <c r="A123" s="8" t="inlineStr">
        <is>
          <t>осень</t>
        </is>
      </c>
      <c r="B123" s="289" t="inlineStr">
        <is>
          <t>Теория, технология и оборудование нанесения покрытий</t>
        </is>
      </c>
      <c r="C123" s="289" t="inlineStr">
        <is>
          <t>ЛК</t>
        </is>
      </c>
      <c r="D123" s="289" t="inlineStr">
        <is>
          <t>Т11О-103М-19</t>
        </is>
      </c>
      <c r="E123" s="284" t="n">
        <v>8</v>
      </c>
      <c r="F123" s="289" t="inlineStr">
        <is>
          <t>06203</t>
        </is>
      </c>
      <c r="G123" s="284" t="n">
        <v>8</v>
      </c>
      <c r="H123" s="289" t="inlineStr">
        <is>
          <t>93685</t>
        </is>
      </c>
      <c r="I123" s="289" t="inlineStr">
        <is>
          <t>Банишев Александр Федорович</t>
        </is>
      </c>
      <c r="J123" s="289" t="inlineStr">
        <is>
          <t>профессор</t>
        </is>
      </c>
      <c r="K123" s="289" t="n"/>
      <c r="L123" s="289" t="inlineStr">
        <is>
          <t>только понедельник!</t>
        </is>
      </c>
      <c r="M123" s="12">
        <f>SUMIFS($E$2:$E$300,$A$2:$A$300,"осень",$I$2:$I$300,I123)</f>
        <v/>
      </c>
      <c r="N123" s="13">
        <f>SUMIFS($E$2:$E$300,$A$2:$A$300,"весна",$I$2:$I$300,I123)</f>
        <v/>
      </c>
      <c r="O123" s="14">
        <f>M123+N123</f>
        <v/>
      </c>
      <c r="P123" s="15">
        <f>O123/$P$1</f>
        <v/>
      </c>
    </row>
    <row r="124" ht="15.75" customHeight="1" s="2">
      <c r="A124" s="8" t="inlineStr">
        <is>
          <t>осень</t>
        </is>
      </c>
      <c r="B124" s="289" t="inlineStr">
        <is>
          <t>Теория, технология и оборудование нанесения покрытий</t>
        </is>
      </c>
      <c r="C124" s="289" t="inlineStr">
        <is>
          <t>КР</t>
        </is>
      </c>
      <c r="D124" s="289" t="inlineStr">
        <is>
          <t>Т11О-103М-19</t>
        </is>
      </c>
      <c r="E124" s="284" t="n">
        <v>24</v>
      </c>
      <c r="F124" s="289" t="inlineStr">
        <is>
          <t>06203</t>
        </is>
      </c>
      <c r="G124" s="290" t="n">
        <v>0</v>
      </c>
      <c r="H124" s="289" t="inlineStr">
        <is>
          <t>93685</t>
        </is>
      </c>
      <c r="I124" s="289" t="inlineStr">
        <is>
          <t>Банишев Александр Федорович</t>
        </is>
      </c>
      <c r="J124" s="289" t="inlineStr">
        <is>
          <t>профессор</t>
        </is>
      </c>
      <c r="K124" s="289" t="n"/>
      <c r="L124" s="289" t="inlineStr">
        <is>
          <t>только понедельник!</t>
        </is>
      </c>
      <c r="M124" s="12">
        <f>SUMIFS($E$2:$E$300,$A$2:$A$300,"осень",$I$2:$I$300,I124)</f>
        <v/>
      </c>
      <c r="N124" s="13">
        <f>SUMIFS($E$2:$E$300,$A$2:$A$300,"весна",$I$2:$I$300,I124)</f>
        <v/>
      </c>
      <c r="O124" s="14">
        <f>M124+N124</f>
        <v/>
      </c>
      <c r="P124" s="15">
        <f>O124/$P$1</f>
        <v/>
      </c>
    </row>
    <row r="125" ht="15.75" customHeight="1" s="2">
      <c r="A125" s="8" t="inlineStr">
        <is>
          <t>осень</t>
        </is>
      </c>
      <c r="B125" s="289" t="inlineStr">
        <is>
          <t>Теплотехника и основы теплопередачи</t>
        </is>
      </c>
      <c r="C125" s="289" t="inlineStr">
        <is>
          <t>ЛК</t>
        </is>
      </c>
      <c r="D125" s="289" t="inlineStr">
        <is>
          <t>Т1В-312Б-17</t>
        </is>
      </c>
      <c r="E125" s="284" t="n">
        <v>18</v>
      </c>
      <c r="F125" s="289" t="inlineStr">
        <is>
          <t>08769</t>
        </is>
      </c>
      <c r="G125" s="284" t="n"/>
      <c r="H125" s="289" t="inlineStr">
        <is>
          <t>94222</t>
        </is>
      </c>
      <c r="I125" s="289" t="inlineStr">
        <is>
          <t>Кубатина Екатерина Павловна</t>
        </is>
      </c>
      <c r="J125" s="289" t="inlineStr">
        <is>
          <t>ассистент</t>
        </is>
      </c>
      <c r="K125" s="291" t="inlineStr">
        <is>
          <t>не заводить</t>
        </is>
      </c>
      <c r="L125" s="289" t="inlineStr">
        <is>
          <t>компенсировано</t>
        </is>
      </c>
      <c r="M125" s="12">
        <f>SUMIFS($E$2:$E$300,$A$2:$A$300,"осень",$I$2:$I$300,I125)</f>
        <v/>
      </c>
      <c r="N125" s="13">
        <f>SUMIFS($E$2:$E$300,$A$2:$A$300,"весна",$I$2:$I$300,I125)</f>
        <v/>
      </c>
      <c r="O125" s="14">
        <f>M125+N125</f>
        <v/>
      </c>
      <c r="P125" s="15">
        <f>O125/$P$1</f>
        <v/>
      </c>
    </row>
    <row r="126" ht="15.75" customHeight="1" s="2">
      <c r="A126" s="8" t="inlineStr">
        <is>
          <t>осень</t>
        </is>
      </c>
      <c r="B126" s="289" t="inlineStr">
        <is>
          <t>Теплотехника и основы теплопередачи</t>
        </is>
      </c>
      <c r="C126" s="292" t="inlineStr">
        <is>
          <t>ЛК</t>
        </is>
      </c>
      <c r="D126" s="289" t="inlineStr">
        <is>
          <t>Т1В-312Б-17</t>
        </is>
      </c>
      <c r="E126" s="284" t="n">
        <v>-18</v>
      </c>
      <c r="F126" s="289" t="inlineStr">
        <is>
          <t>08769</t>
        </is>
      </c>
      <c r="G126" s="284" t="n">
        <v>18</v>
      </c>
      <c r="H126" s="289" t="inlineStr">
        <is>
          <t>82026</t>
        </is>
      </c>
      <c r="I126" s="289" t="inlineStr">
        <is>
          <t>Александрова Светлана Сергеевна</t>
        </is>
      </c>
      <c r="J126" s="289" t="inlineStr">
        <is>
          <t>доцент</t>
        </is>
      </c>
      <c r="K126" s="291" t="inlineStr">
        <is>
          <t>не заводить</t>
        </is>
      </c>
      <c r="L126" s="289" t="n"/>
      <c r="M126" s="12">
        <f>SUMIFS($E$2:$E$300,$A$2:$A$300,"осень",$I$2:$I$300,I126)</f>
        <v/>
      </c>
      <c r="N126" s="13">
        <f>SUMIFS($E$2:$E$300,$A$2:$A$300,"весна",$I$2:$I$300,I126)</f>
        <v/>
      </c>
      <c r="O126" s="14">
        <f>M126+N126</f>
        <v/>
      </c>
      <c r="P126" s="15">
        <f>O126/$P$1</f>
        <v/>
      </c>
    </row>
    <row r="127" ht="15.75" customHeight="1" s="2">
      <c r="A127" s="8" t="inlineStr">
        <is>
          <t>осень</t>
        </is>
      </c>
      <c r="B127" s="289" t="inlineStr">
        <is>
          <t>Теплотехника и основы теплопередачи</t>
        </is>
      </c>
      <c r="C127" s="292" t="inlineStr">
        <is>
          <t>ЛК</t>
        </is>
      </c>
      <c r="D127" s="289" t="inlineStr">
        <is>
          <t>Т1В-312Б-17</t>
        </is>
      </c>
      <c r="E127" s="284" t="n">
        <v>18</v>
      </c>
      <c r="F127" s="289" t="inlineStr">
        <is>
          <t>08769</t>
        </is>
      </c>
      <c r="G127" s="284" t="n">
        <v>18</v>
      </c>
      <c r="H127" s="289" t="inlineStr">
        <is>
          <t>82026</t>
        </is>
      </c>
      <c r="I127" s="289" t="inlineStr">
        <is>
          <t>Александрова Светлана Сергеевна</t>
        </is>
      </c>
      <c r="J127" s="289" t="inlineStr">
        <is>
          <t>доцент</t>
        </is>
      </c>
      <c r="L127" s="289" t="inlineStr">
        <is>
          <t>Кубатина Екатерина Павловна</t>
        </is>
      </c>
      <c r="M127" s="12">
        <f>SUMIFS($E$2:$E$300,$A$2:$A$300,"осень",$I$2:$I$300,I127)</f>
        <v/>
      </c>
      <c r="N127" s="13">
        <f>SUMIFS($E$2:$E$300,$A$2:$A$300,"весна",$I$2:$I$300,I127)</f>
        <v/>
      </c>
      <c r="O127" s="14">
        <f>M127+N127</f>
        <v/>
      </c>
      <c r="P127" s="15">
        <f>O127/$P$1</f>
        <v/>
      </c>
    </row>
    <row r="128" ht="15.75" customHeight="1" s="2">
      <c r="A128" s="8" t="inlineStr">
        <is>
          <t>осень</t>
        </is>
      </c>
      <c r="B128" s="289" t="inlineStr">
        <is>
          <t>Теплотехника и основы теплопередачи</t>
        </is>
      </c>
      <c r="C128" s="289" t="inlineStr">
        <is>
          <t>Консультация</t>
        </is>
      </c>
      <c r="D128" s="289" t="inlineStr">
        <is>
          <t>Т1В-312Б-17</t>
        </is>
      </c>
      <c r="E128" s="284" t="n">
        <v>4</v>
      </c>
      <c r="F128" s="289" t="inlineStr">
        <is>
          <t>08769</t>
        </is>
      </c>
      <c r="G128" s="290" t="n">
        <v>0</v>
      </c>
      <c r="H128" s="289" t="inlineStr">
        <is>
          <t>94222</t>
        </is>
      </c>
      <c r="I128" s="289" t="inlineStr">
        <is>
          <t>Кубатина Екатерина Павловна</t>
        </is>
      </c>
      <c r="J128" s="289" t="inlineStr">
        <is>
          <t>ассистент</t>
        </is>
      </c>
      <c r="K128" s="289" t="n"/>
      <c r="L128" s="289" t="n"/>
      <c r="M128" s="12">
        <f>SUMIFS($E$2:$E$300,$A$2:$A$300,"осень",$I$2:$I$300,I128)</f>
        <v/>
      </c>
      <c r="N128" s="13">
        <f>SUMIFS($E$2:$E$300,$A$2:$A$300,"весна",$I$2:$I$300,I128)</f>
        <v/>
      </c>
      <c r="O128" s="14">
        <f>M128+N128</f>
        <v/>
      </c>
      <c r="P128" s="15">
        <f>O128/$P$1</f>
        <v/>
      </c>
    </row>
    <row r="129" ht="15.75" customHeight="1" s="2">
      <c r="A129" s="8" t="inlineStr">
        <is>
          <t>осень</t>
        </is>
      </c>
      <c r="B129" s="289" t="inlineStr">
        <is>
          <t>Теплотехника и основы теплопередачи</t>
        </is>
      </c>
      <c r="C129" s="289" t="inlineStr">
        <is>
          <t>Экзамен</t>
        </is>
      </c>
      <c r="D129" s="289" t="inlineStr">
        <is>
          <t>Т1В-312Б-17</t>
        </is>
      </c>
      <c r="E129" s="284" t="n">
        <v>7</v>
      </c>
      <c r="F129" s="289" t="inlineStr">
        <is>
          <t>08769</t>
        </is>
      </c>
      <c r="G129" s="290" t="n">
        <v>0</v>
      </c>
      <c r="H129" s="289" t="inlineStr">
        <is>
          <t>94222</t>
        </is>
      </c>
      <c r="I129" s="289" t="inlineStr">
        <is>
          <t>Кубатина Екатерина Павловна</t>
        </is>
      </c>
      <c r="J129" s="289" t="inlineStr">
        <is>
          <t>ассистент</t>
        </is>
      </c>
      <c r="K129" s="291" t="inlineStr">
        <is>
          <t>не заводить</t>
        </is>
      </c>
      <c r="L129" s="289" t="inlineStr">
        <is>
          <t>компенсировано</t>
        </is>
      </c>
      <c r="M129" s="12">
        <f>SUMIFS($E$2:$E$300,$A$2:$A$300,"осень",$I$2:$I$300,I129)</f>
        <v/>
      </c>
      <c r="N129" s="13">
        <f>SUMIFS($E$2:$E$300,$A$2:$A$300,"весна",$I$2:$I$300,I129)</f>
        <v/>
      </c>
      <c r="O129" s="14">
        <f>M129+N129</f>
        <v/>
      </c>
      <c r="P129" s="15">
        <f>O129/$P$1</f>
        <v/>
      </c>
    </row>
    <row r="130" ht="15.75" customHeight="1" s="2">
      <c r="A130" s="8" t="inlineStr">
        <is>
          <t>осень</t>
        </is>
      </c>
      <c r="B130" s="289" t="inlineStr">
        <is>
          <t>Теплотехника и основы теплопередачи</t>
        </is>
      </c>
      <c r="C130" s="292" t="inlineStr">
        <is>
          <t>Экзамен</t>
        </is>
      </c>
      <c r="D130" s="289" t="inlineStr">
        <is>
          <t>Т1В-312Б-17</t>
        </is>
      </c>
      <c r="E130" s="284" t="n">
        <v>-7</v>
      </c>
      <c r="F130" s="289" t="inlineStr">
        <is>
          <t>08769</t>
        </is>
      </c>
      <c r="G130" s="290" t="n">
        <v>0</v>
      </c>
      <c r="H130" s="289" t="inlineStr">
        <is>
          <t>82026</t>
        </is>
      </c>
      <c r="I130" s="289" t="inlineStr">
        <is>
          <t>Александрова Светлана Сергеевна</t>
        </is>
      </c>
      <c r="J130" s="289" t="inlineStr">
        <is>
          <t>доцент</t>
        </is>
      </c>
      <c r="K130" s="291" t="inlineStr">
        <is>
          <t>не заводить</t>
        </is>
      </c>
      <c r="L130" s="289" t="n"/>
      <c r="M130" s="12">
        <f>SUMIFS($E$2:$E$300,$A$2:$A$300,"осень",$I$2:$I$300,I130)</f>
        <v/>
      </c>
      <c r="N130" s="13">
        <f>SUMIFS($E$2:$E$300,$A$2:$A$300,"весна",$I$2:$I$300,I130)</f>
        <v/>
      </c>
      <c r="O130" s="14">
        <f>M130+N130</f>
        <v/>
      </c>
      <c r="P130" s="15">
        <f>O130/$P$1</f>
        <v/>
      </c>
    </row>
    <row r="131" ht="15.75" customHeight="1" s="2">
      <c r="A131" s="8" t="inlineStr">
        <is>
          <t>осень</t>
        </is>
      </c>
      <c r="B131" s="289" t="inlineStr">
        <is>
          <t>Теплотехника и основы теплопередачи</t>
        </is>
      </c>
      <c r="C131" s="292" t="inlineStr">
        <is>
          <t>Экзамен</t>
        </is>
      </c>
      <c r="D131" s="289" t="inlineStr">
        <is>
          <t>Т1В-312Б-17</t>
        </is>
      </c>
      <c r="E131" s="284" t="n">
        <v>7</v>
      </c>
      <c r="F131" s="289" t="inlineStr">
        <is>
          <t>08769</t>
        </is>
      </c>
      <c r="G131" s="290" t="n">
        <v>0</v>
      </c>
      <c r="H131" s="289" t="inlineStr">
        <is>
          <t>82026</t>
        </is>
      </c>
      <c r="I131" s="289" t="inlineStr">
        <is>
          <t>Александрова Светлана Сергеевна</t>
        </is>
      </c>
      <c r="J131" s="289" t="inlineStr">
        <is>
          <t>доцент</t>
        </is>
      </c>
      <c r="K131" s="289" t="n"/>
      <c r="L131" s="289" t="inlineStr">
        <is>
          <t>Кубатина Екатерина Павловна</t>
        </is>
      </c>
      <c r="M131" s="12">
        <f>SUMIFS($E$2:$E$300,$A$2:$A$300,"осень",$I$2:$I$300,I131)</f>
        <v/>
      </c>
      <c r="N131" s="13">
        <f>SUMIFS($E$2:$E$300,$A$2:$A$300,"весна",$I$2:$I$300,I131)</f>
        <v/>
      </c>
      <c r="O131" s="14">
        <f>M131+N131</f>
        <v/>
      </c>
      <c r="P131" s="15">
        <f>O131/$P$1</f>
        <v/>
      </c>
    </row>
    <row r="132" ht="15.75" customHeight="1" s="2">
      <c r="A132" s="8" t="inlineStr">
        <is>
          <t>осень</t>
        </is>
      </c>
      <c r="B132" s="289" t="inlineStr">
        <is>
          <t>Теплотехника и основы теплопередачи</t>
        </is>
      </c>
      <c r="C132" s="289" t="inlineStr">
        <is>
          <t>ПЗ</t>
        </is>
      </c>
      <c r="D132" s="289" t="inlineStr">
        <is>
          <t>Т1В-312Б-17</t>
        </is>
      </c>
      <c r="E132" s="284" t="n">
        <v>18</v>
      </c>
      <c r="F132" s="289" t="inlineStr">
        <is>
          <t>08769</t>
        </is>
      </c>
      <c r="G132" s="284" t="n">
        <v>18</v>
      </c>
      <c r="H132" s="289" t="inlineStr">
        <is>
          <t>94222</t>
        </is>
      </c>
      <c r="I132" s="289" t="inlineStr">
        <is>
          <t>Кубатина Екатерина Павловна</t>
        </is>
      </c>
      <c r="J132" s="289" t="inlineStr">
        <is>
          <t>ассистент</t>
        </is>
      </c>
      <c r="K132" s="289" t="n"/>
      <c r="L132" s="289" t="n"/>
      <c r="M132" s="12">
        <f>SUMIFS($E$2:$E$300,$A$2:$A$300,"осень",$I$2:$I$300,I132)</f>
        <v/>
      </c>
      <c r="N132" s="13">
        <f>SUMIFS($E$2:$E$300,$A$2:$A$300,"весна",$I$2:$I$300,I132)</f>
        <v/>
      </c>
      <c r="O132" s="14">
        <f>M132+N132</f>
        <v/>
      </c>
      <c r="P132" s="15">
        <f>O132/$P$1</f>
        <v/>
      </c>
    </row>
    <row r="133" ht="15.75" customHeight="1" s="2">
      <c r="A133" s="8" t="inlineStr">
        <is>
          <t>осень</t>
        </is>
      </c>
      <c r="B133" s="289" t="inlineStr">
        <is>
          <t>Технологии создания наноструктурных материалов</t>
        </is>
      </c>
      <c r="C133" s="289" t="inlineStr">
        <is>
          <t>Зачет с оценкой</t>
        </is>
      </c>
      <c r="D133" s="289" t="inlineStr">
        <is>
          <t>Т11О-203М-18</t>
        </is>
      </c>
      <c r="E133" s="284" t="n">
        <v>3</v>
      </c>
      <c r="F133" s="289" t="inlineStr">
        <is>
          <t>06203</t>
        </is>
      </c>
      <c r="G133" s="290" t="n">
        <v>0</v>
      </c>
      <c r="H133" s="289" t="inlineStr">
        <is>
          <t>82060</t>
        </is>
      </c>
      <c r="I133" s="289" t="inlineStr">
        <is>
          <t>Лозован Александр Александрович</t>
        </is>
      </c>
      <c r="J133" s="289" t="inlineStr">
        <is>
          <t>профессор</t>
        </is>
      </c>
      <c r="K133" s="289" t="n"/>
      <c r="L133" s="289" t="n"/>
      <c r="M133" s="12">
        <f>SUMIFS($E$2:$E$300,$A$2:$A$300,"осень",$I$2:$I$300,I133)</f>
        <v/>
      </c>
      <c r="N133" s="13">
        <f>SUMIFS($E$2:$E$300,$A$2:$A$300,"весна",$I$2:$I$300,I133)</f>
        <v/>
      </c>
      <c r="O133" s="14">
        <f>M133+N133</f>
        <v/>
      </c>
      <c r="P133" s="15">
        <f>O133/$P$1</f>
        <v/>
      </c>
    </row>
    <row r="134" ht="15.75" customHeight="1" s="2">
      <c r="A134" s="8" t="inlineStr">
        <is>
          <t>осень</t>
        </is>
      </c>
      <c r="B134" s="289" t="inlineStr">
        <is>
          <t>Технологии создания наноструктурных материалов</t>
        </is>
      </c>
      <c r="C134" s="289" t="inlineStr">
        <is>
          <t>КР</t>
        </is>
      </c>
      <c r="D134" s="289" t="inlineStr">
        <is>
          <t>Т11О-203М-18</t>
        </is>
      </c>
      <c r="E134" s="284" t="n">
        <v>27</v>
      </c>
      <c r="F134" s="289" t="inlineStr">
        <is>
          <t>06203</t>
        </is>
      </c>
      <c r="G134" s="290" t="n">
        <v>0</v>
      </c>
      <c r="H134" s="289" t="inlineStr">
        <is>
          <t>82060</t>
        </is>
      </c>
      <c r="I134" s="289" t="inlineStr">
        <is>
          <t>Лозован Александр Александрович</t>
        </is>
      </c>
      <c r="J134" s="289" t="inlineStr">
        <is>
          <t>профессор</t>
        </is>
      </c>
      <c r="K134" s="289" t="n"/>
      <c r="L134" s="289" t="n"/>
      <c r="M134" s="12">
        <f>SUMIFS($E$2:$E$300,$A$2:$A$300,"осень",$I$2:$I$300,I134)</f>
        <v/>
      </c>
      <c r="N134" s="13">
        <f>SUMIFS($E$2:$E$300,$A$2:$A$300,"весна",$I$2:$I$300,I134)</f>
        <v/>
      </c>
      <c r="O134" s="14">
        <f>M134+N134</f>
        <v/>
      </c>
      <c r="P134" s="15">
        <f>O134/$P$1</f>
        <v/>
      </c>
    </row>
    <row r="135" ht="15.75" customHeight="1" s="2">
      <c r="A135" s="8" t="inlineStr">
        <is>
          <t>осень</t>
        </is>
      </c>
      <c r="B135" s="289" t="inlineStr">
        <is>
          <t>Технологии создания наноструктурных материалов</t>
        </is>
      </c>
      <c r="C135" s="289" t="inlineStr">
        <is>
          <t>ЛК</t>
        </is>
      </c>
      <c r="D135" s="289" t="inlineStr">
        <is>
          <t>Т11О-203М-18</t>
        </is>
      </c>
      <c r="E135" s="284" t="n">
        <v>20</v>
      </c>
      <c r="F135" s="289" t="inlineStr">
        <is>
          <t>06203</t>
        </is>
      </c>
      <c r="G135" s="284" t="n">
        <v>20</v>
      </c>
      <c r="H135" s="289" t="inlineStr">
        <is>
          <t>82060</t>
        </is>
      </c>
      <c r="I135" s="289" t="inlineStr">
        <is>
          <t>Лозован Александр Александрович</t>
        </is>
      </c>
      <c r="J135" s="289" t="inlineStr">
        <is>
          <t>профессор</t>
        </is>
      </c>
      <c r="K135" s="289" t="n"/>
      <c r="L135" s="289" t="n"/>
      <c r="M135" s="12">
        <f>SUMIFS($E$2:$E$300,$A$2:$A$300,"осень",$I$2:$I$300,I135)</f>
        <v/>
      </c>
      <c r="N135" s="13">
        <f>SUMIFS($E$2:$E$300,$A$2:$A$300,"весна",$I$2:$I$300,I135)</f>
        <v/>
      </c>
      <c r="O135" s="14">
        <f>M135+N135</f>
        <v/>
      </c>
      <c r="P135" s="15">
        <f>O135/$P$1</f>
        <v/>
      </c>
    </row>
    <row r="136" ht="15.75" customHeight="1" s="2">
      <c r="A136" s="8" t="inlineStr">
        <is>
          <t>осень</t>
        </is>
      </c>
      <c r="B136" s="289" t="inlineStr">
        <is>
          <t>Технологии создания наноструктурных материалов</t>
        </is>
      </c>
      <c r="C136" s="289" t="inlineStr">
        <is>
          <t>ПЗ</t>
        </is>
      </c>
      <c r="D136" s="289" t="inlineStr">
        <is>
          <t>Т11О-203М-18</t>
        </is>
      </c>
      <c r="E136" s="284" t="n">
        <v>36</v>
      </c>
      <c r="F136" s="289" t="inlineStr">
        <is>
          <t>06203</t>
        </is>
      </c>
      <c r="G136" s="284" t="n">
        <v>36</v>
      </c>
      <c r="H136" s="289" t="inlineStr">
        <is>
          <t>82060</t>
        </is>
      </c>
      <c r="I136" s="289" t="inlineStr">
        <is>
          <t>Лозован Александр Александрович</t>
        </is>
      </c>
      <c r="J136" s="289" t="inlineStr">
        <is>
          <t>профессор</t>
        </is>
      </c>
      <c r="K136" s="289" t="n"/>
      <c r="L136" s="289" t="n"/>
      <c r="M136" s="12">
        <f>SUMIFS($E$2:$E$300,$A$2:$A$300,"осень",$I$2:$I$300,I136)</f>
        <v/>
      </c>
      <c r="N136" s="13">
        <f>SUMIFS($E$2:$E$300,$A$2:$A$300,"весна",$I$2:$I$300,I136)</f>
        <v/>
      </c>
      <c r="O136" s="14">
        <f>M136+N136</f>
        <v/>
      </c>
      <c r="P136" s="15">
        <f>O136/$P$1</f>
        <v/>
      </c>
    </row>
    <row r="137" ht="15.75" customHeight="1" s="2">
      <c r="A137" s="8" t="inlineStr">
        <is>
          <t>осень</t>
        </is>
      </c>
      <c r="B137" s="289" t="inlineStr">
        <is>
          <t>Технологии создания наноструктурных материалов</t>
        </is>
      </c>
      <c r="C137" s="289" t="inlineStr">
        <is>
          <t>Консультация</t>
        </is>
      </c>
      <c r="D137" s="289" t="inlineStr">
        <is>
          <t>Т11О-203М-18</t>
        </is>
      </c>
      <c r="E137" s="284" t="n">
        <v>1</v>
      </c>
      <c r="F137" s="289" t="inlineStr">
        <is>
          <t>06203</t>
        </is>
      </c>
      <c r="G137" s="290" t="n">
        <v>0</v>
      </c>
      <c r="H137" s="289" t="inlineStr">
        <is>
          <t>82060</t>
        </is>
      </c>
      <c r="I137" s="289" t="inlineStr">
        <is>
          <t>Лозован Александр Александрович</t>
        </is>
      </c>
      <c r="J137" s="289" t="inlineStr">
        <is>
          <t>профессор</t>
        </is>
      </c>
      <c r="K137" s="289" t="n"/>
      <c r="L137" s="289" t="n"/>
      <c r="M137" s="12">
        <f>SUMIFS($E$2:$E$300,$A$2:$A$300,"осень",$I$2:$I$300,I137)</f>
        <v/>
      </c>
      <c r="N137" s="13">
        <f>SUMIFS($E$2:$E$300,$A$2:$A$300,"весна",$I$2:$I$300,I137)</f>
        <v/>
      </c>
      <c r="O137" s="14">
        <f>M137+N137</f>
        <v/>
      </c>
      <c r="P137" s="15">
        <f>O137/$P$1</f>
        <v/>
      </c>
    </row>
    <row r="138" ht="15.75" customHeight="1" s="2">
      <c r="A138" s="8" t="inlineStr">
        <is>
          <t>осень</t>
        </is>
      </c>
      <c r="B138" s="289" t="inlineStr">
        <is>
          <t>Технологии создания наноструктурных материалов</t>
        </is>
      </c>
      <c r="C138" s="289" t="inlineStr">
        <is>
          <t>ЛР</t>
        </is>
      </c>
      <c r="D138" s="289" t="inlineStr">
        <is>
          <t>Т11О-203М-18</t>
        </is>
      </c>
      <c r="E138" s="284" t="n">
        <v>8</v>
      </c>
      <c r="F138" s="289" t="inlineStr">
        <is>
          <t>06203</t>
        </is>
      </c>
      <c r="G138" s="284" t="n">
        <v>8</v>
      </c>
      <c r="H138" s="289" t="inlineStr">
        <is>
          <t>82060</t>
        </is>
      </c>
      <c r="I138" s="289" t="inlineStr">
        <is>
          <t>Лозован Александр Александрович</t>
        </is>
      </c>
      <c r="J138" s="289" t="inlineStr">
        <is>
          <t>профессор</t>
        </is>
      </c>
      <c r="K138" s="289" t="n"/>
      <c r="L138" s="289" t="n"/>
      <c r="M138" s="12">
        <f>SUMIFS($E$2:$E$300,$A$2:$A$300,"осень",$I$2:$I$300,I138)</f>
        <v/>
      </c>
      <c r="N138" s="13">
        <f>SUMIFS($E$2:$E$300,$A$2:$A$300,"весна",$I$2:$I$300,I138)</f>
        <v/>
      </c>
      <c r="O138" s="14">
        <f>M138+N138</f>
        <v/>
      </c>
      <c r="P138" s="15">
        <f>O138/$P$1</f>
        <v/>
      </c>
    </row>
    <row r="139" ht="15.75" customHeight="1" s="2">
      <c r="A139" s="8" t="inlineStr">
        <is>
          <t>осень</t>
        </is>
      </c>
      <c r="B139" s="289" t="inlineStr">
        <is>
          <t>Технологические процессы производства наноматериалов</t>
        </is>
      </c>
      <c r="C139" s="289" t="inlineStr">
        <is>
          <t>ЛК</t>
        </is>
      </c>
      <c r="D139" s="289" t="inlineStr">
        <is>
          <t>Т1О-404Б-16</t>
        </is>
      </c>
      <c r="E139" s="284" t="n">
        <v>16</v>
      </c>
      <c r="F139" s="289" t="inlineStr">
        <is>
          <t>04869</t>
        </is>
      </c>
      <c r="G139" s="284" t="n">
        <v>16</v>
      </c>
      <c r="H139" s="289" t="inlineStr">
        <is>
          <t>82060</t>
        </is>
      </c>
      <c r="I139" s="289" t="inlineStr">
        <is>
          <t>Лозован Александр Александрович</t>
        </is>
      </c>
      <c r="J139" s="289" t="inlineStr">
        <is>
          <t>профессор</t>
        </is>
      </c>
      <c r="K139" s="289" t="n"/>
      <c r="L139" s="289" t="n"/>
      <c r="M139" s="12">
        <f>SUMIFS($E$2:$E$300,$A$2:$A$300,"осень",$I$2:$I$300,I139)</f>
        <v/>
      </c>
      <c r="N139" s="13">
        <f>SUMIFS($E$2:$E$300,$A$2:$A$300,"весна",$I$2:$I$300,I139)</f>
        <v/>
      </c>
      <c r="O139" s="14">
        <f>M139+N139</f>
        <v/>
      </c>
      <c r="P139" s="15">
        <f>O139/$P$1</f>
        <v/>
      </c>
    </row>
    <row r="140" ht="15.75" customHeight="1" s="2">
      <c r="A140" s="8" t="inlineStr">
        <is>
          <t>осень</t>
        </is>
      </c>
      <c r="B140" s="289" t="inlineStr">
        <is>
          <t>Технологические процессы производства наноматериалов</t>
        </is>
      </c>
      <c r="C140" s="289" t="inlineStr">
        <is>
          <t>Экзамен</t>
        </is>
      </c>
      <c r="D140" s="289" t="inlineStr">
        <is>
          <t>Т1О-404Б-16</t>
        </is>
      </c>
      <c r="E140" s="284" t="n">
        <v>7</v>
      </c>
      <c r="F140" s="289" t="inlineStr">
        <is>
          <t>04869</t>
        </is>
      </c>
      <c r="G140" s="290" t="n">
        <v>0</v>
      </c>
      <c r="H140" s="289" t="inlineStr">
        <is>
          <t>82060</t>
        </is>
      </c>
      <c r="I140" s="289" t="inlineStr">
        <is>
          <t>Лозован Александр Александрович</t>
        </is>
      </c>
      <c r="J140" s="289" t="inlineStr">
        <is>
          <t>профессор</t>
        </is>
      </c>
      <c r="K140" s="289" t="n"/>
      <c r="L140" s="289" t="n"/>
      <c r="M140" s="12">
        <f>SUMIFS($E$2:$E$300,$A$2:$A$300,"осень",$I$2:$I$300,I140)</f>
        <v/>
      </c>
      <c r="N140" s="13">
        <f>SUMIFS($E$2:$E$300,$A$2:$A$300,"весна",$I$2:$I$300,I140)</f>
        <v/>
      </c>
      <c r="O140" s="14">
        <f>M140+N140</f>
        <v/>
      </c>
      <c r="P140" s="15">
        <f>O140/$P$1</f>
        <v/>
      </c>
    </row>
    <row r="141" ht="15.75" customHeight="1" s="2">
      <c r="A141" s="8" t="inlineStr">
        <is>
          <t>осень</t>
        </is>
      </c>
      <c r="B141" s="289" t="inlineStr">
        <is>
          <t>Технологические процессы производства наноматериалов</t>
        </is>
      </c>
      <c r="C141" s="289" t="inlineStr">
        <is>
          <t>КСР</t>
        </is>
      </c>
      <c r="D141" s="289" t="inlineStr">
        <is>
          <t>Т1О-404Б-16</t>
        </is>
      </c>
      <c r="E141" s="284" t="n">
        <v>6</v>
      </c>
      <c r="F141" s="289" t="inlineStr">
        <is>
          <t>04869</t>
        </is>
      </c>
      <c r="G141" s="284" t="n">
        <v>6</v>
      </c>
      <c r="H141" s="289" t="inlineStr">
        <is>
          <t>82060</t>
        </is>
      </c>
      <c r="I141" s="289" t="inlineStr">
        <is>
          <t>Лозован Александр Александрович</t>
        </is>
      </c>
      <c r="J141" s="289" t="inlineStr">
        <is>
          <t>профессор</t>
        </is>
      </c>
      <c r="K141" s="289" t="n"/>
      <c r="L141" s="289" t="n"/>
      <c r="M141" s="12">
        <f>SUMIFS($E$2:$E$300,$A$2:$A$300,"осень",$I$2:$I$300,I141)</f>
        <v/>
      </c>
      <c r="N141" s="13">
        <f>SUMIFS($E$2:$E$300,$A$2:$A$300,"весна",$I$2:$I$300,I141)</f>
        <v/>
      </c>
      <c r="O141" s="14">
        <f>M141+N141</f>
        <v/>
      </c>
      <c r="P141" s="15">
        <f>O141/$P$1</f>
        <v/>
      </c>
    </row>
    <row r="142" ht="15.75" customHeight="1" s="2">
      <c r="A142" s="8" t="inlineStr">
        <is>
          <t>осень</t>
        </is>
      </c>
      <c r="B142" s="289" t="inlineStr">
        <is>
          <t>Технологические процессы производства наноматериалов</t>
        </is>
      </c>
      <c r="C142" s="289" t="inlineStr">
        <is>
          <t>Консультация</t>
        </is>
      </c>
      <c r="D142" s="289" t="inlineStr">
        <is>
          <t>Т1О-404Б-16</t>
        </is>
      </c>
      <c r="E142" s="284" t="n">
        <v>3</v>
      </c>
      <c r="F142" s="289" t="inlineStr">
        <is>
          <t>04869</t>
        </is>
      </c>
      <c r="G142" s="290" t="n">
        <v>0</v>
      </c>
      <c r="H142" s="289" t="inlineStr">
        <is>
          <t>82060</t>
        </is>
      </c>
      <c r="I142" s="289" t="inlineStr">
        <is>
          <t>Лозован Александр Александрович</t>
        </is>
      </c>
      <c r="J142" s="289" t="inlineStr">
        <is>
          <t>профессор</t>
        </is>
      </c>
      <c r="K142" s="289" t="n"/>
      <c r="L142" s="289" t="n"/>
      <c r="M142" s="12">
        <f>SUMIFS($E$2:$E$300,$A$2:$A$300,"осень",$I$2:$I$300,I142)</f>
        <v/>
      </c>
      <c r="N142" s="13">
        <f>SUMIFS($E$2:$E$300,$A$2:$A$300,"весна",$I$2:$I$300,I142)</f>
        <v/>
      </c>
      <c r="O142" s="14">
        <f>M142+N142</f>
        <v/>
      </c>
      <c r="P142" s="15">
        <f>O142/$P$1</f>
        <v/>
      </c>
    </row>
    <row r="143" ht="15.75" customHeight="1" s="2">
      <c r="A143" s="8" t="inlineStr">
        <is>
          <t>осень</t>
        </is>
      </c>
      <c r="B143" s="289" t="inlineStr">
        <is>
          <t>Технологические процессы производства наноматериалов</t>
        </is>
      </c>
      <c r="C143" s="289" t="inlineStr">
        <is>
          <t>ЛР</t>
        </is>
      </c>
      <c r="D143" s="289" t="inlineStr">
        <is>
          <t>Т1О-404Б-16</t>
        </is>
      </c>
      <c r="E143" s="284" t="n">
        <v>16</v>
      </c>
      <c r="F143" s="289" t="inlineStr">
        <is>
          <t>04869</t>
        </is>
      </c>
      <c r="G143" s="284" t="n">
        <v>16</v>
      </c>
      <c r="H143" s="289" t="inlineStr">
        <is>
          <t>82060</t>
        </is>
      </c>
      <c r="I143" s="289" t="inlineStr">
        <is>
          <t>Лозован Александр Александрович</t>
        </is>
      </c>
      <c r="J143" s="289" t="inlineStr">
        <is>
          <t>профессор</t>
        </is>
      </c>
      <c r="K143" s="289" t="n"/>
      <c r="L143" s="289" t="n"/>
      <c r="M143" s="12">
        <f>SUMIFS($E$2:$E$300,$A$2:$A$300,"осень",$I$2:$I$300,I143)</f>
        <v/>
      </c>
      <c r="N143" s="13">
        <f>SUMIFS($E$2:$E$300,$A$2:$A$300,"весна",$I$2:$I$300,I143)</f>
        <v/>
      </c>
      <c r="O143" s="14">
        <f>M143+N143</f>
        <v/>
      </c>
      <c r="P143" s="15">
        <f>O143/$P$1</f>
        <v/>
      </c>
    </row>
    <row r="144" ht="15.75" customHeight="1" s="2">
      <c r="A144" s="8" t="inlineStr">
        <is>
          <t>осень</t>
        </is>
      </c>
      <c r="B144" s="289" t="inlineStr">
        <is>
          <t>Технологические процессы производства наноматериалов</t>
        </is>
      </c>
      <c r="C144" s="289" t="inlineStr">
        <is>
          <t>ПЗ</t>
        </is>
      </c>
      <c r="D144" s="289" t="inlineStr">
        <is>
          <t>Т1О-404Б-16</t>
        </is>
      </c>
      <c r="E144" s="284" t="n">
        <v>16</v>
      </c>
      <c r="F144" s="289" t="inlineStr">
        <is>
          <t>04869</t>
        </is>
      </c>
      <c r="G144" s="284" t="n">
        <v>16</v>
      </c>
      <c r="H144" s="289" t="inlineStr">
        <is>
          <t>82060</t>
        </is>
      </c>
      <c r="I144" s="289" t="inlineStr">
        <is>
          <t>Лозован Александр Александрович</t>
        </is>
      </c>
      <c r="J144" s="289" t="inlineStr">
        <is>
          <t>профессор</t>
        </is>
      </c>
      <c r="K144" s="289" t="n"/>
      <c r="L144" s="289" t="n"/>
      <c r="M144" s="12">
        <f>SUMIFS($E$2:$E$300,$A$2:$A$300,"осень",$I$2:$I$300,I144)</f>
        <v/>
      </c>
      <c r="N144" s="13">
        <f>SUMIFS($E$2:$E$300,$A$2:$A$300,"весна",$I$2:$I$300,I144)</f>
        <v/>
      </c>
      <c r="O144" s="14">
        <f>M144+N144</f>
        <v/>
      </c>
      <c r="P144" s="15">
        <f>O144/$P$1</f>
        <v/>
      </c>
    </row>
    <row r="145" ht="15.75" customHeight="1" s="2">
      <c r="A145" s="8" t="inlineStr">
        <is>
          <t>осень</t>
        </is>
      </c>
      <c r="B145" s="289" t="inlineStr">
        <is>
          <t>Управление процессами в порошковой металлургии</t>
        </is>
      </c>
      <c r="C145" s="289" t="inlineStr">
        <is>
          <t>КСР</t>
        </is>
      </c>
      <c r="D145" s="289" t="inlineStr">
        <is>
          <t>Т1О-404Б-16</t>
        </is>
      </c>
      <c r="E145" s="284" t="n">
        <v>8</v>
      </c>
      <c r="F145" s="289" t="inlineStr">
        <is>
          <t>04869</t>
        </is>
      </c>
      <c r="G145" s="284" t="n">
        <v>8</v>
      </c>
      <c r="H145" s="289" t="inlineStr">
        <is>
          <t>82090</t>
        </is>
      </c>
      <c r="I145" s="289" t="inlineStr">
        <is>
          <t>Барабанова Ольга Алексеевна</t>
        </is>
      </c>
      <c r="J145" s="289" t="inlineStr">
        <is>
          <t>профессор</t>
        </is>
      </c>
      <c r="K145" s="289" t="n"/>
      <c r="L145" s="289" t="n"/>
      <c r="M145" s="12">
        <f>SUMIFS($E$2:$E$300,$A$2:$A$300,"осень",$I$2:$I$300,I145)</f>
        <v/>
      </c>
      <c r="N145" s="13">
        <f>SUMIFS($E$2:$E$300,$A$2:$A$300,"весна",$I$2:$I$300,I145)</f>
        <v/>
      </c>
      <c r="O145" s="14">
        <f>M145+N145</f>
        <v/>
      </c>
      <c r="P145" s="15">
        <f>O145/$P$1</f>
        <v/>
      </c>
    </row>
    <row r="146" ht="15.75" customHeight="1" s="2">
      <c r="A146" s="8" t="inlineStr">
        <is>
          <t>осень</t>
        </is>
      </c>
      <c r="B146" s="289" t="inlineStr">
        <is>
          <t>Управление процессами в порошковой металлургии</t>
        </is>
      </c>
      <c r="C146" s="289" t="inlineStr">
        <is>
          <t>Консультация</t>
        </is>
      </c>
      <c r="D146" s="289" t="inlineStr">
        <is>
          <t>Т1О-404Б-16</t>
        </is>
      </c>
      <c r="E146" s="284" t="n">
        <v>1</v>
      </c>
      <c r="F146" s="289" t="inlineStr">
        <is>
          <t>04869</t>
        </is>
      </c>
      <c r="G146" s="290" t="n">
        <v>0</v>
      </c>
      <c r="H146" s="289" t="inlineStr">
        <is>
          <t>82090</t>
        </is>
      </c>
      <c r="I146" s="289" t="inlineStr">
        <is>
          <t>Барабанова Ольга Алексеевна</t>
        </is>
      </c>
      <c r="J146" s="289" t="inlineStr">
        <is>
          <t>профессор</t>
        </is>
      </c>
      <c r="K146" s="289" t="n"/>
      <c r="L146" s="289" t="n"/>
      <c r="M146" s="12">
        <f>SUMIFS($E$2:$E$300,$A$2:$A$300,"осень",$I$2:$I$300,I146)</f>
        <v/>
      </c>
      <c r="N146" s="13">
        <f>SUMIFS($E$2:$E$300,$A$2:$A$300,"весна",$I$2:$I$300,I146)</f>
        <v/>
      </c>
      <c r="O146" s="14">
        <f>M146+N146</f>
        <v/>
      </c>
      <c r="P146" s="15">
        <f>O146/$P$1</f>
        <v/>
      </c>
    </row>
    <row r="147" ht="15.75" customHeight="1" s="2">
      <c r="A147" s="8" t="inlineStr">
        <is>
          <t>осень</t>
        </is>
      </c>
      <c r="B147" s="289" t="inlineStr">
        <is>
          <t>Управление процессами в порошковой металлургии</t>
        </is>
      </c>
      <c r="C147" s="289" t="inlineStr">
        <is>
          <t>ПЗ</t>
        </is>
      </c>
      <c r="D147" s="289" t="inlineStr">
        <is>
          <t>Т1О-404Б-16</t>
        </is>
      </c>
      <c r="E147" s="284" t="n">
        <v>16</v>
      </c>
      <c r="F147" s="289" t="inlineStr">
        <is>
          <t>04869</t>
        </is>
      </c>
      <c r="G147" s="284" t="n">
        <v>16</v>
      </c>
      <c r="H147" s="289" t="inlineStr">
        <is>
          <t>82090</t>
        </is>
      </c>
      <c r="I147" s="289" t="inlineStr">
        <is>
          <t>Барабанова Ольга Алексеевна</t>
        </is>
      </c>
      <c r="J147" s="289" t="inlineStr">
        <is>
          <t>профессор</t>
        </is>
      </c>
      <c r="K147" s="289" t="n"/>
      <c r="L147" s="289" t="n"/>
      <c r="M147" s="12">
        <f>SUMIFS($E$2:$E$300,$A$2:$A$300,"осень",$I$2:$I$300,I147)</f>
        <v/>
      </c>
      <c r="N147" s="13">
        <f>SUMIFS($E$2:$E$300,$A$2:$A$300,"весна",$I$2:$I$300,I147)</f>
        <v/>
      </c>
      <c r="O147" s="14">
        <f>M147+N147</f>
        <v/>
      </c>
      <c r="P147" s="15">
        <f>O147/$P$1</f>
        <v/>
      </c>
    </row>
    <row r="148" ht="15.75" customHeight="1" s="2">
      <c r="A148" s="8" t="inlineStr">
        <is>
          <t>осень</t>
        </is>
      </c>
      <c r="B148" s="289" t="inlineStr">
        <is>
          <t>Управление процессами в порошковой металлургии</t>
        </is>
      </c>
      <c r="C148" s="289" t="inlineStr">
        <is>
          <t>Зачет с оценкой</t>
        </is>
      </c>
      <c r="D148" s="289" t="inlineStr">
        <is>
          <t>Т1О-404Б-16</t>
        </is>
      </c>
      <c r="E148" s="284" t="n">
        <v>5</v>
      </c>
      <c r="F148" s="289" t="inlineStr">
        <is>
          <t>04869</t>
        </is>
      </c>
      <c r="G148" s="290" t="n">
        <v>0</v>
      </c>
      <c r="H148" s="289" t="inlineStr">
        <is>
          <t>82090</t>
        </is>
      </c>
      <c r="I148" s="289" t="inlineStr">
        <is>
          <t>Барабанова Ольга Алексеевна</t>
        </is>
      </c>
      <c r="J148" s="289" t="inlineStr">
        <is>
          <t>профессор</t>
        </is>
      </c>
      <c r="K148" s="289" t="n"/>
      <c r="L148" s="289" t="n"/>
      <c r="M148" s="12">
        <f>SUMIFS($E$2:$E$300,$A$2:$A$300,"осень",$I$2:$I$300,I148)</f>
        <v/>
      </c>
      <c r="N148" s="13">
        <f>SUMIFS($E$2:$E$300,$A$2:$A$300,"весна",$I$2:$I$300,I148)</f>
        <v/>
      </c>
      <c r="O148" s="14">
        <f>M148+N148</f>
        <v/>
      </c>
      <c r="P148" s="15">
        <f>O148/$P$1</f>
        <v/>
      </c>
    </row>
    <row r="149" ht="15.75" customHeight="1" s="2">
      <c r="A149" s="8" t="inlineStr">
        <is>
          <t>осень</t>
        </is>
      </c>
      <c r="B149" s="289" t="inlineStr">
        <is>
          <t>Управление процессами в порошковой металлургии</t>
        </is>
      </c>
      <c r="C149" s="289" t="inlineStr">
        <is>
          <t>ЛК</t>
        </is>
      </c>
      <c r="D149" s="289" t="inlineStr">
        <is>
          <t>Т1О-404Б-16</t>
        </is>
      </c>
      <c r="E149" s="284" t="n">
        <v>16</v>
      </c>
      <c r="F149" s="289" t="inlineStr">
        <is>
          <t>04869</t>
        </is>
      </c>
      <c r="G149" s="284" t="n">
        <v>16</v>
      </c>
      <c r="H149" s="289" t="inlineStr">
        <is>
          <t>82090</t>
        </is>
      </c>
      <c r="I149" s="289" t="inlineStr">
        <is>
          <t>Барабанова Ольга Алексеевна</t>
        </is>
      </c>
      <c r="J149" s="289" t="inlineStr">
        <is>
          <t>профессор</t>
        </is>
      </c>
      <c r="K149" s="289" t="n"/>
      <c r="L149" s="289" t="n"/>
      <c r="M149" s="12">
        <f>SUMIFS($E$2:$E$300,$A$2:$A$300,"осень",$I$2:$I$300,I149)</f>
        <v/>
      </c>
      <c r="N149" s="13">
        <f>SUMIFS($E$2:$E$300,$A$2:$A$300,"весна",$I$2:$I$300,I149)</f>
        <v/>
      </c>
      <c r="O149" s="14">
        <f>M149+N149</f>
        <v/>
      </c>
      <c r="P149" s="15">
        <f>O149/$P$1</f>
        <v/>
      </c>
    </row>
    <row r="150" ht="15.75" customHeight="1" s="2">
      <c r="A150" s="8" t="inlineStr">
        <is>
          <t>осень</t>
        </is>
      </c>
      <c r="B150" s="289" t="inlineStr">
        <is>
          <t>Физические основы и методы аддитивных технологий</t>
        </is>
      </c>
      <c r="C150" s="289" t="inlineStr">
        <is>
          <t>ПЗ</t>
        </is>
      </c>
      <c r="D150" s="289" t="inlineStr">
        <is>
          <t>Т11О-103М-19</t>
        </is>
      </c>
      <c r="E150" s="284" t="n">
        <v>40</v>
      </c>
      <c r="F150" s="289" t="inlineStr">
        <is>
          <t>07987</t>
        </is>
      </c>
      <c r="G150" s="284" t="n">
        <v>40</v>
      </c>
      <c r="H150" s="289" t="inlineStr">
        <is>
          <t>82066</t>
        </is>
      </c>
      <c r="I150" s="289" t="inlineStr">
        <is>
          <t>Серов Михаил Михайлович</t>
        </is>
      </c>
      <c r="J150" s="289" t="inlineStr">
        <is>
          <t>профессор</t>
        </is>
      </c>
      <c r="K150" s="289" t="n"/>
      <c r="L150" s="289" t="n"/>
      <c r="M150" s="12">
        <f>SUMIFS($E$2:$E$300,$A$2:$A$300,"осень",$I$2:$I$300,I150)</f>
        <v/>
      </c>
      <c r="N150" s="13">
        <f>SUMIFS($E$2:$E$300,$A$2:$A$300,"весна",$I$2:$I$300,I150)</f>
        <v/>
      </c>
      <c r="O150" s="14">
        <f>M150+N150</f>
        <v/>
      </c>
      <c r="P150" s="15">
        <f>O150/$P$1</f>
        <v/>
      </c>
    </row>
    <row r="151" ht="15.75" customHeight="1" s="2">
      <c r="A151" s="8" t="inlineStr">
        <is>
          <t>осень</t>
        </is>
      </c>
      <c r="B151" s="289" t="inlineStr">
        <is>
          <t>Физические основы и методы аддитивных технологий</t>
        </is>
      </c>
      <c r="C151" s="289" t="inlineStr">
        <is>
          <t>ПЗ</t>
        </is>
      </c>
      <c r="D151" s="289" t="inlineStr">
        <is>
          <t>Т11О-104М-19</t>
        </is>
      </c>
      <c r="E151" s="284" t="n">
        <v>40</v>
      </c>
      <c r="F151" s="289" t="inlineStr">
        <is>
          <t>07987</t>
        </is>
      </c>
      <c r="G151" s="284" t="n">
        <v>40</v>
      </c>
      <c r="H151" s="289" t="inlineStr">
        <is>
          <t>82066</t>
        </is>
      </c>
      <c r="I151" s="289" t="inlineStr">
        <is>
          <t>Серов Михаил Михайлович</t>
        </is>
      </c>
      <c r="J151" s="289" t="inlineStr">
        <is>
          <t>профессор</t>
        </is>
      </c>
      <c r="K151" s="289" t="n"/>
      <c r="L151" s="289" t="n"/>
      <c r="M151" s="12">
        <f>SUMIFS($E$2:$E$300,$A$2:$A$300,"осень",$I$2:$I$300,I151)</f>
        <v/>
      </c>
      <c r="N151" s="13">
        <f>SUMIFS($E$2:$E$300,$A$2:$A$300,"весна",$I$2:$I$300,I151)</f>
        <v/>
      </c>
      <c r="O151" s="14">
        <f>M151+N151</f>
        <v/>
      </c>
      <c r="P151" s="15">
        <f>O151/$P$1</f>
        <v/>
      </c>
    </row>
    <row r="152" ht="15.75" customHeight="1" s="2">
      <c r="A152" s="8" t="inlineStr">
        <is>
          <t>осень</t>
        </is>
      </c>
      <c r="B152" s="289" t="inlineStr">
        <is>
          <t>Физические основы и методы аддитивных технологий</t>
        </is>
      </c>
      <c r="C152" s="289" t="inlineStr">
        <is>
          <t>ПЗ</t>
        </is>
      </c>
      <c r="D152" s="289" t="inlineStr">
        <is>
          <t>Т11О-102М-19</t>
        </is>
      </c>
      <c r="E152" s="284" t="n">
        <v>40</v>
      </c>
      <c r="F152" s="289" t="inlineStr">
        <is>
          <t>07987</t>
        </is>
      </c>
      <c r="G152" s="284" t="n">
        <v>40</v>
      </c>
      <c r="H152" s="289" t="inlineStr">
        <is>
          <t>82066</t>
        </is>
      </c>
      <c r="I152" s="289" t="inlineStr">
        <is>
          <t>Серов Михаил Михайлович</t>
        </is>
      </c>
      <c r="J152" s="289" t="inlineStr">
        <is>
          <t>профессор</t>
        </is>
      </c>
      <c r="K152" s="289" t="n"/>
      <c r="L152" s="289" t="n"/>
      <c r="M152" s="12">
        <f>SUMIFS($E$2:$E$300,$A$2:$A$300,"осень",$I$2:$I$300,I152)</f>
        <v/>
      </c>
      <c r="N152" s="13">
        <f>SUMIFS($E$2:$E$300,$A$2:$A$300,"весна",$I$2:$I$300,I152)</f>
        <v/>
      </c>
      <c r="O152" s="14">
        <f>M152+N152</f>
        <v/>
      </c>
      <c r="P152" s="15">
        <f>O152/$P$1</f>
        <v/>
      </c>
    </row>
    <row r="153" ht="15.75" customHeight="1" s="2">
      <c r="A153" s="8" t="inlineStr">
        <is>
          <t>осень</t>
        </is>
      </c>
      <c r="B153" s="289" t="inlineStr">
        <is>
          <t>Физические основы и методы аддитивных технологий</t>
        </is>
      </c>
      <c r="C153" s="289" t="inlineStr">
        <is>
          <t>ПЗ</t>
        </is>
      </c>
      <c r="D153" s="289" t="inlineStr">
        <is>
          <t>Т11О-101М-19</t>
        </is>
      </c>
      <c r="E153" s="284" t="n">
        <v>40</v>
      </c>
      <c r="F153" s="289" t="inlineStr">
        <is>
          <t>07987</t>
        </is>
      </c>
      <c r="G153" s="284" t="n">
        <v>40</v>
      </c>
      <c r="H153" s="289" t="inlineStr">
        <is>
          <t>82066</t>
        </is>
      </c>
      <c r="I153" s="289" t="inlineStr">
        <is>
          <t>Серов Михаил Михайлович</t>
        </is>
      </c>
      <c r="J153" s="289" t="inlineStr">
        <is>
          <t>профессор</t>
        </is>
      </c>
      <c r="K153" s="289" t="n"/>
      <c r="L153" s="289" t="n"/>
      <c r="M153" s="12">
        <f>SUMIFS($E$2:$E$300,$A$2:$A$300,"осень",$I$2:$I$300,I153)</f>
        <v/>
      </c>
      <c r="N153" s="13">
        <f>SUMIFS($E$2:$E$300,$A$2:$A$300,"весна",$I$2:$I$300,I153)</f>
        <v/>
      </c>
      <c r="O153" s="14">
        <f>M153+N153</f>
        <v/>
      </c>
      <c r="P153" s="15">
        <f>O153/$P$1</f>
        <v/>
      </c>
    </row>
    <row r="154" ht="15.75" customHeight="1" s="2">
      <c r="A154" s="8" t="inlineStr">
        <is>
          <t>осень</t>
        </is>
      </c>
      <c r="B154" s="289" t="inlineStr">
        <is>
          <t>Физические основы и методы аддитивных технологий</t>
        </is>
      </c>
      <c r="C154" s="289" t="inlineStr">
        <is>
          <t>Консультация</t>
        </is>
      </c>
      <c r="D154" s="289" t="inlineStr">
        <is>
          <t>Т11О-103М-19</t>
        </is>
      </c>
      <c r="E154" s="284" t="n">
        <v>1</v>
      </c>
      <c r="F154" s="289" t="inlineStr">
        <is>
          <t>07987</t>
        </is>
      </c>
      <c r="G154" s="290" t="n">
        <v>0</v>
      </c>
      <c r="H154" s="289" t="inlineStr">
        <is>
          <t>82066</t>
        </is>
      </c>
      <c r="I154" s="289" t="inlineStr">
        <is>
          <t>Серов Михаил Михайлович</t>
        </is>
      </c>
      <c r="J154" s="289" t="inlineStr">
        <is>
          <t>профессор</t>
        </is>
      </c>
      <c r="K154" s="289" t="n"/>
      <c r="L154" s="289" t="n"/>
      <c r="M154" s="12">
        <f>SUMIFS($E$2:$E$300,$A$2:$A$300,"осень",$I$2:$I$300,I154)</f>
        <v/>
      </c>
      <c r="N154" s="13">
        <f>SUMIFS($E$2:$E$300,$A$2:$A$300,"весна",$I$2:$I$300,I154)</f>
        <v/>
      </c>
      <c r="O154" s="14">
        <f>M154+N154</f>
        <v/>
      </c>
      <c r="P154" s="15">
        <f>O154/$P$1</f>
        <v/>
      </c>
    </row>
    <row r="155" ht="15.75" customHeight="1" s="2">
      <c r="A155" s="8" t="inlineStr">
        <is>
          <t>осень</t>
        </is>
      </c>
      <c r="B155" s="289" t="inlineStr">
        <is>
          <t>Физические основы и методы аддитивных технологий</t>
        </is>
      </c>
      <c r="C155" s="289" t="inlineStr">
        <is>
          <t>Зачет с оценкой</t>
        </is>
      </c>
      <c r="D155" s="289" t="inlineStr">
        <is>
          <t>Т11О-103М-19</t>
        </is>
      </c>
      <c r="E155" s="284" t="n">
        <v>3</v>
      </c>
      <c r="F155" s="289" t="inlineStr">
        <is>
          <t>07987</t>
        </is>
      </c>
      <c r="G155" s="290" t="n">
        <v>0</v>
      </c>
      <c r="H155" s="289" t="inlineStr">
        <is>
          <t>82066</t>
        </is>
      </c>
      <c r="I155" s="289" t="inlineStr">
        <is>
          <t>Серов Михаил Михайлович</t>
        </is>
      </c>
      <c r="J155" s="289" t="inlineStr">
        <is>
          <t>профессор</t>
        </is>
      </c>
      <c r="K155" s="289" t="n"/>
      <c r="L155" s="289" t="n"/>
      <c r="M155" s="12">
        <f>SUMIFS($E$2:$E$300,$A$2:$A$300,"осень",$I$2:$I$300,I155)</f>
        <v/>
      </c>
      <c r="N155" s="13">
        <f>SUMIFS($E$2:$E$300,$A$2:$A$300,"весна",$I$2:$I$300,I155)</f>
        <v/>
      </c>
      <c r="O155" s="14">
        <f>M155+N155</f>
        <v/>
      </c>
      <c r="P155" s="15">
        <f>O155/$P$1</f>
        <v/>
      </c>
    </row>
    <row r="156" ht="15.75" customHeight="1" s="2">
      <c r="A156" s="8" t="inlineStr">
        <is>
          <t>осень</t>
        </is>
      </c>
      <c r="B156" s="289" t="inlineStr">
        <is>
          <t>Физические основы и методы аддитивных технологий</t>
        </is>
      </c>
      <c r="C156" s="289" t="inlineStr">
        <is>
          <t>Зачет с оценкой</t>
        </is>
      </c>
      <c r="D156" s="289" t="inlineStr">
        <is>
          <t>Т11О-102М-19</t>
        </is>
      </c>
      <c r="E156" s="284" t="n">
        <v>3</v>
      </c>
      <c r="F156" s="289" t="inlineStr">
        <is>
          <t>07987</t>
        </is>
      </c>
      <c r="G156" s="290" t="n">
        <v>0</v>
      </c>
      <c r="H156" s="289" t="inlineStr">
        <is>
          <t>82066</t>
        </is>
      </c>
      <c r="I156" s="289" t="inlineStr">
        <is>
          <t>Серов Михаил Михайлович</t>
        </is>
      </c>
      <c r="J156" s="289" t="inlineStr">
        <is>
          <t>профессор</t>
        </is>
      </c>
      <c r="K156" s="289" t="n"/>
      <c r="L156" s="289" t="n"/>
      <c r="M156" s="12">
        <f>SUMIFS($E$2:$E$300,$A$2:$A$300,"осень",$I$2:$I$300,I156)</f>
        <v/>
      </c>
      <c r="N156" s="13">
        <f>SUMIFS($E$2:$E$300,$A$2:$A$300,"весна",$I$2:$I$300,I156)</f>
        <v/>
      </c>
      <c r="O156" s="14">
        <f>M156+N156</f>
        <v/>
      </c>
      <c r="P156" s="15">
        <f>O156/$P$1</f>
        <v/>
      </c>
    </row>
    <row r="157" ht="15.75" customHeight="1" s="2">
      <c r="A157" s="8" t="inlineStr">
        <is>
          <t>осень</t>
        </is>
      </c>
      <c r="B157" s="289" t="inlineStr">
        <is>
          <t>Физические основы и методы аддитивных технологий</t>
        </is>
      </c>
      <c r="C157" s="289" t="inlineStr">
        <is>
          <t>Зачет с оценкой</t>
        </is>
      </c>
      <c r="D157" s="289" t="inlineStr">
        <is>
          <t>Т11О-104М-19</t>
        </is>
      </c>
      <c r="E157" s="284" t="n">
        <v>3</v>
      </c>
      <c r="F157" s="289" t="inlineStr">
        <is>
          <t>07987</t>
        </is>
      </c>
      <c r="G157" s="290" t="n">
        <v>0</v>
      </c>
      <c r="H157" s="289" t="inlineStr">
        <is>
          <t>82066</t>
        </is>
      </c>
      <c r="I157" s="289" t="inlineStr">
        <is>
          <t>Серов Михаил Михайлович</t>
        </is>
      </c>
      <c r="J157" s="289" t="inlineStr">
        <is>
          <t>профессор</t>
        </is>
      </c>
      <c r="K157" s="289" t="n"/>
      <c r="L157" s="289" t="n"/>
      <c r="M157" s="12">
        <f>SUMIFS($E$2:$E$300,$A$2:$A$300,"осень",$I$2:$I$300,I157)</f>
        <v/>
      </c>
      <c r="N157" s="13">
        <f>SUMIFS($E$2:$E$300,$A$2:$A$300,"весна",$I$2:$I$300,I157)</f>
        <v/>
      </c>
      <c r="O157" s="14">
        <f>M157+N157</f>
        <v/>
      </c>
      <c r="P157" s="15">
        <f>O157/$P$1</f>
        <v/>
      </c>
    </row>
    <row r="158" ht="15.75" customHeight="1" s="2">
      <c r="A158" s="8" t="inlineStr">
        <is>
          <t>осень</t>
        </is>
      </c>
      <c r="B158" s="289" t="inlineStr">
        <is>
          <t>Физические основы и методы аддитивных технологий</t>
        </is>
      </c>
      <c r="C158" s="289" t="inlineStr">
        <is>
          <t>Зачет с оценкой</t>
        </is>
      </c>
      <c r="D158" s="289" t="inlineStr">
        <is>
          <t>Т11О-101М-19</t>
        </is>
      </c>
      <c r="E158" s="284" t="n">
        <v>3</v>
      </c>
      <c r="F158" s="289" t="inlineStr">
        <is>
          <t>07987</t>
        </is>
      </c>
      <c r="G158" s="290" t="n">
        <v>0</v>
      </c>
      <c r="H158" s="289" t="inlineStr">
        <is>
          <t>82066</t>
        </is>
      </c>
      <c r="I158" s="289" t="inlineStr">
        <is>
          <t>Серов Михаил Михайлович</t>
        </is>
      </c>
      <c r="J158" s="289" t="inlineStr">
        <is>
          <t>профессор</t>
        </is>
      </c>
      <c r="K158" s="289" t="n"/>
      <c r="L158" s="289" t="n"/>
      <c r="M158" s="12">
        <f>SUMIFS($E$2:$E$300,$A$2:$A$300,"осень",$I$2:$I$300,I158)</f>
        <v/>
      </c>
      <c r="N158" s="13">
        <f>SUMIFS($E$2:$E$300,$A$2:$A$300,"весна",$I$2:$I$300,I158)</f>
        <v/>
      </c>
      <c r="O158" s="14">
        <f>M158+N158</f>
        <v/>
      </c>
      <c r="P158" s="15">
        <f>O158/$P$1</f>
        <v/>
      </c>
    </row>
    <row r="159" ht="15.75" customHeight="1" s="2">
      <c r="A159" s="8" t="inlineStr">
        <is>
          <t>осень</t>
        </is>
      </c>
      <c r="B159" s="289" t="inlineStr">
        <is>
          <t>Физические основы и методы аддитивных технологий</t>
        </is>
      </c>
      <c r="C159" s="289" t="inlineStr">
        <is>
          <t>Консультация</t>
        </is>
      </c>
      <c r="D159" s="289" t="inlineStr">
        <is>
          <t>Т11О-101М-19</t>
        </is>
      </c>
      <c r="E159" s="284" t="n">
        <v>1</v>
      </c>
      <c r="F159" s="289" t="inlineStr">
        <is>
          <t>07987</t>
        </is>
      </c>
      <c r="G159" s="290" t="n">
        <v>0</v>
      </c>
      <c r="H159" s="289" t="inlineStr">
        <is>
          <t>82066</t>
        </is>
      </c>
      <c r="I159" s="289" t="inlineStr">
        <is>
          <t>Серов Михаил Михайлович</t>
        </is>
      </c>
      <c r="J159" s="289" t="inlineStr">
        <is>
          <t>профессор</t>
        </is>
      </c>
      <c r="K159" s="289" t="n"/>
      <c r="L159" s="289" t="n"/>
      <c r="M159" s="12">
        <f>SUMIFS($E$2:$E$300,$A$2:$A$300,"осень",$I$2:$I$300,I159)</f>
        <v/>
      </c>
      <c r="N159" s="13">
        <f>SUMIFS($E$2:$E$300,$A$2:$A$300,"весна",$I$2:$I$300,I159)</f>
        <v/>
      </c>
      <c r="O159" s="14">
        <f>M159+N159</f>
        <v/>
      </c>
      <c r="P159" s="15">
        <f>O159/$P$1</f>
        <v/>
      </c>
    </row>
    <row r="160" ht="15.75" customHeight="1" s="2">
      <c r="A160" s="8" t="inlineStr">
        <is>
          <t>осень</t>
        </is>
      </c>
      <c r="B160" s="289" t="inlineStr">
        <is>
          <t>Физические основы и методы аддитивных технологий</t>
        </is>
      </c>
      <c r="C160" s="289" t="inlineStr">
        <is>
          <t>Консультация</t>
        </is>
      </c>
      <c r="D160" s="289" t="inlineStr">
        <is>
          <t>Т11О-102М-19</t>
        </is>
      </c>
      <c r="E160" s="284" t="n">
        <v>1</v>
      </c>
      <c r="F160" s="289" t="inlineStr">
        <is>
          <t>07987</t>
        </is>
      </c>
      <c r="G160" s="290" t="n">
        <v>0</v>
      </c>
      <c r="H160" s="289" t="inlineStr">
        <is>
          <t>82066</t>
        </is>
      </c>
      <c r="I160" s="289" t="inlineStr">
        <is>
          <t>Серов Михаил Михайлович</t>
        </is>
      </c>
      <c r="J160" s="289" t="inlineStr">
        <is>
          <t>профессор</t>
        </is>
      </c>
      <c r="K160" s="289" t="n"/>
      <c r="L160" s="289" t="n"/>
      <c r="M160" s="12">
        <f>SUMIFS($E$2:$E$300,$A$2:$A$300,"осень",$I$2:$I$300,I160)</f>
        <v/>
      </c>
      <c r="N160" s="13">
        <f>SUMIFS($E$2:$E$300,$A$2:$A$300,"весна",$I$2:$I$300,I160)</f>
        <v/>
      </c>
      <c r="O160" s="14">
        <f>M160+N160</f>
        <v/>
      </c>
      <c r="P160" s="15">
        <f>O160/$P$1</f>
        <v/>
      </c>
    </row>
    <row r="161" ht="15.75" customHeight="1" s="2">
      <c r="A161" s="8" t="inlineStr">
        <is>
          <t>осень</t>
        </is>
      </c>
      <c r="B161" s="289" t="inlineStr">
        <is>
          <t>Физические основы и методы аддитивных технологий</t>
        </is>
      </c>
      <c r="C161" s="289" t="inlineStr">
        <is>
          <t>ЛК</t>
        </is>
      </c>
      <c r="D161" s="289" t="inlineStr">
        <is>
          <t>Т11О-101М-19, Т11О-102М-19, Т11О-103М-19, Т11О-104М-19</t>
        </is>
      </c>
      <c r="E161" s="284" t="n">
        <v>12</v>
      </c>
      <c r="F161" s="289" t="inlineStr">
        <is>
          <t>07987</t>
        </is>
      </c>
      <c r="G161" s="284" t="n">
        <v>12</v>
      </c>
      <c r="H161" s="289" t="inlineStr">
        <is>
          <t>82066</t>
        </is>
      </c>
      <c r="I161" s="289" t="inlineStr">
        <is>
          <t>Серов Михаил Михайлович</t>
        </is>
      </c>
      <c r="J161" s="289" t="inlineStr">
        <is>
          <t>профессор</t>
        </is>
      </c>
      <c r="K161" s="289" t="n"/>
      <c r="L161" s="289" t="n"/>
      <c r="M161" s="12">
        <f>SUMIFS($E$2:$E$300,$A$2:$A$300,"осень",$I$2:$I$300,I161)</f>
        <v/>
      </c>
      <c r="N161" s="13">
        <f>SUMIFS($E$2:$E$300,$A$2:$A$300,"весна",$I$2:$I$300,I161)</f>
        <v/>
      </c>
      <c r="O161" s="14">
        <f>M161+N161</f>
        <v/>
      </c>
      <c r="P161" s="15">
        <f>O161/$P$1</f>
        <v/>
      </c>
    </row>
    <row r="162" ht="15.75" customHeight="1" s="2">
      <c r="A162" s="8" t="inlineStr">
        <is>
          <t>осень</t>
        </is>
      </c>
      <c r="B162" s="289" t="inlineStr">
        <is>
          <t>Физические основы и методы аддитивных технологий</t>
        </is>
      </c>
      <c r="C162" s="289" t="inlineStr">
        <is>
          <t>Консультация</t>
        </is>
      </c>
      <c r="D162" s="289" t="inlineStr">
        <is>
          <t>Т11О-104М-19</t>
        </is>
      </c>
      <c r="E162" s="284" t="n">
        <v>1</v>
      </c>
      <c r="F162" s="289" t="inlineStr">
        <is>
          <t>07987</t>
        </is>
      </c>
      <c r="G162" s="290" t="n">
        <v>0</v>
      </c>
      <c r="H162" s="289" t="inlineStr">
        <is>
          <t>82066</t>
        </is>
      </c>
      <c r="I162" s="289" t="inlineStr">
        <is>
          <t>Серов Михаил Михайлович</t>
        </is>
      </c>
      <c r="J162" s="289" t="inlineStr">
        <is>
          <t>профессор</t>
        </is>
      </c>
      <c r="K162" s="289" t="n"/>
      <c r="L162" s="289" t="n"/>
      <c r="M162" s="12">
        <f>SUMIFS($E$2:$E$300,$A$2:$A$300,"осень",$I$2:$I$300,I162)</f>
        <v/>
      </c>
      <c r="N162" s="13">
        <f>SUMIFS($E$2:$E$300,$A$2:$A$300,"весна",$I$2:$I$300,I162)</f>
        <v/>
      </c>
      <c r="O162" s="14">
        <f>M162+N162</f>
        <v/>
      </c>
      <c r="P162" s="15">
        <f>O162/$P$1</f>
        <v/>
      </c>
    </row>
    <row r="163" ht="15.75" customHeight="1" s="2">
      <c r="A163" s="8" t="inlineStr">
        <is>
          <t>весна</t>
        </is>
      </c>
      <c r="B163" s="289" t="inlineStr">
        <is>
          <t>Техническое документоведение (ЕСКД, ЕСТПП, ЕСТД)</t>
        </is>
      </c>
      <c r="C163" s="289" t="inlineStr">
        <is>
          <t>ЛК</t>
        </is>
      </c>
      <c r="D163" s="289" t="inlineStr">
        <is>
          <t>Т1В-312Б-17</t>
        </is>
      </c>
      <c r="E163" s="284" t="n">
        <v>16</v>
      </c>
      <c r="F163" s="289" t="inlineStr">
        <is>
          <t>08769</t>
        </is>
      </c>
      <c r="G163" s="284" t="n">
        <v>16</v>
      </c>
      <c r="H163" s="289" t="inlineStr">
        <is>
          <t>94222</t>
        </is>
      </c>
      <c r="I163" s="289" t="inlineStr">
        <is>
          <t>Кубатина Екатерина Павловна</t>
        </is>
      </c>
      <c r="J163" s="289" t="inlineStr">
        <is>
          <t>ассистент</t>
        </is>
      </c>
      <c r="K163" s="291" t="inlineStr">
        <is>
          <t>не заводить</t>
        </is>
      </c>
      <c r="L163" s="289" t="inlineStr">
        <is>
          <t>компенсировано</t>
        </is>
      </c>
      <c r="M163" s="12">
        <f>SUMIFS($E$2:$E$300,$A$2:$A$300,"осень",$I$2:$I$300,I163)</f>
        <v/>
      </c>
      <c r="N163" s="13">
        <f>SUMIFS($E$2:$E$300,$A$2:$A$300,"весна",$I$2:$I$300,I163)</f>
        <v/>
      </c>
      <c r="O163" s="14">
        <f>M163+N163</f>
        <v/>
      </c>
      <c r="P163" s="15">
        <f>O163/$P$1</f>
        <v/>
      </c>
    </row>
    <row r="164" ht="15.75" customHeight="1" s="2">
      <c r="A164" s="8" t="inlineStr">
        <is>
          <t>весна</t>
        </is>
      </c>
      <c r="B164" s="289" t="inlineStr">
        <is>
          <t>Техническое документоведение (ЕСКД, ЕСТПП, ЕСТД)</t>
        </is>
      </c>
      <c r="C164" s="292" t="inlineStr">
        <is>
          <t>ЛК</t>
        </is>
      </c>
      <c r="D164" s="289" t="inlineStr">
        <is>
          <t>Т1В-312Б-17</t>
        </is>
      </c>
      <c r="E164" s="284" t="n">
        <v>-16</v>
      </c>
      <c r="F164" s="289" t="inlineStr">
        <is>
          <t>08769</t>
        </is>
      </c>
      <c r="G164" s="284" t="n">
        <v>-16</v>
      </c>
      <c r="H164" s="289" t="inlineStr">
        <is>
          <t>82026</t>
        </is>
      </c>
      <c r="I164" s="289" t="inlineStr">
        <is>
          <t>Александрова Светлана Сергеевна</t>
        </is>
      </c>
      <c r="J164" s="289" t="inlineStr">
        <is>
          <t>доцент</t>
        </is>
      </c>
      <c r="K164" s="291" t="inlineStr">
        <is>
          <t>не заводить</t>
        </is>
      </c>
      <c r="L164" s="289" t="n"/>
      <c r="M164" s="12">
        <f>SUMIFS($E$2:$E$300,$A$2:$A$300,"осень",$I$2:$I$300,I164)</f>
        <v/>
      </c>
      <c r="N164" s="13">
        <f>SUMIFS($E$2:$E$300,$A$2:$A$300,"весна",$I$2:$I$300,I164)</f>
        <v/>
      </c>
      <c r="O164" s="14">
        <f>M164+N164</f>
        <v/>
      </c>
      <c r="P164" s="15">
        <f>O164/$P$1</f>
        <v/>
      </c>
    </row>
    <row r="165" ht="15.75" customHeight="1" s="2">
      <c r="A165" s="8" t="inlineStr">
        <is>
          <t>весна</t>
        </is>
      </c>
      <c r="B165" s="289" t="inlineStr">
        <is>
          <t>Техническое документоведение (ЕСКД, ЕСТПП, ЕСТД)</t>
        </is>
      </c>
      <c r="C165" s="292" t="inlineStr">
        <is>
          <t>ЛК</t>
        </is>
      </c>
      <c r="D165" s="289" t="inlineStr">
        <is>
          <t>Т1В-312Б-17</t>
        </is>
      </c>
      <c r="E165" s="284" t="n">
        <v>16</v>
      </c>
      <c r="F165" s="289" t="inlineStr">
        <is>
          <t>08769</t>
        </is>
      </c>
      <c r="G165" s="284" t="n">
        <v>16</v>
      </c>
      <c r="H165" s="289" t="inlineStr">
        <is>
          <t>82026</t>
        </is>
      </c>
      <c r="I165" s="289" t="inlineStr">
        <is>
          <t>Александрова Светлана Сергеевна</t>
        </is>
      </c>
      <c r="J165" s="289" t="inlineStr">
        <is>
          <t>доцент</t>
        </is>
      </c>
      <c r="K165" s="289" t="n"/>
      <c r="L165" s="289" t="inlineStr">
        <is>
          <t>Кубатина Екатерина Павловна</t>
        </is>
      </c>
      <c r="M165" s="12">
        <f>SUMIFS($E$2:$E$300,$A$2:$A$300,"осень",$I$2:$I$300,I165)</f>
        <v/>
      </c>
      <c r="N165" s="13">
        <f>SUMIFS($E$2:$E$300,$A$2:$A$300,"весна",$I$2:$I$300,I165)</f>
        <v/>
      </c>
      <c r="O165" s="14">
        <f>M165+N165</f>
        <v/>
      </c>
      <c r="P165" s="15">
        <f>O165/$P$1</f>
        <v/>
      </c>
    </row>
    <row r="166" ht="15.75" customHeight="1" s="2">
      <c r="A166" s="8" t="inlineStr">
        <is>
          <t>весна</t>
        </is>
      </c>
      <c r="B166" s="289" t="inlineStr">
        <is>
          <t>Техническое документоведение (ЕСКД, ЕСТПП, ЕСТД)</t>
        </is>
      </c>
      <c r="C166" s="289" t="inlineStr">
        <is>
          <t>ПЗ</t>
        </is>
      </c>
      <c r="D166" s="289" t="inlineStr">
        <is>
          <t>Т1В-312Б-17</t>
        </is>
      </c>
      <c r="E166" s="284" t="n">
        <v>18</v>
      </c>
      <c r="F166" s="289" t="inlineStr">
        <is>
          <t>08769</t>
        </is>
      </c>
      <c r="G166" s="284" t="n">
        <v>18</v>
      </c>
      <c r="H166" s="289" t="inlineStr">
        <is>
          <t>94222</t>
        </is>
      </c>
      <c r="I166" s="289" t="inlineStr">
        <is>
          <t>Кубатина Екатерина Павловна</t>
        </is>
      </c>
      <c r="J166" s="289" t="inlineStr">
        <is>
          <t>ассистент</t>
        </is>
      </c>
      <c r="K166" s="289" t="n"/>
      <c r="L166" s="289" t="n"/>
      <c r="M166" s="12">
        <f>SUMIFS($E$2:$E$300,$A$2:$A$300,"осень",$I$2:$I$300,I166)</f>
        <v/>
      </c>
      <c r="N166" s="13">
        <f>SUMIFS($E$2:$E$300,$A$2:$A$300,"весна",$I$2:$I$300,I166)</f>
        <v/>
      </c>
      <c r="O166" s="14">
        <f>M166+N166</f>
        <v/>
      </c>
      <c r="P166" s="15">
        <f>O166/$P$1</f>
        <v/>
      </c>
    </row>
    <row r="167" ht="15.75" customHeight="1" s="2">
      <c r="A167" s="8" t="inlineStr">
        <is>
          <t>весна</t>
        </is>
      </c>
      <c r="B167" s="289" t="inlineStr">
        <is>
          <t>Техническое документоведение (ЕСКД, ЕСТПП, ЕСТД)</t>
        </is>
      </c>
      <c r="C167" s="289" t="inlineStr">
        <is>
          <t>Зачет</t>
        </is>
      </c>
      <c r="D167" s="289" t="inlineStr">
        <is>
          <t>Т1В-312Б-17</t>
        </is>
      </c>
      <c r="E167" s="284" t="n">
        <v>5</v>
      </c>
      <c r="F167" s="289" t="inlineStr">
        <is>
          <t>08769</t>
        </is>
      </c>
      <c r="G167" s="290" t="n">
        <v>0</v>
      </c>
      <c r="H167" s="289" t="inlineStr">
        <is>
          <t>94222</t>
        </is>
      </c>
      <c r="I167" s="289" t="inlineStr">
        <is>
          <t>Кубатина Екатерина Павловна</t>
        </is>
      </c>
      <c r="J167" s="289" t="inlineStr">
        <is>
          <t>ассистент</t>
        </is>
      </c>
      <c r="K167" s="291" t="inlineStr">
        <is>
          <t>не заводить</t>
        </is>
      </c>
      <c r="L167" s="289" t="inlineStr">
        <is>
          <t>компенсировано</t>
        </is>
      </c>
      <c r="M167" s="12">
        <f>SUMIFS($E$2:$E$300,$A$2:$A$300,"осень",$I$2:$I$300,I167)</f>
        <v/>
      </c>
      <c r="N167" s="13">
        <f>SUMIFS($E$2:$E$300,$A$2:$A$300,"весна",$I$2:$I$300,I167)</f>
        <v/>
      </c>
      <c r="O167" s="14">
        <f>M167+N167</f>
        <v/>
      </c>
      <c r="P167" s="15">
        <f>O167/$P$1</f>
        <v/>
      </c>
    </row>
    <row r="168" ht="15.75" customHeight="1" s="2">
      <c r="A168" s="8" t="inlineStr">
        <is>
          <t>весна</t>
        </is>
      </c>
      <c r="B168" s="289" t="inlineStr">
        <is>
          <t>Техническое документоведение (ЕСКД, ЕСТПП, ЕСТД)</t>
        </is>
      </c>
      <c r="C168" s="292" t="inlineStr">
        <is>
          <t>Зачет</t>
        </is>
      </c>
      <c r="D168" s="289" t="inlineStr">
        <is>
          <t>Т1В-312Б-17</t>
        </is>
      </c>
      <c r="E168" s="284" t="n">
        <v>-5</v>
      </c>
      <c r="F168" s="289" t="inlineStr">
        <is>
          <t>08769</t>
        </is>
      </c>
      <c r="G168" s="290" t="n">
        <v>0</v>
      </c>
      <c r="H168" s="289" t="inlineStr">
        <is>
          <t>82026</t>
        </is>
      </c>
      <c r="I168" s="289" t="inlineStr">
        <is>
          <t>Александрова Светлана Сергеевна</t>
        </is>
      </c>
      <c r="J168" s="289" t="inlineStr">
        <is>
          <t>доцент</t>
        </is>
      </c>
      <c r="K168" s="291" t="inlineStr">
        <is>
          <t>не заводить</t>
        </is>
      </c>
      <c r="L168" s="289" t="n"/>
      <c r="M168" s="12">
        <f>SUMIFS($E$2:$E$300,$A$2:$A$300,"осень",$I$2:$I$300,I168)</f>
        <v/>
      </c>
      <c r="N168" s="13">
        <f>SUMIFS($E$2:$E$300,$A$2:$A$300,"весна",$I$2:$I$300,I168)</f>
        <v/>
      </c>
      <c r="O168" s="14">
        <f>M168+N168</f>
        <v/>
      </c>
      <c r="P168" s="15">
        <f>O168/$P$1</f>
        <v/>
      </c>
    </row>
    <row r="169" ht="15.75" customHeight="1" s="2">
      <c r="A169" s="8" t="inlineStr">
        <is>
          <t>весна</t>
        </is>
      </c>
      <c r="B169" s="289" t="inlineStr">
        <is>
          <t>Техническое документоведение (ЕСКД, ЕСТПП, ЕСТД)</t>
        </is>
      </c>
      <c r="C169" s="292" t="inlineStr">
        <is>
          <t>Зачет</t>
        </is>
      </c>
      <c r="D169" s="289" t="inlineStr">
        <is>
          <t>Т1В-312Б-17</t>
        </is>
      </c>
      <c r="E169" s="284" t="n">
        <v>5</v>
      </c>
      <c r="F169" s="289" t="inlineStr">
        <is>
          <t>08769</t>
        </is>
      </c>
      <c r="G169" s="290" t="n">
        <v>0</v>
      </c>
      <c r="H169" s="289" t="inlineStr">
        <is>
          <t>82026</t>
        </is>
      </c>
      <c r="I169" s="289" t="inlineStr">
        <is>
          <t>Александрова Светлана Сергеевна</t>
        </is>
      </c>
      <c r="J169" s="289" t="inlineStr">
        <is>
          <t>доцент</t>
        </is>
      </c>
      <c r="K169" s="289" t="n"/>
      <c r="L169" s="289" t="inlineStr">
        <is>
          <t>Кубатина Екатерина Павловна</t>
        </is>
      </c>
      <c r="M169" s="12">
        <f>SUMIFS($E$2:$E$300,$A$2:$A$300,"осень",$I$2:$I$300,I169)</f>
        <v/>
      </c>
      <c r="N169" s="13">
        <f>SUMIFS($E$2:$E$300,$A$2:$A$300,"весна",$I$2:$I$300,I169)</f>
        <v/>
      </c>
      <c r="O169" s="14">
        <f>M169+N169</f>
        <v/>
      </c>
      <c r="P169" s="15">
        <f>O169/$P$1</f>
        <v/>
      </c>
    </row>
    <row r="170" ht="15.75" customHeight="1" s="2">
      <c r="A170" s="8" t="inlineStr">
        <is>
          <t>весна</t>
        </is>
      </c>
      <c r="B170" s="289" t="inlineStr">
        <is>
          <t>Техническое документоведение (ЕСКД, ЕСТПП, ЕСТД)</t>
        </is>
      </c>
      <c r="C170" s="289" t="inlineStr">
        <is>
          <t>Консультация</t>
        </is>
      </c>
      <c r="D170" s="289" t="inlineStr">
        <is>
          <t>Т1В-312Б-17</t>
        </is>
      </c>
      <c r="E170" s="284" t="n">
        <v>2</v>
      </c>
      <c r="F170" s="289" t="inlineStr">
        <is>
          <t>08769</t>
        </is>
      </c>
      <c r="G170" s="290" t="n">
        <v>0</v>
      </c>
      <c r="H170" s="289" t="inlineStr">
        <is>
          <t>94222</t>
        </is>
      </c>
      <c r="I170" s="289" t="inlineStr">
        <is>
          <t>Кубатина Екатерина Павловна</t>
        </is>
      </c>
      <c r="J170" s="289" t="inlineStr">
        <is>
          <t>ассистент</t>
        </is>
      </c>
      <c r="K170" s="289" t="n"/>
      <c r="L170" s="289" t="n"/>
      <c r="M170" s="12">
        <f>SUMIFS($E$2:$E$300,$A$2:$A$300,"осень",$I$2:$I$300,I170)</f>
        <v/>
      </c>
      <c r="N170" s="13">
        <f>SUMIFS($E$2:$E$300,$A$2:$A$300,"весна",$I$2:$I$300,I170)</f>
        <v/>
      </c>
      <c r="O170" s="14">
        <f>M170+N170</f>
        <v/>
      </c>
      <c r="P170" s="15">
        <f>O170/$P$1</f>
        <v/>
      </c>
    </row>
    <row r="171" ht="15.75" customHeight="1" s="2">
      <c r="A171" s="8" t="inlineStr">
        <is>
          <t>весна</t>
        </is>
      </c>
      <c r="B171" s="289" t="inlineStr">
        <is>
          <t>История профессии</t>
        </is>
      </c>
      <c r="C171" s="289" t="inlineStr">
        <is>
          <t>ПЗ</t>
        </is>
      </c>
      <c r="D171" s="289" t="inlineStr">
        <is>
          <t>Т11О-101Б-19</t>
        </is>
      </c>
      <c r="E171" s="284" t="n">
        <v>8</v>
      </c>
      <c r="F171" s="289" t="inlineStr">
        <is>
          <t>08947</t>
        </is>
      </c>
      <c r="G171" s="284" t="n">
        <v>28</v>
      </c>
      <c r="H171" s="289" t="inlineStr">
        <is>
          <t>82066</t>
        </is>
      </c>
      <c r="I171" s="289" t="inlineStr">
        <is>
          <t>Серов Михаил Михайлович</t>
        </is>
      </c>
      <c r="J171" s="289" t="inlineStr">
        <is>
          <t>профессор</t>
        </is>
      </c>
      <c r="K171" s="289" t="n"/>
      <c r="L171" s="289" t="n"/>
      <c r="M171" s="12">
        <f>SUMIFS($E$2:$E$300,$A$2:$A$300,"осень",$I$2:$I$300,I171)</f>
        <v/>
      </c>
      <c r="N171" s="13">
        <f>SUMIFS($E$2:$E$300,$A$2:$A$300,"весна",$I$2:$I$300,I171)</f>
        <v/>
      </c>
      <c r="O171" s="14">
        <f>M171+N171</f>
        <v/>
      </c>
      <c r="P171" s="15">
        <f>O171/$P$1</f>
        <v/>
      </c>
    </row>
    <row r="172" ht="15.75" customHeight="1" s="2">
      <c r="A172" s="8" t="inlineStr">
        <is>
          <t>весна</t>
        </is>
      </c>
      <c r="B172" s="289" t="inlineStr">
        <is>
          <t>История профессии</t>
        </is>
      </c>
      <c r="C172" s="289" t="inlineStr">
        <is>
          <t>ПЗ</t>
        </is>
      </c>
      <c r="D172" s="289" t="inlineStr">
        <is>
          <t>Т11О-102Б-19</t>
        </is>
      </c>
      <c r="E172" s="284" t="n">
        <v>6</v>
      </c>
      <c r="F172" s="289" t="inlineStr">
        <is>
          <t>08947</t>
        </is>
      </c>
      <c r="G172" s="284" t="n">
        <v>28</v>
      </c>
      <c r="H172" s="289" t="inlineStr">
        <is>
          <t>82066</t>
        </is>
      </c>
      <c r="I172" s="289" t="inlineStr">
        <is>
          <t>Серов Михаил Михайлович</t>
        </is>
      </c>
      <c r="J172" s="289" t="inlineStr">
        <is>
          <t>профессор</t>
        </is>
      </c>
      <c r="K172" s="289" t="n"/>
      <c r="L172" s="289" t="n"/>
      <c r="M172" s="12">
        <f>SUMIFS($E$2:$E$300,$A$2:$A$300,"осень",$I$2:$I$300,I172)</f>
        <v/>
      </c>
      <c r="N172" s="13">
        <f>SUMIFS($E$2:$E$300,$A$2:$A$300,"весна",$I$2:$I$300,I172)</f>
        <v/>
      </c>
      <c r="O172" s="14">
        <f>M172+N172</f>
        <v/>
      </c>
      <c r="P172" s="15">
        <f>O172/$P$1</f>
        <v/>
      </c>
    </row>
    <row r="173" ht="15.75" customHeight="1" s="2">
      <c r="A173" s="8" t="inlineStr">
        <is>
          <t>весна</t>
        </is>
      </c>
      <c r="B173" s="289" t="inlineStr">
        <is>
          <t>Электрофизические технологии обработки материалов</t>
        </is>
      </c>
      <c r="C173" s="289" t="inlineStr">
        <is>
          <t>ЛК</t>
        </is>
      </c>
      <c r="D173" s="289" t="inlineStr">
        <is>
          <t>Т11О-103М-19</t>
        </is>
      </c>
      <c r="E173" s="284" t="n">
        <v>18</v>
      </c>
      <c r="F173" s="289" t="inlineStr">
        <is>
          <t>06203</t>
        </is>
      </c>
      <c r="G173" s="284" t="n">
        <v>18</v>
      </c>
      <c r="H173" s="289" t="inlineStr">
        <is>
          <t>93689</t>
        </is>
      </c>
      <c r="I173" s="289" t="inlineStr">
        <is>
          <t>Ленковец Александр Сергеевич</t>
        </is>
      </c>
      <c r="J173" s="289" t="inlineStr">
        <is>
          <t>ст. преподаватель</t>
        </is>
      </c>
      <c r="K173" s="289" t="n"/>
      <c r="L173" s="289" t="n"/>
      <c r="M173" s="12">
        <f>SUMIFS($E$2:$E$300,$A$2:$A$300,"осень",$I$2:$I$300,I173)</f>
        <v/>
      </c>
      <c r="N173" s="13">
        <f>SUMIFS($E$2:$E$300,$A$2:$A$300,"весна",$I$2:$I$300,I173)</f>
        <v/>
      </c>
      <c r="O173" s="14">
        <f>M173+N173</f>
        <v/>
      </c>
      <c r="P173" s="15">
        <f>O173/$P$1</f>
        <v/>
      </c>
    </row>
    <row r="174" ht="15.75" customHeight="1" s="2">
      <c r="A174" s="8" t="inlineStr">
        <is>
          <t>весна</t>
        </is>
      </c>
      <c r="B174" s="289" t="inlineStr">
        <is>
          <t>Электрофизические технологии обработки материалов</t>
        </is>
      </c>
      <c r="C174" s="289" t="inlineStr">
        <is>
          <t>КР</t>
        </is>
      </c>
      <c r="D174" s="289" t="inlineStr">
        <is>
          <t>Т11О-103М-19</t>
        </is>
      </c>
      <c r="E174" s="284" t="n">
        <v>24</v>
      </c>
      <c r="F174" s="289" t="inlineStr">
        <is>
          <t>06203</t>
        </is>
      </c>
      <c r="G174" s="290" t="n">
        <v>0</v>
      </c>
      <c r="H174" s="289" t="inlineStr">
        <is>
          <t>93689</t>
        </is>
      </c>
      <c r="I174" s="289" t="inlineStr">
        <is>
          <t>Ленковец Александр Сергеевич</t>
        </is>
      </c>
      <c r="J174" s="289" t="inlineStr">
        <is>
          <t>ст. преподаватель</t>
        </is>
      </c>
      <c r="K174" s="289" t="n"/>
      <c r="L174" s="289" t="n"/>
      <c r="M174" s="12">
        <f>SUMIFS($E$2:$E$300,$A$2:$A$300,"осень",$I$2:$I$300,I174)</f>
        <v/>
      </c>
      <c r="N174" s="13">
        <f>SUMIFS($E$2:$E$300,$A$2:$A$300,"весна",$I$2:$I$300,I174)</f>
        <v/>
      </c>
      <c r="O174" s="14">
        <f>M174+N174</f>
        <v/>
      </c>
      <c r="P174" s="15">
        <f>O174/$P$1</f>
        <v/>
      </c>
    </row>
    <row r="175" ht="15.75" customHeight="1" s="2">
      <c r="A175" s="8" t="inlineStr">
        <is>
          <t>весна</t>
        </is>
      </c>
      <c r="B175" s="289" t="inlineStr">
        <is>
          <t>Электрофизические технологии обработки материалов</t>
        </is>
      </c>
      <c r="C175" s="289" t="inlineStr">
        <is>
          <t>Зачет с оценкой</t>
        </is>
      </c>
      <c r="D175" s="289" t="inlineStr">
        <is>
          <t>Т11О-103М-19</t>
        </is>
      </c>
      <c r="E175" s="284" t="n">
        <v>3</v>
      </c>
      <c r="F175" s="289" t="inlineStr">
        <is>
          <t>06203</t>
        </is>
      </c>
      <c r="G175" s="290" t="n">
        <v>0</v>
      </c>
      <c r="H175" s="289" t="inlineStr">
        <is>
          <t>93689</t>
        </is>
      </c>
      <c r="I175" s="289" t="inlineStr">
        <is>
          <t>Ленковец Александр Сергеевич</t>
        </is>
      </c>
      <c r="J175" s="289" t="inlineStr">
        <is>
          <t>ст. преподаватель</t>
        </is>
      </c>
      <c r="K175" s="289" t="n"/>
      <c r="L175" s="289" t="n"/>
      <c r="M175" s="12">
        <f>SUMIFS($E$2:$E$300,$A$2:$A$300,"осень",$I$2:$I$300,I175)</f>
        <v/>
      </c>
      <c r="N175" s="13">
        <f>SUMIFS($E$2:$E$300,$A$2:$A$300,"весна",$I$2:$I$300,I175)</f>
        <v/>
      </c>
      <c r="O175" s="14">
        <f>M175+N175</f>
        <v/>
      </c>
      <c r="P175" s="15">
        <f>O175/$P$1</f>
        <v/>
      </c>
    </row>
    <row r="176" ht="15.75" customHeight="1" s="2">
      <c r="A176" s="8" t="inlineStr">
        <is>
          <t>весна</t>
        </is>
      </c>
      <c r="B176" s="289" t="inlineStr">
        <is>
          <t>Электрофизические технологии обработки материалов</t>
        </is>
      </c>
      <c r="C176" s="289" t="inlineStr">
        <is>
          <t>ПЗ</t>
        </is>
      </c>
      <c r="D176" s="289" t="inlineStr">
        <is>
          <t>Т11О-103М-19</t>
        </is>
      </c>
      <c r="E176" s="284" t="n">
        <v>36</v>
      </c>
      <c r="F176" s="289" t="inlineStr">
        <is>
          <t>06203</t>
        </is>
      </c>
      <c r="G176" s="284" t="n">
        <v>36</v>
      </c>
      <c r="H176" s="289" t="inlineStr">
        <is>
          <t>93689</t>
        </is>
      </c>
      <c r="I176" s="289" t="inlineStr">
        <is>
          <t>Ленковец Александр Сергеевич</t>
        </is>
      </c>
      <c r="J176" s="289" t="inlineStr">
        <is>
          <t>ст. преподаватель</t>
        </is>
      </c>
      <c r="K176" s="289" t="n"/>
      <c r="L176" s="289" t="n"/>
      <c r="M176" s="12">
        <f>SUMIFS($E$2:$E$300,$A$2:$A$300,"осень",$I$2:$I$300,I176)</f>
        <v/>
      </c>
      <c r="N176" s="13">
        <f>SUMIFS($E$2:$E$300,$A$2:$A$300,"весна",$I$2:$I$300,I176)</f>
        <v/>
      </c>
      <c r="O176" s="14">
        <f>M176+N176</f>
        <v/>
      </c>
      <c r="P176" s="15">
        <f>O176/$P$1</f>
        <v/>
      </c>
    </row>
    <row r="177" ht="15.75" customHeight="1" s="2">
      <c r="A177" s="8" t="inlineStr">
        <is>
          <t>весна</t>
        </is>
      </c>
      <c r="B177" s="289" t="inlineStr">
        <is>
          <t>Электрофизические технологии обработки материалов</t>
        </is>
      </c>
      <c r="C177" s="289" t="inlineStr">
        <is>
          <t>ЛР</t>
        </is>
      </c>
      <c r="D177" s="289" t="inlineStr">
        <is>
          <t>Т11О-103М-19</t>
        </is>
      </c>
      <c r="E177" s="284" t="n">
        <v>12</v>
      </c>
      <c r="F177" s="289" t="inlineStr">
        <is>
          <t>06203</t>
        </is>
      </c>
      <c r="G177" s="284" t="n">
        <v>12</v>
      </c>
      <c r="H177" s="289" t="inlineStr">
        <is>
          <t>82060</t>
        </is>
      </c>
      <c r="I177" s="289" t="inlineStr">
        <is>
          <t>Лозован Александр Александрович</t>
        </is>
      </c>
      <c r="J177" s="289" t="inlineStr">
        <is>
          <t>профессор</t>
        </is>
      </c>
      <c r="K177" s="289" t="n"/>
      <c r="L177" s="289" t="n"/>
      <c r="M177" s="12">
        <f>SUMIFS($E$2:$E$300,$A$2:$A$300,"осень",$I$2:$I$300,I177)</f>
        <v/>
      </c>
      <c r="N177" s="13">
        <f>SUMIFS($E$2:$E$300,$A$2:$A$300,"весна",$I$2:$I$300,I177)</f>
        <v/>
      </c>
      <c r="O177" s="14">
        <f>M177+N177</f>
        <v/>
      </c>
      <c r="P177" s="15">
        <f>O177/$P$1</f>
        <v/>
      </c>
    </row>
    <row r="178" ht="15.75" customHeight="1" s="2">
      <c r="A178" s="8" t="inlineStr">
        <is>
          <t>весна</t>
        </is>
      </c>
      <c r="B178" s="289" t="inlineStr">
        <is>
          <t>Электрофизические технологии обработки материалов</t>
        </is>
      </c>
      <c r="C178" s="289" t="inlineStr">
        <is>
          <t>Консультация</t>
        </is>
      </c>
      <c r="D178" s="289" t="inlineStr">
        <is>
          <t>Т11О-103М-19</t>
        </is>
      </c>
      <c r="E178" s="284" t="n">
        <v>1</v>
      </c>
      <c r="F178" s="289" t="inlineStr">
        <is>
          <t>06203</t>
        </is>
      </c>
      <c r="G178" s="290" t="n">
        <v>0</v>
      </c>
      <c r="H178" s="289" t="inlineStr">
        <is>
          <t>93689</t>
        </is>
      </c>
      <c r="I178" s="289" t="inlineStr">
        <is>
          <t>Ленковец Александр Сергеевич</t>
        </is>
      </c>
      <c r="J178" s="289" t="inlineStr">
        <is>
          <t>ст. преподаватель</t>
        </is>
      </c>
      <c r="K178" s="289" t="n"/>
      <c r="L178" s="289" t="n"/>
      <c r="M178" s="12">
        <f>SUMIFS($E$2:$E$300,$A$2:$A$300,"осень",$I$2:$I$300,I178)</f>
        <v/>
      </c>
      <c r="N178" s="13">
        <f>SUMIFS($E$2:$E$300,$A$2:$A$300,"весна",$I$2:$I$300,I178)</f>
        <v/>
      </c>
      <c r="O178" s="14">
        <f>M178+N178</f>
        <v/>
      </c>
      <c r="P178" s="15">
        <f>O178/$P$1</f>
        <v/>
      </c>
    </row>
    <row r="179" ht="15.75" customHeight="1" s="2">
      <c r="A179" s="8" t="inlineStr">
        <is>
          <t>весна</t>
        </is>
      </c>
      <c r="B179" s="289" t="inlineStr">
        <is>
          <t>Процессы порошковой металлургии</t>
        </is>
      </c>
      <c r="C179" s="289" t="inlineStr">
        <is>
          <t>ЛК</t>
        </is>
      </c>
      <c r="D179" s="289" t="inlineStr">
        <is>
          <t>Т11О-103М-19</t>
        </is>
      </c>
      <c r="E179" s="284" t="n">
        <v>24</v>
      </c>
      <c r="F179" s="289" t="inlineStr">
        <is>
          <t>06203</t>
        </is>
      </c>
      <c r="G179" s="284" t="n">
        <v>24</v>
      </c>
      <c r="H179" s="289" t="inlineStr">
        <is>
          <t>82066</t>
        </is>
      </c>
      <c r="I179" s="289" t="inlineStr">
        <is>
          <t>Серов Михаил Михайлович</t>
        </is>
      </c>
      <c r="J179" s="289" t="inlineStr">
        <is>
          <t>профессор</t>
        </is>
      </c>
      <c r="K179" s="289" t="n"/>
      <c r="L179" s="289" t="n"/>
      <c r="M179" s="12">
        <f>SUMIFS($E$2:$E$300,$A$2:$A$300,"осень",$I$2:$I$300,I179)</f>
        <v/>
      </c>
      <c r="N179" s="13">
        <f>SUMIFS($E$2:$E$300,$A$2:$A$300,"весна",$I$2:$I$300,I179)</f>
        <v/>
      </c>
      <c r="O179" s="14">
        <f>M179+N179</f>
        <v/>
      </c>
      <c r="P179" s="15">
        <f>O179/$P$1</f>
        <v/>
      </c>
    </row>
    <row r="180" ht="15.75" customHeight="1" s="2">
      <c r="A180" s="8" t="inlineStr">
        <is>
          <t>весна</t>
        </is>
      </c>
      <c r="B180" s="289" t="inlineStr">
        <is>
          <t>Процессы порошковой металлургии</t>
        </is>
      </c>
      <c r="C180" s="289" t="inlineStr">
        <is>
          <t>ЛК</t>
        </is>
      </c>
      <c r="D180" s="289" t="inlineStr">
        <is>
          <t>Т1О-301Б-17, Т1О-302Б-17, Т1О-303Б-17</t>
        </is>
      </c>
      <c r="E180" s="284" t="n">
        <v>32</v>
      </c>
      <c r="F180" s="289" t="inlineStr">
        <is>
          <t>08947</t>
        </is>
      </c>
      <c r="G180" s="284" t="n">
        <v>32</v>
      </c>
      <c r="H180" s="289" t="inlineStr">
        <is>
          <t>82066</t>
        </is>
      </c>
      <c r="I180" s="289" t="inlineStr">
        <is>
          <t>Серов Михаил Михайлович</t>
        </is>
      </c>
      <c r="J180" s="289" t="inlineStr">
        <is>
          <t>профессор</t>
        </is>
      </c>
      <c r="K180" s="289" t="n"/>
      <c r="L180" s="289" t="n"/>
      <c r="M180" s="12">
        <f>SUMIFS($E$2:$E$300,$A$2:$A$300,"осень",$I$2:$I$300,I180)</f>
        <v/>
      </c>
      <c r="N180" s="13">
        <f>SUMIFS($E$2:$E$300,$A$2:$A$300,"весна",$I$2:$I$300,I180)</f>
        <v/>
      </c>
      <c r="O180" s="14">
        <f>M180+N180</f>
        <v/>
      </c>
      <c r="P180" s="15">
        <f>O180/$P$1</f>
        <v/>
      </c>
    </row>
    <row r="181" ht="15.75" customHeight="1" s="2">
      <c r="A181" s="8" t="inlineStr">
        <is>
          <t>весна</t>
        </is>
      </c>
      <c r="B181" s="289" t="inlineStr">
        <is>
          <t>Процессы порошковой металлургии</t>
        </is>
      </c>
      <c r="C181" s="289" t="inlineStr">
        <is>
          <t>КР</t>
        </is>
      </c>
      <c r="D181" s="289" t="inlineStr">
        <is>
          <t>Т11О-103М-19</t>
        </is>
      </c>
      <c r="E181" s="284" t="n">
        <v>24</v>
      </c>
      <c r="F181" s="289" t="inlineStr">
        <is>
          <t>06203</t>
        </is>
      </c>
      <c r="G181" s="290" t="n">
        <v>0</v>
      </c>
      <c r="H181" s="289" t="inlineStr">
        <is>
          <t>82066</t>
        </is>
      </c>
      <c r="I181" s="289" t="inlineStr">
        <is>
          <t>Серов Михаил Михайлович</t>
        </is>
      </c>
      <c r="J181" s="289" t="inlineStr">
        <is>
          <t>профессор</t>
        </is>
      </c>
      <c r="K181" s="289" t="n"/>
      <c r="L181" s="289" t="n"/>
      <c r="M181" s="12">
        <f>SUMIFS($E$2:$E$300,$A$2:$A$300,"осень",$I$2:$I$300,I181)</f>
        <v/>
      </c>
      <c r="N181" s="13">
        <f>SUMIFS($E$2:$E$300,$A$2:$A$300,"весна",$I$2:$I$300,I181)</f>
        <v/>
      </c>
      <c r="O181" s="14">
        <f>M181+N181</f>
        <v/>
      </c>
      <c r="P181" s="15">
        <f>O181/$P$1</f>
        <v/>
      </c>
    </row>
    <row r="182" ht="15.75" customHeight="1" s="2">
      <c r="A182" s="8" t="inlineStr">
        <is>
          <t>весна</t>
        </is>
      </c>
      <c r="B182" s="289" t="inlineStr">
        <is>
          <t>Процессы порошковой металлургии</t>
        </is>
      </c>
      <c r="C182" s="289" t="inlineStr">
        <is>
          <t>ПЗ</t>
        </is>
      </c>
      <c r="D182" s="289" t="inlineStr">
        <is>
          <t>Т11О-103М-19</t>
        </is>
      </c>
      <c r="E182" s="284" t="n">
        <v>32</v>
      </c>
      <c r="F182" s="289" t="inlineStr">
        <is>
          <t>06203</t>
        </is>
      </c>
      <c r="G182" s="284" t="n">
        <v>32</v>
      </c>
      <c r="H182" s="289" t="inlineStr">
        <is>
          <t>82066</t>
        </is>
      </c>
      <c r="I182" s="289" t="inlineStr">
        <is>
          <t>Серов Михаил Михайлович</t>
        </is>
      </c>
      <c r="J182" s="289" t="inlineStr">
        <is>
          <t>профессор</t>
        </is>
      </c>
      <c r="K182" s="289" t="n"/>
      <c r="L182" s="289" t="n"/>
      <c r="M182" s="12">
        <f>SUMIFS($E$2:$E$300,$A$2:$A$300,"осень",$I$2:$I$300,I182)</f>
        <v/>
      </c>
      <c r="N182" s="13">
        <f>SUMIFS($E$2:$E$300,$A$2:$A$300,"весна",$I$2:$I$300,I182)</f>
        <v/>
      </c>
      <c r="O182" s="14">
        <f>M182+N182</f>
        <v/>
      </c>
      <c r="P182" s="15">
        <f>O182/$P$1</f>
        <v/>
      </c>
    </row>
    <row r="183" ht="15.75" customHeight="1" s="2">
      <c r="A183" s="8" t="inlineStr">
        <is>
          <t>весна</t>
        </is>
      </c>
      <c r="B183" s="289" t="inlineStr">
        <is>
          <t>Процессы порошковой металлургии</t>
        </is>
      </c>
      <c r="C183" s="289" t="inlineStr">
        <is>
          <t>ПЗ</t>
        </is>
      </c>
      <c r="D183" s="289" t="inlineStr">
        <is>
          <t>Т1О-301Б-17</t>
        </is>
      </c>
      <c r="E183" s="284" t="n">
        <v>20</v>
      </c>
      <c r="F183" s="289" t="inlineStr">
        <is>
          <t>08947</t>
        </is>
      </c>
      <c r="G183" s="284" t="n">
        <v>20</v>
      </c>
      <c r="H183" s="289" t="inlineStr">
        <is>
          <t>82066</t>
        </is>
      </c>
      <c r="I183" s="289" t="inlineStr">
        <is>
          <t>Серов Михаил Михайлович</t>
        </is>
      </c>
      <c r="J183" s="289" t="inlineStr">
        <is>
          <t>профессор</t>
        </is>
      </c>
      <c r="K183" s="289" t="n"/>
      <c r="L183" s="289" t="n"/>
      <c r="M183" s="12">
        <f>SUMIFS($E$2:$E$300,$A$2:$A$300,"осень",$I$2:$I$300,I183)</f>
        <v/>
      </c>
      <c r="N183" s="13">
        <f>SUMIFS($E$2:$E$300,$A$2:$A$300,"весна",$I$2:$I$300,I183)</f>
        <v/>
      </c>
      <c r="O183" s="14">
        <f>M183+N183</f>
        <v/>
      </c>
      <c r="P183" s="15">
        <f>O183/$P$1</f>
        <v/>
      </c>
    </row>
    <row r="184" ht="15.75" customHeight="1" s="2">
      <c r="A184" s="8" t="inlineStr">
        <is>
          <t>весна</t>
        </is>
      </c>
      <c r="B184" s="289" t="inlineStr">
        <is>
          <t>Процессы порошковой металлургии</t>
        </is>
      </c>
      <c r="C184" s="289" t="inlineStr">
        <is>
          <t>ПЗ</t>
        </is>
      </c>
      <c r="D184" s="289" t="inlineStr">
        <is>
          <t>Т1О-303Б-17</t>
        </is>
      </c>
      <c r="E184" s="284" t="n">
        <v>20</v>
      </c>
      <c r="F184" s="289" t="inlineStr">
        <is>
          <t>08947</t>
        </is>
      </c>
      <c r="G184" s="284" t="n">
        <v>20</v>
      </c>
      <c r="H184" s="289" t="inlineStr">
        <is>
          <t>82066</t>
        </is>
      </c>
      <c r="I184" s="289" t="inlineStr">
        <is>
          <t>Серов Михаил Михайлович</t>
        </is>
      </c>
      <c r="J184" s="289" t="inlineStr">
        <is>
          <t>профессор</t>
        </is>
      </c>
      <c r="K184" s="289" t="n"/>
      <c r="L184" s="289" t="n"/>
      <c r="M184" s="12">
        <f>SUMIFS($E$2:$E$300,$A$2:$A$300,"осень",$I$2:$I$300,I184)</f>
        <v/>
      </c>
      <c r="N184" s="13">
        <f>SUMIFS($E$2:$E$300,$A$2:$A$300,"весна",$I$2:$I$300,I184)</f>
        <v/>
      </c>
      <c r="O184" s="14">
        <f>M184+N184</f>
        <v/>
      </c>
      <c r="P184" s="15">
        <f>O184/$P$1</f>
        <v/>
      </c>
    </row>
    <row r="185" ht="15.75" customHeight="1" s="2">
      <c r="A185" s="8" t="inlineStr">
        <is>
          <t>весна</t>
        </is>
      </c>
      <c r="B185" s="289" t="inlineStr">
        <is>
          <t>Процессы порошковой металлургии</t>
        </is>
      </c>
      <c r="C185" s="289" t="inlineStr">
        <is>
          <t>ПЗ</t>
        </is>
      </c>
      <c r="D185" s="289" t="inlineStr">
        <is>
          <t>Т1О-302Б-17</t>
        </is>
      </c>
      <c r="E185" s="284" t="n">
        <v>20</v>
      </c>
      <c r="F185" s="289" t="inlineStr">
        <is>
          <t>08947</t>
        </is>
      </c>
      <c r="G185" s="284" t="n">
        <v>20</v>
      </c>
      <c r="H185" s="289" t="inlineStr">
        <is>
          <t>82066</t>
        </is>
      </c>
      <c r="I185" s="289" t="inlineStr">
        <is>
          <t>Серов Михаил Михайлович</t>
        </is>
      </c>
      <c r="J185" s="289" t="inlineStr">
        <is>
          <t>профессор</t>
        </is>
      </c>
      <c r="K185" s="289" t="n"/>
      <c r="L185" s="289" t="n"/>
      <c r="M185" s="12">
        <f>SUMIFS($E$2:$E$300,$A$2:$A$300,"осень",$I$2:$I$300,I185)</f>
        <v/>
      </c>
      <c r="N185" s="13">
        <f>SUMIFS($E$2:$E$300,$A$2:$A$300,"весна",$I$2:$I$300,I185)</f>
        <v/>
      </c>
      <c r="O185" s="14">
        <f>M185+N185</f>
        <v/>
      </c>
      <c r="P185" s="15">
        <f>O185/$P$1</f>
        <v/>
      </c>
    </row>
    <row r="186" ht="15.75" customHeight="1" s="2">
      <c r="A186" s="8" t="inlineStr">
        <is>
          <t>весна</t>
        </is>
      </c>
      <c r="B186" s="289" t="inlineStr">
        <is>
          <t>Процессы порошковой металлургии</t>
        </is>
      </c>
      <c r="C186" s="289" t="inlineStr">
        <is>
          <t>ЛР</t>
        </is>
      </c>
      <c r="D186" s="289" t="inlineStr">
        <is>
          <t>Т11О-103М-19</t>
        </is>
      </c>
      <c r="E186" s="284" t="n">
        <v>8</v>
      </c>
      <c r="F186" s="289" t="inlineStr">
        <is>
          <t>06203</t>
        </is>
      </c>
      <c r="G186" s="284" t="n">
        <v>8</v>
      </c>
      <c r="H186" s="289" t="inlineStr">
        <is>
          <t>82066</t>
        </is>
      </c>
      <c r="I186" s="289" t="inlineStr">
        <is>
          <t>Серов Михаил Михайлович</t>
        </is>
      </c>
      <c r="J186" s="289" t="inlineStr">
        <is>
          <t>профессор</t>
        </is>
      </c>
      <c r="K186" s="289" t="n"/>
      <c r="L186" s="289" t="n"/>
      <c r="M186" s="12">
        <f>SUMIFS($E$2:$E$300,$A$2:$A$300,"осень",$I$2:$I$300,I186)</f>
        <v/>
      </c>
      <c r="N186" s="13">
        <f>SUMIFS($E$2:$E$300,$A$2:$A$300,"весна",$I$2:$I$300,I186)</f>
        <v/>
      </c>
      <c r="O186" s="14">
        <f>M186+N186</f>
        <v/>
      </c>
      <c r="P186" s="15">
        <f>O186/$P$1</f>
        <v/>
      </c>
    </row>
    <row r="187" ht="15.75" customHeight="1" s="2">
      <c r="A187" s="8" t="inlineStr">
        <is>
          <t>весна</t>
        </is>
      </c>
      <c r="B187" s="289" t="inlineStr">
        <is>
          <t>Процессы порошковой металлургии</t>
        </is>
      </c>
      <c r="C187" s="289" t="inlineStr">
        <is>
          <t>ЛР</t>
        </is>
      </c>
      <c r="D187" s="289" t="inlineStr">
        <is>
          <t>Т1О-301Б-17</t>
        </is>
      </c>
      <c r="E187" s="284" t="n">
        <v>16</v>
      </c>
      <c r="F187" s="289" t="inlineStr">
        <is>
          <t>08947</t>
        </is>
      </c>
      <c r="G187" s="284" t="n">
        <v>16</v>
      </c>
      <c r="H187" s="289" t="inlineStr">
        <is>
          <t>82066</t>
        </is>
      </c>
      <c r="I187" s="289" t="inlineStr">
        <is>
          <t>Серов Михаил Михайлович</t>
        </is>
      </c>
      <c r="J187" s="289" t="inlineStr">
        <is>
          <t>профессор</t>
        </is>
      </c>
      <c r="K187" s="289" t="n"/>
      <c r="L187" s="289" t="n"/>
      <c r="M187" s="12">
        <f>SUMIFS($E$2:$E$300,$A$2:$A$300,"осень",$I$2:$I$300,I187)</f>
        <v/>
      </c>
      <c r="N187" s="13">
        <f>SUMIFS($E$2:$E$300,$A$2:$A$300,"весна",$I$2:$I$300,I187)</f>
        <v/>
      </c>
      <c r="O187" s="14">
        <f>M187+N187</f>
        <v/>
      </c>
      <c r="P187" s="15">
        <f>O187/$P$1</f>
        <v/>
      </c>
    </row>
    <row r="188" ht="15.75" customHeight="1" s="2">
      <c r="A188" s="8" t="inlineStr">
        <is>
          <t>весна</t>
        </is>
      </c>
      <c r="B188" s="289" t="inlineStr">
        <is>
          <t>Процессы порошковой металлургии</t>
        </is>
      </c>
      <c r="C188" s="289" t="inlineStr">
        <is>
          <t>ЛР</t>
        </is>
      </c>
      <c r="D188" s="289" t="inlineStr">
        <is>
          <t>Т1О-303Б-17</t>
        </is>
      </c>
      <c r="E188" s="284" t="n">
        <v>32</v>
      </c>
      <c r="F188" s="289" t="inlineStr">
        <is>
          <t>08947</t>
        </is>
      </c>
      <c r="G188" s="284" t="n">
        <v>16</v>
      </c>
      <c r="H188" s="289" t="inlineStr">
        <is>
          <t>82066</t>
        </is>
      </c>
      <c r="I188" s="289" t="inlineStr">
        <is>
          <t>Серов Михаил Михайлович</t>
        </is>
      </c>
      <c r="J188" s="289" t="inlineStr">
        <is>
          <t>профессор</t>
        </is>
      </c>
      <c r="K188" s="289" t="n"/>
      <c r="L188" s="289" t="n"/>
      <c r="M188" s="12">
        <f>SUMIFS($E$2:$E$300,$A$2:$A$300,"осень",$I$2:$I$300,I188)</f>
        <v/>
      </c>
      <c r="N188" s="13">
        <f>SUMIFS($E$2:$E$300,$A$2:$A$300,"весна",$I$2:$I$300,I188)</f>
        <v/>
      </c>
      <c r="O188" s="14">
        <f>M188+N188</f>
        <v/>
      </c>
      <c r="P188" s="15">
        <f>O188/$P$1</f>
        <v/>
      </c>
    </row>
    <row r="189" ht="15.75" customHeight="1" s="2">
      <c r="A189" s="8" t="inlineStr">
        <is>
          <t>весна</t>
        </is>
      </c>
      <c r="B189" s="289" t="inlineStr">
        <is>
          <t>Процессы порошковой металлургии</t>
        </is>
      </c>
      <c r="C189" s="289" t="inlineStr">
        <is>
          <t>ЛР</t>
        </is>
      </c>
      <c r="D189" s="289" t="inlineStr">
        <is>
          <t>Т1О-302Б-17</t>
        </is>
      </c>
      <c r="E189" s="284" t="n">
        <v>16</v>
      </c>
      <c r="F189" s="289" t="inlineStr">
        <is>
          <t>08947</t>
        </is>
      </c>
      <c r="G189" s="284" t="n">
        <v>16</v>
      </c>
      <c r="H189" s="289" t="inlineStr">
        <is>
          <t>82066</t>
        </is>
      </c>
      <c r="I189" s="289" t="inlineStr">
        <is>
          <t>Серов Михаил Михайлович</t>
        </is>
      </c>
      <c r="J189" s="289" t="inlineStr">
        <is>
          <t>профессор</t>
        </is>
      </c>
      <c r="K189" s="289" t="n"/>
      <c r="L189" s="289" t="n"/>
      <c r="M189" s="12">
        <f>SUMIFS($E$2:$E$300,$A$2:$A$300,"осень",$I$2:$I$300,I189)</f>
        <v/>
      </c>
      <c r="N189" s="13">
        <f>SUMIFS($E$2:$E$300,$A$2:$A$300,"весна",$I$2:$I$300,I189)</f>
        <v/>
      </c>
      <c r="O189" s="14">
        <f>M189+N189</f>
        <v/>
      </c>
      <c r="P189" s="15">
        <f>O189/$P$1</f>
        <v/>
      </c>
    </row>
    <row r="190" ht="15.75" customHeight="1" s="2">
      <c r="A190" s="8" t="inlineStr">
        <is>
          <t>весна</t>
        </is>
      </c>
      <c r="B190" s="289" t="inlineStr">
        <is>
          <t>Процессы порошковой металлургии</t>
        </is>
      </c>
      <c r="C190" s="289" t="inlineStr">
        <is>
          <t>Экзамен</t>
        </is>
      </c>
      <c r="D190" s="289" t="inlineStr">
        <is>
          <t>Т11О-103М-19</t>
        </is>
      </c>
      <c r="E190" s="284" t="n">
        <v>4</v>
      </c>
      <c r="F190" s="289" t="inlineStr">
        <is>
          <t>06203</t>
        </is>
      </c>
      <c r="G190" s="290" t="n">
        <v>0</v>
      </c>
      <c r="H190" s="289" t="inlineStr">
        <is>
          <t>82066</t>
        </is>
      </c>
      <c r="I190" s="289" t="inlineStr">
        <is>
          <t>Серов Михаил Михайлович</t>
        </is>
      </c>
      <c r="J190" s="289" t="inlineStr">
        <is>
          <t>профессор</t>
        </is>
      </c>
      <c r="K190" s="289" t="n"/>
      <c r="L190" s="289" t="n"/>
      <c r="M190" s="12">
        <f>SUMIFS($E$2:$E$300,$A$2:$A$300,"осень",$I$2:$I$300,I190)</f>
        <v/>
      </c>
      <c r="N190" s="13">
        <f>SUMIFS($E$2:$E$300,$A$2:$A$300,"весна",$I$2:$I$300,I190)</f>
        <v/>
      </c>
      <c r="O190" s="14">
        <f>M190+N190</f>
        <v/>
      </c>
      <c r="P190" s="15">
        <f>O190/$P$1</f>
        <v/>
      </c>
    </row>
    <row r="191" ht="15.75" customHeight="1" s="2">
      <c r="A191" s="8" t="inlineStr">
        <is>
          <t>весна</t>
        </is>
      </c>
      <c r="B191" s="289" t="inlineStr">
        <is>
          <t>Процессы порошковой металлургии</t>
        </is>
      </c>
      <c r="C191" s="289" t="inlineStr">
        <is>
          <t>Экзамен</t>
        </is>
      </c>
      <c r="D191" s="289" t="inlineStr">
        <is>
          <t>Т1О-301Б-17</t>
        </is>
      </c>
      <c r="E191" s="284" t="n">
        <v>7</v>
      </c>
      <c r="F191" s="289" t="inlineStr">
        <is>
          <t>08947</t>
        </is>
      </c>
      <c r="G191" s="290" t="n">
        <v>0</v>
      </c>
      <c r="H191" s="289" t="inlineStr">
        <is>
          <t>82066</t>
        </is>
      </c>
      <c r="I191" s="289" t="inlineStr">
        <is>
          <t>Серов Михаил Михайлович</t>
        </is>
      </c>
      <c r="J191" s="289" t="inlineStr">
        <is>
          <t>профессор</t>
        </is>
      </c>
      <c r="K191" s="289" t="n"/>
      <c r="L191" s="289" t="n"/>
      <c r="M191" s="12">
        <f>SUMIFS($E$2:$E$300,$A$2:$A$300,"осень",$I$2:$I$300,I191)</f>
        <v/>
      </c>
      <c r="N191" s="13">
        <f>SUMIFS($E$2:$E$300,$A$2:$A$300,"весна",$I$2:$I$300,I191)</f>
        <v/>
      </c>
      <c r="O191" s="14">
        <f>M191+N191</f>
        <v/>
      </c>
      <c r="P191" s="15">
        <f>O191/$P$1</f>
        <v/>
      </c>
    </row>
    <row r="192" ht="15.75" customHeight="1" s="2">
      <c r="A192" s="8" t="inlineStr">
        <is>
          <t>весна</t>
        </is>
      </c>
      <c r="B192" s="289" t="inlineStr">
        <is>
          <t>Процессы порошковой металлургии</t>
        </is>
      </c>
      <c r="C192" s="289" t="inlineStr">
        <is>
          <t>Экзамен</t>
        </is>
      </c>
      <c r="D192" s="289" t="inlineStr">
        <is>
          <t>Т1О-303Б-17</t>
        </is>
      </c>
      <c r="E192" s="284" t="n">
        <v>9</v>
      </c>
      <c r="F192" s="289" t="inlineStr">
        <is>
          <t>08947</t>
        </is>
      </c>
      <c r="G192" s="290" t="n">
        <v>0</v>
      </c>
      <c r="H192" s="289" t="inlineStr">
        <is>
          <t>82066</t>
        </is>
      </c>
      <c r="I192" s="289" t="inlineStr">
        <is>
          <t>Серов Михаил Михайлович</t>
        </is>
      </c>
      <c r="J192" s="289" t="inlineStr">
        <is>
          <t>профессор</t>
        </is>
      </c>
      <c r="K192" s="289" t="n"/>
      <c r="L192" s="289" t="n"/>
      <c r="M192" s="12">
        <f>SUMIFS($E$2:$E$300,$A$2:$A$300,"осень",$I$2:$I$300,I192)</f>
        <v/>
      </c>
      <c r="N192" s="13">
        <f>SUMIFS($E$2:$E$300,$A$2:$A$300,"весна",$I$2:$I$300,I192)</f>
        <v/>
      </c>
      <c r="O192" s="14">
        <f>M192+N192</f>
        <v/>
      </c>
      <c r="P192" s="15">
        <f>O192/$P$1</f>
        <v/>
      </c>
    </row>
    <row r="193" ht="15.75" customHeight="1" s="2">
      <c r="A193" s="8" t="inlineStr">
        <is>
          <t>весна</t>
        </is>
      </c>
      <c r="B193" s="289" t="inlineStr">
        <is>
          <t>Процессы порошковой металлургии</t>
        </is>
      </c>
      <c r="C193" s="289" t="inlineStr">
        <is>
          <t>Экзамен</t>
        </is>
      </c>
      <c r="D193" s="289" t="inlineStr">
        <is>
          <t>Т1О-302Б-17</t>
        </is>
      </c>
      <c r="E193" s="284" t="n">
        <v>5</v>
      </c>
      <c r="F193" s="289" t="inlineStr">
        <is>
          <t>08947</t>
        </is>
      </c>
      <c r="G193" s="290" t="n">
        <v>0</v>
      </c>
      <c r="H193" s="289" t="inlineStr">
        <is>
          <t>82066</t>
        </is>
      </c>
      <c r="I193" s="289" t="inlineStr">
        <is>
          <t>Серов Михаил Михайлович</t>
        </is>
      </c>
      <c r="J193" s="289" t="inlineStr">
        <is>
          <t>профессор</t>
        </is>
      </c>
      <c r="K193" s="289" t="n"/>
      <c r="L193" s="289" t="n"/>
      <c r="M193" s="12">
        <f>SUMIFS($E$2:$E$300,$A$2:$A$300,"осень",$I$2:$I$300,I193)</f>
        <v/>
      </c>
      <c r="N193" s="13">
        <f>SUMIFS($E$2:$E$300,$A$2:$A$300,"весна",$I$2:$I$300,I193)</f>
        <v/>
      </c>
      <c r="O193" s="14">
        <f>M193+N193</f>
        <v/>
      </c>
      <c r="P193" s="15">
        <f>O193/$P$1</f>
        <v/>
      </c>
    </row>
    <row r="194" ht="15.75" customHeight="1" s="2">
      <c r="A194" s="8" t="inlineStr">
        <is>
          <t>весна</t>
        </is>
      </c>
      <c r="B194" s="289" t="inlineStr">
        <is>
          <t>Процессы порошковой металлургии</t>
        </is>
      </c>
      <c r="C194" s="289" t="inlineStr">
        <is>
          <t>Консультация</t>
        </is>
      </c>
      <c r="D194" s="289" t="inlineStr">
        <is>
          <t>Т11О-103М-19</t>
        </is>
      </c>
      <c r="E194" s="284" t="n">
        <v>3</v>
      </c>
      <c r="F194" s="289" t="inlineStr">
        <is>
          <t>06203</t>
        </is>
      </c>
      <c r="G194" s="290" t="n">
        <v>0</v>
      </c>
      <c r="H194" s="289" t="inlineStr">
        <is>
          <t>82066</t>
        </is>
      </c>
      <c r="I194" s="289" t="inlineStr">
        <is>
          <t>Серов Михаил Михайлович</t>
        </is>
      </c>
      <c r="J194" s="289" t="inlineStr">
        <is>
          <t>профессор</t>
        </is>
      </c>
      <c r="K194" s="289" t="n"/>
      <c r="L194" s="289" t="n"/>
      <c r="M194" s="12">
        <f>SUMIFS($E$2:$E$300,$A$2:$A$300,"осень",$I$2:$I$300,I194)</f>
        <v/>
      </c>
      <c r="N194" s="13">
        <f>SUMIFS($E$2:$E$300,$A$2:$A$300,"весна",$I$2:$I$300,I194)</f>
        <v/>
      </c>
      <c r="O194" s="14">
        <f>M194+N194</f>
        <v/>
      </c>
      <c r="P194" s="15">
        <f>O194/$P$1</f>
        <v/>
      </c>
    </row>
    <row r="195" ht="15.75" customHeight="1" s="2">
      <c r="A195" s="8" t="inlineStr">
        <is>
          <t>весна</t>
        </is>
      </c>
      <c r="B195" s="289" t="inlineStr">
        <is>
          <t>Процессы порошковой металлургии</t>
        </is>
      </c>
      <c r="C195" s="289" t="inlineStr">
        <is>
          <t>Консультация</t>
        </is>
      </c>
      <c r="D195" s="289" t="inlineStr">
        <is>
          <t>Т1О-301Б-17</t>
        </is>
      </c>
      <c r="E195" s="284" t="n">
        <v>4</v>
      </c>
      <c r="F195" s="289" t="inlineStr">
        <is>
          <t>08947</t>
        </is>
      </c>
      <c r="G195" s="290" t="n">
        <v>0</v>
      </c>
      <c r="H195" s="289" t="inlineStr">
        <is>
          <t>82066</t>
        </is>
      </c>
      <c r="I195" s="289" t="inlineStr">
        <is>
          <t>Серов Михаил Михайлович</t>
        </is>
      </c>
      <c r="J195" s="289" t="inlineStr">
        <is>
          <t>профессор</t>
        </is>
      </c>
      <c r="K195" s="289" t="n"/>
      <c r="L195" s="289" t="n"/>
      <c r="M195" s="12">
        <f>SUMIFS($E$2:$E$300,$A$2:$A$300,"осень",$I$2:$I$300,I195)</f>
        <v/>
      </c>
      <c r="N195" s="13">
        <f>SUMIFS($E$2:$E$300,$A$2:$A$300,"весна",$I$2:$I$300,I195)</f>
        <v/>
      </c>
      <c r="O195" s="14">
        <f>M195+N195</f>
        <v/>
      </c>
      <c r="P195" s="15">
        <f>O195/$P$1</f>
        <v/>
      </c>
    </row>
    <row r="196" ht="15.75" customHeight="1" s="2">
      <c r="A196" s="8" t="inlineStr">
        <is>
          <t>весна</t>
        </is>
      </c>
      <c r="B196" s="289" t="inlineStr">
        <is>
          <t>Процессы порошковой металлургии</t>
        </is>
      </c>
      <c r="C196" s="289" t="inlineStr">
        <is>
          <t>Консультация</t>
        </is>
      </c>
      <c r="D196" s="289" t="inlineStr">
        <is>
          <t>Т1О-303Б-17</t>
        </is>
      </c>
      <c r="E196" s="284" t="n">
        <v>4</v>
      </c>
      <c r="F196" s="289" t="inlineStr">
        <is>
          <t>08947</t>
        </is>
      </c>
      <c r="G196" s="290" t="n">
        <v>0</v>
      </c>
      <c r="H196" s="289" t="inlineStr">
        <is>
          <t>82066</t>
        </is>
      </c>
      <c r="I196" s="289" t="inlineStr">
        <is>
          <t>Серов Михаил Михайлович</t>
        </is>
      </c>
      <c r="J196" s="289" t="inlineStr">
        <is>
          <t>профессор</t>
        </is>
      </c>
      <c r="K196" s="289" t="n"/>
      <c r="L196" s="289" t="n"/>
      <c r="M196" s="12">
        <f>SUMIFS($E$2:$E$300,$A$2:$A$300,"осень",$I$2:$I$300,I196)</f>
        <v/>
      </c>
      <c r="N196" s="13">
        <f>SUMIFS($E$2:$E$300,$A$2:$A$300,"весна",$I$2:$I$300,I196)</f>
        <v/>
      </c>
      <c r="O196" s="14">
        <f>M196+N196</f>
        <v/>
      </c>
      <c r="P196" s="15">
        <f>O196/$P$1</f>
        <v/>
      </c>
    </row>
    <row r="197" ht="15.75" customHeight="1" s="2">
      <c r="A197" s="8" t="inlineStr">
        <is>
          <t>весна</t>
        </is>
      </c>
      <c r="B197" s="289" t="inlineStr">
        <is>
          <t>Процессы порошковой металлургии</t>
        </is>
      </c>
      <c r="C197" s="289" t="inlineStr">
        <is>
          <t>Консультация</t>
        </is>
      </c>
      <c r="D197" s="289" t="inlineStr">
        <is>
          <t>Т1О-302Б-17</t>
        </is>
      </c>
      <c r="E197" s="284" t="n">
        <v>4</v>
      </c>
      <c r="F197" s="289" t="inlineStr">
        <is>
          <t>08947</t>
        </is>
      </c>
      <c r="G197" s="290" t="n">
        <v>0</v>
      </c>
      <c r="H197" s="289" t="inlineStr">
        <is>
          <t>82066</t>
        </is>
      </c>
      <c r="I197" s="289" t="inlineStr">
        <is>
          <t>Серов Михаил Михайлович</t>
        </is>
      </c>
      <c r="J197" s="289" t="inlineStr">
        <is>
          <t>профессор</t>
        </is>
      </c>
      <c r="K197" s="289" t="n"/>
      <c r="L197" s="289" t="n"/>
      <c r="M197" s="12">
        <f>SUMIFS($E$2:$E$300,$A$2:$A$300,"осень",$I$2:$I$300,I197)</f>
        <v/>
      </c>
      <c r="N197" s="13">
        <f>SUMIFS($E$2:$E$300,$A$2:$A$300,"весна",$I$2:$I$300,I197)</f>
        <v/>
      </c>
      <c r="O197" s="14">
        <f>M197+N197</f>
        <v/>
      </c>
      <c r="P197" s="15">
        <f>O197/$P$1</f>
        <v/>
      </c>
    </row>
    <row r="198" ht="15.75" customHeight="1" s="2">
      <c r="A198" s="8" t="inlineStr">
        <is>
          <t>весна</t>
        </is>
      </c>
      <c r="B198" s="289" t="inlineStr">
        <is>
          <t>Технология и оборудование вакуумных методов нанесения покрытий</t>
        </is>
      </c>
      <c r="C198" s="289" t="inlineStr">
        <is>
          <t>ЛК</t>
        </is>
      </c>
      <c r="D198" s="289" t="inlineStr">
        <is>
          <t>Т1О-404Б-16</t>
        </is>
      </c>
      <c r="E198" s="284" t="n">
        <v>12</v>
      </c>
      <c r="F198" s="289" t="inlineStr">
        <is>
          <t>04869</t>
        </is>
      </c>
      <c r="G198" s="284" t="n">
        <v>12</v>
      </c>
      <c r="H198" s="289" t="inlineStr">
        <is>
          <t>93689</t>
        </is>
      </c>
      <c r="I198" s="289" t="inlineStr">
        <is>
          <t>Ленковец Александр Сергеевич</t>
        </is>
      </c>
      <c r="J198" s="289" t="inlineStr">
        <is>
          <t>ст. преподаватель</t>
        </is>
      </c>
      <c r="K198" s="289" t="n"/>
      <c r="L198" s="289" t="inlineStr">
        <is>
          <t>только суббота!</t>
        </is>
      </c>
      <c r="M198" s="12">
        <f>SUMIFS($E$2:$E$300,$A$2:$A$300,"осень",$I$2:$I$300,I198)</f>
        <v/>
      </c>
      <c r="N198" s="13">
        <f>SUMIFS($E$2:$E$300,$A$2:$A$300,"весна",$I$2:$I$300,I198)</f>
        <v/>
      </c>
      <c r="O198" s="14">
        <f>M198+N198</f>
        <v/>
      </c>
      <c r="P198" s="15">
        <f>O198/$P$1</f>
        <v/>
      </c>
    </row>
    <row r="199" ht="15.75" customHeight="1" s="2">
      <c r="A199" s="8" t="inlineStr">
        <is>
          <t>весна</t>
        </is>
      </c>
      <c r="B199" s="289" t="inlineStr">
        <is>
          <t>Технология и оборудование вакуумных методов нанесения покрытий</t>
        </is>
      </c>
      <c r="C199" s="289" t="inlineStr">
        <is>
          <t>ПЗ</t>
        </is>
      </c>
      <c r="D199" s="289" t="inlineStr">
        <is>
          <t>Т1О-404Б-16</t>
        </is>
      </c>
      <c r="E199" s="284" t="n">
        <v>8</v>
      </c>
      <c r="F199" s="289" t="inlineStr">
        <is>
          <t>04869</t>
        </is>
      </c>
      <c r="G199" s="284" t="n">
        <v>8</v>
      </c>
      <c r="H199" s="289" t="inlineStr">
        <is>
          <t>93689</t>
        </is>
      </c>
      <c r="I199" s="289" t="inlineStr">
        <is>
          <t>Ленковец Александр Сергеевич</t>
        </is>
      </c>
      <c r="J199" s="289" t="inlineStr">
        <is>
          <t>ст. преподаватель</t>
        </is>
      </c>
      <c r="K199" s="289" t="n"/>
      <c r="L199" s="289" t="inlineStr">
        <is>
          <t>только суббота!</t>
        </is>
      </c>
      <c r="M199" s="12">
        <f>SUMIFS($E$2:$E$300,$A$2:$A$300,"осень",$I$2:$I$300,I199)</f>
        <v/>
      </c>
      <c r="N199" s="13">
        <f>SUMIFS($E$2:$E$300,$A$2:$A$300,"весна",$I$2:$I$300,I199)</f>
        <v/>
      </c>
      <c r="O199" s="14">
        <f>M199+N199</f>
        <v/>
      </c>
      <c r="P199" s="15">
        <f>O199/$P$1</f>
        <v/>
      </c>
    </row>
    <row r="200" ht="15.75" customHeight="1" s="2">
      <c r="A200" s="8" t="inlineStr">
        <is>
          <t>весна</t>
        </is>
      </c>
      <c r="B200" s="289" t="inlineStr">
        <is>
          <t>Технология и оборудование вакуумных методов нанесения покрытий</t>
        </is>
      </c>
      <c r="C200" s="289" t="inlineStr">
        <is>
          <t>ЛР</t>
        </is>
      </c>
      <c r="D200" s="289" t="inlineStr">
        <is>
          <t>Т1О-404Б-16</t>
        </is>
      </c>
      <c r="E200" s="284" t="n">
        <v>8</v>
      </c>
      <c r="F200" s="289" t="inlineStr">
        <is>
          <t>04869</t>
        </is>
      </c>
      <c r="G200" s="284" t="n">
        <v>8</v>
      </c>
      <c r="H200" s="289" t="inlineStr">
        <is>
          <t>82060</t>
        </is>
      </c>
      <c r="I200" s="289" t="inlineStr">
        <is>
          <t>Лозован Александр Александрович</t>
        </is>
      </c>
      <c r="J200" s="289" t="inlineStr">
        <is>
          <t>профессор</t>
        </is>
      </c>
      <c r="K200" s="289" t="n"/>
      <c r="L200" s="289" t="n"/>
      <c r="M200" s="12">
        <f>SUMIFS($E$2:$E$300,$A$2:$A$300,"осень",$I$2:$I$300,I200)</f>
        <v/>
      </c>
      <c r="N200" s="13">
        <f>SUMIFS($E$2:$E$300,$A$2:$A$300,"весна",$I$2:$I$300,I200)</f>
        <v/>
      </c>
      <c r="O200" s="14">
        <f>M200+N200</f>
        <v/>
      </c>
      <c r="P200" s="15">
        <f>O200/$P$1</f>
        <v/>
      </c>
    </row>
    <row r="201" ht="15.75" customHeight="1" s="2">
      <c r="A201" s="8" t="inlineStr">
        <is>
          <t>весна</t>
        </is>
      </c>
      <c r="B201" s="289" t="inlineStr">
        <is>
          <t>Технология и оборудование вакуумных методов нанесения покрытий</t>
        </is>
      </c>
      <c r="C201" s="289" t="inlineStr">
        <is>
          <t>Экзамен</t>
        </is>
      </c>
      <c r="D201" s="289" t="inlineStr">
        <is>
          <t>Т1О-404Б-16</t>
        </is>
      </c>
      <c r="E201" s="284" t="n">
        <v>7</v>
      </c>
      <c r="F201" s="289" t="inlineStr">
        <is>
          <t>04869</t>
        </is>
      </c>
      <c r="G201" s="290" t="n">
        <v>0</v>
      </c>
      <c r="H201" s="289" t="inlineStr">
        <is>
          <t>93689</t>
        </is>
      </c>
      <c r="I201" s="289" t="inlineStr">
        <is>
          <t>Ленковец Александр Сергеевич</t>
        </is>
      </c>
      <c r="J201" s="289" t="inlineStr">
        <is>
          <t>ст. преподаватель</t>
        </is>
      </c>
      <c r="K201" s="289" t="n"/>
      <c r="L201" s="289" t="inlineStr">
        <is>
          <t>только суббота!</t>
        </is>
      </c>
      <c r="M201" s="12">
        <f>SUMIFS($E$2:$E$300,$A$2:$A$300,"осень",$I$2:$I$300,I201)</f>
        <v/>
      </c>
      <c r="N201" s="13">
        <f>SUMIFS($E$2:$E$300,$A$2:$A$300,"весна",$I$2:$I$300,I201)</f>
        <v/>
      </c>
      <c r="O201" s="14">
        <f>M201+N201</f>
        <v/>
      </c>
      <c r="P201" s="15">
        <f>O201/$P$1</f>
        <v/>
      </c>
    </row>
    <row r="202" ht="15.75" customHeight="1" s="2">
      <c r="A202" s="8" t="inlineStr">
        <is>
          <t>весна</t>
        </is>
      </c>
      <c r="B202" s="289" t="inlineStr">
        <is>
          <t>Технология и оборудование вакуумных методов нанесения покрытий</t>
        </is>
      </c>
      <c r="C202" s="289" t="inlineStr">
        <is>
          <t>КСР</t>
        </is>
      </c>
      <c r="D202" s="289" t="inlineStr">
        <is>
          <t>Т1О-404Б-16</t>
        </is>
      </c>
      <c r="E202" s="284" t="n">
        <v>2</v>
      </c>
      <c r="F202" s="289" t="inlineStr">
        <is>
          <t>04869</t>
        </is>
      </c>
      <c r="G202" s="284" t="n">
        <v>2</v>
      </c>
      <c r="H202" s="289" t="inlineStr">
        <is>
          <t>93689</t>
        </is>
      </c>
      <c r="I202" s="289" t="inlineStr">
        <is>
          <t>Ленковец Александр Сергеевич</t>
        </is>
      </c>
      <c r="J202" s="289" t="inlineStr">
        <is>
          <t>ст. преподаватель</t>
        </is>
      </c>
      <c r="K202" s="289" t="n"/>
      <c r="L202" s="289" t="inlineStr">
        <is>
          <t>только суббота!</t>
        </is>
      </c>
      <c r="M202" s="12">
        <f>SUMIFS($E$2:$E$300,$A$2:$A$300,"осень",$I$2:$I$300,I202)</f>
        <v/>
      </c>
      <c r="N202" s="13">
        <f>SUMIFS($E$2:$E$300,$A$2:$A$300,"весна",$I$2:$I$300,I202)</f>
        <v/>
      </c>
      <c r="O202" s="14">
        <f>M202+N202</f>
        <v/>
      </c>
      <c r="P202" s="15">
        <f>O202/$P$1</f>
        <v/>
      </c>
    </row>
    <row r="203" ht="15.75" customHeight="1" s="2">
      <c r="A203" s="8" t="inlineStr">
        <is>
          <t>весна</t>
        </is>
      </c>
      <c r="B203" s="289" t="inlineStr">
        <is>
          <t>Технология и оборудование вакуумных методов нанесения покрытий</t>
        </is>
      </c>
      <c r="C203" s="289" t="inlineStr">
        <is>
          <t>Консультация</t>
        </is>
      </c>
      <c r="D203" s="289" t="inlineStr">
        <is>
          <t>Т1О-404Б-16</t>
        </is>
      </c>
      <c r="E203" s="284" t="n">
        <v>3</v>
      </c>
      <c r="F203" s="289" t="inlineStr">
        <is>
          <t>04869</t>
        </is>
      </c>
      <c r="G203" s="290" t="n">
        <v>0</v>
      </c>
      <c r="H203" s="289" t="inlineStr">
        <is>
          <t>93689</t>
        </is>
      </c>
      <c r="I203" s="289" t="inlineStr">
        <is>
          <t>Ленковец Александр Сергеевич</t>
        </is>
      </c>
      <c r="J203" s="289" t="inlineStr">
        <is>
          <t>ст. преподаватель</t>
        </is>
      </c>
      <c r="K203" s="289" t="n"/>
      <c r="L203" s="289" t="inlineStr">
        <is>
          <t>только суббота!</t>
        </is>
      </c>
      <c r="M203" s="12">
        <f>SUMIFS($E$2:$E$300,$A$2:$A$300,"осень",$I$2:$I$300,I203)</f>
        <v/>
      </c>
      <c r="N203" s="13">
        <f>SUMIFS($E$2:$E$300,$A$2:$A$300,"весна",$I$2:$I$300,I203)</f>
        <v/>
      </c>
      <c r="O203" s="14">
        <f>M203+N203</f>
        <v/>
      </c>
      <c r="P203" s="15">
        <f>O203/$P$1</f>
        <v/>
      </c>
    </row>
    <row r="204" ht="15.75" customHeight="1" s="2">
      <c r="A204" s="8" t="inlineStr">
        <is>
          <t>весна</t>
        </is>
      </c>
      <c r="B204" s="289" t="inlineStr">
        <is>
          <t>Разработка ресурсосберегающих технологий диффузионной сварки</t>
        </is>
      </c>
      <c r="C204" s="289" t="inlineStr">
        <is>
          <t>ЛК</t>
        </is>
      </c>
      <c r="D204" s="289" t="inlineStr">
        <is>
          <t>Т11О-103М-19</t>
        </is>
      </c>
      <c r="E204" s="284" t="n">
        <v>12</v>
      </c>
      <c r="F204" s="289" t="inlineStr">
        <is>
          <t>06203</t>
        </is>
      </c>
      <c r="G204" s="284" t="n">
        <v>12</v>
      </c>
      <c r="H204" s="289" t="inlineStr">
        <is>
          <t>82090</t>
        </is>
      </c>
      <c r="I204" s="289" t="inlineStr">
        <is>
          <t>Барабанова Ольга Алексеевна</t>
        </is>
      </c>
      <c r="J204" s="289" t="inlineStr">
        <is>
          <t>профессор</t>
        </is>
      </c>
      <c r="K204" s="289" t="n"/>
      <c r="L204" s="289" t="n"/>
      <c r="M204" s="12">
        <f>SUMIFS($E$2:$E$300,$A$2:$A$300,"осень",$I$2:$I$300,I204)</f>
        <v/>
      </c>
      <c r="N204" s="13">
        <f>SUMIFS($E$2:$E$300,$A$2:$A$300,"весна",$I$2:$I$300,I204)</f>
        <v/>
      </c>
      <c r="O204" s="14">
        <f>M204+N204</f>
        <v/>
      </c>
      <c r="P204" s="15">
        <f>O204/$P$1</f>
        <v/>
      </c>
    </row>
    <row r="205" ht="15.75" customHeight="1" s="2">
      <c r="A205" s="8" t="inlineStr">
        <is>
          <t>весна</t>
        </is>
      </c>
      <c r="B205" s="289" t="inlineStr">
        <is>
          <t>Разработка ресурсосберегающих технологий диффузионной сварки</t>
        </is>
      </c>
      <c r="C205" s="289" t="inlineStr">
        <is>
          <t>Зачет с оценкой</t>
        </is>
      </c>
      <c r="D205" s="289" t="inlineStr">
        <is>
          <t>Т11О-103М-19</t>
        </is>
      </c>
      <c r="E205" s="284" t="n">
        <v>3</v>
      </c>
      <c r="F205" s="289" t="inlineStr">
        <is>
          <t>06203</t>
        </is>
      </c>
      <c r="G205" s="290" t="n">
        <v>0</v>
      </c>
      <c r="H205" s="289" t="inlineStr">
        <is>
          <t>82090</t>
        </is>
      </c>
      <c r="I205" s="289" t="inlineStr">
        <is>
          <t>Барабанова Ольга Алексеевна</t>
        </is>
      </c>
      <c r="J205" s="289" t="inlineStr">
        <is>
          <t>профессор</t>
        </is>
      </c>
      <c r="K205" s="289" t="n"/>
      <c r="L205" s="289" t="n"/>
      <c r="M205" s="12">
        <f>SUMIFS($E$2:$E$300,$A$2:$A$300,"осень",$I$2:$I$300,I205)</f>
        <v/>
      </c>
      <c r="N205" s="13">
        <f>SUMIFS($E$2:$E$300,$A$2:$A$300,"весна",$I$2:$I$300,I205)</f>
        <v/>
      </c>
      <c r="O205" s="14">
        <f>M205+N205</f>
        <v/>
      </c>
      <c r="P205" s="15">
        <f>O205/$P$1</f>
        <v/>
      </c>
    </row>
    <row r="206" ht="15.75" customHeight="1" s="2">
      <c r="A206" s="8" t="inlineStr">
        <is>
          <t>весна</t>
        </is>
      </c>
      <c r="B206" s="289" t="inlineStr">
        <is>
          <t>Разработка ресурсосберегающих технологий диффузионной сварки</t>
        </is>
      </c>
      <c r="C206" s="289" t="inlineStr">
        <is>
          <t>ПЗ</t>
        </is>
      </c>
      <c r="D206" s="289" t="inlineStr">
        <is>
          <t>Т11О-103М-19</t>
        </is>
      </c>
      <c r="E206" s="284" t="n">
        <v>24</v>
      </c>
      <c r="F206" s="289" t="inlineStr">
        <is>
          <t>06203</t>
        </is>
      </c>
      <c r="G206" s="284" t="n">
        <v>24</v>
      </c>
      <c r="H206" s="289" t="inlineStr">
        <is>
          <t>82090</t>
        </is>
      </c>
      <c r="I206" s="289" t="inlineStr">
        <is>
          <t>Барабанова Ольга Алексеевна</t>
        </is>
      </c>
      <c r="J206" s="289" t="inlineStr">
        <is>
          <t>профессор</t>
        </is>
      </c>
      <c r="K206" s="289" t="n"/>
      <c r="L206" s="289" t="n"/>
      <c r="M206" s="12">
        <f>SUMIFS($E$2:$E$300,$A$2:$A$300,"осень",$I$2:$I$300,I206)</f>
        <v/>
      </c>
      <c r="N206" s="13">
        <f>SUMIFS($E$2:$E$300,$A$2:$A$300,"весна",$I$2:$I$300,I206)</f>
        <v/>
      </c>
      <c r="O206" s="14">
        <f>M206+N206</f>
        <v/>
      </c>
      <c r="P206" s="15">
        <f>O206/$P$1</f>
        <v/>
      </c>
    </row>
    <row r="207" ht="15.75" customHeight="1" s="2">
      <c r="A207" s="8" t="inlineStr">
        <is>
          <t>весна</t>
        </is>
      </c>
      <c r="B207" s="289" t="inlineStr">
        <is>
          <t>Разработка ресурсосберегающих технологий диффузионной сварки</t>
        </is>
      </c>
      <c r="C207" s="289" t="inlineStr">
        <is>
          <t>Консультация</t>
        </is>
      </c>
      <c r="D207" s="289" t="inlineStr">
        <is>
          <t>Т11О-103М-19</t>
        </is>
      </c>
      <c r="E207" s="284" t="n">
        <v>1</v>
      </c>
      <c r="F207" s="289" t="inlineStr">
        <is>
          <t>06203</t>
        </is>
      </c>
      <c r="G207" s="290" t="n">
        <v>0</v>
      </c>
      <c r="H207" s="289" t="inlineStr">
        <is>
          <t>82090</t>
        </is>
      </c>
      <c r="I207" s="289" t="inlineStr">
        <is>
          <t>Барабанова Ольга Алексеевна</t>
        </is>
      </c>
      <c r="J207" s="289" t="inlineStr">
        <is>
          <t>профессор</t>
        </is>
      </c>
      <c r="K207" s="289" t="n"/>
      <c r="L207" s="289" t="n"/>
      <c r="M207" s="12">
        <f>SUMIFS($E$2:$E$300,$A$2:$A$300,"осень",$I$2:$I$300,I207)</f>
        <v/>
      </c>
      <c r="N207" s="13">
        <f>SUMIFS($E$2:$E$300,$A$2:$A$300,"весна",$I$2:$I$300,I207)</f>
        <v/>
      </c>
      <c r="O207" s="14">
        <f>M207+N207</f>
        <v/>
      </c>
      <c r="P207" s="15">
        <f>O207/$P$1</f>
        <v/>
      </c>
    </row>
    <row r="208" ht="15.75" customHeight="1" s="2">
      <c r="A208" s="8" t="inlineStr">
        <is>
          <t>весна</t>
        </is>
      </c>
      <c r="B208" s="289" t="inlineStr">
        <is>
          <t>Физика и техника вакуума</t>
        </is>
      </c>
      <c r="C208" s="289" t="inlineStr">
        <is>
          <t>ЛК</t>
        </is>
      </c>
      <c r="D208" s="289" t="inlineStr">
        <is>
          <t>Т11О-103М-19</t>
        </is>
      </c>
      <c r="E208" s="284" t="n">
        <v>18</v>
      </c>
      <c r="F208" s="289" t="inlineStr">
        <is>
          <t>06203</t>
        </is>
      </c>
      <c r="G208" s="284" t="n">
        <v>18</v>
      </c>
      <c r="H208" s="289" t="inlineStr">
        <is>
          <t>82060</t>
        </is>
      </c>
      <c r="I208" s="289" t="inlineStr">
        <is>
          <t>Лозован Александр Александрович</t>
        </is>
      </c>
      <c r="J208" s="289" t="inlineStr">
        <is>
          <t>профессор</t>
        </is>
      </c>
      <c r="K208" s="289" t="n"/>
      <c r="L208" s="289" t="n"/>
      <c r="M208" s="12">
        <f>SUMIFS($E$2:$E$300,$A$2:$A$300,"осень",$I$2:$I$300,I208)</f>
        <v/>
      </c>
      <c r="N208" s="13">
        <f>SUMIFS($E$2:$E$300,$A$2:$A$300,"весна",$I$2:$I$300,I208)</f>
        <v/>
      </c>
      <c r="O208" s="14">
        <f>M208+N208</f>
        <v/>
      </c>
      <c r="P208" s="15">
        <f>O208/$P$1</f>
        <v/>
      </c>
    </row>
    <row r="209" ht="15.75" customHeight="1" s="2">
      <c r="A209" s="8" t="inlineStr">
        <is>
          <t>весна</t>
        </is>
      </c>
      <c r="B209" s="289" t="inlineStr">
        <is>
          <t>Физика и техника вакуума</t>
        </is>
      </c>
      <c r="C209" s="289" t="inlineStr">
        <is>
          <t>Зачет с оценкой</t>
        </is>
      </c>
      <c r="D209" s="289" t="inlineStr">
        <is>
          <t>Т11О-103М-19</t>
        </is>
      </c>
      <c r="E209" s="284" t="n">
        <v>3</v>
      </c>
      <c r="F209" s="289" t="inlineStr">
        <is>
          <t>06203</t>
        </is>
      </c>
      <c r="G209" s="290" t="n">
        <v>0</v>
      </c>
      <c r="H209" s="289" t="inlineStr">
        <is>
          <t>82060</t>
        </is>
      </c>
      <c r="I209" s="289" t="inlineStr">
        <is>
          <t>Лозован Александр Александрович</t>
        </is>
      </c>
      <c r="J209" s="289" t="inlineStr">
        <is>
          <t>профессор</t>
        </is>
      </c>
      <c r="K209" s="289" t="n"/>
      <c r="L209" s="289" t="n"/>
      <c r="M209" s="12">
        <f>SUMIFS($E$2:$E$300,$A$2:$A$300,"осень",$I$2:$I$300,I209)</f>
        <v/>
      </c>
      <c r="N209" s="13">
        <f>SUMIFS($E$2:$E$300,$A$2:$A$300,"весна",$I$2:$I$300,I209)</f>
        <v/>
      </c>
      <c r="O209" s="14">
        <f>M209+N209</f>
        <v/>
      </c>
      <c r="P209" s="15">
        <f>O209/$P$1</f>
        <v/>
      </c>
    </row>
    <row r="210" ht="15.75" customHeight="1" s="2">
      <c r="A210" s="8" t="inlineStr">
        <is>
          <t>весна</t>
        </is>
      </c>
      <c r="B210" s="289" t="inlineStr">
        <is>
          <t>Физика и техника вакуума</t>
        </is>
      </c>
      <c r="C210" s="289" t="inlineStr">
        <is>
          <t>ПЗ</t>
        </is>
      </c>
      <c r="D210" s="289" t="inlineStr">
        <is>
          <t>Т11О-103М-19</t>
        </is>
      </c>
      <c r="E210" s="284" t="n">
        <v>36</v>
      </c>
      <c r="F210" s="289" t="inlineStr">
        <is>
          <t>06203</t>
        </is>
      </c>
      <c r="G210" s="284" t="n">
        <v>36</v>
      </c>
      <c r="H210" s="289" t="inlineStr">
        <is>
          <t>82060</t>
        </is>
      </c>
      <c r="I210" s="289" t="inlineStr">
        <is>
          <t>Лозован Александр Александрович</t>
        </is>
      </c>
      <c r="J210" s="289" t="inlineStr">
        <is>
          <t>профессор</t>
        </is>
      </c>
      <c r="K210" s="289" t="n"/>
      <c r="L210" s="289" t="n"/>
      <c r="M210" s="12">
        <f>SUMIFS($E$2:$E$300,$A$2:$A$300,"осень",$I$2:$I$300,I210)</f>
        <v/>
      </c>
      <c r="N210" s="13">
        <f>SUMIFS($E$2:$E$300,$A$2:$A$300,"весна",$I$2:$I$300,I210)</f>
        <v/>
      </c>
      <c r="O210" s="14">
        <f>M210+N210</f>
        <v/>
      </c>
      <c r="P210" s="15">
        <f>O210/$P$1</f>
        <v/>
      </c>
    </row>
    <row r="211" ht="15.75" customHeight="1" s="2">
      <c r="A211" s="8" t="inlineStr">
        <is>
          <t>весна</t>
        </is>
      </c>
      <c r="B211" s="289" t="inlineStr">
        <is>
          <t>Физика и техника вакуума</t>
        </is>
      </c>
      <c r="C211" s="289" t="inlineStr">
        <is>
          <t>ЛР</t>
        </is>
      </c>
      <c r="D211" s="289" t="inlineStr">
        <is>
          <t>Т11О-103М-19</t>
        </is>
      </c>
      <c r="E211" s="284" t="n">
        <v>12</v>
      </c>
      <c r="F211" s="289" t="inlineStr">
        <is>
          <t>06203</t>
        </is>
      </c>
      <c r="G211" s="284" t="n">
        <v>12</v>
      </c>
      <c r="H211" s="289" t="inlineStr">
        <is>
          <t>82060</t>
        </is>
      </c>
      <c r="I211" s="289" t="inlineStr">
        <is>
          <t>Лозован Александр Александрович</t>
        </is>
      </c>
      <c r="J211" s="289" t="inlineStr">
        <is>
          <t>профессор</t>
        </is>
      </c>
      <c r="K211" s="289" t="n"/>
      <c r="L211" s="289" t="n"/>
      <c r="M211" s="12">
        <f>SUMIFS($E$2:$E$300,$A$2:$A$300,"осень",$I$2:$I$300,I211)</f>
        <v/>
      </c>
      <c r="N211" s="13">
        <f>SUMIFS($E$2:$E$300,$A$2:$A$300,"весна",$I$2:$I$300,I211)</f>
        <v/>
      </c>
      <c r="O211" s="14">
        <f>M211+N211</f>
        <v/>
      </c>
      <c r="P211" s="15">
        <f>O211/$P$1</f>
        <v/>
      </c>
    </row>
    <row r="212" ht="15.75" customHeight="1" s="2">
      <c r="A212" s="8" t="inlineStr">
        <is>
          <t>весна</t>
        </is>
      </c>
      <c r="B212" s="289" t="inlineStr">
        <is>
          <t>Физика и техника вакуума</t>
        </is>
      </c>
      <c r="C212" s="289" t="inlineStr">
        <is>
          <t>Консультация</t>
        </is>
      </c>
      <c r="D212" s="289" t="inlineStr">
        <is>
          <t>Т11О-103М-19</t>
        </is>
      </c>
      <c r="E212" s="284" t="n">
        <v>1</v>
      </c>
      <c r="F212" s="289" t="inlineStr">
        <is>
          <t>06203</t>
        </is>
      </c>
      <c r="G212" s="290" t="n">
        <v>0</v>
      </c>
      <c r="H212" s="289" t="inlineStr">
        <is>
          <t>82060</t>
        </is>
      </c>
      <c r="I212" s="289" t="inlineStr">
        <is>
          <t>Лозован Александр Александрович</t>
        </is>
      </c>
      <c r="J212" s="289" t="inlineStr">
        <is>
          <t>профессор</t>
        </is>
      </c>
      <c r="K212" s="289" t="n"/>
      <c r="L212" s="289" t="n"/>
      <c r="M212" s="12">
        <f>SUMIFS($E$2:$E$300,$A$2:$A$300,"осень",$I$2:$I$300,I212)</f>
        <v/>
      </c>
      <c r="N212" s="13">
        <f>SUMIFS($E$2:$E$300,$A$2:$A$300,"весна",$I$2:$I$300,I212)</f>
        <v/>
      </c>
      <c r="O212" s="14">
        <f>M212+N212</f>
        <v/>
      </c>
      <c r="P212" s="15">
        <f>O212/$P$1</f>
        <v/>
      </c>
    </row>
    <row r="213" ht="15.75" customHeight="1" s="2">
      <c r="A213" s="8" t="inlineStr">
        <is>
          <t>весна</t>
        </is>
      </c>
      <c r="B213" s="289" t="inlineStr">
        <is>
          <t>Металлургическая теплотехника</t>
        </is>
      </c>
      <c r="C213" s="289" t="inlineStr">
        <is>
          <t>ЛК</t>
        </is>
      </c>
      <c r="D213" s="289" t="inlineStr">
        <is>
          <t>Т1О-404Б-16</t>
        </is>
      </c>
      <c r="E213" s="284" t="n">
        <v>12</v>
      </c>
      <c r="F213" s="289" t="inlineStr">
        <is>
          <t>04869</t>
        </is>
      </c>
      <c r="G213" s="284" t="n">
        <v>12</v>
      </c>
      <c r="H213" s="289" t="inlineStr">
        <is>
          <t>94222</t>
        </is>
      </c>
      <c r="I213" s="289" t="inlineStr">
        <is>
          <t>Кубатина Екатерина Павловна</t>
        </is>
      </c>
      <c r="J213" s="289" t="inlineStr">
        <is>
          <t>ассистент</t>
        </is>
      </c>
      <c r="K213" s="291" t="inlineStr">
        <is>
          <t>не заводить</t>
        </is>
      </c>
      <c r="L213" s="289" t="inlineStr">
        <is>
          <t>компенсировано</t>
        </is>
      </c>
      <c r="M213" s="12">
        <f>SUMIFS($E$2:$E$300,$A$2:$A$300,"осень",$I$2:$I$300,I213)</f>
        <v/>
      </c>
      <c r="N213" s="13">
        <f>SUMIFS($E$2:$E$300,$A$2:$A$300,"весна",$I$2:$I$300,I213)</f>
        <v/>
      </c>
      <c r="O213" s="14">
        <f>M213+N213</f>
        <v/>
      </c>
      <c r="P213" s="15">
        <f>O213/$P$1</f>
        <v/>
      </c>
    </row>
    <row r="214" ht="15.75" customHeight="1" s="2">
      <c r="A214" s="8" t="inlineStr">
        <is>
          <t>весна</t>
        </is>
      </c>
      <c r="B214" s="289" t="inlineStr">
        <is>
          <t>Металлургическая теплотехника</t>
        </is>
      </c>
      <c r="C214" s="292" t="inlineStr">
        <is>
          <t>ЛК</t>
        </is>
      </c>
      <c r="D214" s="289" t="inlineStr">
        <is>
          <t>Т1О-404Б-16</t>
        </is>
      </c>
      <c r="E214" s="284" t="n">
        <v>-12</v>
      </c>
      <c r="F214" s="289" t="inlineStr">
        <is>
          <t>04869</t>
        </is>
      </c>
      <c r="G214" s="284" t="n">
        <v>12</v>
      </c>
      <c r="H214" s="289" t="inlineStr">
        <is>
          <t>82026</t>
        </is>
      </c>
      <c r="I214" s="289" t="inlineStr">
        <is>
          <t>Александрова Светлана Сергеевна</t>
        </is>
      </c>
      <c r="J214" s="289" t="inlineStr">
        <is>
          <t>доцент</t>
        </is>
      </c>
      <c r="K214" s="291" t="inlineStr">
        <is>
          <t>не заводить</t>
        </is>
      </c>
      <c r="L214" s="289" t="n"/>
      <c r="M214" s="12">
        <f>SUMIFS($E$2:$E$300,$A$2:$A$300,"осень",$I$2:$I$300,I214)</f>
        <v/>
      </c>
      <c r="N214" s="13">
        <f>SUMIFS($E$2:$E$300,$A$2:$A$300,"весна",$I$2:$I$300,I214)</f>
        <v/>
      </c>
      <c r="O214" s="14">
        <f>M214+N214</f>
        <v/>
      </c>
      <c r="P214" s="15">
        <f>O214/$P$1</f>
        <v/>
      </c>
    </row>
    <row r="215" ht="15.75" customHeight="1" s="2">
      <c r="A215" s="8" t="inlineStr">
        <is>
          <t>весна</t>
        </is>
      </c>
      <c r="B215" s="289" t="inlineStr">
        <is>
          <t>Металлургическая теплотехника</t>
        </is>
      </c>
      <c r="C215" s="292" t="inlineStr">
        <is>
          <t>ЛК</t>
        </is>
      </c>
      <c r="D215" s="289" t="inlineStr">
        <is>
          <t>Т1О-404Б-16</t>
        </is>
      </c>
      <c r="E215" s="284" t="n">
        <v>12</v>
      </c>
      <c r="F215" s="289" t="inlineStr">
        <is>
          <t>04869</t>
        </is>
      </c>
      <c r="G215" s="284" t="n">
        <v>12</v>
      </c>
      <c r="H215" s="289" t="inlineStr">
        <is>
          <t>82026</t>
        </is>
      </c>
      <c r="I215" s="289" t="inlineStr">
        <is>
          <t>Александрова Светлана Сергеевна</t>
        </is>
      </c>
      <c r="J215" s="289" t="inlineStr">
        <is>
          <t>доцент</t>
        </is>
      </c>
      <c r="K215" s="289" t="n"/>
      <c r="L215" s="289" t="inlineStr">
        <is>
          <t>Кубатина Екатерина Павловна</t>
        </is>
      </c>
      <c r="M215" s="12">
        <f>SUMIFS($E$2:$E$300,$A$2:$A$300,"осень",$I$2:$I$300,I215)</f>
        <v/>
      </c>
      <c r="N215" s="13">
        <f>SUMIFS($E$2:$E$300,$A$2:$A$300,"весна",$I$2:$I$300,I215)</f>
        <v/>
      </c>
      <c r="O215" s="14">
        <f>M215+N215</f>
        <v/>
      </c>
      <c r="P215" s="15">
        <f>O215/$P$1</f>
        <v/>
      </c>
    </row>
    <row r="216" ht="15.75" customHeight="1" s="2">
      <c r="A216" s="8" t="inlineStr">
        <is>
          <t>весна</t>
        </is>
      </c>
      <c r="B216" s="289" t="inlineStr">
        <is>
          <t>Металлургическая теплотехника</t>
        </is>
      </c>
      <c r="C216" s="289" t="inlineStr">
        <is>
          <t>КР</t>
        </is>
      </c>
      <c r="D216" s="289" t="inlineStr">
        <is>
          <t>Т1О-404Б-16</t>
        </is>
      </c>
      <c r="E216" s="284" t="n">
        <v>39</v>
      </c>
      <c r="F216" s="289" t="inlineStr">
        <is>
          <t>04869</t>
        </is>
      </c>
      <c r="G216" s="290" t="n">
        <v>0</v>
      </c>
      <c r="H216" s="289" t="inlineStr">
        <is>
          <t>94222</t>
        </is>
      </c>
      <c r="I216" s="289" t="inlineStr">
        <is>
          <t>Кубатина Екатерина Павловна</t>
        </is>
      </c>
      <c r="J216" s="289" t="inlineStr">
        <is>
          <t>ассистент</t>
        </is>
      </c>
      <c r="K216" s="289" t="n"/>
      <c r="L216" s="289" t="n"/>
      <c r="M216" s="12">
        <f>SUMIFS($E$2:$E$300,$A$2:$A$300,"осень",$I$2:$I$300,I216)</f>
        <v/>
      </c>
      <c r="N216" s="13">
        <f>SUMIFS($E$2:$E$300,$A$2:$A$300,"весна",$I$2:$I$300,I216)</f>
        <v/>
      </c>
      <c r="O216" s="14">
        <f>M216+N216</f>
        <v/>
      </c>
      <c r="P216" s="15">
        <f>O216/$P$1</f>
        <v/>
      </c>
    </row>
    <row r="217" ht="15.75" customHeight="1" s="2">
      <c r="A217" s="8" t="inlineStr">
        <is>
          <t>весна</t>
        </is>
      </c>
      <c r="B217" s="289" t="inlineStr">
        <is>
          <t>Металлургическая теплотехника</t>
        </is>
      </c>
      <c r="C217" s="289" t="inlineStr">
        <is>
          <t>Зачет с оценкой</t>
        </is>
      </c>
      <c r="D217" s="289" t="inlineStr">
        <is>
          <t>Т1О-404Б-16</t>
        </is>
      </c>
      <c r="E217" s="284" t="n">
        <v>5</v>
      </c>
      <c r="F217" s="289" t="inlineStr">
        <is>
          <t>04869</t>
        </is>
      </c>
      <c r="G217" s="290" t="n">
        <v>0</v>
      </c>
      <c r="H217" s="289" t="inlineStr">
        <is>
          <t>94222</t>
        </is>
      </c>
      <c r="I217" s="289" t="inlineStr">
        <is>
          <t>Кубатина Екатерина Павловна</t>
        </is>
      </c>
      <c r="J217" s="289" t="inlineStr">
        <is>
          <t>ассистент</t>
        </is>
      </c>
      <c r="K217" s="291" t="inlineStr">
        <is>
          <t>не заводить</t>
        </is>
      </c>
      <c r="L217" s="289" t="inlineStr">
        <is>
          <t>компенсировано</t>
        </is>
      </c>
      <c r="M217" s="12">
        <f>SUMIFS($E$2:$E$300,$A$2:$A$300,"осень",$I$2:$I$300,I217)</f>
        <v/>
      </c>
      <c r="N217" s="13">
        <f>SUMIFS($E$2:$E$300,$A$2:$A$300,"весна",$I$2:$I$300,I217)</f>
        <v/>
      </c>
      <c r="O217" s="14">
        <f>M217+N217</f>
        <v/>
      </c>
      <c r="P217" s="15">
        <f>O217/$P$1</f>
        <v/>
      </c>
    </row>
    <row r="218" ht="15.75" customHeight="1" s="2">
      <c r="A218" s="8" t="inlineStr">
        <is>
          <t>весна</t>
        </is>
      </c>
      <c r="B218" s="289" t="inlineStr">
        <is>
          <t>Металлургическая теплотехника</t>
        </is>
      </c>
      <c r="C218" s="292" t="inlineStr">
        <is>
          <t>Зачет с оценкой</t>
        </is>
      </c>
      <c r="D218" s="289" t="inlineStr">
        <is>
          <t>Т1О-404Б-16</t>
        </is>
      </c>
      <c r="E218" s="284" t="n">
        <v>-5</v>
      </c>
      <c r="F218" s="289" t="inlineStr">
        <is>
          <t>04869</t>
        </is>
      </c>
      <c r="G218" s="290" t="n">
        <v>0</v>
      </c>
      <c r="H218" s="289" t="inlineStr">
        <is>
          <t>82026</t>
        </is>
      </c>
      <c r="I218" s="289" t="inlineStr">
        <is>
          <t>Александрова Светлана Сергеевна</t>
        </is>
      </c>
      <c r="J218" s="289" t="inlineStr">
        <is>
          <t>доцент</t>
        </is>
      </c>
      <c r="K218" s="291" t="inlineStr">
        <is>
          <t>не заводить</t>
        </is>
      </c>
      <c r="L218" s="289" t="n"/>
      <c r="M218" s="12">
        <f>SUMIFS($E$2:$E$300,$A$2:$A$300,"осень",$I$2:$I$300,I218)</f>
        <v/>
      </c>
      <c r="N218" s="13">
        <f>SUMIFS($E$2:$E$300,$A$2:$A$300,"весна",$I$2:$I$300,I218)</f>
        <v/>
      </c>
      <c r="O218" s="14">
        <f>M218+N218</f>
        <v/>
      </c>
      <c r="P218" s="15">
        <f>O218/$P$1</f>
        <v/>
      </c>
    </row>
    <row r="219" ht="15.75" customHeight="1" s="2">
      <c r="A219" s="8" t="inlineStr">
        <is>
          <t>весна</t>
        </is>
      </c>
      <c r="B219" s="289" t="inlineStr">
        <is>
          <t>Металлургическая теплотехника</t>
        </is>
      </c>
      <c r="C219" s="292" t="inlineStr">
        <is>
          <t>Зачет с оценкой</t>
        </is>
      </c>
      <c r="D219" s="289" t="inlineStr">
        <is>
          <t>Т1О-404Б-16</t>
        </is>
      </c>
      <c r="E219" s="284" t="n">
        <v>5</v>
      </c>
      <c r="F219" s="289" t="inlineStr">
        <is>
          <t>04869</t>
        </is>
      </c>
      <c r="G219" s="290" t="n">
        <v>0</v>
      </c>
      <c r="H219" s="289" t="inlineStr">
        <is>
          <t>82026</t>
        </is>
      </c>
      <c r="I219" s="289" t="inlineStr">
        <is>
          <t>Александрова Светлана Сергеевна</t>
        </is>
      </c>
      <c r="J219" s="289" t="inlineStr">
        <is>
          <t>доцент</t>
        </is>
      </c>
      <c r="K219" s="289" t="n"/>
      <c r="L219" s="289" t="inlineStr">
        <is>
          <t>Кубатина Екатерина Павловна</t>
        </is>
      </c>
      <c r="M219" s="12">
        <f>SUMIFS($E$2:$E$300,$A$2:$A$300,"осень",$I$2:$I$300,I219)</f>
        <v/>
      </c>
      <c r="N219" s="13">
        <f>SUMIFS($E$2:$E$300,$A$2:$A$300,"весна",$I$2:$I$300,I219)</f>
        <v/>
      </c>
      <c r="O219" s="14">
        <f>M219+N219</f>
        <v/>
      </c>
      <c r="P219" s="15">
        <f>O219/$P$1</f>
        <v/>
      </c>
    </row>
    <row r="220" ht="15.75" customHeight="1" s="2">
      <c r="A220" s="8" t="inlineStr">
        <is>
          <t>весна</t>
        </is>
      </c>
      <c r="B220" s="289" t="inlineStr">
        <is>
          <t>Металлургическая теплотехника</t>
        </is>
      </c>
      <c r="C220" s="289" t="inlineStr">
        <is>
          <t>ПЗ</t>
        </is>
      </c>
      <c r="D220" s="289" t="inlineStr">
        <is>
          <t>Т1О-404Б-16</t>
        </is>
      </c>
      <c r="E220" s="284" t="n">
        <v>16</v>
      </c>
      <c r="F220" s="289" t="inlineStr">
        <is>
          <t>04869</t>
        </is>
      </c>
      <c r="G220" s="284" t="n">
        <v>16</v>
      </c>
      <c r="H220" s="289" t="inlineStr">
        <is>
          <t>94222</t>
        </is>
      </c>
      <c r="I220" s="289" t="inlineStr">
        <is>
          <t>Кубатина Екатерина Павловна</t>
        </is>
      </c>
      <c r="J220" s="289" t="inlineStr">
        <is>
          <t>ассистент</t>
        </is>
      </c>
      <c r="K220" s="289" t="n"/>
      <c r="L220" s="289" t="n"/>
      <c r="M220" s="12">
        <f>SUMIFS($E$2:$E$300,$A$2:$A$300,"осень",$I$2:$I$300,I220)</f>
        <v/>
      </c>
      <c r="N220" s="13">
        <f>SUMIFS($E$2:$E$300,$A$2:$A$300,"весна",$I$2:$I$300,I220)</f>
        <v/>
      </c>
      <c r="O220" s="14">
        <f>M220+N220</f>
        <v/>
      </c>
      <c r="P220" s="15">
        <f>O220/$P$1</f>
        <v/>
      </c>
    </row>
    <row r="221" ht="15.75" customHeight="1" s="2">
      <c r="A221" s="8" t="inlineStr">
        <is>
          <t>весна</t>
        </is>
      </c>
      <c r="B221" s="289" t="inlineStr">
        <is>
          <t>Металлургическая теплотехника</t>
        </is>
      </c>
      <c r="C221" s="289" t="inlineStr">
        <is>
          <t>КСР</t>
        </is>
      </c>
      <c r="D221" s="289" t="inlineStr">
        <is>
          <t>Т1О-404Б-16</t>
        </is>
      </c>
      <c r="E221" s="284" t="n">
        <v>8</v>
      </c>
      <c r="F221" s="289" t="inlineStr">
        <is>
          <t>04869</t>
        </is>
      </c>
      <c r="G221" s="284" t="n">
        <v>8</v>
      </c>
      <c r="H221" s="289" t="inlineStr">
        <is>
          <t>94222</t>
        </is>
      </c>
      <c r="I221" s="289" t="inlineStr">
        <is>
          <t>Кубатина Екатерина Павловна</t>
        </is>
      </c>
      <c r="J221" s="289" t="inlineStr">
        <is>
          <t>ассистент</t>
        </is>
      </c>
      <c r="K221" s="289" t="n"/>
      <c r="L221" s="289" t="n"/>
      <c r="M221" s="12">
        <f>SUMIFS($E$2:$E$300,$A$2:$A$300,"осень",$I$2:$I$300,I221)</f>
        <v/>
      </c>
      <c r="N221" s="13">
        <f>SUMIFS($E$2:$E$300,$A$2:$A$300,"весна",$I$2:$I$300,I221)</f>
        <v/>
      </c>
      <c r="O221" s="14">
        <f>M221+N221</f>
        <v/>
      </c>
      <c r="P221" s="15">
        <f>O221/$P$1</f>
        <v/>
      </c>
    </row>
    <row r="222" ht="15.75" customHeight="1" s="2">
      <c r="A222" s="8" t="inlineStr">
        <is>
          <t>весна</t>
        </is>
      </c>
      <c r="B222" s="289" t="inlineStr">
        <is>
          <t>Металлургическая теплотехника</t>
        </is>
      </c>
      <c r="C222" s="289" t="inlineStr">
        <is>
          <t>Консультация</t>
        </is>
      </c>
      <c r="D222" s="289" t="inlineStr">
        <is>
          <t>Т1О-404Б-16</t>
        </is>
      </c>
      <c r="E222" s="284" t="n">
        <v>1</v>
      </c>
      <c r="F222" s="289" t="inlineStr">
        <is>
          <t>04869</t>
        </is>
      </c>
      <c r="G222" s="290" t="n">
        <v>0</v>
      </c>
      <c r="H222" s="289" t="inlineStr">
        <is>
          <t>94222</t>
        </is>
      </c>
      <c r="I222" s="289" t="inlineStr">
        <is>
          <t>Кубатина Екатерина Павловна</t>
        </is>
      </c>
      <c r="J222" s="289" t="inlineStr">
        <is>
          <t>ассистент</t>
        </is>
      </c>
      <c r="K222" s="289" t="n"/>
      <c r="L222" s="289" t="n"/>
      <c r="M222" s="12">
        <f>SUMIFS($E$2:$E$300,$A$2:$A$300,"осень",$I$2:$I$300,I222)</f>
        <v/>
      </c>
      <c r="N222" s="13">
        <f>SUMIFS($E$2:$E$300,$A$2:$A$300,"весна",$I$2:$I$300,I222)</f>
        <v/>
      </c>
      <c r="O222" s="14">
        <f>M222+N222</f>
        <v/>
      </c>
      <c r="P222" s="15">
        <f>O222/$P$1</f>
        <v/>
      </c>
    </row>
    <row r="223" ht="15.75" customHeight="1" s="2">
      <c r="A223" s="8" t="inlineStr">
        <is>
          <t>весна</t>
        </is>
      </c>
      <c r="B223" s="289" t="inlineStr">
        <is>
          <t>Теория, технология и оборудование для создания покрытий</t>
        </is>
      </c>
      <c r="C223" s="289" t="inlineStr">
        <is>
          <t>ЛК</t>
        </is>
      </c>
      <c r="D223" s="289" t="inlineStr">
        <is>
          <t>Т1О-404Б-16</t>
        </is>
      </c>
      <c r="E223" s="284" t="n">
        <v>20</v>
      </c>
      <c r="F223" s="289" t="inlineStr">
        <is>
          <t>04869</t>
        </is>
      </c>
      <c r="G223" s="284" t="n">
        <v>20</v>
      </c>
      <c r="H223" s="289" t="inlineStr">
        <is>
          <t>93685</t>
        </is>
      </c>
      <c r="I223" s="289" t="inlineStr">
        <is>
          <t>Банишев Александр Федорович</t>
        </is>
      </c>
      <c r="J223" s="289" t="inlineStr">
        <is>
          <t>профессор</t>
        </is>
      </c>
      <c r="K223" s="289" t="n"/>
      <c r="L223" s="289" t="inlineStr">
        <is>
          <t>только понедельник</t>
        </is>
      </c>
      <c r="M223" s="12">
        <f>SUMIFS($E$2:$E$300,$A$2:$A$300,"осень",$I$2:$I$300,I223)</f>
        <v/>
      </c>
      <c r="N223" s="13">
        <f>SUMIFS($E$2:$E$300,$A$2:$A$300,"весна",$I$2:$I$300,I223)</f>
        <v/>
      </c>
      <c r="O223" s="14">
        <f>M223+N223</f>
        <v/>
      </c>
      <c r="P223" s="15">
        <f>O223/$P$1</f>
        <v/>
      </c>
    </row>
    <row r="224" ht="15.75" customHeight="1" s="2">
      <c r="A224" s="8" t="inlineStr">
        <is>
          <t>весна</t>
        </is>
      </c>
      <c r="B224" s="289" t="inlineStr">
        <is>
          <t>Теория, технология и оборудование для создания покрытий</t>
        </is>
      </c>
      <c r="C224" s="289" t="inlineStr">
        <is>
          <t>ПЗ</t>
        </is>
      </c>
      <c r="D224" s="289" t="inlineStr">
        <is>
          <t>Т1О-404Б-16</t>
        </is>
      </c>
      <c r="E224" s="284" t="n">
        <v>12</v>
      </c>
      <c r="F224" s="289" t="inlineStr">
        <is>
          <t>04869</t>
        </is>
      </c>
      <c r="G224" s="284" t="n">
        <v>12</v>
      </c>
      <c r="H224" s="289" t="inlineStr">
        <is>
          <t>93685</t>
        </is>
      </c>
      <c r="I224" s="289" t="inlineStr">
        <is>
          <t>Банишев Александр Федорович</t>
        </is>
      </c>
      <c r="J224" s="289" t="inlineStr">
        <is>
          <t>профессор</t>
        </is>
      </c>
      <c r="K224" s="289" t="n"/>
      <c r="L224" s="289" t="n"/>
      <c r="M224" s="12">
        <f>SUMIFS($E$2:$E$300,$A$2:$A$300,"осень",$I$2:$I$300,I224)</f>
        <v/>
      </c>
      <c r="N224" s="13">
        <f>SUMIFS($E$2:$E$300,$A$2:$A$300,"весна",$I$2:$I$300,I224)</f>
        <v/>
      </c>
      <c r="O224" s="14">
        <f>M224+N224</f>
        <v/>
      </c>
      <c r="P224" s="15">
        <f>O224/$P$1</f>
        <v/>
      </c>
    </row>
    <row r="225" ht="15.75" customHeight="1" s="2">
      <c r="A225" s="8" t="inlineStr">
        <is>
          <t>весна</t>
        </is>
      </c>
      <c r="B225" s="289" t="inlineStr">
        <is>
          <t>Теория, технология и оборудование для создания покрытий</t>
        </is>
      </c>
      <c r="C225" s="289" t="inlineStr">
        <is>
          <t>ЛР</t>
        </is>
      </c>
      <c r="D225" s="289" t="inlineStr">
        <is>
          <t>Т1О-404Б-16</t>
        </is>
      </c>
      <c r="E225" s="284" t="n">
        <v>12</v>
      </c>
      <c r="F225" s="289" t="inlineStr">
        <is>
          <t>04869</t>
        </is>
      </c>
      <c r="G225" s="284" t="n">
        <v>12</v>
      </c>
      <c r="H225" s="289" t="inlineStr">
        <is>
          <t>82060</t>
        </is>
      </c>
      <c r="I225" s="289" t="inlineStr">
        <is>
          <t>Лозован Александр Александрович</t>
        </is>
      </c>
      <c r="J225" s="289" t="inlineStr">
        <is>
          <t>профессор</t>
        </is>
      </c>
      <c r="K225" s="289" t="n"/>
      <c r="L225" s="289" t="n"/>
      <c r="M225" s="12">
        <f>SUMIFS($E$2:$E$300,$A$2:$A$300,"осень",$I$2:$I$300,I225)</f>
        <v/>
      </c>
      <c r="N225" s="13">
        <f>SUMIFS($E$2:$E$300,$A$2:$A$300,"весна",$I$2:$I$300,I225)</f>
        <v/>
      </c>
      <c r="O225" s="14">
        <f>M225+N225</f>
        <v/>
      </c>
      <c r="P225" s="15">
        <f>O225/$P$1</f>
        <v/>
      </c>
    </row>
    <row r="226" ht="15.75" customHeight="1" s="2">
      <c r="A226" s="8" t="inlineStr">
        <is>
          <t>весна</t>
        </is>
      </c>
      <c r="B226" s="289" t="inlineStr">
        <is>
          <t>Теория, технология и оборудование для создания покрытий</t>
        </is>
      </c>
      <c r="C226" s="289" t="inlineStr">
        <is>
          <t>Экзамен</t>
        </is>
      </c>
      <c r="D226" s="289" t="inlineStr">
        <is>
          <t>Т1О-404Б-16</t>
        </is>
      </c>
      <c r="E226" s="284" t="n">
        <v>7</v>
      </c>
      <c r="F226" s="289" t="inlineStr">
        <is>
          <t>04869</t>
        </is>
      </c>
      <c r="G226" s="290" t="n">
        <v>0</v>
      </c>
      <c r="H226" s="289" t="inlineStr">
        <is>
          <t>93685</t>
        </is>
      </c>
      <c r="I226" s="289" t="inlineStr">
        <is>
          <t>Банишев Александр Федорович</t>
        </is>
      </c>
      <c r="J226" s="289" t="inlineStr">
        <is>
          <t>профессор</t>
        </is>
      </c>
      <c r="K226" s="289" t="n"/>
      <c r="L226" s="289" t="inlineStr">
        <is>
          <t>только понедельник</t>
        </is>
      </c>
      <c r="M226" s="12">
        <f>SUMIFS($E$2:$E$300,$A$2:$A$300,"осень",$I$2:$I$300,I226)</f>
        <v/>
      </c>
      <c r="N226" s="13">
        <f>SUMIFS($E$2:$E$300,$A$2:$A$300,"весна",$I$2:$I$300,I226)</f>
        <v/>
      </c>
      <c r="O226" s="14">
        <f>M226+N226</f>
        <v/>
      </c>
      <c r="P226" s="15">
        <f>O226/$P$1</f>
        <v/>
      </c>
    </row>
    <row r="227" ht="15.75" customHeight="1" s="2">
      <c r="A227" s="8" t="inlineStr">
        <is>
          <t>весна</t>
        </is>
      </c>
      <c r="B227" s="289" t="inlineStr">
        <is>
          <t>Теория, технология и оборудование для создания покрытий</t>
        </is>
      </c>
      <c r="C227" s="289" t="inlineStr">
        <is>
          <t>КСР</t>
        </is>
      </c>
      <c r="D227" s="289" t="inlineStr">
        <is>
          <t>Т1О-404Б-16</t>
        </is>
      </c>
      <c r="E227" s="284" t="n">
        <v>6</v>
      </c>
      <c r="F227" s="289" t="inlineStr">
        <is>
          <t>04869</t>
        </is>
      </c>
      <c r="G227" s="284" t="n">
        <v>6</v>
      </c>
      <c r="H227" s="289" t="inlineStr">
        <is>
          <t>93685</t>
        </is>
      </c>
      <c r="I227" s="289" t="inlineStr">
        <is>
          <t>Банишев Александр Федорович</t>
        </is>
      </c>
      <c r="J227" s="289" t="inlineStr">
        <is>
          <t>профессор</t>
        </is>
      </c>
      <c r="K227" s="289" t="n"/>
      <c r="L227" s="289" t="inlineStr">
        <is>
          <t>только понедельник</t>
        </is>
      </c>
      <c r="M227" s="12">
        <f>SUMIFS($E$2:$E$300,$A$2:$A$300,"осень",$I$2:$I$300,I227)</f>
        <v/>
      </c>
      <c r="N227" s="13">
        <f>SUMIFS($E$2:$E$300,$A$2:$A$300,"весна",$I$2:$I$300,I227)</f>
        <v/>
      </c>
      <c r="O227" s="14">
        <f>M227+N227</f>
        <v/>
      </c>
      <c r="P227" s="15">
        <f>O227/$P$1</f>
        <v/>
      </c>
    </row>
    <row r="228" ht="15.75" customHeight="1" s="2">
      <c r="A228" s="8" t="inlineStr">
        <is>
          <t>весна</t>
        </is>
      </c>
      <c r="B228" s="289" t="inlineStr">
        <is>
          <t>Теория, технология и оборудование для создания покрытий</t>
        </is>
      </c>
      <c r="C228" s="289" t="inlineStr">
        <is>
          <t>Консультация</t>
        </is>
      </c>
      <c r="D228" s="289" t="inlineStr">
        <is>
          <t>Т1О-404Б-16</t>
        </is>
      </c>
      <c r="E228" s="284" t="n">
        <v>3</v>
      </c>
      <c r="F228" s="289" t="inlineStr">
        <is>
          <t>04869</t>
        </is>
      </c>
      <c r="G228" s="290" t="n">
        <v>0</v>
      </c>
      <c r="H228" s="289" t="inlineStr">
        <is>
          <t>93685</t>
        </is>
      </c>
      <c r="I228" s="289" t="inlineStr">
        <is>
          <t>Банишев Александр Федорович</t>
        </is>
      </c>
      <c r="J228" s="289" t="inlineStr">
        <is>
          <t>профессор</t>
        </is>
      </c>
      <c r="K228" s="289" t="n"/>
      <c r="L228" s="289" t="inlineStr">
        <is>
          <t>только понедельник</t>
        </is>
      </c>
      <c r="M228" s="12">
        <f>SUMIFS($E$2:$E$300,$A$2:$A$300,"осень",$I$2:$I$300,I228)</f>
        <v/>
      </c>
      <c r="N228" s="13">
        <f>SUMIFS($E$2:$E$300,$A$2:$A$300,"весна",$I$2:$I$300,I228)</f>
        <v/>
      </c>
      <c r="O228" s="14">
        <f>M228+N228</f>
        <v/>
      </c>
      <c r="P228" s="15">
        <f>O228/$P$1</f>
        <v/>
      </c>
    </row>
    <row r="229" ht="15.75" customHeight="1" s="2">
      <c r="A229" s="8" t="inlineStr">
        <is>
          <t>весна</t>
        </is>
      </c>
      <c r="B229" s="289" t="inlineStr">
        <is>
          <t>Теория, технология и оборудование для модификации поверхности</t>
        </is>
      </c>
      <c r="C229" s="289" t="inlineStr">
        <is>
          <t>ЛК</t>
        </is>
      </c>
      <c r="D229" s="289" t="inlineStr">
        <is>
          <t>Т1О-404Б-16</t>
        </is>
      </c>
      <c r="E229" s="284" t="n">
        <v>16</v>
      </c>
      <c r="F229" s="289" t="inlineStr">
        <is>
          <t>04869</t>
        </is>
      </c>
      <c r="G229" s="284" t="n">
        <v>16</v>
      </c>
      <c r="H229" s="289" t="inlineStr">
        <is>
          <t>94222</t>
        </is>
      </c>
      <c r="I229" s="289" t="inlineStr">
        <is>
          <t>Кубатина Екатерина Павловна</t>
        </is>
      </c>
      <c r="J229" s="289" t="inlineStr">
        <is>
          <t>ассистент</t>
        </is>
      </c>
      <c r="K229" s="291" t="inlineStr">
        <is>
          <t>не заводить</t>
        </is>
      </c>
      <c r="L229" s="289" t="inlineStr">
        <is>
          <t>компенсировано</t>
        </is>
      </c>
      <c r="M229" s="12">
        <f>SUMIFS($E$2:$E$300,$A$2:$A$300,"осень",$I$2:$I$300,I229)</f>
        <v/>
      </c>
      <c r="N229" s="13">
        <f>SUMIFS($E$2:$E$300,$A$2:$A$300,"весна",$I$2:$I$300,I229)</f>
        <v/>
      </c>
      <c r="O229" s="14">
        <f>M229+N229</f>
        <v/>
      </c>
      <c r="P229" s="15">
        <f>O229/$P$1</f>
        <v/>
      </c>
    </row>
    <row r="230" ht="15.75" customHeight="1" s="2">
      <c r="A230" s="8" t="inlineStr">
        <is>
          <t>весна</t>
        </is>
      </c>
      <c r="B230" s="289" t="inlineStr">
        <is>
          <t>Теория, технология и оборудование для модификации поверхности</t>
        </is>
      </c>
      <c r="C230" s="292" t="inlineStr">
        <is>
          <t>ЛК</t>
        </is>
      </c>
      <c r="D230" s="289" t="inlineStr">
        <is>
          <t>Т1О-404Б-16</t>
        </is>
      </c>
      <c r="E230" s="284" t="n">
        <v>-16</v>
      </c>
      <c r="F230" s="289" t="inlineStr">
        <is>
          <t>04869</t>
        </is>
      </c>
      <c r="G230" s="284" t="n">
        <v>16</v>
      </c>
      <c r="H230" s="289" t="inlineStr">
        <is>
          <t>82026</t>
        </is>
      </c>
      <c r="I230" s="289" t="inlineStr">
        <is>
          <t>Александрова Светлана Сергеевна</t>
        </is>
      </c>
      <c r="J230" s="289" t="inlineStr">
        <is>
          <t>доцент</t>
        </is>
      </c>
      <c r="K230" s="291" t="inlineStr">
        <is>
          <t>не заводить</t>
        </is>
      </c>
      <c r="L230" s="289" t="n"/>
      <c r="M230" s="12">
        <f>SUMIFS($E$2:$E$300,$A$2:$A$300,"осень",$I$2:$I$300,I230)</f>
        <v/>
      </c>
      <c r="N230" s="13">
        <f>SUMIFS($E$2:$E$300,$A$2:$A$300,"весна",$I$2:$I$300,I230)</f>
        <v/>
      </c>
      <c r="O230" s="14">
        <f>M230+N230</f>
        <v/>
      </c>
      <c r="P230" s="15">
        <f>O230/$P$1</f>
        <v/>
      </c>
    </row>
    <row r="231" ht="15.75" customHeight="1" s="2">
      <c r="A231" s="8" t="inlineStr">
        <is>
          <t>весна</t>
        </is>
      </c>
      <c r="B231" s="289" t="inlineStr">
        <is>
          <t>Теория, технология и оборудование для модификации поверхности</t>
        </is>
      </c>
      <c r="C231" s="292" t="inlineStr">
        <is>
          <t>ЛК</t>
        </is>
      </c>
      <c r="D231" s="289" t="inlineStr">
        <is>
          <t>Т1О-404Б-16</t>
        </is>
      </c>
      <c r="E231" s="284" t="n">
        <v>16</v>
      </c>
      <c r="F231" s="289" t="inlineStr">
        <is>
          <t>04869</t>
        </is>
      </c>
      <c r="G231" s="284" t="n">
        <v>16</v>
      </c>
      <c r="H231" s="289" t="inlineStr">
        <is>
          <t>82026</t>
        </is>
      </c>
      <c r="I231" s="289" t="inlineStr">
        <is>
          <t>Александрова Светлана Сергеевна</t>
        </is>
      </c>
      <c r="J231" s="289" t="inlineStr">
        <is>
          <t>доцент</t>
        </is>
      </c>
      <c r="K231" s="289" t="n"/>
      <c r="L231" s="289" t="inlineStr">
        <is>
          <t>Кубатина Екатерина Павловна</t>
        </is>
      </c>
      <c r="M231" s="12">
        <f>SUMIFS($E$2:$E$300,$A$2:$A$300,"осень",$I$2:$I$300,I231)</f>
        <v/>
      </c>
      <c r="N231" s="13">
        <f>SUMIFS($E$2:$E$300,$A$2:$A$300,"весна",$I$2:$I$300,I231)</f>
        <v/>
      </c>
      <c r="O231" s="14">
        <f>M231+N231</f>
        <v/>
      </c>
      <c r="P231" s="15">
        <f>O231/$P$1</f>
        <v/>
      </c>
    </row>
    <row r="232" ht="15.75" customHeight="1" s="2">
      <c r="A232" s="8" t="inlineStr">
        <is>
          <t>весна</t>
        </is>
      </c>
      <c r="B232" s="289" t="inlineStr">
        <is>
          <t>Теория, технология и оборудование для модификации поверхности</t>
        </is>
      </c>
      <c r="C232" s="289" t="inlineStr">
        <is>
          <t>Зачет с оценкой</t>
        </is>
      </c>
      <c r="D232" s="289" t="inlineStr">
        <is>
          <t>Т1О-404Б-16</t>
        </is>
      </c>
      <c r="E232" s="284" t="n">
        <v>5</v>
      </c>
      <c r="F232" s="289" t="inlineStr">
        <is>
          <t>04869</t>
        </is>
      </c>
      <c r="G232" s="290" t="n">
        <v>0</v>
      </c>
      <c r="H232" s="289" t="inlineStr">
        <is>
          <t>94222</t>
        </is>
      </c>
      <c r="I232" s="289" t="inlineStr">
        <is>
          <t>Кубатина Екатерина Павловна</t>
        </is>
      </c>
      <c r="J232" s="289" t="inlineStr">
        <is>
          <t>ассистент</t>
        </is>
      </c>
      <c r="K232" s="291" t="inlineStr">
        <is>
          <t>не заводить</t>
        </is>
      </c>
      <c r="L232" s="289" t="inlineStr">
        <is>
          <t>компенсировано</t>
        </is>
      </c>
      <c r="M232" s="12">
        <f>SUMIFS($E$2:$E$300,$A$2:$A$300,"осень",$I$2:$I$300,I232)</f>
        <v/>
      </c>
      <c r="N232" s="13">
        <f>SUMIFS($E$2:$E$300,$A$2:$A$300,"весна",$I$2:$I$300,I232)</f>
        <v/>
      </c>
      <c r="O232" s="14">
        <f>M232+N232</f>
        <v/>
      </c>
      <c r="P232" s="15">
        <f>O232/$P$1</f>
        <v/>
      </c>
    </row>
    <row r="233" ht="15.75" customHeight="1" s="2">
      <c r="A233" s="8" t="inlineStr">
        <is>
          <t>весна</t>
        </is>
      </c>
      <c r="B233" s="289" t="inlineStr">
        <is>
          <t>Теория, технология и оборудование для модификации поверхности</t>
        </is>
      </c>
      <c r="C233" s="292" t="inlineStr">
        <is>
          <t>Зачет с оценкой</t>
        </is>
      </c>
      <c r="D233" s="289" t="inlineStr">
        <is>
          <t>Т1О-404Б-16</t>
        </is>
      </c>
      <c r="E233" s="284" t="n">
        <v>-5</v>
      </c>
      <c r="F233" s="289" t="inlineStr">
        <is>
          <t>04869</t>
        </is>
      </c>
      <c r="G233" s="290" t="n">
        <v>0</v>
      </c>
      <c r="H233" s="289" t="inlineStr">
        <is>
          <t>82026</t>
        </is>
      </c>
      <c r="I233" s="289" t="inlineStr">
        <is>
          <t>Александрова Светлана Сергеевна</t>
        </is>
      </c>
      <c r="J233" s="289" t="inlineStr">
        <is>
          <t>доцент</t>
        </is>
      </c>
      <c r="K233" s="291" t="inlineStr">
        <is>
          <t>не заводить</t>
        </is>
      </c>
      <c r="L233" s="289" t="n"/>
      <c r="M233" s="12">
        <f>SUMIFS($E$2:$E$300,$A$2:$A$300,"осень",$I$2:$I$300,I233)</f>
        <v/>
      </c>
      <c r="N233" s="13">
        <f>SUMIFS($E$2:$E$300,$A$2:$A$300,"весна",$I$2:$I$300,I233)</f>
        <v/>
      </c>
      <c r="O233" s="14">
        <f>M233+N233</f>
        <v/>
      </c>
      <c r="P233" s="15">
        <f>O233/$P$1</f>
        <v/>
      </c>
    </row>
    <row r="234" ht="15.75" customHeight="1" s="2">
      <c r="A234" s="8" t="inlineStr">
        <is>
          <t>весна</t>
        </is>
      </c>
      <c r="B234" s="289" t="inlineStr">
        <is>
          <t>Теория, технология и оборудование для модификации поверхности</t>
        </is>
      </c>
      <c r="C234" s="292" t="inlineStr">
        <is>
          <t>Зачет с оценкой</t>
        </is>
      </c>
      <c r="D234" s="289" t="inlineStr">
        <is>
          <t>Т1О-404Б-16</t>
        </is>
      </c>
      <c r="E234" s="284" t="n">
        <v>5</v>
      </c>
      <c r="F234" s="289" t="inlineStr">
        <is>
          <t>04869</t>
        </is>
      </c>
      <c r="G234" s="290" t="n">
        <v>0</v>
      </c>
      <c r="H234" s="289" t="inlineStr">
        <is>
          <t>82026</t>
        </is>
      </c>
      <c r="I234" s="289" t="inlineStr">
        <is>
          <t>Александрова Светлана Сергеевна</t>
        </is>
      </c>
      <c r="J234" s="289" t="inlineStr">
        <is>
          <t>доцент</t>
        </is>
      </c>
      <c r="K234" s="289" t="n"/>
      <c r="L234" s="289" t="inlineStr">
        <is>
          <t>Кубатина Екатерина Павловна</t>
        </is>
      </c>
      <c r="M234" s="12">
        <f>SUMIFS($E$2:$E$300,$A$2:$A$300,"осень",$I$2:$I$300,I234)</f>
        <v/>
      </c>
      <c r="N234" s="13">
        <f>SUMIFS($E$2:$E$300,$A$2:$A$300,"весна",$I$2:$I$300,I234)</f>
        <v/>
      </c>
      <c r="O234" s="14">
        <f>M234+N234</f>
        <v/>
      </c>
      <c r="P234" s="15">
        <f>O234/$P$1</f>
        <v/>
      </c>
    </row>
    <row r="235" ht="15.75" customHeight="1" s="2">
      <c r="A235" s="8" t="inlineStr">
        <is>
          <t>весна</t>
        </is>
      </c>
      <c r="B235" s="289" t="inlineStr">
        <is>
          <t>Теория, технология и оборудование для модификации поверхности</t>
        </is>
      </c>
      <c r="C235" s="289" t="inlineStr">
        <is>
          <t>ПЗ</t>
        </is>
      </c>
      <c r="D235" s="289" t="inlineStr">
        <is>
          <t>Т1О-404Б-16</t>
        </is>
      </c>
      <c r="E235" s="284" t="n">
        <v>16</v>
      </c>
      <c r="F235" s="289" t="inlineStr">
        <is>
          <t>04869</t>
        </is>
      </c>
      <c r="G235" s="284" t="n">
        <v>16</v>
      </c>
      <c r="H235" s="289" t="inlineStr">
        <is>
          <t>94222</t>
        </is>
      </c>
      <c r="I235" s="289" t="inlineStr">
        <is>
          <t>Кубатина Екатерина Павловна</t>
        </is>
      </c>
      <c r="J235" s="289" t="inlineStr">
        <is>
          <t>ассистент</t>
        </is>
      </c>
      <c r="K235" s="289" t="n"/>
      <c r="L235" s="289" t="n"/>
      <c r="M235" s="12">
        <f>SUMIFS($E$2:$E$300,$A$2:$A$300,"осень",$I$2:$I$300,I235)</f>
        <v/>
      </c>
      <c r="N235" s="13">
        <f>SUMIFS($E$2:$E$300,$A$2:$A$300,"весна",$I$2:$I$300,I235)</f>
        <v/>
      </c>
      <c r="O235" s="14">
        <f>M235+N235</f>
        <v/>
      </c>
      <c r="P235" s="15">
        <f>O235/$P$1</f>
        <v/>
      </c>
    </row>
    <row r="236" ht="15.75" customHeight="1" s="2">
      <c r="A236" s="8" t="inlineStr">
        <is>
          <t>весна</t>
        </is>
      </c>
      <c r="B236" s="289" t="inlineStr">
        <is>
          <t>Теория, технология и оборудование для модификации поверхности</t>
        </is>
      </c>
      <c r="C236" s="289" t="inlineStr">
        <is>
          <t>ЛР</t>
        </is>
      </c>
      <c r="D236" s="289" t="inlineStr">
        <is>
          <t>Т1О-404Б-16</t>
        </is>
      </c>
      <c r="E236" s="284" t="n">
        <v>8</v>
      </c>
      <c r="F236" s="289" t="inlineStr">
        <is>
          <t>04869</t>
        </is>
      </c>
      <c r="G236" s="284" t="n">
        <v>8</v>
      </c>
      <c r="H236" s="289" t="inlineStr">
        <is>
          <t>82060</t>
        </is>
      </c>
      <c r="I236" s="289" t="inlineStr">
        <is>
          <t>Лозован Александр Александрович</t>
        </is>
      </c>
      <c r="J236" s="289" t="inlineStr">
        <is>
          <t>профессор</t>
        </is>
      </c>
      <c r="K236" s="289" t="n"/>
      <c r="L236" s="289" t="n"/>
      <c r="M236" s="12">
        <f>SUMIFS($E$2:$E$300,$A$2:$A$300,"осень",$I$2:$I$300,I236)</f>
        <v/>
      </c>
      <c r="N236" s="13">
        <f>SUMIFS($E$2:$E$300,$A$2:$A$300,"весна",$I$2:$I$300,I236)</f>
        <v/>
      </c>
      <c r="O236" s="14">
        <f>M236+N236</f>
        <v/>
      </c>
      <c r="P236" s="15">
        <f>O236/$P$1</f>
        <v/>
      </c>
    </row>
    <row r="237" ht="15.75" customHeight="1" s="2">
      <c r="A237" s="8" t="inlineStr">
        <is>
          <t>весна</t>
        </is>
      </c>
      <c r="B237" s="289" t="inlineStr">
        <is>
          <t>Теория, технология и оборудование для модификации поверхности</t>
        </is>
      </c>
      <c r="C237" s="289" t="inlineStr">
        <is>
          <t>КСР</t>
        </is>
      </c>
      <c r="D237" s="289" t="inlineStr">
        <is>
          <t>Т1О-404Б-16</t>
        </is>
      </c>
      <c r="E237" s="284" t="n">
        <v>8</v>
      </c>
      <c r="F237" s="289" t="inlineStr">
        <is>
          <t>04869</t>
        </is>
      </c>
      <c r="G237" s="284" t="n">
        <v>8</v>
      </c>
      <c r="H237" s="289" t="inlineStr">
        <is>
          <t>94222</t>
        </is>
      </c>
      <c r="I237" s="289" t="inlineStr">
        <is>
          <t>Кубатина Екатерина Павловна</t>
        </is>
      </c>
      <c r="J237" s="289" t="inlineStr">
        <is>
          <t>ассистент</t>
        </is>
      </c>
      <c r="K237" s="289" t="n"/>
      <c r="L237" s="289" t="n"/>
      <c r="M237" s="12">
        <f>SUMIFS($E$2:$E$300,$A$2:$A$300,"осень",$I$2:$I$300,I237)</f>
        <v/>
      </c>
      <c r="N237" s="13">
        <f>SUMIFS($E$2:$E$300,$A$2:$A$300,"весна",$I$2:$I$300,I237)</f>
        <v/>
      </c>
      <c r="O237" s="14">
        <f>M237+N237</f>
        <v/>
      </c>
      <c r="P237" s="15">
        <f>O237/$P$1</f>
        <v/>
      </c>
    </row>
    <row r="238" ht="15.75" customHeight="1" s="2">
      <c r="A238" s="8" t="inlineStr">
        <is>
          <t>весна</t>
        </is>
      </c>
      <c r="B238" s="289" t="inlineStr">
        <is>
          <t>Теория, технология и оборудование для модификации поверхности</t>
        </is>
      </c>
      <c r="C238" s="289" t="inlineStr">
        <is>
          <t>Консультация</t>
        </is>
      </c>
      <c r="D238" s="289" t="inlineStr">
        <is>
          <t>Т1О-404Б-16</t>
        </is>
      </c>
      <c r="E238" s="284" t="n">
        <v>1</v>
      </c>
      <c r="F238" s="289" t="inlineStr">
        <is>
          <t>04869</t>
        </is>
      </c>
      <c r="G238" s="290" t="n">
        <v>0</v>
      </c>
      <c r="H238" s="289" t="inlineStr">
        <is>
          <t>94222</t>
        </is>
      </c>
      <c r="I238" s="289" t="inlineStr">
        <is>
          <t>Кубатина Екатерина Павловна</t>
        </is>
      </c>
      <c r="J238" s="289" t="inlineStr">
        <is>
          <t>ассистент</t>
        </is>
      </c>
      <c r="K238" s="289" t="n"/>
      <c r="L238" s="289" t="n"/>
      <c r="M238" s="12">
        <f>SUMIFS($E$2:$E$300,$A$2:$A$300,"осень",$I$2:$I$300,I238)</f>
        <v/>
      </c>
      <c r="N238" s="13">
        <f>SUMIFS($E$2:$E$300,$A$2:$A$300,"весна",$I$2:$I$300,I238)</f>
        <v/>
      </c>
      <c r="O238" s="14">
        <f>M238+N238</f>
        <v/>
      </c>
      <c r="P238" s="15">
        <f>O238/$P$1</f>
        <v/>
      </c>
    </row>
    <row r="239" ht="15.75" customHeight="1" s="2">
      <c r="A239" s="8" t="inlineStr">
        <is>
          <t>весна</t>
        </is>
      </c>
      <c r="B239" s="289" t="inlineStr">
        <is>
          <t>Оборудование цехов порошковой металлургии</t>
        </is>
      </c>
      <c r="C239" s="289" t="inlineStr">
        <is>
          <t>ЛК</t>
        </is>
      </c>
      <c r="D239" s="289" t="inlineStr">
        <is>
          <t>Т1О-404Б-16</t>
        </is>
      </c>
      <c r="E239" s="284" t="n">
        <v>8</v>
      </c>
      <c r="F239" s="289" t="inlineStr">
        <is>
          <t>04869</t>
        </is>
      </c>
      <c r="G239" s="284" t="n">
        <v>8</v>
      </c>
      <c r="H239" s="289" t="inlineStr">
        <is>
          <t>82066</t>
        </is>
      </c>
      <c r="I239" s="289" t="inlineStr">
        <is>
          <t>Серов Михаил Михайлович</t>
        </is>
      </c>
      <c r="J239" s="289" t="inlineStr">
        <is>
          <t>профессор</t>
        </is>
      </c>
      <c r="K239" s="289" t="n"/>
      <c r="L239" s="289" t="n"/>
      <c r="M239" s="12">
        <f>SUMIFS($E$2:$E$300,$A$2:$A$300,"осень",$I$2:$I$300,I239)</f>
        <v/>
      </c>
      <c r="N239" s="13">
        <f>SUMIFS($E$2:$E$300,$A$2:$A$300,"весна",$I$2:$I$300,I239)</f>
        <v/>
      </c>
      <c r="O239" s="14">
        <f>M239+N239</f>
        <v/>
      </c>
      <c r="P239" s="15">
        <f>O239/$P$1</f>
        <v/>
      </c>
    </row>
    <row r="240" ht="15.75" customHeight="1" s="2">
      <c r="A240" s="8" t="inlineStr">
        <is>
          <t>весна</t>
        </is>
      </c>
      <c r="B240" s="289" t="inlineStr">
        <is>
          <t>Оборудование цехов порошковой металлургии</t>
        </is>
      </c>
      <c r="C240" s="289" t="inlineStr">
        <is>
          <t>Зачет с оценкой</t>
        </is>
      </c>
      <c r="D240" s="289" t="inlineStr">
        <is>
          <t>Т1О-404Б-16</t>
        </is>
      </c>
      <c r="E240" s="284" t="n">
        <v>5</v>
      </c>
      <c r="F240" s="289" t="inlineStr">
        <is>
          <t>04869</t>
        </is>
      </c>
      <c r="G240" s="290" t="n">
        <v>0</v>
      </c>
      <c r="H240" s="289" t="inlineStr">
        <is>
          <t>82066</t>
        </is>
      </c>
      <c r="I240" s="289" t="inlineStr">
        <is>
          <t>Серов Михаил Михайлович</t>
        </is>
      </c>
      <c r="J240" s="289" t="inlineStr">
        <is>
          <t>профессор</t>
        </is>
      </c>
      <c r="K240" s="289" t="n"/>
      <c r="L240" s="289" t="n"/>
      <c r="M240" s="12">
        <f>SUMIFS($E$2:$E$300,$A$2:$A$300,"осень",$I$2:$I$300,I240)</f>
        <v/>
      </c>
      <c r="N240" s="13">
        <f>SUMIFS($E$2:$E$300,$A$2:$A$300,"весна",$I$2:$I$300,I240)</f>
        <v/>
      </c>
      <c r="O240" s="14">
        <f>M240+N240</f>
        <v/>
      </c>
      <c r="P240" s="15">
        <f>O240/$P$1</f>
        <v/>
      </c>
    </row>
    <row r="241" ht="15.75" customHeight="1" s="2">
      <c r="A241" s="8" t="inlineStr">
        <is>
          <t>весна</t>
        </is>
      </c>
      <c r="B241" s="289" t="inlineStr">
        <is>
          <t>Оборудование цехов порошковой металлургии</t>
        </is>
      </c>
      <c r="C241" s="289" t="inlineStr">
        <is>
          <t>ПЗ</t>
        </is>
      </c>
      <c r="D241" s="289" t="inlineStr">
        <is>
          <t>Т1О-404Б-16</t>
        </is>
      </c>
      <c r="E241" s="284" t="n">
        <v>16</v>
      </c>
      <c r="F241" s="289" t="inlineStr">
        <is>
          <t>04869</t>
        </is>
      </c>
      <c r="G241" s="284" t="n">
        <v>16</v>
      </c>
      <c r="H241" s="289" t="inlineStr">
        <is>
          <t>82066</t>
        </is>
      </c>
      <c r="I241" s="289" t="inlineStr">
        <is>
          <t>Серов Михаил Михайлович</t>
        </is>
      </c>
      <c r="J241" s="289" t="inlineStr">
        <is>
          <t>профессор</t>
        </is>
      </c>
      <c r="K241" s="289" t="n"/>
      <c r="L241" s="289" t="n"/>
      <c r="M241" s="12">
        <f>SUMIFS($E$2:$E$300,$A$2:$A$300,"осень",$I$2:$I$300,I241)</f>
        <v/>
      </c>
      <c r="N241" s="13">
        <f>SUMIFS($E$2:$E$300,$A$2:$A$300,"весна",$I$2:$I$300,I241)</f>
        <v/>
      </c>
      <c r="O241" s="14">
        <f>M241+N241</f>
        <v/>
      </c>
      <c r="P241" s="15">
        <f>O241/$P$1</f>
        <v/>
      </c>
    </row>
    <row r="242" ht="15.75" customHeight="1" s="2">
      <c r="A242" s="8" t="inlineStr">
        <is>
          <t>весна</t>
        </is>
      </c>
      <c r="B242" s="289" t="inlineStr">
        <is>
          <t>Оборудование цехов порошковой металлургии</t>
        </is>
      </c>
      <c r="C242" s="289" t="inlineStr">
        <is>
          <t>КСР</t>
        </is>
      </c>
      <c r="D242" s="289" t="inlineStr">
        <is>
          <t>Т1О-404Б-16</t>
        </is>
      </c>
      <c r="E242" s="284" t="n">
        <v>8</v>
      </c>
      <c r="F242" s="289" t="inlineStr">
        <is>
          <t>04869</t>
        </is>
      </c>
      <c r="G242" s="284" t="n">
        <v>8</v>
      </c>
      <c r="H242" s="289" t="inlineStr">
        <is>
          <t>82066</t>
        </is>
      </c>
      <c r="I242" s="289" t="inlineStr">
        <is>
          <t>Серов Михаил Михайлович</t>
        </is>
      </c>
      <c r="J242" s="289" t="inlineStr">
        <is>
          <t>профессор</t>
        </is>
      </c>
      <c r="K242" s="289" t="n"/>
      <c r="L242" s="289" t="n"/>
      <c r="M242" s="12">
        <f>SUMIFS($E$2:$E$300,$A$2:$A$300,"осень",$I$2:$I$300,I242)</f>
        <v/>
      </c>
      <c r="N242" s="13">
        <f>SUMIFS($E$2:$E$300,$A$2:$A$300,"весна",$I$2:$I$300,I242)</f>
        <v/>
      </c>
      <c r="O242" s="14">
        <f>M242+N242</f>
        <v/>
      </c>
      <c r="P242" s="15">
        <f>O242/$P$1</f>
        <v/>
      </c>
    </row>
    <row r="243" ht="15.75" customHeight="1" s="2">
      <c r="A243" s="8" t="inlineStr">
        <is>
          <t>весна</t>
        </is>
      </c>
      <c r="B243" s="289" t="inlineStr">
        <is>
          <t>Теория, технология и оборудование нанесения покрытий</t>
        </is>
      </c>
      <c r="C243" s="289" t="inlineStr">
        <is>
          <t>ЛК</t>
        </is>
      </c>
      <c r="D243" s="289" t="inlineStr">
        <is>
          <t>Т11О-103М-19</t>
        </is>
      </c>
      <c r="E243" s="284" t="n">
        <v>12</v>
      </c>
      <c r="F243" s="289" t="inlineStr">
        <is>
          <t>06203</t>
        </is>
      </c>
      <c r="G243" s="284" t="n">
        <v>12</v>
      </c>
      <c r="H243" s="289" t="inlineStr">
        <is>
          <t>93685</t>
        </is>
      </c>
      <c r="I243" s="289" t="inlineStr">
        <is>
          <t>Банишев Александр Федорович</t>
        </is>
      </c>
      <c r="J243" s="289" t="inlineStr">
        <is>
          <t>профессор</t>
        </is>
      </c>
      <c r="K243" s="289" t="n"/>
      <c r="L243" s="289" t="n"/>
      <c r="M243" s="12">
        <f>SUMIFS($E$2:$E$300,$A$2:$A$300,"осень",$I$2:$I$300,I243)</f>
        <v/>
      </c>
      <c r="N243" s="13">
        <f>SUMIFS($E$2:$E$300,$A$2:$A$300,"весна",$I$2:$I$300,I243)</f>
        <v/>
      </c>
      <c r="O243" s="14">
        <f>M243+N243</f>
        <v/>
      </c>
      <c r="P243" s="15">
        <f>O243/$P$1</f>
        <v/>
      </c>
    </row>
    <row r="244" ht="15.75" customHeight="1" s="2">
      <c r="A244" s="8" t="inlineStr">
        <is>
          <t>весна</t>
        </is>
      </c>
      <c r="B244" s="289" t="inlineStr">
        <is>
          <t>Теория, технология и оборудование нанесения покрытий</t>
        </is>
      </c>
      <c r="C244" s="289" t="inlineStr">
        <is>
          <t>Зачет с оценкой</t>
        </is>
      </c>
      <c r="D244" s="289" t="inlineStr">
        <is>
          <t>Т11О-103М-19</t>
        </is>
      </c>
      <c r="E244" s="284" t="n">
        <v>3</v>
      </c>
      <c r="F244" s="289" t="inlineStr">
        <is>
          <t>06203</t>
        </is>
      </c>
      <c r="G244" s="290" t="n">
        <v>0</v>
      </c>
      <c r="H244" s="289" t="inlineStr">
        <is>
          <t>93685</t>
        </is>
      </c>
      <c r="I244" s="289" t="inlineStr">
        <is>
          <t>Банишев Александр Федорович</t>
        </is>
      </c>
      <c r="J244" s="289" t="inlineStr">
        <is>
          <t>профессор</t>
        </is>
      </c>
      <c r="K244" s="289" t="n"/>
      <c r="L244" s="289" t="n"/>
      <c r="M244" s="12">
        <f>SUMIFS($E$2:$E$300,$A$2:$A$300,"осень",$I$2:$I$300,I244)</f>
        <v/>
      </c>
      <c r="N244" s="13">
        <f>SUMIFS($E$2:$E$300,$A$2:$A$300,"весна",$I$2:$I$300,I244)</f>
        <v/>
      </c>
      <c r="O244" s="14">
        <f>M244+N244</f>
        <v/>
      </c>
      <c r="P244" s="15">
        <f>O244/$P$1</f>
        <v/>
      </c>
    </row>
    <row r="245" ht="15.75" customHeight="1" s="2">
      <c r="A245" s="8" t="inlineStr">
        <is>
          <t>весна</t>
        </is>
      </c>
      <c r="B245" s="289" t="inlineStr">
        <is>
          <t>Теория, технология и оборудование нанесения покрытий</t>
        </is>
      </c>
      <c r="C245" s="289" t="inlineStr">
        <is>
          <t>ПЗ</t>
        </is>
      </c>
      <c r="D245" s="289" t="inlineStr">
        <is>
          <t>Т11О-103М-19</t>
        </is>
      </c>
      <c r="E245" s="284" t="n">
        <v>10</v>
      </c>
      <c r="F245" s="289" t="inlineStr">
        <is>
          <t>06203</t>
        </is>
      </c>
      <c r="G245" s="284" t="n">
        <v>10</v>
      </c>
      <c r="H245" s="289" t="inlineStr">
        <is>
          <t>93685</t>
        </is>
      </c>
      <c r="I245" s="289" t="inlineStr">
        <is>
          <t>Банишев Александр Федорович</t>
        </is>
      </c>
      <c r="J245" s="289" t="inlineStr">
        <is>
          <t>профессор</t>
        </is>
      </c>
      <c r="K245" s="289" t="n"/>
      <c r="L245" s="289" t="n"/>
      <c r="M245" s="12">
        <f>SUMIFS($E$2:$E$300,$A$2:$A$300,"осень",$I$2:$I$300,I245)</f>
        <v/>
      </c>
      <c r="N245" s="13">
        <f>SUMIFS($E$2:$E$300,$A$2:$A$300,"весна",$I$2:$I$300,I245)</f>
        <v/>
      </c>
      <c r="O245" s="14">
        <f>M245+N245</f>
        <v/>
      </c>
      <c r="P245" s="15">
        <f>O245/$P$1</f>
        <v/>
      </c>
    </row>
    <row r="246" ht="15.75" customHeight="1" s="2">
      <c r="A246" s="8" t="inlineStr">
        <is>
          <t>весна</t>
        </is>
      </c>
      <c r="B246" s="289" t="inlineStr">
        <is>
          <t>Теория, технология и оборудование нанесения покрытий</t>
        </is>
      </c>
      <c r="C246" s="289" t="inlineStr">
        <is>
          <t>ЛР</t>
        </is>
      </c>
      <c r="D246" s="289" t="inlineStr">
        <is>
          <t>Т11О-103М-19</t>
        </is>
      </c>
      <c r="E246" s="284" t="n">
        <v>12</v>
      </c>
      <c r="F246" s="289" t="inlineStr">
        <is>
          <t>06203</t>
        </is>
      </c>
      <c r="G246" s="284" t="n">
        <v>12</v>
      </c>
      <c r="H246" s="289" t="inlineStr">
        <is>
          <t>82060</t>
        </is>
      </c>
      <c r="I246" s="289" t="inlineStr">
        <is>
          <t>Лозован Александр Александрович</t>
        </is>
      </c>
      <c r="J246" s="289" t="inlineStr">
        <is>
          <t>профессор</t>
        </is>
      </c>
      <c r="K246" s="289" t="n"/>
      <c r="L246" s="289" t="n"/>
      <c r="M246" s="12">
        <f>SUMIFS($E$2:$E$300,$A$2:$A$300,"осень",$I$2:$I$300,I246)</f>
        <v/>
      </c>
      <c r="N246" s="13">
        <f>SUMIFS($E$2:$E$300,$A$2:$A$300,"весна",$I$2:$I$300,I246)</f>
        <v/>
      </c>
      <c r="O246" s="14">
        <f>M246+N246</f>
        <v/>
      </c>
      <c r="P246" s="15">
        <f>O246/$P$1</f>
        <v/>
      </c>
    </row>
    <row r="247" ht="15.75" customHeight="1" s="2">
      <c r="A247" s="8" t="inlineStr">
        <is>
          <t>весна</t>
        </is>
      </c>
      <c r="B247" s="289" t="inlineStr">
        <is>
          <t>Теория, технология и оборудование нанесения покрытий</t>
        </is>
      </c>
      <c r="C247" s="289" t="inlineStr">
        <is>
          <t>Консультация</t>
        </is>
      </c>
      <c r="D247" s="289" t="inlineStr">
        <is>
          <t>Т11О-103М-19</t>
        </is>
      </c>
      <c r="E247" s="284" t="n">
        <v>1</v>
      </c>
      <c r="F247" s="289" t="inlineStr">
        <is>
          <t>06203</t>
        </is>
      </c>
      <c r="G247" s="290" t="n">
        <v>0</v>
      </c>
      <c r="H247" s="289" t="inlineStr">
        <is>
          <t>93685</t>
        </is>
      </c>
      <c r="I247" s="289" t="inlineStr">
        <is>
          <t>Банишев Александр Федорович</t>
        </is>
      </c>
      <c r="J247" s="289" t="inlineStr">
        <is>
          <t>профессор</t>
        </is>
      </c>
      <c r="K247" s="289" t="n"/>
      <c r="L247" s="289" t="n"/>
      <c r="M247" s="12">
        <f>SUMIFS($E$2:$E$300,$A$2:$A$300,"осень",$I$2:$I$300,I247)</f>
        <v/>
      </c>
      <c r="N247" s="13">
        <f>SUMIFS($E$2:$E$300,$A$2:$A$300,"весна",$I$2:$I$300,I247)</f>
        <v/>
      </c>
      <c r="O247" s="14">
        <f>M247+N247</f>
        <v/>
      </c>
      <c r="P247" s="15">
        <f>O247/$P$1</f>
        <v/>
      </c>
    </row>
    <row r="248" ht="15.75" customHeight="1" s="2">
      <c r="A248" s="8" t="inlineStr">
        <is>
          <t>весна</t>
        </is>
      </c>
      <c r="B248" s="289" t="inlineStr">
        <is>
          <t>Основы САПР в металлургии</t>
        </is>
      </c>
      <c r="C248" s="289" t="inlineStr">
        <is>
          <t>ЛК</t>
        </is>
      </c>
      <c r="D248" s="289" t="inlineStr">
        <is>
          <t>Т11О-201Б-18, Т11О-202Б-18</t>
        </is>
      </c>
      <c r="E248" s="284" t="n">
        <v>32</v>
      </c>
      <c r="F248" s="289" t="inlineStr">
        <is>
          <t>08947</t>
        </is>
      </c>
      <c r="G248" s="284" t="n">
        <v>32</v>
      </c>
      <c r="H248" s="289" t="inlineStr">
        <is>
          <t>82026</t>
        </is>
      </c>
      <c r="I248" s="289" t="inlineStr">
        <is>
          <t>Александрова Светлана Сергеевна</t>
        </is>
      </c>
      <c r="J248" s="289" t="inlineStr">
        <is>
          <t>доцент</t>
        </is>
      </c>
      <c r="K248" s="289" t="n"/>
      <c r="L248" s="289" t="inlineStr">
        <is>
          <t>кроме вт, что , сб</t>
        </is>
      </c>
      <c r="M248" s="12">
        <f>SUMIFS($E$2:$E$300,$A$2:$A$300,"осень",$I$2:$I$300,I248)</f>
        <v/>
      </c>
      <c r="N248" s="13">
        <f>SUMIFS($E$2:$E$300,$A$2:$A$300,"весна",$I$2:$I$300,I248)</f>
        <v/>
      </c>
      <c r="O248" s="14">
        <f>M248+N248</f>
        <v/>
      </c>
      <c r="P248" s="15">
        <f>O248/$P$1</f>
        <v/>
      </c>
    </row>
    <row r="249" ht="15.75" customHeight="1" s="2">
      <c r="A249" s="8" t="inlineStr">
        <is>
          <t>весна</t>
        </is>
      </c>
      <c r="B249" s="289" t="inlineStr">
        <is>
          <t>Основы САПР в металлургии</t>
        </is>
      </c>
      <c r="C249" s="289" t="inlineStr">
        <is>
          <t>Экзамен</t>
        </is>
      </c>
      <c r="D249" s="289" t="inlineStr">
        <is>
          <t>Т11О-201Б-18</t>
        </is>
      </c>
      <c r="E249" s="284" t="n">
        <v>11</v>
      </c>
      <c r="F249" s="289" t="inlineStr">
        <is>
          <t>08947</t>
        </is>
      </c>
      <c r="G249" s="290" t="n">
        <v>0</v>
      </c>
      <c r="H249" s="289" t="inlineStr">
        <is>
          <t>82026</t>
        </is>
      </c>
      <c r="I249" s="289" t="inlineStr">
        <is>
          <t>Александрова Светлана Сергеевна</t>
        </is>
      </c>
      <c r="J249" s="289" t="inlineStr">
        <is>
          <t>доцент</t>
        </is>
      </c>
      <c r="K249" s="289" t="n"/>
      <c r="L249" s="289" t="inlineStr">
        <is>
          <t>кроме вт,чт, сб</t>
        </is>
      </c>
      <c r="M249" s="12">
        <f>SUMIFS($E$2:$E$300,$A$2:$A$300,"осень",$I$2:$I$300,I249)</f>
        <v/>
      </c>
      <c r="N249" s="13">
        <f>SUMIFS($E$2:$E$300,$A$2:$A$300,"весна",$I$2:$I$300,I249)</f>
        <v/>
      </c>
      <c r="O249" s="14">
        <f>M249+N249</f>
        <v/>
      </c>
      <c r="P249" s="15">
        <f>O249/$P$1</f>
        <v/>
      </c>
    </row>
    <row r="250" ht="15.75" customHeight="1" s="2">
      <c r="A250" s="8" t="inlineStr">
        <is>
          <t>весна</t>
        </is>
      </c>
      <c r="B250" s="289" t="inlineStr">
        <is>
          <t>Основы САПР в металлургии</t>
        </is>
      </c>
      <c r="C250" s="289" t="inlineStr">
        <is>
          <t>Экзамен</t>
        </is>
      </c>
      <c r="D250" s="289" t="inlineStr">
        <is>
          <t>Т11О-202Б-18</t>
        </is>
      </c>
      <c r="E250" s="284" t="n">
        <v>11</v>
      </c>
      <c r="F250" s="289" t="inlineStr">
        <is>
          <t>08947</t>
        </is>
      </c>
      <c r="G250" s="290" t="n">
        <v>0</v>
      </c>
      <c r="H250" s="289" t="inlineStr">
        <is>
          <t>82026</t>
        </is>
      </c>
      <c r="I250" s="289" t="inlineStr">
        <is>
          <t>Александрова Светлана Сергеевна</t>
        </is>
      </c>
      <c r="J250" s="289" t="inlineStr">
        <is>
          <t>доцент</t>
        </is>
      </c>
      <c r="K250" s="289" t="n"/>
      <c r="L250" s="289" t="inlineStr">
        <is>
          <t>кроме вт,чт, сб</t>
        </is>
      </c>
      <c r="M250" s="12">
        <f>SUMIFS($E$2:$E$300,$A$2:$A$300,"осень",$I$2:$I$300,I250)</f>
        <v/>
      </c>
      <c r="N250" s="13">
        <f>SUMIFS($E$2:$E$300,$A$2:$A$300,"весна",$I$2:$I$300,I250)</f>
        <v/>
      </c>
      <c r="O250" s="14">
        <f>M250+N250</f>
        <v/>
      </c>
      <c r="P250" s="15">
        <f>O250/$P$1</f>
        <v/>
      </c>
    </row>
    <row r="251" ht="15.75" customHeight="1" s="2">
      <c r="A251" s="8" t="inlineStr">
        <is>
          <t>весна</t>
        </is>
      </c>
      <c r="B251" s="289" t="inlineStr">
        <is>
          <t>Теория процессов создания современных материалов и покрытий</t>
        </is>
      </c>
      <c r="C251" s="289" t="inlineStr">
        <is>
          <t>ЛК</t>
        </is>
      </c>
      <c r="D251" s="289" t="inlineStr">
        <is>
          <t>Т11О-202А-18</t>
        </is>
      </c>
      <c r="E251" s="284" t="n">
        <v>24</v>
      </c>
      <c r="F251" s="289" t="inlineStr">
        <is>
          <t>10740</t>
        </is>
      </c>
      <c r="G251" s="284" t="n">
        <v>24</v>
      </c>
      <c r="H251" s="289" t="inlineStr">
        <is>
          <t>82060</t>
        </is>
      </c>
      <c r="I251" s="289" t="inlineStr">
        <is>
          <t>Лозован Александр Александрович</t>
        </is>
      </c>
      <c r="J251" s="289" t="inlineStr">
        <is>
          <t>профессор</t>
        </is>
      </c>
      <c r="K251" s="289" t="n"/>
      <c r="L251" s="289" t="n"/>
      <c r="M251" s="12">
        <f>SUMIFS($E$2:$E$300,$A$2:$A$300,"осень",$I$2:$I$300,I251)</f>
        <v/>
      </c>
      <c r="N251" s="13">
        <f>SUMIFS($E$2:$E$300,$A$2:$A$300,"весна",$I$2:$I$300,I251)</f>
        <v/>
      </c>
      <c r="O251" s="14">
        <f>M251+N251</f>
        <v/>
      </c>
      <c r="P251" s="15">
        <f>O251/$P$1</f>
        <v/>
      </c>
    </row>
    <row r="252" ht="15.75" customHeight="1" s="2">
      <c r="A252" s="8" t="inlineStr">
        <is>
          <t>весна</t>
        </is>
      </c>
      <c r="B252" s="289" t="inlineStr">
        <is>
          <t>Теория процессов создания современных материалов и покрытий</t>
        </is>
      </c>
      <c r="C252" s="289" t="inlineStr">
        <is>
          <t>ПЗ</t>
        </is>
      </c>
      <c r="D252" s="289" t="inlineStr">
        <is>
          <t>Т11О-202А-18</t>
        </is>
      </c>
      <c r="E252" s="284" t="n">
        <v>8</v>
      </c>
      <c r="F252" s="289" t="inlineStr">
        <is>
          <t>10740</t>
        </is>
      </c>
      <c r="G252" s="284" t="n">
        <v>8</v>
      </c>
      <c r="H252" s="289" t="inlineStr">
        <is>
          <t>82060</t>
        </is>
      </c>
      <c r="I252" s="289" t="inlineStr">
        <is>
          <t>Лозован Александр Александрович</t>
        </is>
      </c>
      <c r="J252" s="289" t="inlineStr">
        <is>
          <t>профессор</t>
        </is>
      </c>
      <c r="K252" s="289" t="n"/>
      <c r="L252" s="289" t="n"/>
      <c r="M252" s="12">
        <f>SUMIFS($E$2:$E$300,$A$2:$A$300,"осень",$I$2:$I$300,I252)</f>
        <v/>
      </c>
      <c r="N252" s="13">
        <f>SUMIFS($E$2:$E$300,$A$2:$A$300,"весна",$I$2:$I$300,I252)</f>
        <v/>
      </c>
      <c r="O252" s="14">
        <f>M252+N252</f>
        <v/>
      </c>
      <c r="P252" s="15">
        <f>O252/$P$1</f>
        <v/>
      </c>
    </row>
    <row r="253" ht="15.75" customHeight="1" s="2">
      <c r="A253" s="8" t="inlineStr">
        <is>
          <t>весна</t>
        </is>
      </c>
      <c r="B253" s="289" t="inlineStr">
        <is>
          <t>Теория процессов создания современных материалов и покрытий</t>
        </is>
      </c>
      <c r="C253" s="289" t="inlineStr">
        <is>
          <t>Консультация</t>
        </is>
      </c>
      <c r="D253" s="289" t="inlineStr">
        <is>
          <t>Т11О-202А-18</t>
        </is>
      </c>
      <c r="E253" s="284" t="n">
        <v>1</v>
      </c>
      <c r="F253" s="289" t="inlineStr">
        <is>
          <t>10740</t>
        </is>
      </c>
      <c r="G253" s="290" t="n">
        <v>0</v>
      </c>
      <c r="H253" s="289" t="inlineStr">
        <is>
          <t>82060</t>
        </is>
      </c>
      <c r="I253" s="289" t="inlineStr">
        <is>
          <t>Лозован Александр Александрович</t>
        </is>
      </c>
      <c r="J253" s="289" t="inlineStr">
        <is>
          <t>профессор</t>
        </is>
      </c>
      <c r="K253" s="289" t="n"/>
      <c r="L253" s="289" t="n"/>
      <c r="M253" s="12">
        <f>SUMIFS($E$2:$E$300,$A$2:$A$300,"осень",$I$2:$I$300,I253)</f>
        <v/>
      </c>
      <c r="N253" s="13">
        <f>SUMIFS($E$2:$E$300,$A$2:$A$300,"весна",$I$2:$I$300,I253)</f>
        <v/>
      </c>
      <c r="O253" s="14">
        <f>M253+N253</f>
        <v/>
      </c>
      <c r="P253" s="15">
        <f>O253/$P$1</f>
        <v/>
      </c>
    </row>
    <row r="254" ht="15.75" customHeight="1" s="2">
      <c r="A254" s="8" t="inlineStr">
        <is>
          <t>весна</t>
        </is>
      </c>
      <c r="B254" s="289" t="inlineStr">
        <is>
          <t>Технологии создания перспективных композиционных материалов и конструкций из них</t>
        </is>
      </c>
      <c r="C254" s="289" t="inlineStr">
        <is>
          <t>ЛК</t>
        </is>
      </c>
      <c r="D254" s="289" t="inlineStr">
        <is>
          <t>Т11О-207А-18</t>
        </is>
      </c>
      <c r="E254" s="284" t="n">
        <v>24</v>
      </c>
      <c r="F254" s="289" t="inlineStr">
        <is>
          <t>11292</t>
        </is>
      </c>
      <c r="G254" s="284" t="n">
        <v>24</v>
      </c>
      <c r="H254" s="289" t="inlineStr">
        <is>
          <t>82060</t>
        </is>
      </c>
      <c r="I254" s="289" t="inlineStr">
        <is>
          <t>Лозован Александр Александрович</t>
        </is>
      </c>
      <c r="J254" s="289" t="inlineStr">
        <is>
          <t>профессор</t>
        </is>
      </c>
      <c r="K254" s="289" t="n"/>
      <c r="L254" s="289" t="n"/>
      <c r="M254" s="12">
        <f>SUMIFS($E$2:$E$300,$A$2:$A$300,"осень",$I$2:$I$300,I254)</f>
        <v/>
      </c>
      <c r="N254" s="13">
        <f>SUMIFS($E$2:$E$300,$A$2:$A$300,"весна",$I$2:$I$300,I254)</f>
        <v/>
      </c>
      <c r="O254" s="14">
        <f>M254+N254</f>
        <v/>
      </c>
      <c r="P254" s="15">
        <f>O254/$P$1</f>
        <v/>
      </c>
    </row>
    <row r="255" ht="15.75" customHeight="1" s="2">
      <c r="A255" s="8" t="inlineStr">
        <is>
          <t>весна</t>
        </is>
      </c>
      <c r="B255" s="289" t="inlineStr">
        <is>
          <t>Технологии создания перспективных композиционных материалов и конструкций из них</t>
        </is>
      </c>
      <c r="C255" s="289" t="inlineStr">
        <is>
          <t>Зачет с оценкой</t>
        </is>
      </c>
      <c r="D255" s="289" t="inlineStr">
        <is>
          <t>Т11О-207А-18</t>
        </is>
      </c>
      <c r="E255" s="284" t="n">
        <v>1</v>
      </c>
      <c r="F255" s="289" t="inlineStr">
        <is>
          <t>11292</t>
        </is>
      </c>
      <c r="G255" s="290" t="n">
        <v>0</v>
      </c>
      <c r="H255" s="289" t="inlineStr">
        <is>
          <t>82060</t>
        </is>
      </c>
      <c r="I255" s="289" t="inlineStr">
        <is>
          <t>Лозован Александр Александрович</t>
        </is>
      </c>
      <c r="J255" s="289" t="inlineStr">
        <is>
          <t>профессор</t>
        </is>
      </c>
      <c r="K255" s="289" t="n"/>
      <c r="L255" s="289" t="n"/>
      <c r="M255" s="12">
        <f>SUMIFS($E$2:$E$300,$A$2:$A$300,"осень",$I$2:$I$300,I255)</f>
        <v/>
      </c>
      <c r="N255" s="13">
        <f>SUMIFS($E$2:$E$300,$A$2:$A$300,"весна",$I$2:$I$300,I255)</f>
        <v/>
      </c>
      <c r="O255" s="14">
        <f>M255+N255</f>
        <v/>
      </c>
      <c r="P255" s="15">
        <f>O255/$P$1</f>
        <v/>
      </c>
    </row>
    <row r="256" ht="15.75" customHeight="1" s="2">
      <c r="A256" s="8" t="inlineStr">
        <is>
          <t>весна</t>
        </is>
      </c>
      <c r="B256" s="289" t="inlineStr">
        <is>
          <t>Технологии создания перспективных композиционных материалов и конструкций из них</t>
        </is>
      </c>
      <c r="C256" s="289" t="inlineStr">
        <is>
          <t>ПЗ</t>
        </is>
      </c>
      <c r="D256" s="289" t="inlineStr">
        <is>
          <t>Т11О-207А-18</t>
        </is>
      </c>
      <c r="E256" s="284" t="n">
        <v>8</v>
      </c>
      <c r="F256" s="289" t="inlineStr">
        <is>
          <t>11292</t>
        </is>
      </c>
      <c r="G256" s="284" t="n">
        <v>8</v>
      </c>
      <c r="H256" s="289" t="inlineStr">
        <is>
          <t>82060</t>
        </is>
      </c>
      <c r="I256" s="289" t="inlineStr">
        <is>
          <t>Лозован Александр Александрович</t>
        </is>
      </c>
      <c r="J256" s="289" t="inlineStr">
        <is>
          <t>профессор</t>
        </is>
      </c>
      <c r="K256" s="289" t="n"/>
      <c r="L256" s="289" t="n"/>
      <c r="M256" s="12">
        <f>SUMIFS($E$2:$E$300,$A$2:$A$300,"осень",$I$2:$I$300,I256)</f>
        <v/>
      </c>
      <c r="N256" s="13">
        <f>SUMIFS($E$2:$E$300,$A$2:$A$300,"весна",$I$2:$I$300,I256)</f>
        <v/>
      </c>
      <c r="O256" s="14">
        <f>M256+N256</f>
        <v/>
      </c>
      <c r="P256" s="15">
        <f>O256/$P$1</f>
        <v/>
      </c>
    </row>
    <row r="257" ht="15.75" customHeight="1" s="2">
      <c r="A257" s="8" t="inlineStr">
        <is>
          <t>весна</t>
        </is>
      </c>
      <c r="B257" s="289" t="inlineStr">
        <is>
          <t>Технологии создания перспективных композиционных материалов и конструкций из них</t>
        </is>
      </c>
      <c r="C257" s="289" t="inlineStr">
        <is>
          <t>Консультация</t>
        </is>
      </c>
      <c r="D257" s="289" t="inlineStr">
        <is>
          <t>Т11О-207А-18</t>
        </is>
      </c>
      <c r="E257" s="284" t="n">
        <v>1</v>
      </c>
      <c r="F257" s="289" t="inlineStr">
        <is>
          <t>11292</t>
        </is>
      </c>
      <c r="G257" s="290" t="n">
        <v>0</v>
      </c>
      <c r="H257" s="289" t="inlineStr">
        <is>
          <t>82060</t>
        </is>
      </c>
      <c r="I257" s="289" t="inlineStr">
        <is>
          <t>Лозован Александр Александрович</t>
        </is>
      </c>
      <c r="J257" s="289" t="inlineStr">
        <is>
          <t>профессор</t>
        </is>
      </c>
      <c r="K257" s="289" t="n"/>
      <c r="L257" s="289" t="n"/>
      <c r="M257" s="12">
        <f>SUMIFS($E$2:$E$300,$A$2:$A$300,"осень",$I$2:$I$300,I257)</f>
        <v/>
      </c>
      <c r="N257" s="13">
        <f>SUMIFS($E$2:$E$300,$A$2:$A$300,"весна",$I$2:$I$300,I257)</f>
        <v/>
      </c>
      <c r="O257" s="14">
        <f>M257+N257</f>
        <v/>
      </c>
      <c r="P257" s="15">
        <f>O257/$P$1</f>
        <v/>
      </c>
    </row>
    <row r="258" ht="15.75" customHeight="1" s="2">
      <c r="A258" s="8" t="inlineStr">
        <is>
          <t>весна</t>
        </is>
      </c>
      <c r="B258" s="289" t="inlineStr">
        <is>
          <t>Производственная практика</t>
        </is>
      </c>
      <c r="C258" s="289" t="inlineStr">
        <is>
          <t>Практика</t>
        </is>
      </c>
      <c r="D258" s="289" t="inlineStr">
        <is>
          <t>Т1О-304Б-17</t>
        </is>
      </c>
      <c r="E258" s="284" t="n">
        <v>60</v>
      </c>
      <c r="F258" s="289" t="n"/>
      <c r="G258" s="290" t="n">
        <v>0</v>
      </c>
      <c r="H258" s="289" t="inlineStr">
        <is>
          <t>82060</t>
        </is>
      </c>
      <c r="I258" s="289" t="inlineStr">
        <is>
          <t>Лозован Александр Александрович</t>
        </is>
      </c>
      <c r="J258" s="289" t="inlineStr">
        <is>
          <t>профессор</t>
        </is>
      </c>
      <c r="K258" s="289" t="n"/>
      <c r="L258" s="289" t="n"/>
      <c r="M258" s="12">
        <f>SUMIFS($E$2:$E$300,$A$2:$A$300,"осень",$I$2:$I$300,I258)</f>
        <v/>
      </c>
      <c r="N258" s="13">
        <f>SUMIFS($E$2:$E$300,$A$2:$A$300,"весна",$I$2:$I$300,I258)</f>
        <v/>
      </c>
      <c r="O258" s="14">
        <f>M258+N258</f>
        <v/>
      </c>
      <c r="P258" s="15">
        <f>O258/$P$1</f>
        <v/>
      </c>
    </row>
    <row r="259" ht="15.75" customHeight="1" s="2">
      <c r="A259" s="8" t="inlineStr">
        <is>
          <t>весна</t>
        </is>
      </c>
      <c r="B259" s="289" t="inlineStr">
        <is>
          <t>Педагогическая практика</t>
        </is>
      </c>
      <c r="C259" s="289" t="inlineStr">
        <is>
          <t>Практика</t>
        </is>
      </c>
      <c r="D259" s="289" t="inlineStr">
        <is>
          <t>Т1О-307А-17</t>
        </is>
      </c>
      <c r="E259" s="284" t="n">
        <v>30</v>
      </c>
      <c r="F259" s="289" t="n"/>
      <c r="G259" s="290" t="n">
        <v>0</v>
      </c>
      <c r="H259" s="289" t="inlineStr">
        <is>
          <t>82026</t>
        </is>
      </c>
      <c r="I259" s="289" t="inlineStr">
        <is>
          <t>Александрова Светлана Сергеевна</t>
        </is>
      </c>
      <c r="J259" s="289" t="inlineStr">
        <is>
          <t>доцент</t>
        </is>
      </c>
      <c r="K259" s="289" t="n"/>
      <c r="L259" s="289" t="inlineStr">
        <is>
          <t>кроме вт,чт, сб</t>
        </is>
      </c>
      <c r="M259" s="12">
        <f>SUMIFS($E$2:$E$300,$A$2:$A$300,"осень",$I$2:$I$300,I259)</f>
        <v/>
      </c>
      <c r="N259" s="13">
        <f>SUMIFS($E$2:$E$300,$A$2:$A$300,"весна",$I$2:$I$300,I259)</f>
        <v/>
      </c>
      <c r="O259" s="14">
        <f>M259+N259</f>
        <v/>
      </c>
      <c r="P259" s="15">
        <f>O259/$P$1</f>
        <v/>
      </c>
    </row>
    <row r="260" ht="15.75" customHeight="1" s="2">
      <c r="A260" s="8" t="inlineStr">
        <is>
          <t>весна</t>
        </is>
      </c>
      <c r="B260" s="289" t="inlineStr">
        <is>
          <t>Педагогическая практика</t>
        </is>
      </c>
      <c r="C260" s="289" t="inlineStr">
        <is>
          <t>Практика</t>
        </is>
      </c>
      <c r="D260" s="289" t="inlineStr">
        <is>
          <t>Т11О-207А-18</t>
        </is>
      </c>
      <c r="E260" s="284" t="n">
        <v>30</v>
      </c>
      <c r="F260" s="289" t="n"/>
      <c r="G260" s="290" t="n">
        <v>0</v>
      </c>
      <c r="H260" s="289" t="inlineStr">
        <is>
          <t>82060</t>
        </is>
      </c>
      <c r="I260" s="289" t="inlineStr">
        <is>
          <t>Лозован Александр Александрович</t>
        </is>
      </c>
      <c r="J260" s="289" t="inlineStr">
        <is>
          <t>профессор</t>
        </is>
      </c>
      <c r="K260" s="289" t="n"/>
      <c r="L260" s="289" t="n"/>
      <c r="M260" s="12">
        <f>SUMIFS($E$2:$E$300,$A$2:$A$300,"осень",$I$2:$I$300,I260)</f>
        <v/>
      </c>
      <c r="N260" s="13">
        <f>SUMIFS($E$2:$E$300,$A$2:$A$300,"весна",$I$2:$I$300,I260)</f>
        <v/>
      </c>
      <c r="O260" s="14">
        <f>M260+N260</f>
        <v/>
      </c>
      <c r="P260" s="15">
        <f>O260/$P$1</f>
        <v/>
      </c>
    </row>
    <row r="261" ht="15.75" customHeight="1" s="2">
      <c r="A261" s="8" t="inlineStr">
        <is>
          <t>весна</t>
        </is>
      </c>
      <c r="B261" s="289" t="inlineStr">
        <is>
          <t>Педагогическая практика</t>
        </is>
      </c>
      <c r="C261" s="289" t="inlineStr">
        <is>
          <t>Практика</t>
        </is>
      </c>
      <c r="D261" s="289" t="inlineStr">
        <is>
          <t>Т11О-107А-19</t>
        </is>
      </c>
      <c r="E261" s="284" t="n">
        <v>10</v>
      </c>
      <c r="F261" s="289" t="n"/>
      <c r="G261" s="290" t="n">
        <v>0</v>
      </c>
      <c r="H261" s="289" t="inlineStr">
        <is>
          <t>82060</t>
        </is>
      </c>
      <c r="I261" s="289" t="inlineStr">
        <is>
          <t>Лозован Александр Александрович</t>
        </is>
      </c>
      <c r="J261" s="289" t="inlineStr">
        <is>
          <t>профессор</t>
        </is>
      </c>
      <c r="K261" s="289" t="n"/>
      <c r="L261" s="289" t="n"/>
      <c r="M261" s="12">
        <f>SUMIFS($E$2:$E$300,$A$2:$A$300,"осень",$I$2:$I$300,I261)</f>
        <v/>
      </c>
      <c r="N261" s="13">
        <f>SUMIFS($E$2:$E$300,$A$2:$A$300,"весна",$I$2:$I$300,I261)</f>
        <v/>
      </c>
      <c r="O261" s="14">
        <f>M261+N261</f>
        <v/>
      </c>
      <c r="P261" s="15">
        <f>O261/$P$1</f>
        <v/>
      </c>
    </row>
    <row r="262" ht="15.75" customHeight="1" s="2">
      <c r="A262" s="8" t="inlineStr">
        <is>
          <t>весна</t>
        </is>
      </c>
      <c r="B262" s="289" t="inlineStr">
        <is>
          <t>Педагогическая практика</t>
        </is>
      </c>
      <c r="C262" s="289" t="inlineStr">
        <is>
          <t>Практика</t>
        </is>
      </c>
      <c r="D262" s="289" t="inlineStr">
        <is>
          <t>Т11О-107А-19</t>
        </is>
      </c>
      <c r="E262" s="284" t="n">
        <v>20</v>
      </c>
      <c r="F262" s="289" t="n"/>
      <c r="G262" s="290" t="n">
        <v>0</v>
      </c>
      <c r="H262" s="289" t="inlineStr">
        <is>
          <t>82066</t>
        </is>
      </c>
      <c r="I262" s="289" t="inlineStr">
        <is>
          <t>Серов Михаил Михайлович</t>
        </is>
      </c>
      <c r="J262" s="289" t="inlineStr">
        <is>
          <t>профессор</t>
        </is>
      </c>
      <c r="K262" s="289" t="n"/>
      <c r="L262" s="289" t="n"/>
      <c r="M262" s="12">
        <f>SUMIFS($E$2:$E$300,$A$2:$A$300,"осень",$I$2:$I$300,I262)</f>
        <v/>
      </c>
      <c r="N262" s="13">
        <f>SUMIFS($E$2:$E$300,$A$2:$A$300,"весна",$I$2:$I$300,I262)</f>
        <v/>
      </c>
      <c r="O262" s="14">
        <f>M262+N262</f>
        <v/>
      </c>
      <c r="P262" s="15">
        <f>O262/$P$1</f>
        <v/>
      </c>
    </row>
    <row r="263" ht="15.75" customHeight="1" s="2">
      <c r="A263" s="8" t="inlineStr">
        <is>
          <t>весна</t>
        </is>
      </c>
      <c r="B263" s="289" t="inlineStr">
        <is>
          <t>Преддипломная практика</t>
        </is>
      </c>
      <c r="C263" s="289" t="inlineStr">
        <is>
          <t>Преддипломная практика</t>
        </is>
      </c>
      <c r="D263" s="289" t="inlineStr">
        <is>
          <t>Т11О-203М-18</t>
        </is>
      </c>
      <c r="E263" s="284" t="n">
        <v>15</v>
      </c>
      <c r="F263" s="289" t="n"/>
      <c r="G263" s="290" t="n">
        <v>0</v>
      </c>
      <c r="H263" s="289" t="inlineStr">
        <is>
          <t>82066</t>
        </is>
      </c>
      <c r="I263" s="289" t="inlineStr">
        <is>
          <t>Серов Михаил Михайлович</t>
        </is>
      </c>
      <c r="J263" s="289" t="inlineStr">
        <is>
          <t>профессор</t>
        </is>
      </c>
      <c r="K263" s="289" t="n"/>
      <c r="L263" s="289" t="inlineStr">
        <is>
          <t>1</t>
        </is>
      </c>
      <c r="M263" s="12">
        <f>SUMIFS($E$2:$E$300,$A$2:$A$300,"осень",$I$2:$I$300,I263)</f>
        <v/>
      </c>
      <c r="N263" s="13">
        <f>SUMIFS($E$2:$E$300,$A$2:$A$300,"весна",$I$2:$I$300,I263)</f>
        <v/>
      </c>
      <c r="O263" s="14">
        <f>M263+N263</f>
        <v/>
      </c>
      <c r="P263" s="15">
        <f>O263/$P$1</f>
        <v/>
      </c>
    </row>
    <row r="264" ht="15.75" customHeight="1" s="2">
      <c r="A264" s="8" t="inlineStr">
        <is>
          <t>весна</t>
        </is>
      </c>
      <c r="B264" s="289" t="inlineStr">
        <is>
          <t>Преддипломная практика</t>
        </is>
      </c>
      <c r="C264" s="289" t="inlineStr">
        <is>
          <t>Преддипломная практика</t>
        </is>
      </c>
      <c r="D264" s="289" t="inlineStr">
        <is>
          <t>Т11О-203М-18</t>
        </is>
      </c>
      <c r="E264" s="284" t="n">
        <v>60</v>
      </c>
      <c r="F264" s="289" t="n"/>
      <c r="G264" s="290" t="n">
        <v>0</v>
      </c>
      <c r="H264" s="289" t="inlineStr">
        <is>
          <t>82060</t>
        </is>
      </c>
      <c r="I264" s="289" t="inlineStr">
        <is>
          <t>Лозован Александр Александрович</t>
        </is>
      </c>
      <c r="J264" s="289" t="inlineStr">
        <is>
          <t>профессор</t>
        </is>
      </c>
      <c r="K264" s="289" t="n"/>
      <c r="L264" s="289" t="inlineStr">
        <is>
          <t>4</t>
        </is>
      </c>
      <c r="M264" s="12">
        <f>SUMIFS($E$2:$E$300,$A$2:$A$300,"осень",$I$2:$I$300,I264)</f>
        <v/>
      </c>
      <c r="N264" s="13">
        <f>SUMIFS($E$2:$E$300,$A$2:$A$300,"весна",$I$2:$I$300,I264)</f>
        <v/>
      </c>
      <c r="O264" s="14">
        <f>M264+N264</f>
        <v/>
      </c>
      <c r="P264" s="15">
        <f>O264/$P$1</f>
        <v/>
      </c>
    </row>
    <row r="265" ht="15.75" customHeight="1" s="2">
      <c r="A265" s="8" t="inlineStr">
        <is>
          <t>весна</t>
        </is>
      </c>
      <c r="B265" s="289" t="inlineStr">
        <is>
          <t>Преддипломная практика</t>
        </is>
      </c>
      <c r="C265" s="289" t="inlineStr">
        <is>
          <t>Преддипломная практика</t>
        </is>
      </c>
      <c r="D265" s="289" t="inlineStr">
        <is>
          <t>Т11О-203М-18</t>
        </is>
      </c>
      <c r="E265" s="284" t="n">
        <v>30</v>
      </c>
      <c r="F265" s="289" t="n"/>
      <c r="G265" s="290" t="n">
        <v>0</v>
      </c>
      <c r="H265" s="289" t="inlineStr">
        <is>
          <t>93685</t>
        </is>
      </c>
      <c r="I265" s="289" t="inlineStr">
        <is>
          <t>Банишев Александр Федорович</t>
        </is>
      </c>
      <c r="J265" s="289" t="inlineStr">
        <is>
          <t>профессор</t>
        </is>
      </c>
      <c r="K265" s="289" t="n"/>
      <c r="L265" s="289" t="inlineStr">
        <is>
          <t>2 чел только понедельник</t>
        </is>
      </c>
      <c r="M265" s="12">
        <f>SUMIFS($E$2:$E$300,$A$2:$A$300,"осень",$I$2:$I$300,I265)</f>
        <v/>
      </c>
      <c r="N265" s="13">
        <f>SUMIFS($E$2:$E$300,$A$2:$A$300,"весна",$I$2:$I$300,I265)</f>
        <v/>
      </c>
      <c r="O265" s="14">
        <f>M265+N265</f>
        <v/>
      </c>
      <c r="P265" s="15">
        <f>O265/$P$1</f>
        <v/>
      </c>
    </row>
    <row r="266" ht="15.75" customHeight="1" s="2">
      <c r="A266" s="8" t="inlineStr">
        <is>
          <t>весна</t>
        </is>
      </c>
      <c r="B266" s="289" t="inlineStr">
        <is>
          <t>Преддипломная практика</t>
        </is>
      </c>
      <c r="C266" s="289" t="inlineStr">
        <is>
          <t>Преддипломная практика</t>
        </is>
      </c>
      <c r="D266" s="289" t="inlineStr">
        <is>
          <t>Т11О-203М-18</t>
        </is>
      </c>
      <c r="E266" s="284" t="n">
        <v>30</v>
      </c>
      <c r="F266" s="289" t="n"/>
      <c r="G266" s="290" t="n">
        <v>0</v>
      </c>
      <c r="H266" s="289" t="inlineStr">
        <is>
          <t>82090</t>
        </is>
      </c>
      <c r="I266" s="289" t="inlineStr">
        <is>
          <t>Барабанова Ольга Алексеевна</t>
        </is>
      </c>
      <c r="J266" s="289" t="inlineStr">
        <is>
          <t>профессор</t>
        </is>
      </c>
      <c r="K266" s="289" t="n"/>
      <c r="L266" s="289" t="inlineStr">
        <is>
          <t>2</t>
        </is>
      </c>
      <c r="M266" s="12">
        <f>SUMIFS($E$2:$E$300,$A$2:$A$300,"осень",$I$2:$I$300,I266)</f>
        <v/>
      </c>
      <c r="N266" s="13">
        <f>SUMIFS($E$2:$E$300,$A$2:$A$300,"весна",$I$2:$I$300,I266)</f>
        <v/>
      </c>
      <c r="O266" s="14">
        <f>M266+N266</f>
        <v/>
      </c>
      <c r="P266" s="15">
        <f>O266/$P$1</f>
        <v/>
      </c>
    </row>
    <row r="267" ht="15.75" customHeight="1" s="2">
      <c r="A267" s="8" t="inlineStr">
        <is>
          <t>весна</t>
        </is>
      </c>
      <c r="B267" s="289" t="inlineStr">
        <is>
          <t>Преддипломная практика</t>
        </is>
      </c>
      <c r="C267" s="289" t="inlineStr">
        <is>
          <t>Преддипломная практика</t>
        </is>
      </c>
      <c r="D267" s="289" t="inlineStr">
        <is>
          <t>Т1О-404Б-16</t>
        </is>
      </c>
      <c r="E267" s="284" t="n">
        <v>8</v>
      </c>
      <c r="F267" s="289" t="n"/>
      <c r="G267" s="290" t="n">
        <v>0</v>
      </c>
      <c r="H267" s="289" t="inlineStr">
        <is>
          <t>82060</t>
        </is>
      </c>
      <c r="I267" s="289" t="inlineStr">
        <is>
          <t>Лозован Александр Александрович</t>
        </is>
      </c>
      <c r="J267" s="289" t="inlineStr">
        <is>
          <t>профессор</t>
        </is>
      </c>
      <c r="K267" s="289" t="n"/>
      <c r="L267" s="289" t="inlineStr">
        <is>
          <t>2</t>
        </is>
      </c>
      <c r="M267" s="12">
        <f>SUMIFS($E$2:$E$300,$A$2:$A$300,"осень",$I$2:$I$300,I267)</f>
        <v/>
      </c>
      <c r="N267" s="13">
        <f>SUMIFS($E$2:$E$300,$A$2:$A$300,"весна",$I$2:$I$300,I267)</f>
        <v/>
      </c>
      <c r="O267" s="14">
        <f>M267+N267</f>
        <v/>
      </c>
      <c r="P267" s="15">
        <f>O267/$P$1</f>
        <v/>
      </c>
    </row>
    <row r="268" ht="15.75" customHeight="1" s="2">
      <c r="A268" s="8" t="inlineStr">
        <is>
          <t>весна</t>
        </is>
      </c>
      <c r="B268" s="289" t="inlineStr">
        <is>
          <t>Преддипломная практика</t>
        </is>
      </c>
      <c r="C268" s="289" t="inlineStr">
        <is>
          <t>Преддипломная практика</t>
        </is>
      </c>
      <c r="D268" s="289" t="inlineStr">
        <is>
          <t>Т1О-404Б-16</t>
        </is>
      </c>
      <c r="E268" s="284" t="n">
        <v>8</v>
      </c>
      <c r="F268" s="289" t="n"/>
      <c r="G268" s="290" t="n">
        <v>0</v>
      </c>
      <c r="H268" s="289" t="inlineStr">
        <is>
          <t>82066</t>
        </is>
      </c>
      <c r="I268" s="289" t="inlineStr">
        <is>
          <t>Серов Михаил Михайлович</t>
        </is>
      </c>
      <c r="J268" s="289" t="inlineStr">
        <is>
          <t>профессор</t>
        </is>
      </c>
      <c r="K268" s="289" t="n"/>
      <c r="L268" s="289" t="inlineStr">
        <is>
          <t>4</t>
        </is>
      </c>
      <c r="M268" s="12">
        <f>SUMIFS($E$2:$E$300,$A$2:$A$300,"осень",$I$2:$I$300,I268)</f>
        <v/>
      </c>
      <c r="N268" s="13">
        <f>SUMIFS($E$2:$E$300,$A$2:$A$300,"весна",$I$2:$I$300,I268)</f>
        <v/>
      </c>
      <c r="O268" s="14">
        <f>M268+N268</f>
        <v/>
      </c>
      <c r="P268" s="15">
        <f>O268/$P$1</f>
        <v/>
      </c>
    </row>
    <row r="269" ht="15.75" customHeight="1" s="2">
      <c r="A269" s="8" t="inlineStr">
        <is>
          <t>весна</t>
        </is>
      </c>
      <c r="B269" s="289" t="inlineStr">
        <is>
          <t>Преддипломная практика</t>
        </is>
      </c>
      <c r="C269" s="289" t="inlineStr">
        <is>
          <t>Преддипломная практика</t>
        </is>
      </c>
      <c r="D269" s="289" t="inlineStr">
        <is>
          <t>Т1О-404Б-16</t>
        </is>
      </c>
      <c r="E269" s="284" t="n">
        <v>8</v>
      </c>
      <c r="F269" s="289" t="n"/>
      <c r="G269" s="290" t="n">
        <v>0</v>
      </c>
      <c r="H269" s="289" t="inlineStr">
        <is>
          <t>82090</t>
        </is>
      </c>
      <c r="I269" s="289" t="inlineStr">
        <is>
          <t>Барабанова Ольга Алексеевна</t>
        </is>
      </c>
      <c r="J269" s="289" t="inlineStr">
        <is>
          <t>профессор</t>
        </is>
      </c>
      <c r="K269" s="289" t="n"/>
      <c r="L269" s="289" t="inlineStr">
        <is>
          <t>4</t>
        </is>
      </c>
      <c r="M269" s="12">
        <f>SUMIFS($E$2:$E$300,$A$2:$A$300,"осень",$I$2:$I$300,I269)</f>
        <v/>
      </c>
      <c r="N269" s="13">
        <f>SUMIFS($E$2:$E$300,$A$2:$A$300,"весна",$I$2:$I$300,I269)</f>
        <v/>
      </c>
      <c r="O269" s="14">
        <f>M269+N269</f>
        <v/>
      </c>
      <c r="P269" s="15">
        <f>O269/$P$1</f>
        <v/>
      </c>
    </row>
    <row r="270" ht="15.75" customHeight="1" s="2">
      <c r="A270" s="8" t="inlineStr">
        <is>
          <t>весна</t>
        </is>
      </c>
      <c r="B270" s="289" t="inlineStr">
        <is>
          <t>Преддипломная практика</t>
        </is>
      </c>
      <c r="C270" s="289" t="inlineStr">
        <is>
          <t>Преддипломная практика</t>
        </is>
      </c>
      <c r="D270" s="289" t="inlineStr">
        <is>
          <t>Т1О-404Б-16</t>
        </is>
      </c>
      <c r="E270" s="284" t="n">
        <v>2</v>
      </c>
      <c r="F270" s="289" t="n"/>
      <c r="G270" s="290" t="n">
        <v>0</v>
      </c>
      <c r="H270" s="289" t="inlineStr">
        <is>
          <t>93685</t>
        </is>
      </c>
      <c r="I270" s="289" t="inlineStr">
        <is>
          <t>Банишев Александр Федорович</t>
        </is>
      </c>
      <c r="J270" s="289" t="inlineStr">
        <is>
          <t>профессор</t>
        </is>
      </c>
      <c r="K270" s="289" t="n"/>
      <c r="L270" s="289" t="inlineStr">
        <is>
          <t>3 чел - только понедельник</t>
        </is>
      </c>
      <c r="M270" s="12">
        <f>SUMIFS($E$2:$E$300,$A$2:$A$300,"осень",$I$2:$I$300,I270)</f>
        <v/>
      </c>
      <c r="N270" s="13">
        <f>SUMIFS($E$2:$E$300,$A$2:$A$300,"весна",$I$2:$I$300,I270)</f>
        <v/>
      </c>
      <c r="O270" s="14">
        <f>M270+N270</f>
        <v/>
      </c>
      <c r="P270" s="15">
        <f>O270/$P$1</f>
        <v/>
      </c>
    </row>
    <row r="271" ht="15.75" customHeight="1" s="2">
      <c r="A271" s="8" t="inlineStr">
        <is>
          <t>весна</t>
        </is>
      </c>
      <c r="B271" s="289" t="inlineStr">
        <is>
          <t>Учебно-ознакомительная практика</t>
        </is>
      </c>
      <c r="C271" s="289" t="inlineStr">
        <is>
          <t>Практика</t>
        </is>
      </c>
      <c r="D271" s="289" t="inlineStr">
        <is>
          <t>Т11О-101Б-19</t>
        </is>
      </c>
      <c r="E271" s="284" t="n">
        <v>6</v>
      </c>
      <c r="F271" s="289" t="n"/>
      <c r="G271" s="290" t="n">
        <v>0</v>
      </c>
      <c r="H271" s="289" t="inlineStr">
        <is>
          <t>93685</t>
        </is>
      </c>
      <c r="I271" s="289" t="inlineStr">
        <is>
          <t>Банишев Александр Федорович</t>
        </is>
      </c>
      <c r="J271" s="289" t="inlineStr">
        <is>
          <t>профессор</t>
        </is>
      </c>
      <c r="K271" s="289" t="n"/>
      <c r="L271" s="289" t="n"/>
      <c r="M271" s="12">
        <f>SUMIFS($E$2:$E$300,$A$2:$A$300,"осень",$I$2:$I$300,I271)</f>
        <v/>
      </c>
      <c r="N271" s="13">
        <f>SUMIFS($E$2:$E$300,$A$2:$A$300,"весна",$I$2:$I$300,I271)</f>
        <v/>
      </c>
      <c r="O271" s="14">
        <f>M271+N271</f>
        <v/>
      </c>
      <c r="P271" s="15">
        <f>O271/$P$1</f>
        <v/>
      </c>
    </row>
    <row r="272" ht="15.75" customHeight="1" s="2">
      <c r="A272" s="8" t="inlineStr">
        <is>
          <t>весна</t>
        </is>
      </c>
      <c r="B272" s="289" t="inlineStr">
        <is>
          <t>Учебно-ознакомительная практика</t>
        </is>
      </c>
      <c r="C272" s="289" t="inlineStr">
        <is>
          <t>Практика</t>
        </is>
      </c>
      <c r="D272" s="289" t="inlineStr">
        <is>
          <t>Т11О-102Б-19</t>
        </is>
      </c>
      <c r="E272" s="284" t="n">
        <v>8</v>
      </c>
      <c r="F272" s="289" t="n"/>
      <c r="G272" s="290" t="n">
        <v>0</v>
      </c>
      <c r="H272" s="289" t="inlineStr">
        <is>
          <t>93685</t>
        </is>
      </c>
      <c r="I272" s="289" t="inlineStr">
        <is>
          <t>Банишев Александр Федорович</t>
        </is>
      </c>
      <c r="J272" s="289" t="inlineStr">
        <is>
          <t>профессор</t>
        </is>
      </c>
      <c r="K272" s="289" t="n"/>
      <c r="L272" s="289" t="n"/>
      <c r="M272" s="12">
        <f>SUMIFS($E$2:$E$300,$A$2:$A$300,"осень",$I$2:$I$300,I272)</f>
        <v/>
      </c>
      <c r="N272" s="13">
        <f>SUMIFS($E$2:$E$300,$A$2:$A$300,"весна",$I$2:$I$300,I272)</f>
        <v/>
      </c>
      <c r="O272" s="14">
        <f>M272+N272</f>
        <v/>
      </c>
      <c r="P272" s="15">
        <f>O272/$P$1</f>
        <v/>
      </c>
    </row>
    <row r="273" ht="15.75" customHeight="1" s="2">
      <c r="A273" s="8" t="inlineStr">
        <is>
          <t>весна</t>
        </is>
      </c>
      <c r="B273" s="289" t="inlineStr">
        <is>
          <t>Государственный экзамен</t>
        </is>
      </c>
      <c r="C273" s="289" t="inlineStr">
        <is>
          <t>Преддипломная практика</t>
        </is>
      </c>
      <c r="D273" s="289" t="inlineStr">
        <is>
          <t>Т1О-407А-16</t>
        </is>
      </c>
      <c r="E273" s="284" t="n">
        <v>2</v>
      </c>
      <c r="F273" s="289" t="n"/>
      <c r="G273" s="290" t="n">
        <v>0</v>
      </c>
      <c r="H273" s="289" t="inlineStr">
        <is>
          <t>82090</t>
        </is>
      </c>
      <c r="I273" s="289" t="inlineStr">
        <is>
          <t>Барабанова Ольга Алексеевна</t>
        </is>
      </c>
      <c r="J273" s="289" t="inlineStr">
        <is>
          <t>профессор</t>
        </is>
      </c>
      <c r="K273" s="289" t="n"/>
      <c r="L273" s="289" t="n"/>
      <c r="M273" s="12">
        <f>SUMIFS($E$2:$E$300,$A$2:$A$300,"осень",$I$2:$I$300,I273)</f>
        <v/>
      </c>
      <c r="N273" s="13">
        <f>SUMIFS($E$2:$E$300,$A$2:$A$300,"весна",$I$2:$I$300,I273)</f>
        <v/>
      </c>
      <c r="O273" s="14">
        <f>M273+N273</f>
        <v/>
      </c>
      <c r="P273" s="15">
        <f>O273/$P$1</f>
        <v/>
      </c>
    </row>
    <row r="274" ht="15.75" customHeight="1" s="2">
      <c r="A274" s="8" t="inlineStr">
        <is>
          <t>весна</t>
        </is>
      </c>
      <c r="B274" s="28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274" s="289" t="inlineStr">
        <is>
          <t>Преддипломная практика</t>
        </is>
      </c>
      <c r="D274" s="289" t="inlineStr">
        <is>
          <t>Т1О-407А-16</t>
        </is>
      </c>
      <c r="E274" s="284" t="n">
        <v>4</v>
      </c>
      <c r="F274" s="289" t="n"/>
      <c r="G274" s="290" t="n">
        <v>0</v>
      </c>
      <c r="H274" s="289" t="inlineStr">
        <is>
          <t>82090</t>
        </is>
      </c>
      <c r="I274" s="289" t="inlineStr">
        <is>
          <t>Барабанова Ольга Алексеевна</t>
        </is>
      </c>
      <c r="J274" s="289" t="inlineStr">
        <is>
          <t>профессор</t>
        </is>
      </c>
      <c r="K274" s="289" t="n"/>
      <c r="L274" s="289" t="n"/>
      <c r="M274" s="12">
        <f>SUMIFS($E$2:$E$300,$A$2:$A$300,"осень",$I$2:$I$300,I274)</f>
        <v/>
      </c>
      <c r="N274" s="13">
        <f>SUMIFS($E$2:$E$300,$A$2:$A$300,"весна",$I$2:$I$300,I274)</f>
        <v/>
      </c>
      <c r="O274" s="14">
        <f>M274+N274</f>
        <v/>
      </c>
      <c r="P274" s="15">
        <f>O274/$P$1</f>
        <v/>
      </c>
    </row>
    <row r="275" ht="15.75" customHeight="1" s="2">
      <c r="A275" s="8" t="inlineStr">
        <is>
          <t>весна</t>
        </is>
      </c>
      <c r="B275" s="289" t="inlineStr">
        <is>
          <t>Руководство магистрами</t>
        </is>
      </c>
      <c r="C275" s="289" t="inlineStr">
        <is>
          <t>Руководство магистрами</t>
        </is>
      </c>
      <c r="D275" s="289" t="inlineStr">
        <is>
          <t>Т11О-103М-19</t>
        </is>
      </c>
      <c r="E275" s="284" t="n">
        <v>30</v>
      </c>
      <c r="F275" s="289" t="n"/>
      <c r="G275" s="290" t="n">
        <v>0</v>
      </c>
      <c r="H275" s="289" t="inlineStr">
        <is>
          <t>82060</t>
        </is>
      </c>
      <c r="I275" s="289" t="inlineStr">
        <is>
          <t>Лозован Александр Александрович</t>
        </is>
      </c>
      <c r="J275" s="289" t="inlineStr">
        <is>
          <t>профессор</t>
        </is>
      </c>
      <c r="K275" s="289" t="n"/>
      <c r="L275" s="289" t="n"/>
      <c r="M275" s="12">
        <f>SUMIFS($E$2:$E$300,$A$2:$A$300,"осень",$I$2:$I$300,I275)</f>
        <v/>
      </c>
      <c r="N275" s="13">
        <f>SUMIFS($E$2:$E$300,$A$2:$A$300,"весна",$I$2:$I$300,I275)</f>
        <v/>
      </c>
      <c r="O275" s="14">
        <f>M275+N275</f>
        <v/>
      </c>
      <c r="P275" s="15">
        <f>O275/$P$1</f>
        <v/>
      </c>
    </row>
    <row r="276" ht="15.75" customHeight="1" s="2">
      <c r="A276" s="8" t="inlineStr">
        <is>
          <t>весна</t>
        </is>
      </c>
      <c r="B276" s="289" t="inlineStr">
        <is>
          <t>Руководство магистрами</t>
        </is>
      </c>
      <c r="C276" s="289" t="inlineStr">
        <is>
          <t>Руководство магистрами</t>
        </is>
      </c>
      <c r="D276" s="289" t="inlineStr">
        <is>
          <t>Т11О-103М-19</t>
        </is>
      </c>
      <c r="E276" s="284" t="n">
        <v>30</v>
      </c>
      <c r="F276" s="289" t="n"/>
      <c r="G276" s="290" t="n">
        <v>0</v>
      </c>
      <c r="H276" s="289" t="inlineStr">
        <is>
          <t>82066</t>
        </is>
      </c>
      <c r="I276" s="289" t="inlineStr">
        <is>
          <t>Серов Михаил Михайлович</t>
        </is>
      </c>
      <c r="J276" s="289" t="inlineStr">
        <is>
          <t>профессор</t>
        </is>
      </c>
      <c r="K276" s="289" t="n"/>
      <c r="L276" s="289" t="n"/>
      <c r="M276" s="12">
        <f>SUMIFS($E$2:$E$300,$A$2:$A$300,"осень",$I$2:$I$300,I276)</f>
        <v/>
      </c>
      <c r="N276" s="13">
        <f>SUMIFS($E$2:$E$300,$A$2:$A$300,"весна",$I$2:$I$300,I276)</f>
        <v/>
      </c>
      <c r="O276" s="14">
        <f>M276+N276</f>
        <v/>
      </c>
      <c r="P276" s="15">
        <f>O276/$P$1</f>
        <v/>
      </c>
    </row>
    <row r="277" ht="15.75" customHeight="1" s="2">
      <c r="A277" s="8" t="inlineStr">
        <is>
          <t>весна</t>
        </is>
      </c>
      <c r="B277" s="289" t="inlineStr">
        <is>
          <t>Руководство магистрами</t>
        </is>
      </c>
      <c r="C277" s="289" t="inlineStr">
        <is>
          <t>Руководство магистрами</t>
        </is>
      </c>
      <c r="D277" s="289" t="inlineStr">
        <is>
          <t>Т11О-103М-19</t>
        </is>
      </c>
      <c r="E277" s="284" t="n">
        <v>30</v>
      </c>
      <c r="F277" s="289" t="n"/>
      <c r="G277" s="290" t="n">
        <v>0</v>
      </c>
      <c r="H277" s="289" t="inlineStr">
        <is>
          <t>82090</t>
        </is>
      </c>
      <c r="I277" s="289" t="inlineStr">
        <is>
          <t>Барабанова Ольга Алексеевна</t>
        </is>
      </c>
      <c r="J277" s="289" t="inlineStr">
        <is>
          <t>профессор</t>
        </is>
      </c>
      <c r="K277" s="289" t="n"/>
      <c r="L277" s="289" t="n"/>
      <c r="M277" s="12">
        <f>SUMIFS($E$2:$E$300,$A$2:$A$300,"осень",$I$2:$I$300,I277)</f>
        <v/>
      </c>
      <c r="N277" s="13">
        <f>SUMIFS($E$2:$E$300,$A$2:$A$300,"весна",$I$2:$I$300,I277)</f>
        <v/>
      </c>
      <c r="O277" s="14">
        <f>M277+N277</f>
        <v/>
      </c>
      <c r="P277" s="15">
        <f>O277/$P$1</f>
        <v/>
      </c>
    </row>
    <row r="278" ht="15.75" customHeight="1" s="2">
      <c r="A278" s="8" t="inlineStr">
        <is>
          <t>весна</t>
        </is>
      </c>
      <c r="B278" s="289" t="inlineStr">
        <is>
          <t>Руководство магистрами</t>
        </is>
      </c>
      <c r="C278" s="289" t="inlineStr">
        <is>
          <t>Руководство магистрами</t>
        </is>
      </c>
      <c r="D278" s="289" t="inlineStr">
        <is>
          <t>Т11О-103М-19</t>
        </is>
      </c>
      <c r="E278" s="284" t="n">
        <v>30</v>
      </c>
      <c r="F278" s="289" t="n"/>
      <c r="G278" s="290" t="n">
        <v>0</v>
      </c>
      <c r="H278" s="289" t="inlineStr">
        <is>
          <t>93685</t>
        </is>
      </c>
      <c r="I278" s="289" t="inlineStr">
        <is>
          <t>Банишев Александр Федорович</t>
        </is>
      </c>
      <c r="J278" s="289" t="inlineStr">
        <is>
          <t>профессор</t>
        </is>
      </c>
      <c r="K278" s="289" t="n"/>
      <c r="L278" s="289" t="n"/>
      <c r="M278" s="12">
        <f>SUMIFS($E$2:$E$300,$A$2:$A$300,"осень",$I$2:$I$300,I278)</f>
        <v/>
      </c>
      <c r="N278" s="13">
        <f>SUMIFS($E$2:$E$300,$A$2:$A$300,"весна",$I$2:$I$300,I278)</f>
        <v/>
      </c>
      <c r="O278" s="14">
        <f>M278+N278</f>
        <v/>
      </c>
      <c r="P278" s="15">
        <f>O278/$P$1</f>
        <v/>
      </c>
    </row>
    <row r="279" ht="15.75" customHeight="1" s="2">
      <c r="A279" s="8" t="inlineStr">
        <is>
          <t>весна</t>
        </is>
      </c>
      <c r="B279" s="289" t="inlineStr">
        <is>
          <t>Руководство аспирантами</t>
        </is>
      </c>
      <c r="C279" s="289" t="inlineStr">
        <is>
          <t>Руководство аспирантами</t>
        </is>
      </c>
      <c r="D279" s="289" t="inlineStr">
        <is>
          <t>Т1О-307А-17</t>
        </is>
      </c>
      <c r="E279" s="284" t="n">
        <v>25</v>
      </c>
      <c r="F279" s="289" t="n"/>
      <c r="G279" s="290" t="n">
        <v>0</v>
      </c>
      <c r="H279" s="289" t="inlineStr">
        <is>
          <t>82060</t>
        </is>
      </c>
      <c r="I279" s="289" t="inlineStr">
        <is>
          <t>Лозован Александр Александрович</t>
        </is>
      </c>
      <c r="J279" s="289" t="inlineStr">
        <is>
          <t>профессор</t>
        </is>
      </c>
      <c r="K279" s="289" t="n"/>
      <c r="L279" s="289" t="n"/>
      <c r="M279" s="12">
        <f>SUMIFS($E$2:$E$300,$A$2:$A$300,"осень",$I$2:$I$300,I279)</f>
        <v/>
      </c>
      <c r="N279" s="13">
        <f>SUMIFS($E$2:$E$300,$A$2:$A$300,"весна",$I$2:$I$300,I279)</f>
        <v/>
      </c>
      <c r="O279" s="14">
        <f>M279+N279</f>
        <v/>
      </c>
      <c r="P279" s="15">
        <f>O279/$P$1</f>
        <v/>
      </c>
    </row>
    <row r="280" ht="15.75" customHeight="1" s="2">
      <c r="A280" s="8" t="inlineStr">
        <is>
          <t>весна</t>
        </is>
      </c>
      <c r="B280" s="289" t="inlineStr">
        <is>
          <t>Руководство аспирантами</t>
        </is>
      </c>
      <c r="C280" s="289" t="inlineStr">
        <is>
          <t>Руководство аспирантами</t>
        </is>
      </c>
      <c r="D280" s="289" t="inlineStr">
        <is>
          <t>Т11О-207А-18</t>
        </is>
      </c>
      <c r="E280" s="284" t="n">
        <v>75</v>
      </c>
      <c r="F280" s="289" t="n"/>
      <c r="G280" s="290" t="n">
        <v>0</v>
      </c>
      <c r="H280" s="289" t="inlineStr">
        <is>
          <t>82060</t>
        </is>
      </c>
      <c r="I280" s="289" t="inlineStr">
        <is>
          <t>Лозован Александр Александрович</t>
        </is>
      </c>
      <c r="J280" s="289" t="inlineStr">
        <is>
          <t>профессор</t>
        </is>
      </c>
      <c r="K280" s="289" t="n"/>
      <c r="L280" s="289" t="n"/>
      <c r="M280" s="12">
        <f>SUMIFS($E$2:$E$300,$A$2:$A$300,"осень",$I$2:$I$300,I280)</f>
        <v/>
      </c>
      <c r="N280" s="13">
        <f>SUMIFS($E$2:$E$300,$A$2:$A$300,"весна",$I$2:$I$300,I280)</f>
        <v/>
      </c>
      <c r="O280" s="14">
        <f>M280+N280</f>
        <v/>
      </c>
      <c r="P280" s="15">
        <f>O280/$P$1</f>
        <v/>
      </c>
    </row>
    <row r="281" ht="15.75" customHeight="1" s="2">
      <c r="A281" s="8" t="inlineStr">
        <is>
          <t>весна</t>
        </is>
      </c>
      <c r="B281" s="289" t="inlineStr">
        <is>
          <t>Руководство аспирантами</t>
        </is>
      </c>
      <c r="C281" s="289" t="inlineStr">
        <is>
          <t>Руководство аспирантами</t>
        </is>
      </c>
      <c r="D281" s="289" t="inlineStr">
        <is>
          <t>Т11О-107А-19</t>
        </is>
      </c>
      <c r="E281" s="284" t="n">
        <v>50</v>
      </c>
      <c r="F281" s="289" t="n"/>
      <c r="G281" s="290" t="n">
        <v>0</v>
      </c>
      <c r="H281" s="289" t="inlineStr">
        <is>
          <t>82066</t>
        </is>
      </c>
      <c r="I281" s="289" t="inlineStr">
        <is>
          <t>Серов Михаил Михайлович</t>
        </is>
      </c>
      <c r="J281" s="289" t="inlineStr">
        <is>
          <t>профессор</t>
        </is>
      </c>
      <c r="K281" s="289" t="n"/>
      <c r="L281" s="289" t="inlineStr">
        <is>
          <t>2чел</t>
        </is>
      </c>
      <c r="M281" s="12">
        <f>SUMIFS($E$2:$E$300,$A$2:$A$300,"осень",$I$2:$I$300,I281)</f>
        <v/>
      </c>
      <c r="N281" s="13">
        <f>SUMIFS($E$2:$E$300,$A$2:$A$300,"весна",$I$2:$I$300,I281)</f>
        <v/>
      </c>
      <c r="O281" s="14">
        <f>M281+N281</f>
        <v/>
      </c>
      <c r="P281" s="15">
        <f>O281/$P$1</f>
        <v/>
      </c>
    </row>
    <row r="282" ht="15.75" customHeight="1" s="2">
      <c r="A282" s="8" t="inlineStr">
        <is>
          <t>весна</t>
        </is>
      </c>
      <c r="B282" s="289" t="inlineStr">
        <is>
          <t>Руководство аспирантами</t>
        </is>
      </c>
      <c r="C282" s="289" t="inlineStr">
        <is>
          <t>Руководство аспирантами</t>
        </is>
      </c>
      <c r="D282" s="289" t="inlineStr">
        <is>
          <t>Т11О-107А-19</t>
        </is>
      </c>
      <c r="E282" s="284" t="n">
        <v>25</v>
      </c>
      <c r="F282" s="289" t="n"/>
      <c r="G282" s="290" t="n">
        <v>0</v>
      </c>
      <c r="H282" s="289" t="inlineStr">
        <is>
          <t>82060</t>
        </is>
      </c>
      <c r="I282" s="289" t="inlineStr">
        <is>
          <t>Лозован Александр Александрович</t>
        </is>
      </c>
      <c r="J282" s="289" t="inlineStr">
        <is>
          <t>профессор</t>
        </is>
      </c>
      <c r="K282" s="289" t="n"/>
      <c r="L282" s="289" t="inlineStr">
        <is>
          <t>1чел</t>
        </is>
      </c>
      <c r="M282" s="12">
        <f>SUMIFS($E$2:$E$300,$A$2:$A$300,"осень",$I$2:$I$300,I282)</f>
        <v/>
      </c>
      <c r="N282" s="13">
        <f>SUMIFS($E$2:$E$300,$A$2:$A$300,"весна",$I$2:$I$300,I282)</f>
        <v/>
      </c>
      <c r="O282" s="14">
        <f>M282+N282</f>
        <v/>
      </c>
      <c r="P282" s="15">
        <f>O282/$P$1</f>
        <v/>
      </c>
    </row>
    <row r="283" ht="15.75" customHeight="1" s="2">
      <c r="A283" s="8" t="inlineStr">
        <is>
          <t>весна</t>
        </is>
      </c>
      <c r="B283" s="289" t="inlineStr">
        <is>
          <t>Диплом</t>
        </is>
      </c>
      <c r="C283" s="289" t="inlineStr">
        <is>
          <t>Диплом</t>
        </is>
      </c>
      <c r="D283" s="289" t="inlineStr">
        <is>
          <t>Т1О-407А-16</t>
        </is>
      </c>
      <c r="E283" s="284" t="n">
        <v>25</v>
      </c>
      <c r="F283" s="289" t="n"/>
      <c r="G283" s="290" t="n">
        <v>0</v>
      </c>
      <c r="H283" s="289" t="inlineStr">
        <is>
          <t>82090</t>
        </is>
      </c>
      <c r="I283" s="289" t="inlineStr">
        <is>
          <t>Барабанова Ольга Алексеевна</t>
        </is>
      </c>
      <c r="J283" s="289" t="inlineStr">
        <is>
          <t>профессор</t>
        </is>
      </c>
      <c r="K283" s="289" t="n"/>
      <c r="L283" s="289" t="n"/>
      <c r="M283" s="12">
        <f>SUMIFS($E$2:$E$300,$A$2:$A$300,"осень",$I$2:$I$300,I283)</f>
        <v/>
      </c>
      <c r="N283" s="13">
        <f>SUMIFS($E$2:$E$300,$A$2:$A$300,"весна",$I$2:$I$300,I283)</f>
        <v/>
      </c>
      <c r="O283" s="14">
        <f>M283+N283</f>
        <v/>
      </c>
      <c r="P283" s="15">
        <f>O283/$P$1</f>
        <v/>
      </c>
    </row>
    <row r="284" ht="15.75" customHeight="1" s="2">
      <c r="A284" s="8" t="inlineStr">
        <is>
          <t>весна</t>
        </is>
      </c>
      <c r="B284" s="289" t="inlineStr">
        <is>
          <t>Диплом</t>
        </is>
      </c>
      <c r="C284" s="289" t="inlineStr">
        <is>
          <t>Диплом</t>
        </is>
      </c>
      <c r="D284" s="289" t="inlineStr">
        <is>
          <t>Т11О-203М-18</t>
        </is>
      </c>
      <c r="E284" s="284" t="n">
        <v>124.5</v>
      </c>
      <c r="F284" s="289" t="n"/>
      <c r="G284" s="290" t="n">
        <v>0</v>
      </c>
      <c r="H284" s="289" t="inlineStr">
        <is>
          <t>82060</t>
        </is>
      </c>
      <c r="I284" s="289" t="inlineStr">
        <is>
          <t>Лозован Александр Александрович</t>
        </is>
      </c>
      <c r="J284" s="289" t="inlineStr">
        <is>
          <t>профессор</t>
        </is>
      </c>
      <c r="K284" s="289" t="n"/>
      <c r="L284" s="289" t="inlineStr">
        <is>
          <t>4чел+ком</t>
        </is>
      </c>
      <c r="M284" s="12">
        <f>SUMIFS($E$2:$E$300,$A$2:$A$300,"осень",$I$2:$I$300,I284)</f>
        <v/>
      </c>
      <c r="N284" s="13">
        <f>SUMIFS($E$2:$E$300,$A$2:$A$300,"весна",$I$2:$I$300,I284)</f>
        <v/>
      </c>
      <c r="O284" s="14">
        <f>M284+N284</f>
        <v/>
      </c>
      <c r="P284" s="15">
        <f>O284/$P$1</f>
        <v/>
      </c>
    </row>
    <row r="285" ht="15.75" customHeight="1" s="2">
      <c r="A285" s="8" t="inlineStr">
        <is>
          <t>весна</t>
        </is>
      </c>
      <c r="B285" s="289" t="inlineStr">
        <is>
          <t>Диплом</t>
        </is>
      </c>
      <c r="C285" s="289" t="inlineStr">
        <is>
          <t>Диплом</t>
        </is>
      </c>
      <c r="D285" s="289" t="inlineStr">
        <is>
          <t>Т11О-203М-18</t>
        </is>
      </c>
      <c r="E285" s="284" t="n">
        <v>64.5</v>
      </c>
      <c r="F285" s="289" t="n"/>
      <c r="G285" s="290" t="n">
        <v>0</v>
      </c>
      <c r="H285" s="289" t="inlineStr">
        <is>
          <t>82090</t>
        </is>
      </c>
      <c r="I285" s="289" t="inlineStr">
        <is>
          <t>Барабанова Ольга Алексеевна</t>
        </is>
      </c>
      <c r="J285" s="289" t="inlineStr">
        <is>
          <t>профессор</t>
        </is>
      </c>
      <c r="K285" s="289" t="n"/>
      <c r="L285" s="289" t="inlineStr">
        <is>
          <t>2чел+ком</t>
        </is>
      </c>
      <c r="M285" s="12">
        <f>SUMIFS($E$2:$E$300,$A$2:$A$300,"осень",$I$2:$I$300,I285)</f>
        <v/>
      </c>
      <c r="N285" s="13">
        <f>SUMIFS($E$2:$E$300,$A$2:$A$300,"весна",$I$2:$I$300,I285)</f>
        <v/>
      </c>
      <c r="O285" s="14">
        <f>M285+N285</f>
        <v/>
      </c>
      <c r="P285" s="15">
        <f>O285/$P$1</f>
        <v/>
      </c>
    </row>
    <row r="286" ht="15.75" customHeight="1" s="2">
      <c r="A286" s="8" t="inlineStr">
        <is>
          <t>весна</t>
        </is>
      </c>
      <c r="B286" s="289" t="inlineStr">
        <is>
          <t>Диплом</t>
        </is>
      </c>
      <c r="C286" s="289" t="inlineStr">
        <is>
          <t>Диплом</t>
        </is>
      </c>
      <c r="D286" s="289" t="inlineStr">
        <is>
          <t>Т11О-203М-18</t>
        </is>
      </c>
      <c r="E286" s="284" t="n">
        <v>60</v>
      </c>
      <c r="F286" s="289" t="n"/>
      <c r="G286" s="290" t="n">
        <v>0</v>
      </c>
      <c r="H286" s="289" t="inlineStr">
        <is>
          <t>93685</t>
        </is>
      </c>
      <c r="I286" s="289" t="inlineStr">
        <is>
          <t>Банишев Александр Федорович</t>
        </is>
      </c>
      <c r="J286" s="289" t="inlineStr">
        <is>
          <t>профессор</t>
        </is>
      </c>
      <c r="K286" s="289" t="n"/>
      <c r="L286" s="289" t="inlineStr">
        <is>
          <t>2чел</t>
        </is>
      </c>
      <c r="M286" s="12">
        <f>SUMIFS($E$2:$E$300,$A$2:$A$300,"осень",$I$2:$I$300,I286)</f>
        <v/>
      </c>
      <c r="N286" s="13">
        <f>SUMIFS($E$2:$E$300,$A$2:$A$300,"весна",$I$2:$I$300,I286)</f>
        <v/>
      </c>
      <c r="O286" s="14">
        <f>M286+N286</f>
        <v/>
      </c>
      <c r="P286" s="15">
        <f>O286/$P$1</f>
        <v/>
      </c>
    </row>
    <row r="287" ht="15.75" customHeight="1" s="2">
      <c r="A287" s="8" t="inlineStr">
        <is>
          <t>весна</t>
        </is>
      </c>
      <c r="B287" s="289" t="inlineStr">
        <is>
          <t>Диплом</t>
        </is>
      </c>
      <c r="C287" s="289" t="inlineStr">
        <is>
          <t>Диплом</t>
        </is>
      </c>
      <c r="D287" s="289" t="inlineStr">
        <is>
          <t>Т11О-203М-18</t>
        </is>
      </c>
      <c r="E287" s="294" t="n">
        <v>18</v>
      </c>
      <c r="F287" s="289" t="n"/>
      <c r="G287" s="290" t="n">
        <v>0</v>
      </c>
      <c r="H287" s="289" t="n"/>
      <c r="I287" s="289" t="inlineStr">
        <is>
          <t>э-Комиссия-П</t>
        </is>
      </c>
      <c r="J287" s="289" t="n"/>
      <c r="K287" s="291" t="inlineStr">
        <is>
          <t>не заводить</t>
        </is>
      </c>
      <c r="L287" s="289" t="inlineStr">
        <is>
          <t>нормо+серк+(предс+Внешком 18)</t>
        </is>
      </c>
      <c r="M287" s="12">
        <f>SUMIFS($E$2:$E$300,$A$2:$A$300,"осень",$I$2:$I$300,I287)</f>
        <v/>
      </c>
      <c r="N287" s="13">
        <f>SUMIFS($E$2:$E$300,$A$2:$A$300,"весна",$I$2:$I$300,I287)</f>
        <v/>
      </c>
      <c r="O287" s="14">
        <f>M287+N287</f>
        <v/>
      </c>
      <c r="P287" s="15">
        <f>O287/$P$1</f>
        <v/>
      </c>
    </row>
    <row r="288" ht="15.75" customHeight="1" s="2">
      <c r="A288" s="8" t="inlineStr">
        <is>
          <t>весна</t>
        </is>
      </c>
      <c r="B288" s="289" t="inlineStr">
        <is>
          <t>Диплом</t>
        </is>
      </c>
      <c r="C288" s="289" t="inlineStr">
        <is>
          <t>Диплом</t>
        </is>
      </c>
      <c r="D288" s="289" t="inlineStr">
        <is>
          <t>Т11О-203М-18</t>
        </is>
      </c>
      <c r="E288" s="294" t="n">
        <v>13.5</v>
      </c>
      <c r="F288" s="289" t="n"/>
      <c r="G288" s="290" t="n">
        <v>0</v>
      </c>
      <c r="H288" s="289" t="inlineStr">
        <is>
          <t>94222</t>
        </is>
      </c>
      <c r="I288" s="289" t="inlineStr">
        <is>
          <t>Кубатина Екатерина Павловна</t>
        </is>
      </c>
      <c r="J288" s="289" t="inlineStr">
        <is>
          <t>ассистент</t>
        </is>
      </c>
      <c r="K288" s="291" t="inlineStr">
        <is>
          <t>не заводить</t>
        </is>
      </c>
      <c r="L288" s="289" t="inlineStr">
        <is>
          <t>нормо+серк+(предс+Внешком 18)</t>
        </is>
      </c>
      <c r="M288" s="12">
        <f>SUMIFS($E$2:$E$300,$A$2:$A$300,"осень",$I$2:$I$300,I288)</f>
        <v/>
      </c>
      <c r="N288" s="13">
        <f>SUMIFS($E$2:$E$300,$A$2:$A$300,"весна",$I$2:$I$300,I288)</f>
        <v/>
      </c>
      <c r="O288" s="14">
        <f>M288+N288</f>
        <v/>
      </c>
      <c r="P288" s="15">
        <f>O288/$P$1</f>
        <v/>
      </c>
    </row>
    <row r="289" ht="15.75" customHeight="1" s="2">
      <c r="A289" s="8" t="inlineStr">
        <is>
          <t>весна</t>
        </is>
      </c>
      <c r="B289" s="289" t="inlineStr">
        <is>
          <t>Диплом</t>
        </is>
      </c>
      <c r="C289" s="289" t="inlineStr">
        <is>
          <t>Диплом</t>
        </is>
      </c>
      <c r="D289" s="289" t="inlineStr">
        <is>
          <t>Т11О-203М-18</t>
        </is>
      </c>
      <c r="E289" s="294" t="n">
        <v>-31.5</v>
      </c>
      <c r="F289" s="289" t="n"/>
      <c r="G289" s="290" t="n">
        <v>0</v>
      </c>
      <c r="H289" s="289" t="inlineStr">
        <is>
          <t>82026</t>
        </is>
      </c>
      <c r="I289" s="289" t="inlineStr">
        <is>
          <t>Александрова Светлана Сергеевна</t>
        </is>
      </c>
      <c r="J289" s="289" t="inlineStr">
        <is>
          <t>доцент</t>
        </is>
      </c>
      <c r="K289" s="291" t="inlineStr">
        <is>
          <t>компенсировано</t>
        </is>
      </c>
      <c r="L289" s="289" t="inlineStr">
        <is>
          <t>нормо+серк+(предс+Внешком 18)</t>
        </is>
      </c>
      <c r="M289" s="12">
        <f>SUMIFS($E$2:$E$300,$A$2:$A$300,"осень",$I$2:$I$300,I289)</f>
        <v/>
      </c>
      <c r="N289" s="13">
        <f>SUMIFS($E$2:$E$300,$A$2:$A$300,"весна",$I$2:$I$300,I289)</f>
        <v/>
      </c>
      <c r="O289" s="14">
        <f>M289+N289</f>
        <v/>
      </c>
      <c r="P289" s="15">
        <f>O289/$P$1</f>
        <v/>
      </c>
    </row>
    <row r="290" ht="15.75" customHeight="1" s="2">
      <c r="A290" s="8" t="inlineStr">
        <is>
          <t>весна</t>
        </is>
      </c>
      <c r="B290" s="289" t="inlineStr">
        <is>
          <t>Диплом</t>
        </is>
      </c>
      <c r="C290" s="289" t="inlineStr">
        <is>
          <t>Диплом</t>
        </is>
      </c>
      <c r="D290" s="289" t="inlineStr">
        <is>
          <t>Т11О-203М-18</t>
        </is>
      </c>
      <c r="E290" s="284" t="n">
        <v>31.5</v>
      </c>
      <c r="F290" s="289" t="n"/>
      <c r="G290" s="290" t="n">
        <v>0</v>
      </c>
      <c r="H290" s="289" t="inlineStr">
        <is>
          <t>82026</t>
        </is>
      </c>
      <c r="I290" s="289" t="inlineStr">
        <is>
          <t>Александрова Светлана Сергеевна</t>
        </is>
      </c>
      <c r="J290" s="289" t="inlineStr">
        <is>
          <t>доцент</t>
        </is>
      </c>
      <c r="K290" s="289" t="n"/>
      <c r="L290" s="289" t="inlineStr">
        <is>
          <t>нормо+серк+(предс+Внешком 18)</t>
        </is>
      </c>
      <c r="M290" s="12">
        <f>SUMIFS($E$2:$E$300,$A$2:$A$300,"осень",$I$2:$I$300,I290)</f>
        <v/>
      </c>
      <c r="N290" s="13">
        <f>SUMIFS($E$2:$E$300,$A$2:$A$300,"весна",$I$2:$I$300,I290)</f>
        <v/>
      </c>
      <c r="O290" s="14">
        <f>M290+N290</f>
        <v/>
      </c>
      <c r="P290" s="15">
        <f>O290/$P$1</f>
        <v/>
      </c>
    </row>
    <row r="291" ht="15.75" customHeight="1" s="2">
      <c r="A291" s="8" t="inlineStr">
        <is>
          <t>весна</t>
        </is>
      </c>
      <c r="B291" s="289" t="inlineStr">
        <is>
          <t>Диплом</t>
        </is>
      </c>
      <c r="C291" s="289" t="inlineStr">
        <is>
          <t>Диплом</t>
        </is>
      </c>
      <c r="D291" s="289" t="inlineStr">
        <is>
          <t>Т11О-203М-18</t>
        </is>
      </c>
      <c r="E291" s="284" t="n">
        <v>34.5</v>
      </c>
      <c r="F291" s="289" t="n"/>
      <c r="G291" s="290" t="n">
        <v>0</v>
      </c>
      <c r="H291" s="289" t="inlineStr">
        <is>
          <t>82066</t>
        </is>
      </c>
      <c r="I291" s="289" t="inlineStr">
        <is>
          <t>Серов Михаил Михайлович</t>
        </is>
      </c>
      <c r="J291" s="289" t="inlineStr">
        <is>
          <t>профессор</t>
        </is>
      </c>
      <c r="K291" s="289" t="n"/>
      <c r="L291" s="289" t="inlineStr">
        <is>
          <t>1чел +ком</t>
        </is>
      </c>
      <c r="M291" s="12">
        <f>SUMIFS($E$2:$E$300,$A$2:$A$300,"осень",$I$2:$I$300,I291)</f>
        <v/>
      </c>
      <c r="N291" s="13">
        <f>SUMIFS($E$2:$E$300,$A$2:$A$300,"весна",$I$2:$I$300,I291)</f>
        <v/>
      </c>
      <c r="O291" s="14">
        <f>M291+N291</f>
        <v/>
      </c>
      <c r="P291" s="15">
        <f>O291/$P$1</f>
        <v/>
      </c>
    </row>
    <row r="292" ht="15.75" customHeight="1" s="2">
      <c r="A292" s="8" t="inlineStr">
        <is>
          <t>весна</t>
        </is>
      </c>
      <c r="B292" s="289" t="inlineStr">
        <is>
          <t>Диплом</t>
        </is>
      </c>
      <c r="C292" s="289" t="inlineStr">
        <is>
          <t>Диплом</t>
        </is>
      </c>
      <c r="D292" s="289" t="inlineStr">
        <is>
          <t>Т1О-404Б-16</t>
        </is>
      </c>
      <c r="E292" s="284" t="n">
        <v>60</v>
      </c>
      <c r="F292" s="289" t="n"/>
      <c r="G292" s="290" t="n">
        <v>0</v>
      </c>
      <c r="H292" s="289" t="inlineStr">
        <is>
          <t>93685</t>
        </is>
      </c>
      <c r="I292" s="289" t="inlineStr">
        <is>
          <t>Банишев Александр Федорович</t>
        </is>
      </c>
      <c r="J292" s="289" t="inlineStr">
        <is>
          <t>профессор</t>
        </is>
      </c>
      <c r="K292" s="289" t="n"/>
      <c r="L292" s="289" t="inlineStr">
        <is>
          <t>3 чел</t>
        </is>
      </c>
      <c r="M292" s="12">
        <f>SUMIFS($E$2:$E$300,$A$2:$A$300,"осень",$I$2:$I$300,I292)</f>
        <v/>
      </c>
      <c r="N292" s="13">
        <f>SUMIFS($E$2:$E$300,$A$2:$A$300,"весна",$I$2:$I$300,I292)</f>
        <v/>
      </c>
      <c r="O292" s="14">
        <f>M292+N292</f>
        <v/>
      </c>
      <c r="P292" s="15">
        <f>O292/$P$1</f>
        <v/>
      </c>
    </row>
    <row r="293" ht="15.75" customHeight="1" s="2">
      <c r="A293" s="8" t="inlineStr">
        <is>
          <t>весна</t>
        </is>
      </c>
      <c r="B293" s="289" t="inlineStr">
        <is>
          <t>Диплом</t>
        </is>
      </c>
      <c r="C293" s="289" t="inlineStr">
        <is>
          <t>Диплом</t>
        </is>
      </c>
      <c r="D293" s="289" t="inlineStr">
        <is>
          <t>Т1О-404Б-16</t>
        </is>
      </c>
      <c r="E293" s="284" t="n">
        <v>86.5</v>
      </c>
      <c r="F293" s="289" t="n"/>
      <c r="G293" s="290" t="n">
        <v>0</v>
      </c>
      <c r="H293" s="289" t="inlineStr">
        <is>
          <t>82090</t>
        </is>
      </c>
      <c r="I293" s="289" t="inlineStr">
        <is>
          <t>Барабанова Ольга Алексеевна</t>
        </is>
      </c>
      <c r="J293" s="289" t="inlineStr">
        <is>
          <t>профессор</t>
        </is>
      </c>
      <c r="K293" s="289" t="n"/>
      <c r="L293" s="289" t="inlineStr">
        <is>
          <t>4 чел +ком</t>
        </is>
      </c>
      <c r="M293" s="12">
        <f>SUMIFS($E$2:$E$300,$A$2:$A$300,"осень",$I$2:$I$300,I293)</f>
        <v/>
      </c>
      <c r="N293" s="13">
        <f>SUMIFS($E$2:$E$300,$A$2:$A$300,"весна",$I$2:$I$300,I293)</f>
        <v/>
      </c>
      <c r="O293" s="14">
        <f>M293+N293</f>
        <v/>
      </c>
      <c r="P293" s="15">
        <f>O293/$P$1</f>
        <v/>
      </c>
    </row>
    <row r="294" ht="15.75" customHeight="1" s="2">
      <c r="A294" s="8" t="inlineStr">
        <is>
          <t>весна</t>
        </is>
      </c>
      <c r="B294" s="289" t="inlineStr">
        <is>
          <t>Диплом</t>
        </is>
      </c>
      <c r="C294" s="289" t="inlineStr">
        <is>
          <t>Диплом</t>
        </is>
      </c>
      <c r="D294" s="289" t="inlineStr">
        <is>
          <t>Т1О-404Б-16</t>
        </is>
      </c>
      <c r="E294" s="284" t="n">
        <v>19.5</v>
      </c>
      <c r="F294" s="289" t="n"/>
      <c r="G294" s="290" t="n">
        <v>0</v>
      </c>
      <c r="H294" s="289" t="inlineStr">
        <is>
          <t>94222</t>
        </is>
      </c>
      <c r="I294" s="289" t="inlineStr">
        <is>
          <t>Кубатина Екатерина Павловна</t>
        </is>
      </c>
      <c r="J294" s="289" t="inlineStr">
        <is>
          <t>ассистент</t>
        </is>
      </c>
      <c r="K294" s="291" t="inlineStr">
        <is>
          <t>не заводить</t>
        </is>
      </c>
      <c r="L294" s="289" t="inlineStr">
        <is>
          <t>секр+нормо + предс+ внешком</t>
        </is>
      </c>
      <c r="M294" s="12">
        <f>SUMIFS($E$2:$E$300,$A$2:$A$300,"осень",$I$2:$I$300,I294)</f>
        <v/>
      </c>
      <c r="N294" s="13">
        <f>SUMIFS($E$2:$E$300,$A$2:$A$300,"весна",$I$2:$I$300,I294)</f>
        <v/>
      </c>
      <c r="O294" s="14">
        <f>M294+N294</f>
        <v/>
      </c>
      <c r="P294" s="15">
        <f>O294/$P$1</f>
        <v/>
      </c>
    </row>
    <row r="295" ht="15.75" customHeight="1" s="2">
      <c r="A295" s="8" t="inlineStr">
        <is>
          <t>весна</t>
        </is>
      </c>
      <c r="B295" s="289" t="inlineStr">
        <is>
          <t>Диплом</t>
        </is>
      </c>
      <c r="C295" s="289" t="inlineStr">
        <is>
          <t>Диплом</t>
        </is>
      </c>
      <c r="D295" s="289" t="inlineStr">
        <is>
          <t>Т1О-404Б-16</t>
        </is>
      </c>
      <c r="E295" s="284" t="n">
        <v>26</v>
      </c>
      <c r="F295" s="289" t="n"/>
      <c r="G295" s="290" t="n">
        <v>0</v>
      </c>
      <c r="H295" s="289" t="n"/>
      <c r="I295" s="289" t="inlineStr">
        <is>
          <t>э-Комиссия-П</t>
        </is>
      </c>
      <c r="J295" s="289" t="n"/>
      <c r="K295" s="291" t="inlineStr">
        <is>
          <t>не заводить</t>
        </is>
      </c>
      <c r="L295" s="289" t="inlineStr">
        <is>
          <t>секр+нормо + предс+ внешком</t>
        </is>
      </c>
      <c r="M295" s="12">
        <f>SUMIFS($E$2:$E$300,$A$2:$A$300,"осень",$I$2:$I$300,I295)</f>
        <v/>
      </c>
      <c r="N295" s="13">
        <f>SUMIFS($E$2:$E$300,$A$2:$A$300,"весна",$I$2:$I$300,I295)</f>
        <v/>
      </c>
      <c r="O295" s="14">
        <f>M295+N295</f>
        <v/>
      </c>
      <c r="P295" s="15">
        <f>O295/$P$1</f>
        <v/>
      </c>
    </row>
    <row r="296" ht="15.75" customHeight="1" s="2">
      <c r="A296" s="8" t="inlineStr">
        <is>
          <t>весна</t>
        </is>
      </c>
      <c r="B296" s="289" t="inlineStr">
        <is>
          <t>Диплом</t>
        </is>
      </c>
      <c r="C296" s="289" t="inlineStr">
        <is>
          <t>Диплом</t>
        </is>
      </c>
      <c r="D296" s="289" t="inlineStr">
        <is>
          <t>Т1О-404Б-16</t>
        </is>
      </c>
      <c r="E296" s="294" t="n">
        <v>-45.5</v>
      </c>
      <c r="F296" s="289" t="n"/>
      <c r="G296" s="290" t="n">
        <v>0</v>
      </c>
      <c r="H296" s="289" t="inlineStr">
        <is>
          <t>82026</t>
        </is>
      </c>
      <c r="I296" s="289" t="inlineStr">
        <is>
          <t>Александрова Светлана Сергеевна</t>
        </is>
      </c>
      <c r="J296" s="289" t="inlineStr">
        <is>
          <t>доцент</t>
        </is>
      </c>
      <c r="K296" s="291" t="inlineStr">
        <is>
          <t>компенсировано</t>
        </is>
      </c>
      <c r="L296" s="289" t="inlineStr">
        <is>
          <t>секр+нормо + предс+ внешком</t>
        </is>
      </c>
      <c r="M296" s="12">
        <f>SUMIFS($E$2:$E$300,$A$2:$A$300,"осень",$I$2:$I$300,I296)</f>
        <v/>
      </c>
      <c r="N296" s="13">
        <f>SUMIFS($E$2:$E$300,$A$2:$A$300,"весна",$I$2:$I$300,I296)</f>
        <v/>
      </c>
      <c r="O296" s="14">
        <f>M296+N296</f>
        <v/>
      </c>
      <c r="P296" s="15">
        <f>O296/$P$1</f>
        <v/>
      </c>
    </row>
    <row r="297" ht="15.75" customHeight="1" s="2">
      <c r="A297" s="8" t="inlineStr">
        <is>
          <t>весна</t>
        </is>
      </c>
      <c r="B297" s="289" t="inlineStr">
        <is>
          <t>Диплом</t>
        </is>
      </c>
      <c r="C297" s="289" t="inlineStr">
        <is>
          <t>Диплом</t>
        </is>
      </c>
      <c r="D297" s="289" t="inlineStr">
        <is>
          <t>Т1О-404Б-16</t>
        </is>
      </c>
      <c r="E297" s="284" t="n">
        <v>45.5</v>
      </c>
      <c r="F297" s="289" t="n"/>
      <c r="G297" s="290" t="n">
        <v>0</v>
      </c>
      <c r="H297" s="289" t="inlineStr">
        <is>
          <t>82026</t>
        </is>
      </c>
      <c r="I297" s="289" t="inlineStr">
        <is>
          <t>Александрова Светлана Сергеевна</t>
        </is>
      </c>
      <c r="J297" s="289" t="inlineStr">
        <is>
          <t>доцент</t>
        </is>
      </c>
      <c r="K297" s="289" t="n"/>
      <c r="L297" s="289" t="inlineStr">
        <is>
          <t>секр+нормо + предс+ внешком</t>
        </is>
      </c>
      <c r="M297" s="12">
        <f>SUMIFS($E$2:$E$300,$A$2:$A$300,"осень",$I$2:$I$300,I297)</f>
        <v/>
      </c>
      <c r="N297" s="13">
        <f>SUMIFS($E$2:$E$300,$A$2:$A$300,"весна",$I$2:$I$300,I297)</f>
        <v/>
      </c>
      <c r="O297" s="14">
        <f>M297+N297</f>
        <v/>
      </c>
      <c r="P297" s="15">
        <f>O297/$P$1</f>
        <v/>
      </c>
    </row>
    <row r="298" ht="15.75" customHeight="1" s="2">
      <c r="A298" s="8" t="inlineStr">
        <is>
          <t>весна</t>
        </is>
      </c>
      <c r="B298" s="289" t="inlineStr">
        <is>
          <t>Диплом</t>
        </is>
      </c>
      <c r="C298" s="289" t="inlineStr">
        <is>
          <t>Диплом</t>
        </is>
      </c>
      <c r="D298" s="289" t="inlineStr">
        <is>
          <t>Т1О-404Б-16</t>
        </is>
      </c>
      <c r="E298" s="284" t="n">
        <v>46.5</v>
      </c>
      <c r="F298" s="289" t="n"/>
      <c r="G298" s="290" t="n">
        <v>0</v>
      </c>
      <c r="H298" s="289" t="inlineStr">
        <is>
          <t>82060</t>
        </is>
      </c>
      <c r="I298" s="289" t="inlineStr">
        <is>
          <t>Лозован Александр Александрович</t>
        </is>
      </c>
      <c r="J298" s="289" t="inlineStr">
        <is>
          <t>профессор</t>
        </is>
      </c>
      <c r="K298" s="289" t="n"/>
      <c r="L298" s="289" t="inlineStr">
        <is>
          <t>2чел +ком</t>
        </is>
      </c>
      <c r="M298" s="12">
        <f>SUMIFS($E$2:$E$300,$A$2:$A$300,"осень",$I$2:$I$300,I298)</f>
        <v/>
      </c>
      <c r="N298" s="13">
        <f>SUMIFS($E$2:$E$300,$A$2:$A$300,"весна",$I$2:$I$300,I298)</f>
        <v/>
      </c>
      <c r="O298" s="14">
        <f>M298+N298</f>
        <v/>
      </c>
      <c r="P298" s="15">
        <f>O298/$P$1</f>
        <v/>
      </c>
    </row>
    <row r="299" ht="15.75" customHeight="1" s="2">
      <c r="A299" s="8" t="inlineStr">
        <is>
          <t>весна</t>
        </is>
      </c>
      <c r="B299" s="289" t="inlineStr">
        <is>
          <t>Диплом</t>
        </is>
      </c>
      <c r="C299" s="289" t="inlineStr">
        <is>
          <t>Диплом</t>
        </is>
      </c>
      <c r="D299" s="289" t="inlineStr">
        <is>
          <t>Т1О-404Б-16</t>
        </is>
      </c>
      <c r="E299" s="284" t="n">
        <v>86.5</v>
      </c>
      <c r="F299" s="289" t="n"/>
      <c r="G299" s="290" t="n">
        <v>0</v>
      </c>
      <c r="H299" s="289" t="inlineStr">
        <is>
          <t>82066</t>
        </is>
      </c>
      <c r="I299" s="289" t="inlineStr">
        <is>
          <t>Серов Михаил Михайлович</t>
        </is>
      </c>
      <c r="J299" s="289" t="inlineStr">
        <is>
          <t>профессор</t>
        </is>
      </c>
      <c r="K299" s="289" t="n"/>
      <c r="L299" s="289" t="inlineStr">
        <is>
          <t>4 чел + ком</t>
        </is>
      </c>
      <c r="M299" s="12">
        <f>SUMIFS($E$2:$E$300,$A$2:$A$300,"осень",$I$2:$I$300,I299)</f>
        <v/>
      </c>
      <c r="N299" s="13">
        <f>SUMIFS($E$2:$E$300,$A$2:$A$300,"весна",$I$2:$I$300,I299)</f>
        <v/>
      </c>
      <c r="O299" s="14">
        <f>M299+N299</f>
        <v/>
      </c>
      <c r="P299" s="15">
        <f>O299/$P$1</f>
        <v/>
      </c>
    </row>
    <row r="300" ht="15.75" customHeight="1" s="2"/>
    <row r="301" ht="15.75" customHeight="1" s="2">
      <c r="E301">
        <f>SUBTOTAL(9,E1:E300)</f>
        <v/>
      </c>
    </row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P299"/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U587"/>
  <sheetViews>
    <sheetView zoomScale="100" workbookViewId="0">
      <selection activeCell="A1" activeCellId="0" sqref="A1"/>
    </sheetView>
  </sheetViews>
  <sheetFormatPr baseColWidth="8" defaultColWidth="14.42578125" defaultRowHeight="15" customHeight="1"/>
  <cols>
    <col width="8" customWidth="1" style="2" min="1" max="26"/>
  </cols>
  <sheetData>
    <row r="1">
      <c r="E1" s="295" t="n"/>
      <c r="G1" s="296" t="inlineStr">
        <is>
          <t>вввв</t>
        </is>
      </c>
      <c r="H1" s="297" t="inlineStr">
        <is>
          <t>вввв</t>
        </is>
      </c>
    </row>
    <row r="2">
      <c r="E2" s="295" t="n">
        <v>30</v>
      </c>
      <c r="G2" s="296" t="n">
        <v>150</v>
      </c>
      <c r="H2" s="297" t="n">
        <v>150</v>
      </c>
      <c r="I2" s="133">
        <f>G2-H2</f>
        <v/>
      </c>
      <c r="J2" s="298" t="inlineStr">
        <is>
          <t>ИДПО</t>
        </is>
      </c>
      <c r="K2" s="298" t="inlineStr">
        <is>
          <t>ИДПО</t>
        </is>
      </c>
      <c r="L2" s="298" t="n"/>
      <c r="M2" s="297" t="n">
        <v>150</v>
      </c>
      <c r="N2" s="298" t="n"/>
      <c r="O2" s="299" t="n"/>
      <c r="P2" s="298" t="n"/>
      <c r="Q2" s="298" t="n"/>
      <c r="R2" s="298" t="n"/>
      <c r="S2" s="298" t="inlineStr">
        <is>
          <t>Нет</t>
        </is>
      </c>
      <c r="T2" s="298" t="n"/>
      <c r="U2" s="298" t="n"/>
    </row>
    <row r="3">
      <c r="E3" s="300" t="n">
        <v>75</v>
      </c>
      <c r="G3" s="296" t="n">
        <v>30</v>
      </c>
      <c r="H3" s="297" t="n">
        <v>30</v>
      </c>
      <c r="I3" s="133">
        <f>G3-H3</f>
        <v/>
      </c>
      <c r="J3" s="298" t="inlineStr">
        <is>
          <t>Руководство кафедрой</t>
        </is>
      </c>
      <c r="K3" s="298" t="inlineStr">
        <is>
          <t>Руководство кафедрой</t>
        </is>
      </c>
      <c r="L3" s="298" t="n"/>
      <c r="M3" s="297" t="n">
        <v>30</v>
      </c>
      <c r="N3" s="298" t="n"/>
      <c r="O3" s="299" t="n"/>
      <c r="P3" s="298" t="inlineStr">
        <is>
          <t xml:space="preserve">82061     </t>
        </is>
      </c>
      <c r="Q3" s="298" t="inlineStr">
        <is>
          <t xml:space="preserve">Моисеев Виктор Сергеевич </t>
        </is>
      </c>
      <c r="R3" s="298" t="n"/>
      <c r="S3" s="298" t="inlineStr">
        <is>
          <t>Да</t>
        </is>
      </c>
      <c r="T3" s="298" t="n"/>
      <c r="U3" s="298" t="n"/>
    </row>
    <row r="4">
      <c r="E4" s="300" t="n">
        <v>25</v>
      </c>
      <c r="G4" s="296" t="n">
        <v>16</v>
      </c>
      <c r="H4" s="297" t="n">
        <v>16</v>
      </c>
      <c r="I4" s="133">
        <f>G4-H4</f>
        <v/>
      </c>
      <c r="J4" s="298" t="inlineStr">
        <is>
          <t>Информационные технологии в ОМД</t>
        </is>
      </c>
      <c r="K4" s="298" t="inlineStr">
        <is>
          <t>ЛК</t>
        </is>
      </c>
      <c r="L4" s="298" t="inlineStr">
        <is>
          <t>Т1В-512Б-17</t>
        </is>
      </c>
      <c r="M4" s="297" t="n">
        <v>16</v>
      </c>
      <c r="N4" s="298" t="inlineStr">
        <is>
          <t>08769</t>
        </is>
      </c>
      <c r="O4" s="297" t="n">
        <v>16</v>
      </c>
      <c r="P4" s="298" t="inlineStr">
        <is>
          <t xml:space="preserve">81720     </t>
        </is>
      </c>
      <c r="Q4" s="298" t="inlineStr">
        <is>
          <t xml:space="preserve">Палтиевич Андрей Романович </t>
        </is>
      </c>
      <c r="R4" s="298" t="n"/>
      <c r="S4" s="298" t="inlineStr">
        <is>
          <t>Нет</t>
        </is>
      </c>
      <c r="T4" s="298" t="inlineStr">
        <is>
          <t>Орш. А-523</t>
        </is>
      </c>
      <c r="U4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5">
      <c r="E5" s="300" t="n">
        <v>50</v>
      </c>
      <c r="G5" s="296" t="n">
        <v>20</v>
      </c>
      <c r="H5" s="297" t="n">
        <v>20</v>
      </c>
      <c r="I5" s="133">
        <f>G5-H5</f>
        <v/>
      </c>
      <c r="J5" s="298" t="inlineStr">
        <is>
          <t>Информационные технологии в ОМД</t>
        </is>
      </c>
      <c r="K5" s="298" t="inlineStr">
        <is>
          <t>ЛР</t>
        </is>
      </c>
      <c r="L5" s="298" t="inlineStr">
        <is>
          <t>Т1В-512Б-17</t>
        </is>
      </c>
      <c r="M5" s="297" t="n">
        <v>20</v>
      </c>
      <c r="N5" s="298" t="inlineStr">
        <is>
          <t>08769</t>
        </is>
      </c>
      <c r="O5" s="297" t="n">
        <v>20</v>
      </c>
      <c r="P5" s="298" t="inlineStr">
        <is>
          <t xml:space="preserve">81720     </t>
        </is>
      </c>
      <c r="Q5" s="298" t="inlineStr">
        <is>
          <t xml:space="preserve">Палтиевич Андрей Романович </t>
        </is>
      </c>
      <c r="R5" s="298" t="n"/>
      <c r="S5" s="298" t="inlineStr">
        <is>
          <t>Нет</t>
        </is>
      </c>
      <c r="T5" s="298" t="inlineStr">
        <is>
          <t>Орш. А-525</t>
        </is>
      </c>
      <c r="U5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6">
      <c r="E6" s="301" t="n">
        <v>25</v>
      </c>
      <c r="G6" s="296" t="n">
        <v>4</v>
      </c>
      <c r="H6" s="297" t="n">
        <v>4</v>
      </c>
      <c r="I6" s="133">
        <f>G6-H6</f>
        <v/>
      </c>
      <c r="J6" s="298" t="inlineStr">
        <is>
          <t>Информационные технологии в ОМД</t>
        </is>
      </c>
      <c r="K6" s="298" t="inlineStr">
        <is>
          <t>Зачет</t>
        </is>
      </c>
      <c r="L6" s="298" t="inlineStr">
        <is>
          <t>Т1В-512Б-17</t>
        </is>
      </c>
      <c r="M6" s="297" t="n">
        <v>4</v>
      </c>
      <c r="N6" s="298" t="inlineStr">
        <is>
          <t>08769</t>
        </is>
      </c>
      <c r="O6" s="299" t="n"/>
      <c r="P6" s="298" t="inlineStr">
        <is>
          <t xml:space="preserve">81720     </t>
        </is>
      </c>
      <c r="Q6" s="298" t="inlineStr">
        <is>
          <t xml:space="preserve">Палтиевич Андрей Романович </t>
        </is>
      </c>
      <c r="R6" s="298" t="n"/>
      <c r="S6" s="298" t="inlineStr">
        <is>
          <t>Нет</t>
        </is>
      </c>
      <c r="T6" s="298" t="n"/>
      <c r="U6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7">
      <c r="E7" s="300" t="n">
        <v>25</v>
      </c>
      <c r="G7" s="296" t="n">
        <v>2</v>
      </c>
      <c r="H7" s="297" t="n">
        <v>2</v>
      </c>
      <c r="I7" s="133">
        <f>G7-H7</f>
        <v/>
      </c>
      <c r="J7" s="298" t="inlineStr">
        <is>
          <t>Информационные технологии в ОМД</t>
        </is>
      </c>
      <c r="K7" s="298" t="inlineStr">
        <is>
          <t>Консультация</t>
        </is>
      </c>
      <c r="L7" s="298" t="inlineStr">
        <is>
          <t>Т1В-512Б-17</t>
        </is>
      </c>
      <c r="M7" s="297" t="n">
        <v>2</v>
      </c>
      <c r="N7" s="298" t="inlineStr">
        <is>
          <t>08769</t>
        </is>
      </c>
      <c r="O7" s="299" t="n"/>
      <c r="P7" s="298" t="inlineStr">
        <is>
          <t xml:space="preserve">81720     </t>
        </is>
      </c>
      <c r="Q7" s="298" t="inlineStr">
        <is>
          <t xml:space="preserve">Палтиевич Андрей Романович </t>
        </is>
      </c>
      <c r="R7" s="298" t="n"/>
      <c r="S7" s="298" t="inlineStr">
        <is>
          <t>Нет</t>
        </is>
      </c>
      <c r="T7" s="298" t="n"/>
      <c r="U7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8">
      <c r="E8" s="301" t="n">
        <v>25</v>
      </c>
      <c r="G8" s="296" t="n">
        <v>16</v>
      </c>
      <c r="H8" s="297" t="n">
        <v>16</v>
      </c>
      <c r="I8" s="133">
        <f>G8-H8</f>
        <v/>
      </c>
      <c r="J8" s="298" t="inlineStr">
        <is>
          <t>Теория пластичности</t>
        </is>
      </c>
      <c r="K8" s="298" t="inlineStr">
        <is>
          <t>ЛК</t>
        </is>
      </c>
      <c r="L8" s="298" t="inlineStr">
        <is>
          <t>Т1В-512Б-17</t>
        </is>
      </c>
      <c r="M8" s="297" t="n">
        <v>16</v>
      </c>
      <c r="N8" s="298" t="inlineStr">
        <is>
          <t>08769</t>
        </is>
      </c>
      <c r="O8" s="297" t="n">
        <v>16</v>
      </c>
      <c r="P8" s="298" t="inlineStr">
        <is>
          <t xml:space="preserve">81730     </t>
        </is>
      </c>
      <c r="Q8" s="298" t="inlineStr">
        <is>
          <t>Федоров Анатолий Александрович</t>
        </is>
      </c>
      <c r="R8" s="298" t="n"/>
      <c r="S8" s="298" t="inlineStr">
        <is>
          <t>Да</t>
        </is>
      </c>
      <c r="T8" s="298" t="n"/>
      <c r="U8" s="298" t="n"/>
    </row>
    <row r="9">
      <c r="E9" s="300" t="n">
        <v>16</v>
      </c>
      <c r="G9" s="296" t="n">
        <v>20</v>
      </c>
      <c r="H9" s="297" t="n">
        <v>20</v>
      </c>
      <c r="I9" s="133">
        <f>G9-H9</f>
        <v/>
      </c>
      <c r="J9" s="298" t="inlineStr">
        <is>
          <t>Теория пластичности</t>
        </is>
      </c>
      <c r="K9" s="298" t="inlineStr">
        <is>
          <t>ПЗ</t>
        </is>
      </c>
      <c r="L9" s="298" t="inlineStr">
        <is>
          <t>Т1В-512Б-17</t>
        </is>
      </c>
      <c r="M9" s="297" t="n">
        <v>20</v>
      </c>
      <c r="N9" s="298" t="inlineStr">
        <is>
          <t>08769</t>
        </is>
      </c>
      <c r="O9" s="297" t="n">
        <v>20</v>
      </c>
      <c r="P9" s="298" t="inlineStr">
        <is>
          <t xml:space="preserve">81730     </t>
        </is>
      </c>
      <c r="Q9" s="298" t="inlineStr">
        <is>
          <t>Федоров Анатолий Александрович</t>
        </is>
      </c>
      <c r="R9" s="298" t="n"/>
      <c r="S9" s="298" t="inlineStr">
        <is>
          <t>Да</t>
        </is>
      </c>
      <c r="T9" s="298" t="n"/>
      <c r="U9" s="298" t="n"/>
    </row>
    <row r="10">
      <c r="E10" s="300" t="n">
        <v>20</v>
      </c>
      <c r="G10" s="296" t="n">
        <v>3.33</v>
      </c>
      <c r="H10" s="297" t="n">
        <v>3.33</v>
      </c>
      <c r="I10" s="133">
        <f>G10-H10</f>
        <v/>
      </c>
      <c r="J10" s="298" t="inlineStr">
        <is>
          <t>Теория пластичности</t>
        </is>
      </c>
      <c r="K10" s="298" t="inlineStr">
        <is>
          <t>Экзамен</t>
        </is>
      </c>
      <c r="L10" s="298" t="inlineStr">
        <is>
          <t>Т1В-512Б-17</t>
        </is>
      </c>
      <c r="M10" s="297" t="n">
        <v>3.33</v>
      </c>
      <c r="N10" s="298" t="inlineStr">
        <is>
          <t>08769</t>
        </is>
      </c>
      <c r="O10" s="299" t="n"/>
      <c r="P10" s="298" t="inlineStr">
        <is>
          <t xml:space="preserve">81730     </t>
        </is>
      </c>
      <c r="Q10" s="298" t="inlineStr">
        <is>
          <t>Федоров Анатолий Александрович</t>
        </is>
      </c>
      <c r="R10" s="298" t="n"/>
      <c r="S10" s="298" t="inlineStr">
        <is>
          <t>Да</t>
        </is>
      </c>
      <c r="T10" s="298" t="n"/>
      <c r="U10" s="298" t="n"/>
    </row>
    <row r="11">
      <c r="E11" s="300" t="n">
        <v>4</v>
      </c>
      <c r="G11" s="296" t="n">
        <v>1.67</v>
      </c>
      <c r="H11" s="297" t="n">
        <v>1.67</v>
      </c>
      <c r="I11" s="133">
        <f>G11-H11</f>
        <v/>
      </c>
      <c r="J11" s="298" t="inlineStr">
        <is>
          <t>Теория пластичности</t>
        </is>
      </c>
      <c r="K11" s="298" t="inlineStr">
        <is>
          <t>Экзамен</t>
        </is>
      </c>
      <c r="L11" s="298" t="inlineStr">
        <is>
          <t>Т1В-512Б-17</t>
        </is>
      </c>
      <c r="M11" s="297" t="n">
        <v>1.67</v>
      </c>
      <c r="N11" s="298" t="inlineStr">
        <is>
          <t>08769</t>
        </is>
      </c>
      <c r="O11" s="299" t="n"/>
      <c r="P11" s="298" t="inlineStr">
        <is>
          <t xml:space="preserve">93685     </t>
        </is>
      </c>
      <c r="Q11" s="298" t="inlineStr">
        <is>
          <t xml:space="preserve">Банишев Александр Федорович </t>
        </is>
      </c>
      <c r="R11" s="298" t="inlineStr">
        <is>
          <t>профессор</t>
        </is>
      </c>
      <c r="S11" s="298" t="inlineStr">
        <is>
          <t>Да</t>
        </is>
      </c>
      <c r="T11" s="298" t="n"/>
      <c r="U11" s="298" t="n"/>
    </row>
    <row r="12">
      <c r="E12" s="300" t="n">
        <v>2</v>
      </c>
      <c r="G12" s="296" t="n">
        <v>3</v>
      </c>
      <c r="H12" s="297" t="n">
        <v>3</v>
      </c>
      <c r="I12" s="133">
        <f>G12-H12</f>
        <v/>
      </c>
      <c r="J12" s="298" t="inlineStr">
        <is>
          <t>Теория пластичности</t>
        </is>
      </c>
      <c r="K12" s="298" t="inlineStr">
        <is>
          <t>Консультация</t>
        </is>
      </c>
      <c r="L12" s="298" t="inlineStr">
        <is>
          <t>Т1В-512Б-17</t>
        </is>
      </c>
      <c r="M12" s="297" t="n">
        <v>3</v>
      </c>
      <c r="N12" s="298" t="inlineStr">
        <is>
          <t>08769</t>
        </is>
      </c>
      <c r="O12" s="299" t="n"/>
      <c r="P12" s="298" t="inlineStr">
        <is>
          <t xml:space="preserve">81730     </t>
        </is>
      </c>
      <c r="Q12" s="298" t="inlineStr">
        <is>
          <t>Федоров Анатолий Александрович</t>
        </is>
      </c>
      <c r="R12" s="298" t="n"/>
      <c r="S12" s="298" t="inlineStr">
        <is>
          <t>Да</t>
        </is>
      </c>
      <c r="T12" s="298" t="n"/>
      <c r="U12" s="298" t="n"/>
    </row>
    <row r="13">
      <c r="E13" s="302" t="n">
        <v>16</v>
      </c>
      <c r="G13" s="296" t="n">
        <v>1</v>
      </c>
      <c r="H13" s="297" t="n">
        <v>1</v>
      </c>
      <c r="I13" s="133">
        <f>G13-H13</f>
        <v/>
      </c>
      <c r="J13" s="298" t="inlineStr">
        <is>
          <t>Теория пластичности</t>
        </is>
      </c>
      <c r="K13" s="298" t="inlineStr">
        <is>
          <t>Консультация</t>
        </is>
      </c>
      <c r="L13" s="298" t="inlineStr">
        <is>
          <t>Т1В-512Б-17</t>
        </is>
      </c>
      <c r="M13" s="297" t="n">
        <v>1</v>
      </c>
      <c r="N13" s="298" t="inlineStr">
        <is>
          <t>08769</t>
        </is>
      </c>
      <c r="O13" s="299" t="n"/>
      <c r="P13" s="298" t="inlineStr">
        <is>
          <t xml:space="preserve">93685     </t>
        </is>
      </c>
      <c r="Q13" s="298" t="inlineStr">
        <is>
          <t xml:space="preserve">Банишев Александр Федорович </t>
        </is>
      </c>
      <c r="R13" s="298" t="inlineStr">
        <is>
          <t>профессор</t>
        </is>
      </c>
      <c r="S13" s="298" t="inlineStr">
        <is>
          <t>Да</t>
        </is>
      </c>
      <c r="T13" s="298" t="n"/>
      <c r="U13" s="298" t="n"/>
    </row>
    <row r="14">
      <c r="E14" s="302" t="n">
        <v>20</v>
      </c>
      <c r="G14" s="296" t="n">
        <v>44</v>
      </c>
      <c r="H14" s="297" t="n">
        <v>44</v>
      </c>
      <c r="I14" s="133">
        <f>G14-H14</f>
        <v/>
      </c>
      <c r="J14" s="298" t="inlineStr">
        <is>
          <t>История профессии</t>
        </is>
      </c>
      <c r="K14" s="298" t="inlineStr">
        <is>
          <t>ЛК</t>
        </is>
      </c>
      <c r="L14" s="298" t="inlineStr">
        <is>
          <t>Т11О-101Б-21</t>
        </is>
      </c>
      <c r="M14" s="297" t="n">
        <v>44</v>
      </c>
      <c r="N14" s="298" t="inlineStr">
        <is>
          <t>14668</t>
        </is>
      </c>
      <c r="O14" s="297" t="n">
        <v>44</v>
      </c>
      <c r="P14" s="298" t="inlineStr">
        <is>
          <t xml:space="preserve">81720     </t>
        </is>
      </c>
      <c r="Q14" s="298" t="inlineStr">
        <is>
          <t xml:space="preserve">Палтиевич Андрей Романович </t>
        </is>
      </c>
      <c r="R14" s="298" t="n"/>
      <c r="S14" s="298" t="inlineStr">
        <is>
          <t>Нет</t>
        </is>
      </c>
      <c r="T14" s="298" t="inlineStr">
        <is>
          <t>Орш. А-523</t>
        </is>
      </c>
      <c r="U14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15">
      <c r="E15" s="295" t="n">
        <v>3</v>
      </c>
      <c r="G15" s="296" t="n">
        <v>7</v>
      </c>
      <c r="H15" s="297" t="n">
        <v>7</v>
      </c>
      <c r="I15" s="133">
        <f>G15-H15</f>
        <v/>
      </c>
      <c r="J15" s="298" t="inlineStr">
        <is>
          <t>История профессии</t>
        </is>
      </c>
      <c r="K15" s="298" t="inlineStr">
        <is>
          <t>Зачет с оценкой</t>
        </is>
      </c>
      <c r="L15" s="298" t="inlineStr">
        <is>
          <t>Т11О-101Б-21</t>
        </is>
      </c>
      <c r="M15" s="297" t="n">
        <v>7</v>
      </c>
      <c r="N15" s="298" t="inlineStr">
        <is>
          <t>14668</t>
        </is>
      </c>
      <c r="O15" s="299" t="n"/>
      <c r="P15" s="298" t="inlineStr">
        <is>
          <t xml:space="preserve">81720     </t>
        </is>
      </c>
      <c r="Q15" s="298" t="inlineStr">
        <is>
          <t xml:space="preserve">Палтиевич Андрей Романович </t>
        </is>
      </c>
      <c r="R15" s="298" t="n"/>
      <c r="S15" s="298" t="inlineStr">
        <is>
          <t>Нет</t>
        </is>
      </c>
      <c r="T15" s="298" t="n"/>
      <c r="U15" s="298" t="n"/>
    </row>
    <row r="16">
      <c r="E16" s="302" t="n">
        <v>2</v>
      </c>
      <c r="G16" s="296" t="n">
        <v>1</v>
      </c>
      <c r="H16" s="297" t="n">
        <v>1</v>
      </c>
      <c r="I16" s="133">
        <f>G16-H16</f>
        <v/>
      </c>
      <c r="J16" s="298" t="inlineStr">
        <is>
          <t>История профессии</t>
        </is>
      </c>
      <c r="K16" s="298" t="inlineStr">
        <is>
          <t>Зачет с оценкой</t>
        </is>
      </c>
      <c r="L16" s="298" t="inlineStr">
        <is>
          <t>Т11О-101Б-21</t>
        </is>
      </c>
      <c r="M16" s="297" t="n">
        <v>1</v>
      </c>
      <c r="N16" s="298" t="inlineStr">
        <is>
          <t>14668</t>
        </is>
      </c>
      <c r="O16" s="299" t="n"/>
      <c r="P16" s="298" t="inlineStr">
        <is>
          <t xml:space="preserve">93685     </t>
        </is>
      </c>
      <c r="Q16" s="298" t="inlineStr">
        <is>
          <t xml:space="preserve">Банишев Александр Федорович </t>
        </is>
      </c>
      <c r="R16" s="298" t="inlineStr">
        <is>
          <t>профессор</t>
        </is>
      </c>
      <c r="S16" s="298" t="inlineStr">
        <is>
          <t>Да</t>
        </is>
      </c>
      <c r="T16" s="298" t="n"/>
      <c r="U16" s="298" t="n"/>
    </row>
    <row r="17">
      <c r="E17" s="302" t="n">
        <v>3</v>
      </c>
      <c r="G17" s="296" t="n">
        <v>8</v>
      </c>
      <c r="H17" s="297" t="n">
        <v>8</v>
      </c>
      <c r="I17" s="133">
        <f>G17-H17</f>
        <v/>
      </c>
      <c r="J17" s="298" t="inlineStr">
        <is>
          <t>История профессии</t>
        </is>
      </c>
      <c r="K17" s="298" t="inlineStr">
        <is>
          <t>ПЗ</t>
        </is>
      </c>
      <c r="L17" s="298" t="inlineStr">
        <is>
          <t>Т11О-101Б-21</t>
        </is>
      </c>
      <c r="M17" s="297" t="n">
        <v>8</v>
      </c>
      <c r="N17" s="298" t="inlineStr">
        <is>
          <t>14668</t>
        </is>
      </c>
      <c r="O17" s="297" t="n">
        <v>32</v>
      </c>
      <c r="P17" s="298" t="inlineStr">
        <is>
          <t xml:space="preserve">81729     </t>
        </is>
      </c>
      <c r="Q17" s="298" t="inlineStr">
        <is>
          <t xml:space="preserve">Соколов Алексей Викторович </t>
        </is>
      </c>
      <c r="R17" s="298" t="n"/>
      <c r="S17" s="298" t="inlineStr">
        <is>
          <t>Нет</t>
        </is>
      </c>
      <c r="T17" s="298" t="inlineStr">
        <is>
          <t>Орш. А-521</t>
        </is>
      </c>
      <c r="U17" s="298" t="inlineStr">
        <is>
          <t xml:space="preserve">Кроме пятницы. с 10-45 и позже </t>
        </is>
      </c>
    </row>
    <row r="18">
      <c r="E18" s="302" t="n">
        <v>1</v>
      </c>
      <c r="G18" s="296" t="n">
        <v>8</v>
      </c>
      <c r="H18" s="297" t="n">
        <v>8</v>
      </c>
      <c r="I18" s="133">
        <f>G18-H18</f>
        <v/>
      </c>
      <c r="J18" s="298" t="inlineStr">
        <is>
          <t>История профессии</t>
        </is>
      </c>
      <c r="K18" s="298" t="inlineStr">
        <is>
          <t>ПЗ</t>
        </is>
      </c>
      <c r="L18" s="298" t="inlineStr">
        <is>
          <t>Т11О-101Б-21</t>
        </is>
      </c>
      <c r="M18" s="297" t="n">
        <v>8</v>
      </c>
      <c r="N18" s="298" t="inlineStr">
        <is>
          <t>14668</t>
        </is>
      </c>
      <c r="O18" s="297" t="n">
        <v>32</v>
      </c>
      <c r="P18" s="298" t="inlineStr">
        <is>
          <t xml:space="preserve">87438     </t>
        </is>
      </c>
      <c r="Q18" s="298" t="inlineStr">
        <is>
          <t xml:space="preserve">Конкевич Валентин Юрьевич </t>
        </is>
      </c>
      <c r="R18" s="298" t="n"/>
      <c r="S18" s="298" t="inlineStr">
        <is>
          <t>Да</t>
        </is>
      </c>
      <c r="T18" s="298" t="inlineStr">
        <is>
          <t>Орш. А-527</t>
        </is>
      </c>
      <c r="U18" s="298" t="inlineStr">
        <is>
          <t>вторник, среда с 9-00</t>
        </is>
      </c>
    </row>
    <row r="19">
      <c r="E19" s="300" t="n">
        <v>44</v>
      </c>
      <c r="G19" s="296" t="n">
        <v>8</v>
      </c>
      <c r="H19" s="297" t="n">
        <v>8</v>
      </c>
      <c r="I19" s="133">
        <f>G19-H19</f>
        <v/>
      </c>
      <c r="J19" s="298" t="inlineStr">
        <is>
          <t>История профессии</t>
        </is>
      </c>
      <c r="K19" s="298" t="inlineStr">
        <is>
          <t>ПЗ</t>
        </is>
      </c>
      <c r="L19" s="298" t="inlineStr">
        <is>
          <t>Т11О-101Б-21</t>
        </is>
      </c>
      <c r="M19" s="297" t="n">
        <v>8</v>
      </c>
      <c r="N19" s="298" t="inlineStr">
        <is>
          <t>14668</t>
        </is>
      </c>
      <c r="O19" s="297" t="n">
        <v>32</v>
      </c>
      <c r="P19" s="298" t="inlineStr">
        <is>
          <t xml:space="preserve">82066     </t>
        </is>
      </c>
      <c r="Q19" s="298" t="inlineStr">
        <is>
          <t xml:space="preserve">Серов Михаил Михайлович </t>
        </is>
      </c>
      <c r="R19" s="298" t="n"/>
      <c r="S19" s="298" t="inlineStr">
        <is>
          <t>Да</t>
        </is>
      </c>
      <c r="T19" s="298" t="n"/>
      <c r="U19" s="298" t="n"/>
    </row>
    <row r="20">
      <c r="E20" s="300" t="n">
        <v>6</v>
      </c>
      <c r="G20" s="296" t="n">
        <v>8</v>
      </c>
      <c r="H20" s="297" t="n">
        <v>8</v>
      </c>
      <c r="I20" s="133">
        <f>G20-H20</f>
        <v/>
      </c>
      <c r="J20" s="298" t="inlineStr">
        <is>
          <t>История профессии</t>
        </is>
      </c>
      <c r="K20" s="298" t="inlineStr">
        <is>
          <t>ПЗ</t>
        </is>
      </c>
      <c r="L20" s="298" t="inlineStr">
        <is>
          <t>Т11О-101Б-21</t>
        </is>
      </c>
      <c r="M20" s="297" t="n">
        <v>8</v>
      </c>
      <c r="N20" s="298" t="inlineStr">
        <is>
          <t>14668</t>
        </is>
      </c>
      <c r="O20" s="297" t="n">
        <v>32</v>
      </c>
      <c r="P20" s="298" t="inlineStr">
        <is>
          <t xml:space="preserve">89068     </t>
        </is>
      </c>
      <c r="Q20" s="298" t="inlineStr">
        <is>
          <t xml:space="preserve">Петров Игорь Алексеевич </t>
        </is>
      </c>
      <c r="R20" s="298" t="n"/>
      <c r="S20" s="298" t="inlineStr">
        <is>
          <t>Нет</t>
        </is>
      </c>
      <c r="T20" s="298" t="inlineStr">
        <is>
          <t>Орш. А-327</t>
        </is>
      </c>
      <c r="U20" s="298" t="inlineStr">
        <is>
          <t xml:space="preserve">Вторник ЛК - 532А (проектор) ; Понедельник, Вторник, Пятница  (ЛК,ПЗ,ЛР) - 327А (лабороторное оборудование и проектор) </t>
        </is>
      </c>
    </row>
    <row r="21" ht="15.75" customHeight="1" s="2">
      <c r="E21" s="300" t="n">
        <v>2</v>
      </c>
      <c r="G21" s="296" t="n">
        <v>8</v>
      </c>
      <c r="H21" s="297" t="n">
        <v>8</v>
      </c>
      <c r="I21" s="133">
        <f>G21-H21</f>
        <v/>
      </c>
      <c r="J21" s="298" t="inlineStr">
        <is>
          <t>История профессии</t>
        </is>
      </c>
      <c r="K21" s="298" t="inlineStr">
        <is>
          <t>ЛР</t>
        </is>
      </c>
      <c r="L21" s="298" t="inlineStr">
        <is>
          <t>Т11О-101Б-21</t>
        </is>
      </c>
      <c r="M21" s="297" t="n">
        <v>8</v>
      </c>
      <c r="N21" s="298" t="inlineStr">
        <is>
          <t>14668</t>
        </is>
      </c>
      <c r="O21" s="297" t="n">
        <v>16</v>
      </c>
      <c r="P21" s="298" t="inlineStr">
        <is>
          <t xml:space="preserve">89068     </t>
        </is>
      </c>
      <c r="Q21" s="298" t="inlineStr">
        <is>
          <t xml:space="preserve">Петров Игорь Алексеевич </t>
        </is>
      </c>
      <c r="R21" s="298" t="n"/>
      <c r="S21" s="298" t="inlineStr">
        <is>
          <t>Нет</t>
        </is>
      </c>
      <c r="T21" s="298" t="inlineStr">
        <is>
          <t>Орш. А-327</t>
        </is>
      </c>
      <c r="U21" s="298" t="inlineStr">
        <is>
          <t xml:space="preserve">Вторник ЛК - 532А (проектор) ; Понедельник, Вторник, Пятница  (ЛК,ПЗ,ЛР) - 327А (лабороторное оборудование и проектор) </t>
        </is>
      </c>
    </row>
    <row r="22" ht="15.75" customHeight="1" s="2">
      <c r="E22" s="300" t="n">
        <v>8</v>
      </c>
      <c r="G22" s="296" t="n">
        <v>8</v>
      </c>
      <c r="H22" s="297" t="n">
        <v>8</v>
      </c>
      <c r="I22" s="133">
        <f>G22-H22</f>
        <v/>
      </c>
      <c r="J22" s="298" t="inlineStr">
        <is>
          <t>История профессии</t>
        </is>
      </c>
      <c r="K22" s="298" t="inlineStr">
        <is>
          <t>ЛР</t>
        </is>
      </c>
      <c r="L22" s="298" t="inlineStr">
        <is>
          <t>Т11О-101Б-21</t>
        </is>
      </c>
      <c r="M22" s="297" t="n">
        <v>8</v>
      </c>
      <c r="N22" s="298" t="inlineStr">
        <is>
          <t>14668</t>
        </is>
      </c>
      <c r="O22" s="297" t="n">
        <v>16</v>
      </c>
      <c r="P22" s="298" t="inlineStr">
        <is>
          <t xml:space="preserve">82066     </t>
        </is>
      </c>
      <c r="Q22" s="298" t="inlineStr">
        <is>
          <t xml:space="preserve">Серов Михаил Михайлович </t>
        </is>
      </c>
      <c r="R22" s="298" t="n"/>
      <c r="S22" s="298" t="inlineStr">
        <is>
          <t>Да</t>
        </is>
      </c>
      <c r="T22" s="298" t="n"/>
      <c r="U22" s="298" t="n"/>
    </row>
    <row r="23" ht="15.75" customHeight="1" s="2">
      <c r="E23" s="300" t="n">
        <v>8</v>
      </c>
      <c r="G23" s="296" t="n">
        <v>8</v>
      </c>
      <c r="H23" s="297" t="n">
        <v>8</v>
      </c>
      <c r="I23" s="133">
        <f>G23-H23</f>
        <v/>
      </c>
      <c r="J23" s="298" t="inlineStr">
        <is>
          <t>История профессии</t>
        </is>
      </c>
      <c r="K23" s="298" t="inlineStr">
        <is>
          <t>ЛР</t>
        </is>
      </c>
      <c r="L23" s="298" t="inlineStr">
        <is>
          <t>Т11О-101Б-21</t>
        </is>
      </c>
      <c r="M23" s="297" t="n">
        <v>8</v>
      </c>
      <c r="N23" s="298" t="inlineStr">
        <is>
          <t>14668</t>
        </is>
      </c>
      <c r="O23" s="297" t="n">
        <v>16</v>
      </c>
      <c r="P23" s="298" t="inlineStr">
        <is>
          <t xml:space="preserve">87438     </t>
        </is>
      </c>
      <c r="Q23" s="298" t="inlineStr">
        <is>
          <t xml:space="preserve">Конкевич Валентин Юрьевич </t>
        </is>
      </c>
      <c r="R23" s="298" t="n"/>
      <c r="S23" s="298" t="inlineStr">
        <is>
          <t>Да</t>
        </is>
      </c>
      <c r="T23" s="298" t="inlineStr">
        <is>
          <t>Орш. А-527</t>
        </is>
      </c>
      <c r="U23" s="298" t="inlineStr">
        <is>
          <t>вторник, среда с 9-00</t>
        </is>
      </c>
    </row>
    <row r="24" ht="15.75" customHeight="1" s="2">
      <c r="E24" s="300" t="n">
        <v>8</v>
      </c>
      <c r="G24" s="296" t="n">
        <v>8</v>
      </c>
      <c r="H24" s="297" t="n">
        <v>8</v>
      </c>
      <c r="I24" s="133">
        <f>G24-H24</f>
        <v/>
      </c>
      <c r="J24" s="298" t="inlineStr">
        <is>
          <t>История профессии</t>
        </is>
      </c>
      <c r="K24" s="298" t="inlineStr">
        <is>
          <t>ЛР</t>
        </is>
      </c>
      <c r="L24" s="298" t="inlineStr">
        <is>
          <t>Т11О-101Б-21</t>
        </is>
      </c>
      <c r="M24" s="297" t="n">
        <v>8</v>
      </c>
      <c r="N24" s="298" t="inlineStr">
        <is>
          <t>14668</t>
        </is>
      </c>
      <c r="O24" s="297" t="n">
        <v>16</v>
      </c>
      <c r="P24" s="298" t="inlineStr">
        <is>
          <t xml:space="preserve">81729     </t>
        </is>
      </c>
      <c r="Q24" s="298" t="inlineStr">
        <is>
          <t xml:space="preserve">Соколов Алексей Викторович </t>
        </is>
      </c>
      <c r="R24" s="298" t="n"/>
      <c r="S24" s="298" t="inlineStr">
        <is>
          <t>Нет</t>
        </is>
      </c>
      <c r="T24" s="298" t="inlineStr">
        <is>
          <t>Орш. А-523</t>
        </is>
      </c>
      <c r="U24" s="298" t="inlineStr">
        <is>
          <t xml:space="preserve">Кроме пятницы. с 10-45 и позже </t>
        </is>
      </c>
    </row>
    <row r="25" ht="15.75" customHeight="1" s="2">
      <c r="E25" s="300" t="n">
        <v>8</v>
      </c>
      <c r="G25" s="296" t="n">
        <v>2</v>
      </c>
      <c r="H25" s="297" t="n">
        <v>2</v>
      </c>
      <c r="I25" s="133">
        <f>G25-H25</f>
        <v/>
      </c>
      <c r="J25" s="298" t="inlineStr">
        <is>
          <t>История профессии</t>
        </is>
      </c>
      <c r="K25" s="298" t="inlineStr">
        <is>
          <t>Консультация</t>
        </is>
      </c>
      <c r="L25" s="298" t="inlineStr">
        <is>
          <t>Т11О-101Б-21</t>
        </is>
      </c>
      <c r="M25" s="297" t="n">
        <v>2</v>
      </c>
      <c r="N25" s="298" t="inlineStr">
        <is>
          <t>14668</t>
        </is>
      </c>
      <c r="O25" s="299" t="n"/>
      <c r="P25" s="298" t="inlineStr">
        <is>
          <t xml:space="preserve">81720     </t>
        </is>
      </c>
      <c r="Q25" s="298" t="inlineStr">
        <is>
          <t xml:space="preserve">Палтиевич Андрей Романович </t>
        </is>
      </c>
      <c r="R25" s="298" t="n"/>
      <c r="S25" s="298" t="inlineStr">
        <is>
          <t>Нет</t>
        </is>
      </c>
      <c r="T25" s="298" t="n"/>
      <c r="U25" s="298" t="n"/>
    </row>
    <row r="26" ht="15.75" customHeight="1" s="2">
      <c r="E26" s="300" t="n">
        <v>8</v>
      </c>
      <c r="G26" s="296" t="n">
        <v>12</v>
      </c>
      <c r="H26" s="297" t="n">
        <v>12</v>
      </c>
      <c r="I26" s="133">
        <f>G26-H26</f>
        <v/>
      </c>
      <c r="J26" s="298" t="inlineStr">
        <is>
          <t>Вычислительные машины и сети</t>
        </is>
      </c>
      <c r="K26" s="298" t="inlineStr">
        <is>
          <t>ЛК</t>
        </is>
      </c>
      <c r="L26" s="298" t="inlineStr">
        <is>
          <t>Т11О-203Б-20</t>
        </is>
      </c>
      <c r="M26" s="297" t="n">
        <v>12</v>
      </c>
      <c r="N26" s="298" t="inlineStr">
        <is>
          <t>13288</t>
        </is>
      </c>
      <c r="O26" s="297" t="n">
        <v>12</v>
      </c>
      <c r="P26" s="298" t="inlineStr">
        <is>
          <t xml:space="preserve">81721     </t>
        </is>
      </c>
      <c r="Q26" s="298" t="inlineStr">
        <is>
          <t xml:space="preserve">Преображенский Евгений Владимирович </t>
        </is>
      </c>
      <c r="R26" s="298" t="n"/>
      <c r="S26" s="298" t="inlineStr">
        <is>
          <t>Нет</t>
        </is>
      </c>
      <c r="T26" s="298" t="inlineStr">
        <is>
          <t>Орш. А-525</t>
        </is>
      </c>
      <c r="U26" s="298" t="n"/>
    </row>
    <row r="27" ht="15.75" customHeight="1" s="2">
      <c r="E27" s="300" t="n">
        <v>8</v>
      </c>
      <c r="G27" s="296" t="n">
        <v>4</v>
      </c>
      <c r="H27" s="297" t="n">
        <v>4</v>
      </c>
      <c r="I27" s="133">
        <f>G27-H27</f>
        <v/>
      </c>
      <c r="J27" s="298" t="inlineStr">
        <is>
          <t>Вычислительные машины и сети</t>
        </is>
      </c>
      <c r="K27" s="298" t="inlineStr">
        <is>
          <t>Зачет с оценкой</t>
        </is>
      </c>
      <c r="L27" s="298" t="inlineStr">
        <is>
          <t>Т11О-203Б-20</t>
        </is>
      </c>
      <c r="M27" s="297" t="n">
        <v>4</v>
      </c>
      <c r="N27" s="298" t="inlineStr">
        <is>
          <t>13288</t>
        </is>
      </c>
      <c r="O27" s="299" t="n"/>
      <c r="P27" s="298" t="inlineStr">
        <is>
          <t xml:space="preserve">81721     </t>
        </is>
      </c>
      <c r="Q27" s="298" t="inlineStr">
        <is>
          <t xml:space="preserve">Преображенский Евгений Владимирович </t>
        </is>
      </c>
      <c r="R27" s="298" t="n"/>
      <c r="S27" s="298" t="inlineStr">
        <is>
          <t>Нет</t>
        </is>
      </c>
      <c r="T27" s="298" t="inlineStr">
        <is>
          <t>Орш. А-525</t>
        </is>
      </c>
      <c r="U27" s="298" t="n"/>
    </row>
    <row r="28" ht="15.75" customHeight="1" s="2">
      <c r="E28" s="300" t="n">
        <v>8</v>
      </c>
      <c r="G28" s="296" t="n">
        <v>1</v>
      </c>
      <c r="H28" s="297" t="n">
        <v>1</v>
      </c>
      <c r="I28" s="133">
        <f>G28-H28</f>
        <v/>
      </c>
      <c r="J28" s="298" t="inlineStr">
        <is>
          <t>Вычислительные машины и сети</t>
        </is>
      </c>
      <c r="K28" s="298" t="inlineStr">
        <is>
          <t>Зачет с оценкой</t>
        </is>
      </c>
      <c r="L28" s="298" t="inlineStr">
        <is>
          <t>Т11О-203Б-20</t>
        </is>
      </c>
      <c r="M28" s="297" t="n">
        <v>1</v>
      </c>
      <c r="N28" s="298" t="inlineStr">
        <is>
          <t>13288</t>
        </is>
      </c>
      <c r="O28" s="299" t="n"/>
      <c r="P28" s="298" t="inlineStr">
        <is>
          <t xml:space="preserve">93685     </t>
        </is>
      </c>
      <c r="Q28" s="298" t="inlineStr">
        <is>
          <t xml:space="preserve">Банишев Александр Федорович </t>
        </is>
      </c>
      <c r="R28" s="298" t="inlineStr">
        <is>
          <t>профессор</t>
        </is>
      </c>
      <c r="S28" s="298" t="inlineStr">
        <is>
          <t>Да</t>
        </is>
      </c>
      <c r="T28" s="298" t="n"/>
      <c r="U28" s="298" t="n"/>
    </row>
    <row r="29" ht="15.75" customHeight="1" s="2">
      <c r="E29" s="300" t="n">
        <v>8</v>
      </c>
      <c r="G29" s="296" t="n">
        <v>24</v>
      </c>
      <c r="H29" s="297" t="n">
        <v>24</v>
      </c>
      <c r="I29" s="133">
        <f>G29-H29</f>
        <v/>
      </c>
      <c r="J29" s="298" t="inlineStr">
        <is>
          <t>Вычислительные машины и сети</t>
        </is>
      </c>
      <c r="K29" s="298" t="inlineStr">
        <is>
          <t>ПЗ</t>
        </is>
      </c>
      <c r="L29" s="298" t="inlineStr">
        <is>
          <t>Т11О-203Б-20</t>
        </is>
      </c>
      <c r="M29" s="297" t="n">
        <v>24</v>
      </c>
      <c r="N29" s="298" t="inlineStr">
        <is>
          <t>13288</t>
        </is>
      </c>
      <c r="O29" s="297" t="n">
        <v>24</v>
      </c>
      <c r="P29" s="298" t="inlineStr">
        <is>
          <t xml:space="preserve">81721     </t>
        </is>
      </c>
      <c r="Q29" s="298" t="inlineStr">
        <is>
          <t xml:space="preserve">Преображенский Евгений Владимирович </t>
        </is>
      </c>
      <c r="R29" s="298" t="n"/>
      <c r="S29" s="298" t="inlineStr">
        <is>
          <t>Нет</t>
        </is>
      </c>
      <c r="T29" s="298" t="inlineStr">
        <is>
          <t>Орш. А-525</t>
        </is>
      </c>
      <c r="U29" s="298" t="n"/>
    </row>
    <row r="30" ht="15.75" customHeight="1" s="2">
      <c r="E30" s="300" t="n">
        <v>2</v>
      </c>
      <c r="G30" s="296" t="n">
        <v>1</v>
      </c>
      <c r="H30" s="297" t="n">
        <v>1</v>
      </c>
      <c r="I30" s="133">
        <f>G30-H30</f>
        <v/>
      </c>
      <c r="J30" s="298" t="inlineStr">
        <is>
          <t>Вычислительные машины и сети</t>
        </is>
      </c>
      <c r="K30" s="298" t="inlineStr">
        <is>
          <t>Консультация</t>
        </is>
      </c>
      <c r="L30" s="298" t="inlineStr">
        <is>
          <t>Т11О-203Б-20</t>
        </is>
      </c>
      <c r="M30" s="297" t="n">
        <v>1</v>
      </c>
      <c r="N30" s="298" t="inlineStr">
        <is>
          <t>13288</t>
        </is>
      </c>
      <c r="O30" s="299" t="n"/>
      <c r="P30" s="298" t="inlineStr">
        <is>
          <t xml:space="preserve">81721     </t>
        </is>
      </c>
      <c r="Q30" s="298" t="inlineStr">
        <is>
          <t xml:space="preserve">Преображенский Евгений Владимирович </t>
        </is>
      </c>
      <c r="R30" s="298" t="n"/>
      <c r="S30" s="298" t="inlineStr">
        <is>
          <t>Нет</t>
        </is>
      </c>
      <c r="T30" s="298" t="inlineStr">
        <is>
          <t>Орш. А-525</t>
        </is>
      </c>
      <c r="U30" s="298" t="n"/>
    </row>
    <row r="31" ht="15.75" customHeight="1" s="2">
      <c r="E31" s="302" t="n">
        <v>12</v>
      </c>
      <c r="G31" s="296" t="n">
        <v>16</v>
      </c>
      <c r="H31" s="297" t="n">
        <v>16</v>
      </c>
      <c r="I31" s="133">
        <f>G31-H31</f>
        <v/>
      </c>
      <c r="J31" s="298" t="inlineStr">
        <is>
          <t>Технология и оборудование сварки плавлением</t>
        </is>
      </c>
      <c r="K31" s="298" t="inlineStr">
        <is>
          <t>КП</t>
        </is>
      </c>
      <c r="L31" s="298" t="inlineStr">
        <is>
          <t>Т11О-401Б-18</t>
        </is>
      </c>
      <c r="M31" s="297" t="n">
        <v>16</v>
      </c>
      <c r="N31" s="298" t="inlineStr">
        <is>
          <t>10858</t>
        </is>
      </c>
      <c r="O31" s="299" t="n"/>
      <c r="P31" s="298" t="inlineStr">
        <is>
          <t xml:space="preserve">87438     </t>
        </is>
      </c>
      <c r="Q31" s="298" t="inlineStr">
        <is>
          <t xml:space="preserve">Конкевич Валентин Юрьевич </t>
        </is>
      </c>
      <c r="R31" s="298" t="n"/>
      <c r="S31" s="298" t="inlineStr">
        <is>
          <t>Да</t>
        </is>
      </c>
      <c r="T31" s="298" t="n"/>
      <c r="U31" s="298" t="inlineStr">
        <is>
          <t>вторник, среда с 9-00</t>
        </is>
      </c>
    </row>
    <row r="32" ht="15.75" customHeight="1" s="2">
      <c r="E32" s="302" t="n">
        <v>4</v>
      </c>
      <c r="G32" s="296" t="n">
        <v>16</v>
      </c>
      <c r="H32" s="297" t="n">
        <v>16</v>
      </c>
      <c r="I32" s="133">
        <f>G32-H32</f>
        <v/>
      </c>
      <c r="J32" s="298" t="inlineStr">
        <is>
          <t>Технология и оборудование сварки плавлением</t>
        </is>
      </c>
      <c r="K32" s="298" t="inlineStr">
        <is>
          <t>КП</t>
        </is>
      </c>
      <c r="L32" s="298" t="inlineStr">
        <is>
          <t>Т11О-401Б-18</t>
        </is>
      </c>
      <c r="M32" s="297" t="n">
        <v>16</v>
      </c>
      <c r="N32" s="298" t="inlineStr">
        <is>
          <t>10858</t>
        </is>
      </c>
      <c r="O32" s="299" t="n"/>
      <c r="P32" s="298" t="inlineStr">
        <is>
          <t xml:space="preserve">82056     </t>
        </is>
      </c>
      <c r="Q32" s="298" t="inlineStr">
        <is>
          <t xml:space="preserve">Никитина Елена Владимировна </t>
        </is>
      </c>
      <c r="R32" s="298" t="n"/>
      <c r="S32" s="298" t="inlineStr">
        <is>
          <t>Да</t>
        </is>
      </c>
      <c r="T32" s="298" t="n"/>
      <c r="U32" s="298" t="n"/>
    </row>
    <row r="33" ht="15.75" customHeight="1" s="2">
      <c r="E33" s="302" t="n">
        <v>1</v>
      </c>
      <c r="G33" s="296" t="n">
        <v>8</v>
      </c>
      <c r="H33" s="297" t="n">
        <v>8</v>
      </c>
      <c r="I33" s="133">
        <f>G33-H33</f>
        <v/>
      </c>
      <c r="J33" s="298" t="inlineStr">
        <is>
          <t>Технология и оборудование сварки плавлением</t>
        </is>
      </c>
      <c r="K33" s="298" t="inlineStr">
        <is>
          <t>КП</t>
        </is>
      </c>
      <c r="L33" s="298" t="inlineStr">
        <is>
          <t>Т11О-401Б-18</t>
        </is>
      </c>
      <c r="M33" s="297" t="n">
        <v>8</v>
      </c>
      <c r="N33" s="298" t="inlineStr">
        <is>
          <t>10858</t>
        </is>
      </c>
      <c r="O33" s="299" t="n"/>
      <c r="P33" s="298" t="inlineStr">
        <is>
          <t xml:space="preserve">82023     </t>
        </is>
      </c>
      <c r="Q33" s="298" t="inlineStr">
        <is>
          <t xml:space="preserve">Федоров Сергей Александрович </t>
        </is>
      </c>
      <c r="R33" s="298" t="n"/>
      <c r="S33" s="298" t="inlineStr">
        <is>
          <t>Да</t>
        </is>
      </c>
      <c r="T33" s="298" t="inlineStr">
        <is>
          <t>Орш. А-509</t>
        </is>
      </c>
      <c r="U33" s="298" t="inlineStr">
        <is>
          <t>дни пон-пят, 14-45 - 18-00, две пары</t>
        </is>
      </c>
    </row>
    <row r="34" ht="15.75" customHeight="1" s="2">
      <c r="E34" s="302" t="n">
        <v>24</v>
      </c>
      <c r="G34" s="296" t="n">
        <v>12</v>
      </c>
      <c r="H34" s="297" t="n">
        <v>12</v>
      </c>
      <c r="I34" s="133">
        <f>G34-H34</f>
        <v/>
      </c>
      <c r="J34" s="298" t="inlineStr">
        <is>
          <t>Технология и оборудование сварки плавлением</t>
        </is>
      </c>
      <c r="K34" s="298" t="inlineStr">
        <is>
          <t>КП</t>
        </is>
      </c>
      <c r="L34" s="298" t="inlineStr">
        <is>
          <t>Т11О-401Б-18</t>
        </is>
      </c>
      <c r="M34" s="297" t="n">
        <v>12</v>
      </c>
      <c r="N34" s="298" t="inlineStr">
        <is>
          <t>10858</t>
        </is>
      </c>
      <c r="O34" s="299" t="n"/>
      <c r="P34" s="298" t="inlineStr">
        <is>
          <t xml:space="preserve">89090     </t>
        </is>
      </c>
      <c r="Q34" s="298" t="inlineStr">
        <is>
          <t>Степанов Владимир Валерьевич</t>
        </is>
      </c>
      <c r="R34" s="298" t="n"/>
      <c r="S34" s="298" t="inlineStr">
        <is>
          <t>Нет</t>
        </is>
      </c>
      <c r="T34" s="298" t="inlineStr">
        <is>
          <t>Орш. А-527</t>
        </is>
      </c>
      <c r="U34" s="298" t="inlineStr">
        <is>
          <t>желательно по пятницам, субботам (проектор)</t>
        </is>
      </c>
    </row>
    <row r="35" ht="15.75" customHeight="1" s="2">
      <c r="E35" s="302" t="n">
        <v>1</v>
      </c>
      <c r="G35" s="296" t="n">
        <v>8</v>
      </c>
      <c r="H35" s="297" t="n">
        <v>8</v>
      </c>
      <c r="I35" s="133">
        <f>G35-H35</f>
        <v/>
      </c>
      <c r="J35" s="298" t="inlineStr">
        <is>
          <t>Технология и оборудование сварки плавлением</t>
        </is>
      </c>
      <c r="K35" s="298" t="inlineStr">
        <is>
          <t>КП</t>
        </is>
      </c>
      <c r="L35" s="298" t="inlineStr">
        <is>
          <t>Т11О-401Б-18</t>
        </is>
      </c>
      <c r="M35" s="297" t="n">
        <v>8</v>
      </c>
      <c r="N35" s="298" t="inlineStr">
        <is>
          <t>10858</t>
        </is>
      </c>
      <c r="O35" s="299" t="n"/>
      <c r="P35" s="298" t="inlineStr">
        <is>
          <t xml:space="preserve">82075     </t>
        </is>
      </c>
      <c r="Q35" s="298" t="inlineStr">
        <is>
          <t>Сидякин Виталий Александрович</t>
        </is>
      </c>
      <c r="R35" s="298" t="n"/>
      <c r="S35" s="298" t="inlineStr">
        <is>
          <t>Да</t>
        </is>
      </c>
      <c r="T35" s="298" t="n"/>
      <c r="U35" s="298" t="n"/>
    </row>
    <row r="36" ht="15.75" customHeight="1" s="2">
      <c r="E36" s="300" t="n">
        <v>16</v>
      </c>
      <c r="G36" s="296" t="n">
        <v>44</v>
      </c>
      <c r="H36" s="297" t="n">
        <v>44</v>
      </c>
      <c r="I36" s="133">
        <f>G36-H36</f>
        <v/>
      </c>
      <c r="J36" s="298" t="inlineStr">
        <is>
          <t>Технология и оборудование сварки плавлением</t>
        </is>
      </c>
      <c r="K36" s="298" t="inlineStr">
        <is>
          <t>ЛК</t>
        </is>
      </c>
      <c r="L36" s="298" t="inlineStr">
        <is>
          <t>Т11О-401Б-18</t>
        </is>
      </c>
      <c r="M36" s="297" t="n">
        <v>44</v>
      </c>
      <c r="N36" s="298" t="inlineStr">
        <is>
          <t>10858</t>
        </is>
      </c>
      <c r="O36" s="297" t="n">
        <v>44</v>
      </c>
      <c r="P36" s="298" t="inlineStr">
        <is>
          <t xml:space="preserve">89090     </t>
        </is>
      </c>
      <c r="Q36" s="298" t="inlineStr">
        <is>
          <t>Степанов Владимир Валерьевич</t>
        </is>
      </c>
      <c r="R36" s="298" t="n"/>
      <c r="S36" s="298" t="inlineStr">
        <is>
          <t>Нет</t>
        </is>
      </c>
      <c r="T36" s="298" t="inlineStr">
        <is>
          <t>Орш. А-527</t>
        </is>
      </c>
      <c r="U36" s="298" t="inlineStr">
        <is>
          <t>желательно по пятницам, субботам (проектор)</t>
        </is>
      </c>
    </row>
    <row r="37" ht="15.75" customHeight="1" s="2">
      <c r="E37" s="300" t="n">
        <v>16</v>
      </c>
      <c r="G37" s="296" t="n">
        <v>64</v>
      </c>
      <c r="H37" s="297" t="n">
        <v>64</v>
      </c>
      <c r="I37" s="133">
        <f>G37-H37</f>
        <v/>
      </c>
      <c r="J37" s="298" t="inlineStr">
        <is>
          <t>Технология и оборудование сварки плавлением</t>
        </is>
      </c>
      <c r="K37" s="298" t="inlineStr">
        <is>
          <t>ПЗ</t>
        </is>
      </c>
      <c r="L37" s="298" t="inlineStr">
        <is>
          <t>Т11О-401Б-18</t>
        </is>
      </c>
      <c r="M37" s="297" t="n">
        <v>64</v>
      </c>
      <c r="N37" s="298" t="inlineStr">
        <is>
          <t>10858</t>
        </is>
      </c>
      <c r="O37" s="297" t="n">
        <v>64</v>
      </c>
      <c r="P37" s="298" t="inlineStr">
        <is>
          <t xml:space="preserve">89090     </t>
        </is>
      </c>
      <c r="Q37" s="298" t="inlineStr">
        <is>
          <t>Степанов Владимир Валерьевич</t>
        </is>
      </c>
      <c r="R37" s="298" t="n"/>
      <c r="S37" s="298" t="inlineStr">
        <is>
          <t>Нет</t>
        </is>
      </c>
      <c r="T37" s="298" t="inlineStr">
        <is>
          <t>Орш. А-527</t>
        </is>
      </c>
      <c r="U37" s="298" t="inlineStr">
        <is>
          <t>желательно по пятницам, субботам (проектор)</t>
        </is>
      </c>
    </row>
    <row r="38" ht="15.75" customHeight="1" s="2">
      <c r="E38" s="300" t="n">
        <v>8</v>
      </c>
      <c r="G38" s="296" t="n">
        <v>36</v>
      </c>
      <c r="H38" s="297" t="n">
        <v>36</v>
      </c>
      <c r="I38" s="133">
        <f>G38-H38</f>
        <v/>
      </c>
      <c r="J38" s="298" t="inlineStr">
        <is>
          <t>Технология и оборудование сварки плавлением</t>
        </is>
      </c>
      <c r="K38" s="298" t="inlineStr">
        <is>
          <t>ЛР</t>
        </is>
      </c>
      <c r="L38" s="298" t="inlineStr">
        <is>
          <t>Т11О-401Б-18</t>
        </is>
      </c>
      <c r="M38" s="297" t="n">
        <v>36</v>
      </c>
      <c r="N38" s="298" t="inlineStr">
        <is>
          <t>10858</t>
        </is>
      </c>
      <c r="O38" s="297" t="n">
        <v>36</v>
      </c>
      <c r="P38" s="298" t="inlineStr">
        <is>
          <t xml:space="preserve">89090     </t>
        </is>
      </c>
      <c r="Q38" s="298" t="inlineStr">
        <is>
          <t>Степанов Владимир Валерьевич</t>
        </is>
      </c>
      <c r="R38" s="298" t="n"/>
      <c r="S38" s="298" t="inlineStr">
        <is>
          <t>Нет</t>
        </is>
      </c>
      <c r="T38" s="298" t="inlineStr">
        <is>
          <t>Орш. А-509</t>
        </is>
      </c>
      <c r="U38" s="298" t="inlineStr">
        <is>
          <t>желательно по пятницам, субботам (проектор)</t>
        </is>
      </c>
    </row>
    <row r="39" ht="15.75" customHeight="1" s="2">
      <c r="E39" s="300" t="n">
        <v>8</v>
      </c>
      <c r="G39" s="296" t="n">
        <v>8</v>
      </c>
      <c r="H39" s="297" t="n">
        <v>8</v>
      </c>
      <c r="I39" s="133">
        <f>G39-H39</f>
        <v/>
      </c>
      <c r="J39" s="298" t="inlineStr">
        <is>
          <t>Технология и оборудование сварки плавлением</t>
        </is>
      </c>
      <c r="K39" s="298" t="inlineStr">
        <is>
          <t>Экзамен</t>
        </is>
      </c>
      <c r="L39" s="298" t="inlineStr">
        <is>
          <t>Т11О-401Б-18</t>
        </is>
      </c>
      <c r="M39" s="297" t="n">
        <v>8</v>
      </c>
      <c r="N39" s="298" t="inlineStr">
        <is>
          <t>10858</t>
        </is>
      </c>
      <c r="O39" s="299" t="n"/>
      <c r="P39" s="298" t="inlineStr">
        <is>
          <t xml:space="preserve">89090     </t>
        </is>
      </c>
      <c r="Q39" s="298" t="inlineStr">
        <is>
          <t>Степанов Владимир Валерьевич</t>
        </is>
      </c>
      <c r="R39" s="298" t="n"/>
      <c r="S39" s="298" t="inlineStr">
        <is>
          <t>Нет</t>
        </is>
      </c>
      <c r="T39" s="298" t="n"/>
      <c r="U39" s="298" t="inlineStr">
        <is>
          <t>желательно по пятницам, субботам (проектор)</t>
        </is>
      </c>
    </row>
    <row r="40" ht="15.75" customHeight="1" s="2">
      <c r="E40" s="300" t="n">
        <v>12</v>
      </c>
      <c r="G40" s="296" t="n">
        <v>3</v>
      </c>
      <c r="H40" s="297" t="n">
        <v>3</v>
      </c>
      <c r="I40" s="133">
        <f>G40-H40</f>
        <v/>
      </c>
      <c r="J40" s="298" t="inlineStr">
        <is>
          <t>Технология и оборудование сварки плавлением</t>
        </is>
      </c>
      <c r="K40" s="298" t="inlineStr">
        <is>
          <t>Консультация</t>
        </is>
      </c>
      <c r="L40" s="298" t="inlineStr">
        <is>
          <t>Т11О-401Б-18</t>
        </is>
      </c>
      <c r="M40" s="297" t="n">
        <v>3</v>
      </c>
      <c r="N40" s="298" t="inlineStr">
        <is>
          <t>10858</t>
        </is>
      </c>
      <c r="O40" s="299" t="n"/>
      <c r="P40" s="298" t="inlineStr">
        <is>
          <t xml:space="preserve">89090     </t>
        </is>
      </c>
      <c r="Q40" s="298" t="inlineStr">
        <is>
          <t>Степанов Владимир Валерьевич</t>
        </is>
      </c>
      <c r="R40" s="298" t="n"/>
      <c r="S40" s="298" t="inlineStr">
        <is>
          <t>Нет</t>
        </is>
      </c>
      <c r="T40" s="298" t="inlineStr">
        <is>
          <t>Орш. А-527</t>
        </is>
      </c>
      <c r="U40" s="298" t="inlineStr">
        <is>
          <t>желательно по пятницам, субботам (проектор)</t>
        </is>
      </c>
    </row>
    <row r="41" ht="15.75" customHeight="1" s="2">
      <c r="E41" s="300" t="n">
        <v>44</v>
      </c>
      <c r="G41" s="296" t="n">
        <v>1</v>
      </c>
      <c r="H41" s="297" t="n">
        <v>1</v>
      </c>
      <c r="I41" s="133">
        <f>G41-H41</f>
        <v/>
      </c>
      <c r="J41" s="298" t="inlineStr">
        <is>
          <t>Технология и оборудование сварки плавлением</t>
        </is>
      </c>
      <c r="K41" s="298" t="inlineStr">
        <is>
          <t>Консультация</t>
        </is>
      </c>
      <c r="L41" s="298" t="inlineStr">
        <is>
          <t>Т11О-401Б-18</t>
        </is>
      </c>
      <c r="M41" s="297" t="n">
        <v>1</v>
      </c>
      <c r="N41" s="298" t="inlineStr">
        <is>
          <t>10858</t>
        </is>
      </c>
      <c r="O41" s="299" t="n"/>
      <c r="P41" s="298" t="inlineStr">
        <is>
          <t xml:space="preserve">93685     </t>
        </is>
      </c>
      <c r="Q41" s="298" t="inlineStr">
        <is>
          <t xml:space="preserve">Банишев Александр Федорович </t>
        </is>
      </c>
      <c r="R41" s="298" t="inlineStr">
        <is>
          <t>профессор</t>
        </is>
      </c>
      <c r="S41" s="298" t="inlineStr">
        <is>
          <t>Да</t>
        </is>
      </c>
      <c r="T41" s="298" t="n"/>
      <c r="U41" s="298" t="n"/>
    </row>
    <row r="42" ht="15.75" customHeight="1" s="2">
      <c r="E42" s="300" t="n">
        <v>64</v>
      </c>
      <c r="G42" s="296" t="n">
        <v>24</v>
      </c>
      <c r="H42" s="297" t="n">
        <v>24</v>
      </c>
      <c r="I42" s="133">
        <f>G42-H42</f>
        <v/>
      </c>
      <c r="J42" s="298" t="inlineStr">
        <is>
          <t>Прикладная гидравлика</t>
        </is>
      </c>
      <c r="K42" s="298" t="inlineStr">
        <is>
          <t>ЛК</t>
        </is>
      </c>
      <c r="L42" s="298" t="inlineStr">
        <is>
          <t>Т11О-402Б-18</t>
        </is>
      </c>
      <c r="M42" s="297" t="n">
        <v>24</v>
      </c>
      <c r="N42" s="298" t="inlineStr">
        <is>
          <t>10859</t>
        </is>
      </c>
      <c r="O42" s="297" t="n">
        <v>24</v>
      </c>
      <c r="P42" s="298" t="inlineStr">
        <is>
          <t xml:space="preserve">82018     </t>
        </is>
      </c>
      <c r="Q42" s="298" t="inlineStr">
        <is>
          <t>Бережной Дмитрий Васильевич</t>
        </is>
      </c>
      <c r="R42" s="298" t="n"/>
      <c r="S42" s="298" t="inlineStr">
        <is>
          <t>Нет</t>
        </is>
      </c>
      <c r="T42" s="298" t="inlineStr">
        <is>
          <t>Орш. А-325</t>
        </is>
      </c>
      <c r="U42" s="298" t="inlineStr">
        <is>
          <t>По будням и плюс один свободный день на неделе</t>
        </is>
      </c>
    </row>
    <row r="43" ht="15.75" customHeight="1" s="2">
      <c r="E43" s="300" t="n">
        <v>36</v>
      </c>
      <c r="G43" s="296" t="n">
        <v>3</v>
      </c>
      <c r="H43" s="297" t="n">
        <v>3</v>
      </c>
      <c r="I43" s="133">
        <f>G43-H43</f>
        <v/>
      </c>
      <c r="J43" s="298" t="inlineStr">
        <is>
          <t>Прикладная гидравлика</t>
        </is>
      </c>
      <c r="K43" s="298" t="inlineStr">
        <is>
          <t>Зачет с оценкой</t>
        </is>
      </c>
      <c r="L43" s="298" t="inlineStr">
        <is>
          <t>Т11О-402Б-18</t>
        </is>
      </c>
      <c r="M43" s="297" t="n">
        <v>3</v>
      </c>
      <c r="N43" s="298" t="inlineStr">
        <is>
          <t>10859</t>
        </is>
      </c>
      <c r="O43" s="299" t="n"/>
      <c r="P43" s="298" t="inlineStr">
        <is>
          <t xml:space="preserve">82018     </t>
        </is>
      </c>
      <c r="Q43" s="298" t="inlineStr">
        <is>
          <t>Бережной Дмитрий Васильевич</t>
        </is>
      </c>
      <c r="R43" s="298" t="n"/>
      <c r="S43" s="298" t="inlineStr">
        <is>
          <t>Нет</t>
        </is>
      </c>
      <c r="T43" s="298" t="n"/>
      <c r="U43" s="298" t="inlineStr">
        <is>
          <t>По будням и плюс один свободный день на неделе</t>
        </is>
      </c>
    </row>
    <row r="44" ht="15.75" customHeight="1" s="2">
      <c r="E44" s="300" t="n">
        <v>8</v>
      </c>
      <c r="G44" s="296" t="n">
        <v>1</v>
      </c>
      <c r="H44" s="297" t="n">
        <v>1</v>
      </c>
      <c r="I44" s="133">
        <f>G44-H44</f>
        <v/>
      </c>
      <c r="J44" s="298" t="inlineStr">
        <is>
          <t>Прикладная гидравлика</t>
        </is>
      </c>
      <c r="K44" s="298" t="inlineStr">
        <is>
          <t>Зачет с оценкой</t>
        </is>
      </c>
      <c r="L44" s="298" t="inlineStr">
        <is>
          <t>Т11О-402Б-18</t>
        </is>
      </c>
      <c r="M44" s="297" t="n">
        <v>1</v>
      </c>
      <c r="N44" s="298" t="inlineStr">
        <is>
          <t>10859</t>
        </is>
      </c>
      <c r="O44" s="299" t="n"/>
      <c r="P44" s="298" t="inlineStr">
        <is>
          <t xml:space="preserve">93685     </t>
        </is>
      </c>
      <c r="Q44" s="298" t="inlineStr">
        <is>
          <t xml:space="preserve">Банишев Александр Федорович </t>
        </is>
      </c>
      <c r="R44" s="298" t="inlineStr">
        <is>
          <t>профессор</t>
        </is>
      </c>
      <c r="S44" s="298" t="inlineStr">
        <is>
          <t>Да</t>
        </is>
      </c>
      <c r="T44" s="298" t="n"/>
      <c r="U44" s="298" t="n"/>
    </row>
    <row r="45" ht="15.75" customHeight="1" s="2">
      <c r="E45" s="300" t="n">
        <v>3</v>
      </c>
      <c r="G45" s="296" t="n">
        <v>28</v>
      </c>
      <c r="H45" s="297" t="n">
        <v>28</v>
      </c>
      <c r="I45" s="133">
        <f>G45-H45</f>
        <v/>
      </c>
      <c r="J45" s="298" t="inlineStr">
        <is>
          <t>Прикладная гидравлика</t>
        </is>
      </c>
      <c r="K45" s="298" t="inlineStr">
        <is>
          <t>ПЗ</t>
        </is>
      </c>
      <c r="L45" s="298" t="inlineStr">
        <is>
          <t>Т11О-402Б-18</t>
        </is>
      </c>
      <c r="M45" s="297" t="n">
        <v>28</v>
      </c>
      <c r="N45" s="298" t="inlineStr">
        <is>
          <t>10859</t>
        </is>
      </c>
      <c r="O45" s="297" t="n">
        <v>28</v>
      </c>
      <c r="P45" s="298" t="inlineStr">
        <is>
          <t xml:space="preserve">82018     </t>
        </is>
      </c>
      <c r="Q45" s="298" t="inlineStr">
        <is>
          <t>Бережной Дмитрий Васильевич</t>
        </is>
      </c>
      <c r="R45" s="298" t="n"/>
      <c r="S45" s="298" t="inlineStr">
        <is>
          <t>Нет</t>
        </is>
      </c>
      <c r="T45" s="298" t="inlineStr">
        <is>
          <t>Орш. А-325</t>
        </is>
      </c>
      <c r="U45" s="298" t="inlineStr">
        <is>
          <t>По будням и плюс один свободный день на неделе</t>
        </is>
      </c>
    </row>
    <row r="46" ht="15.75" customHeight="1" s="2">
      <c r="E46" s="300" t="n">
        <v>1</v>
      </c>
      <c r="G46" s="296" t="n">
        <v>8</v>
      </c>
      <c r="H46" s="297" t="n">
        <v>8</v>
      </c>
      <c r="I46" s="133">
        <f>G46-H46</f>
        <v/>
      </c>
      <c r="J46" s="298" t="inlineStr">
        <is>
          <t>Прикладная гидравлика</t>
        </is>
      </c>
      <c r="K46" s="298" t="inlineStr">
        <is>
          <t>ЛР</t>
        </is>
      </c>
      <c r="L46" s="298" t="inlineStr">
        <is>
          <t>Т11О-402Б-18</t>
        </is>
      </c>
      <c r="M46" s="297" t="n">
        <v>8</v>
      </c>
      <c r="N46" s="298" t="inlineStr">
        <is>
          <t>10859</t>
        </is>
      </c>
      <c r="O46" s="297" t="n">
        <v>8</v>
      </c>
      <c r="P46" s="298" t="inlineStr">
        <is>
          <t xml:space="preserve">82018     </t>
        </is>
      </c>
      <c r="Q46" s="298" t="inlineStr">
        <is>
          <t>Бережной Дмитрий Васильевич</t>
        </is>
      </c>
      <c r="R46" s="298" t="n"/>
      <c r="S46" s="298" t="inlineStr">
        <is>
          <t>Нет</t>
        </is>
      </c>
      <c r="T46" s="298" t="inlineStr">
        <is>
          <t>Орш. А-327</t>
        </is>
      </c>
      <c r="U46" s="298" t="inlineStr">
        <is>
          <t>По будням и плюс один свободный день на неделе</t>
        </is>
      </c>
    </row>
    <row r="47" ht="15.75" customHeight="1" s="2">
      <c r="E47" s="300" t="n">
        <v>24</v>
      </c>
      <c r="G47" s="296" t="n">
        <v>1</v>
      </c>
      <c r="H47" s="297" t="n">
        <v>1</v>
      </c>
      <c r="I47" s="133">
        <f>G47-H47</f>
        <v/>
      </c>
      <c r="J47" s="298" t="inlineStr">
        <is>
          <t>Прикладная гидравлика</t>
        </is>
      </c>
      <c r="K47" s="298" t="inlineStr">
        <is>
          <t>Консультация</t>
        </is>
      </c>
      <c r="L47" s="298" t="inlineStr">
        <is>
          <t>Т11О-402Б-18</t>
        </is>
      </c>
      <c r="M47" s="297" t="n">
        <v>1</v>
      </c>
      <c r="N47" s="298" t="inlineStr">
        <is>
          <t>10859</t>
        </is>
      </c>
      <c r="O47" s="299" t="n"/>
      <c r="P47" s="298" t="inlineStr">
        <is>
          <t xml:space="preserve">82018     </t>
        </is>
      </c>
      <c r="Q47" s="298" t="inlineStr">
        <is>
          <t>Бережной Дмитрий Васильевич</t>
        </is>
      </c>
      <c r="R47" s="298" t="n"/>
      <c r="S47" s="298" t="inlineStr">
        <is>
          <t>Нет</t>
        </is>
      </c>
      <c r="T47" s="298" t="n"/>
      <c r="U47" s="298" t="n"/>
    </row>
    <row r="48" ht="15.75" customHeight="1" s="2">
      <c r="E48" s="300" t="n">
        <v>3</v>
      </c>
      <c r="G48" s="296" t="n">
        <v>44</v>
      </c>
      <c r="H48" s="297" t="n">
        <v>44</v>
      </c>
      <c r="I48" s="133">
        <f>G48-H48</f>
        <v/>
      </c>
      <c r="J48" s="298" t="inlineStr">
        <is>
          <t>Теория литейных процессов</t>
        </is>
      </c>
      <c r="K48" s="298" t="inlineStr">
        <is>
          <t>ЛК</t>
        </is>
      </c>
      <c r="L48" s="298" t="inlineStr">
        <is>
          <t>Т11О-402Б-18</t>
        </is>
      </c>
      <c r="M48" s="297" t="n">
        <v>44</v>
      </c>
      <c r="N48" s="298" t="inlineStr">
        <is>
          <t>10859</t>
        </is>
      </c>
      <c r="O48" s="297" t="n">
        <v>44</v>
      </c>
      <c r="P48" s="298" t="inlineStr">
        <is>
          <t xml:space="preserve">89067     </t>
        </is>
      </c>
      <c r="Q48" s="298" t="inlineStr">
        <is>
          <t xml:space="preserve">Ряховский Александр Павлович </t>
        </is>
      </c>
      <c r="R48" s="298" t="n"/>
      <c r="S48" s="298" t="inlineStr">
        <is>
          <t>Да</t>
        </is>
      </c>
      <c r="T48" s="298" t="inlineStr">
        <is>
          <t>Орш. А-327</t>
        </is>
      </c>
      <c r="U48" s="298" t="inlineStr">
        <is>
          <t>Понедельник, четверг с 10-45 и позже</t>
        </is>
      </c>
    </row>
    <row r="49" ht="15.75" customHeight="1" s="2">
      <c r="E49" s="300" t="n">
        <v>1</v>
      </c>
      <c r="G49" s="296" t="n">
        <v>30</v>
      </c>
      <c r="H49" s="297" t="n">
        <v>30</v>
      </c>
      <c r="I49" s="133">
        <f>G49-H49</f>
        <v/>
      </c>
      <c r="J49" s="298" t="inlineStr">
        <is>
          <t>Теория литейных процессов</t>
        </is>
      </c>
      <c r="K49" s="298" t="inlineStr">
        <is>
          <t>КР</t>
        </is>
      </c>
      <c r="L49" s="298" t="inlineStr">
        <is>
          <t>Т11О-402Б-18</t>
        </is>
      </c>
      <c r="M49" s="297" t="n">
        <v>30</v>
      </c>
      <c r="N49" s="298" t="inlineStr">
        <is>
          <t>10859</t>
        </is>
      </c>
      <c r="O49" s="299" t="n"/>
      <c r="P49" s="298" t="inlineStr">
        <is>
          <t xml:space="preserve">89067     </t>
        </is>
      </c>
      <c r="Q49" s="298" t="inlineStr">
        <is>
          <t xml:space="preserve">Ряховский Александр Павлович </t>
        </is>
      </c>
      <c r="R49" s="298" t="n"/>
      <c r="S49" s="298" t="inlineStr">
        <is>
          <t>Да</t>
        </is>
      </c>
      <c r="T49" s="298" t="n"/>
      <c r="U49" s="298" t="n"/>
    </row>
    <row r="50" ht="15.75" customHeight="1" s="2">
      <c r="E50" s="300" t="n">
        <v>28</v>
      </c>
      <c r="G50" s="296" t="n">
        <v>32</v>
      </c>
      <c r="H50" s="297" t="n">
        <v>32</v>
      </c>
      <c r="I50" s="133">
        <f>G50-H50</f>
        <v/>
      </c>
      <c r="J50" s="298" t="inlineStr">
        <is>
          <t>Теория литейных процессов</t>
        </is>
      </c>
      <c r="K50" s="298" t="inlineStr">
        <is>
          <t>ПЗ</t>
        </is>
      </c>
      <c r="L50" s="298" t="inlineStr">
        <is>
          <t>Т11О-402Б-18</t>
        </is>
      </c>
      <c r="M50" s="297" t="n">
        <v>32</v>
      </c>
      <c r="N50" s="298" t="inlineStr">
        <is>
          <t>10859</t>
        </is>
      </c>
      <c r="O50" s="297" t="n">
        <v>32</v>
      </c>
      <c r="P50" s="298" t="inlineStr">
        <is>
          <t xml:space="preserve">89067     </t>
        </is>
      </c>
      <c r="Q50" s="298" t="inlineStr">
        <is>
          <t xml:space="preserve">Ряховский Александр Павлович </t>
        </is>
      </c>
      <c r="R50" s="298" t="n"/>
      <c r="S50" s="298" t="inlineStr">
        <is>
          <t>Да</t>
        </is>
      </c>
      <c r="T50" s="298" t="inlineStr">
        <is>
          <t>Орш. А-327</t>
        </is>
      </c>
      <c r="U50" s="298" t="inlineStr">
        <is>
          <t>Понедельник, четверг с 10-45 и позже</t>
        </is>
      </c>
    </row>
    <row r="51" ht="15.75" customHeight="1" s="2">
      <c r="E51" s="300" t="n">
        <v>8</v>
      </c>
      <c r="G51" s="296" t="n">
        <v>32</v>
      </c>
      <c r="H51" s="297" t="n">
        <v>32</v>
      </c>
      <c r="I51" s="133">
        <f>G51-H51</f>
        <v/>
      </c>
      <c r="J51" s="298" t="inlineStr">
        <is>
          <t>Теория литейных процессов</t>
        </is>
      </c>
      <c r="K51" s="298" t="inlineStr">
        <is>
          <t>ЛР</t>
        </is>
      </c>
      <c r="L51" s="298" t="inlineStr">
        <is>
          <t>Т11О-402Б-18</t>
        </is>
      </c>
      <c r="M51" s="297" t="n">
        <v>32</v>
      </c>
      <c r="N51" s="298" t="inlineStr">
        <is>
          <t>10859</t>
        </is>
      </c>
      <c r="O51" s="297" t="n">
        <v>32</v>
      </c>
      <c r="P51" s="298" t="inlineStr">
        <is>
          <t xml:space="preserve">89068     </t>
        </is>
      </c>
      <c r="Q51" s="298" t="inlineStr">
        <is>
          <t xml:space="preserve">Петров Игорь Алексеевич </t>
        </is>
      </c>
      <c r="R51" s="298" t="n"/>
      <c r="S51" s="298" t="inlineStr">
        <is>
          <t>Нет</t>
        </is>
      </c>
      <c r="T51" s="298" t="inlineStr">
        <is>
          <t>Орш. А-327</t>
        </is>
      </c>
      <c r="U51" s="298" t="inlineStr">
        <is>
          <t xml:space="preserve">Вторник ЛК - 532А (проектор) ; Понедельник, Вторник, Пятница  (ЛК,ПЗ,ЛР) - 327А (лабороторное оборудование и проектор) </t>
        </is>
      </c>
    </row>
    <row r="52" ht="15.75" customHeight="1" s="2">
      <c r="E52" s="300" t="n">
        <v>1</v>
      </c>
      <c r="G52" s="296" t="n">
        <v>3.33</v>
      </c>
      <c r="H52" s="297" t="n">
        <v>3.33</v>
      </c>
      <c r="I52" s="133">
        <f>G52-H52</f>
        <v/>
      </c>
      <c r="J52" s="298" t="inlineStr">
        <is>
          <t>Теория литейных процессов</t>
        </is>
      </c>
      <c r="K52" s="298" t="inlineStr">
        <is>
          <t>Экзамен</t>
        </is>
      </c>
      <c r="L52" s="298" t="inlineStr">
        <is>
          <t>Т11О-402Б-18</t>
        </is>
      </c>
      <c r="M52" s="297" t="n">
        <v>3.33</v>
      </c>
      <c r="N52" s="298" t="inlineStr">
        <is>
          <t>10859</t>
        </is>
      </c>
      <c r="O52" s="299" t="n"/>
      <c r="P52" s="298" t="inlineStr">
        <is>
          <t xml:space="preserve">89067     </t>
        </is>
      </c>
      <c r="Q52" s="298" t="inlineStr">
        <is>
          <t xml:space="preserve">Ряховский Александр Павлович </t>
        </is>
      </c>
      <c r="R52" s="298" t="n"/>
      <c r="S52" s="298" t="inlineStr">
        <is>
          <t>Да</t>
        </is>
      </c>
      <c r="T52" s="298" t="n"/>
      <c r="U52" s="298" t="n"/>
    </row>
    <row r="53" ht="15.75" customHeight="1" s="2">
      <c r="E53" s="302" t="n">
        <v>44</v>
      </c>
      <c r="G53" s="296" t="n">
        <v>1.67</v>
      </c>
      <c r="H53" s="297" t="n">
        <v>1.67</v>
      </c>
      <c r="I53" s="133">
        <f>G53-H53</f>
        <v/>
      </c>
      <c r="J53" s="298" t="inlineStr">
        <is>
          <t>Теория литейных процессов</t>
        </is>
      </c>
      <c r="K53" s="298" t="inlineStr">
        <is>
          <t>Экзамен</t>
        </is>
      </c>
      <c r="L53" s="298" t="inlineStr">
        <is>
          <t>Т11О-402Б-18</t>
        </is>
      </c>
      <c r="M53" s="297" t="n">
        <v>1.67</v>
      </c>
      <c r="N53" s="298" t="inlineStr">
        <is>
          <t>10859</t>
        </is>
      </c>
      <c r="O53" s="299" t="n"/>
      <c r="P53" s="298" t="inlineStr">
        <is>
          <t xml:space="preserve">93685     </t>
        </is>
      </c>
      <c r="Q53" s="298" t="inlineStr">
        <is>
          <t xml:space="preserve">Банишев Александр Федорович </t>
        </is>
      </c>
      <c r="R53" s="298" t="inlineStr">
        <is>
          <t>профессор</t>
        </is>
      </c>
      <c r="S53" s="298" t="inlineStr">
        <is>
          <t>Да</t>
        </is>
      </c>
      <c r="T53" s="298" t="n"/>
      <c r="U53" s="298" t="n"/>
    </row>
    <row r="54" ht="15.75" customHeight="1" s="2">
      <c r="E54" s="295" t="n">
        <v>30</v>
      </c>
      <c r="G54" s="296" t="n">
        <v>3</v>
      </c>
      <c r="H54" s="297" t="n">
        <v>3</v>
      </c>
      <c r="I54" s="133">
        <f>G54-H54</f>
        <v/>
      </c>
      <c r="J54" s="298" t="inlineStr">
        <is>
          <t>Теория литейных процессов</t>
        </is>
      </c>
      <c r="K54" s="298" t="inlineStr">
        <is>
          <t>Консультация</t>
        </is>
      </c>
      <c r="L54" s="298" t="inlineStr">
        <is>
          <t>Т11О-402Б-18</t>
        </is>
      </c>
      <c r="M54" s="297" t="n">
        <v>3</v>
      </c>
      <c r="N54" s="298" t="inlineStr">
        <is>
          <t>10859</t>
        </is>
      </c>
      <c r="O54" s="299" t="n"/>
      <c r="P54" s="298" t="inlineStr">
        <is>
          <t xml:space="preserve">89067     </t>
        </is>
      </c>
      <c r="Q54" s="298" t="inlineStr">
        <is>
          <t xml:space="preserve">Ряховский Александр Павлович </t>
        </is>
      </c>
      <c r="R54" s="298" t="n"/>
      <c r="S54" s="298" t="inlineStr">
        <is>
          <t>Да</t>
        </is>
      </c>
      <c r="T54" s="298" t="n"/>
      <c r="U54" s="298" t="n"/>
    </row>
    <row r="55" ht="15.75" customHeight="1" s="2">
      <c r="E55" s="302" t="n">
        <v>32</v>
      </c>
      <c r="G55" s="296" t="n">
        <v>1</v>
      </c>
      <c r="H55" s="297" t="n">
        <v>1</v>
      </c>
      <c r="I55" s="133">
        <f>G55-H55</f>
        <v/>
      </c>
      <c r="J55" s="298" t="inlineStr">
        <is>
          <t>Теория литейных процессов</t>
        </is>
      </c>
      <c r="K55" s="298" t="inlineStr">
        <is>
          <t>Консультация</t>
        </is>
      </c>
      <c r="L55" s="298" t="inlineStr">
        <is>
          <t>Т11О-402Б-18</t>
        </is>
      </c>
      <c r="M55" s="297" t="n">
        <v>1</v>
      </c>
      <c r="N55" s="298" t="inlineStr">
        <is>
          <t>10859</t>
        </is>
      </c>
      <c r="O55" s="299" t="n"/>
      <c r="P55" s="298" t="inlineStr">
        <is>
          <t xml:space="preserve">93685     </t>
        </is>
      </c>
      <c r="Q55" s="298" t="inlineStr">
        <is>
          <t xml:space="preserve">Банишев Александр Федорович </t>
        </is>
      </c>
      <c r="R55" s="298" t="inlineStr">
        <is>
          <t>профессор</t>
        </is>
      </c>
      <c r="S55" s="298" t="inlineStr">
        <is>
          <t>Да</t>
        </is>
      </c>
      <c r="T55" s="298" t="n"/>
      <c r="U55" s="298" t="n"/>
    </row>
    <row r="56" ht="15.75" customHeight="1" s="2">
      <c r="E56" s="302" t="n">
        <v>32</v>
      </c>
      <c r="G56" s="296" t="n">
        <v>24</v>
      </c>
      <c r="H56" s="297" t="n">
        <v>24</v>
      </c>
      <c r="I56" s="133">
        <f>G56-H56</f>
        <v/>
      </c>
      <c r="J56" s="298" t="inlineStr">
        <is>
          <t>Инженерные и графические системы</t>
        </is>
      </c>
      <c r="K56" s="298" t="inlineStr">
        <is>
          <t>ЛК</t>
        </is>
      </c>
      <c r="L56" s="298" t="inlineStr">
        <is>
          <t>Т11О-102Б-21</t>
        </is>
      </c>
      <c r="M56" s="297" t="n">
        <v>24</v>
      </c>
      <c r="N56" s="298" t="inlineStr">
        <is>
          <t>14861</t>
        </is>
      </c>
      <c r="O56" s="297" t="n">
        <v>24</v>
      </c>
      <c r="P56" s="298" t="inlineStr">
        <is>
          <t xml:space="preserve">81728     </t>
        </is>
      </c>
      <c r="Q56" s="298" t="inlineStr">
        <is>
          <t xml:space="preserve">Галкин Виктор Иванович </t>
        </is>
      </c>
      <c r="R56" s="298" t="n"/>
      <c r="S56" s="298" t="inlineStr">
        <is>
          <t>Нет</t>
        </is>
      </c>
      <c r="T56" s="298" t="inlineStr">
        <is>
          <t>Орш. А-525</t>
        </is>
      </c>
      <c r="U56" s="298" t="inlineStr">
        <is>
          <t xml:space="preserve">По будням, кроме первой пары в понедельник. </t>
        </is>
      </c>
    </row>
    <row r="57" ht="15.75" customHeight="1" s="2">
      <c r="E57" s="295" t="n">
        <v>3</v>
      </c>
      <c r="G57" s="296" t="n">
        <v>5</v>
      </c>
      <c r="H57" s="297" t="n">
        <v>5</v>
      </c>
      <c r="I57" s="133">
        <f>G57-H57</f>
        <v/>
      </c>
      <c r="J57" s="298" t="inlineStr">
        <is>
          <t>Инженерные и графические системы</t>
        </is>
      </c>
      <c r="K57" s="298" t="inlineStr">
        <is>
          <t>Зачет с оценкой</t>
        </is>
      </c>
      <c r="L57" s="298" t="inlineStr">
        <is>
          <t>Т11О-102Б-21</t>
        </is>
      </c>
      <c r="M57" s="297" t="n">
        <v>5</v>
      </c>
      <c r="N57" s="298" t="inlineStr">
        <is>
          <t>14861</t>
        </is>
      </c>
      <c r="O57" s="299" t="n"/>
      <c r="P57" s="298" t="inlineStr">
        <is>
          <t xml:space="preserve">81728     </t>
        </is>
      </c>
      <c r="Q57" s="298" t="inlineStr">
        <is>
          <t xml:space="preserve">Галкин Виктор Иванович </t>
        </is>
      </c>
      <c r="R57" s="298" t="n"/>
      <c r="S57" s="298" t="inlineStr">
        <is>
          <t>Нет</t>
        </is>
      </c>
      <c r="T57" s="298" t="n"/>
      <c r="U57" s="298" t="n"/>
    </row>
    <row r="58" ht="15.75" customHeight="1" s="2">
      <c r="E58" s="302" t="n">
        <v>2</v>
      </c>
      <c r="G58" s="296" t="n">
        <v>2</v>
      </c>
      <c r="H58" s="297" t="n">
        <v>2</v>
      </c>
      <c r="I58" s="133">
        <f>G58-H58</f>
        <v/>
      </c>
      <c r="J58" s="298" t="inlineStr">
        <is>
          <t>Инженерные и графические системы</t>
        </is>
      </c>
      <c r="K58" s="298" t="inlineStr">
        <is>
          <t>Зачет с оценкой</t>
        </is>
      </c>
      <c r="L58" s="298" t="inlineStr">
        <is>
          <t>Т11О-102Б-21</t>
        </is>
      </c>
      <c r="M58" s="297" t="n">
        <v>2</v>
      </c>
      <c r="N58" s="298" t="inlineStr">
        <is>
          <t>14861</t>
        </is>
      </c>
      <c r="O58" s="299" t="n"/>
      <c r="P58" s="298" t="n"/>
      <c r="Q58" s="298" t="n"/>
      <c r="R58" s="298" t="n"/>
      <c r="S58" s="298" t="inlineStr">
        <is>
          <t>Нет</t>
        </is>
      </c>
      <c r="T58" s="298" t="n"/>
      <c r="U58" s="298" t="n"/>
    </row>
    <row r="59" ht="15.75" customHeight="1" s="2">
      <c r="E59" s="302" t="n">
        <v>3</v>
      </c>
      <c r="G59" s="296" t="n">
        <v>16</v>
      </c>
      <c r="H59" s="297" t="n">
        <v>16</v>
      </c>
      <c r="I59" s="133">
        <f>G59-H59</f>
        <v/>
      </c>
      <c r="J59" s="298" t="inlineStr">
        <is>
          <t>Инженерные и графические системы</t>
        </is>
      </c>
      <c r="K59" s="298" t="inlineStr">
        <is>
          <t>ПЗ</t>
        </is>
      </c>
      <c r="L59" s="298" t="inlineStr">
        <is>
          <t>Т11О-102Б-21</t>
        </is>
      </c>
      <c r="M59" s="297" t="n">
        <v>16</v>
      </c>
      <c r="N59" s="298" t="inlineStr">
        <is>
          <t>14861</t>
        </is>
      </c>
      <c r="O59" s="297" t="n">
        <v>16</v>
      </c>
      <c r="P59" s="298" t="inlineStr">
        <is>
          <t xml:space="preserve">81728     </t>
        </is>
      </c>
      <c r="Q59" s="298" t="inlineStr">
        <is>
          <t xml:space="preserve">Галкин Виктор Иванович </t>
        </is>
      </c>
      <c r="R59" s="298" t="n"/>
      <c r="S59" s="298" t="inlineStr">
        <is>
          <t>Нет</t>
        </is>
      </c>
      <c r="T59" s="298" t="inlineStr">
        <is>
          <t>Орш. А-525</t>
        </is>
      </c>
      <c r="U59" s="298" t="inlineStr">
        <is>
          <t xml:space="preserve">По будням, кроме первой пары в понедельник. </t>
        </is>
      </c>
    </row>
    <row r="60" ht="15.75" customHeight="1" s="2">
      <c r="E60" s="302" t="n">
        <v>1</v>
      </c>
      <c r="G60" s="296" t="n">
        <v>32</v>
      </c>
      <c r="H60" s="297" t="n">
        <v>32</v>
      </c>
      <c r="I60" s="133">
        <f>G60-H60</f>
        <v/>
      </c>
      <c r="J60" s="298" t="inlineStr">
        <is>
          <t>Инженерные и графические системы</t>
        </is>
      </c>
      <c r="K60" s="298" t="inlineStr">
        <is>
          <t>ЛР</t>
        </is>
      </c>
      <c r="L60" s="298" t="inlineStr">
        <is>
          <t>Т11О-102Б-21</t>
        </is>
      </c>
      <c r="M60" s="297" t="n">
        <v>32</v>
      </c>
      <c r="N60" s="298" t="inlineStr">
        <is>
          <t>14861</t>
        </is>
      </c>
      <c r="O60" s="297" t="n">
        <v>16</v>
      </c>
      <c r="P60" s="298" t="inlineStr">
        <is>
          <t xml:space="preserve">81728     </t>
        </is>
      </c>
      <c r="Q60" s="298" t="inlineStr">
        <is>
          <t xml:space="preserve">Галкин Виктор Иванович </t>
        </is>
      </c>
      <c r="R60" s="298" t="n"/>
      <c r="S60" s="298" t="inlineStr">
        <is>
          <t>Нет</t>
        </is>
      </c>
      <c r="T60" s="298" t="inlineStr">
        <is>
          <t>Орш. А-525</t>
        </is>
      </c>
      <c r="U60" s="298" t="inlineStr">
        <is>
          <t xml:space="preserve">По будням, кроме первой пары в понедельник. </t>
        </is>
      </c>
    </row>
    <row r="61" ht="15.75" customHeight="1" s="2">
      <c r="E61" s="302" t="n">
        <v>24</v>
      </c>
      <c r="G61" s="296" t="n">
        <v>1</v>
      </c>
      <c r="H61" s="297" t="n">
        <v>1</v>
      </c>
      <c r="I61" s="133">
        <f>G61-H61</f>
        <v/>
      </c>
      <c r="J61" s="298" t="inlineStr">
        <is>
          <t>Инженерные и графические системы</t>
        </is>
      </c>
      <c r="K61" s="298" t="inlineStr">
        <is>
          <t>Консультация</t>
        </is>
      </c>
      <c r="L61" s="298" t="inlineStr">
        <is>
          <t>Т11О-102Б-21</t>
        </is>
      </c>
      <c r="M61" s="297" t="n">
        <v>1</v>
      </c>
      <c r="N61" s="298" t="inlineStr">
        <is>
          <t>14861</t>
        </is>
      </c>
      <c r="O61" s="299" t="n"/>
      <c r="P61" s="298" t="inlineStr">
        <is>
          <t xml:space="preserve">81728     </t>
        </is>
      </c>
      <c r="Q61" s="298" t="inlineStr">
        <is>
          <t xml:space="preserve">Галкин Виктор Иванович </t>
        </is>
      </c>
      <c r="R61" s="298" t="n"/>
      <c r="S61" s="298" t="inlineStr">
        <is>
          <t>Нет</t>
        </is>
      </c>
      <c r="T61" s="298" t="n"/>
      <c r="U61" s="298" t="n"/>
    </row>
    <row r="62" ht="15.75" customHeight="1" s="2">
      <c r="E62" s="302" t="n">
        <v>5</v>
      </c>
      <c r="G62" s="303" t="n">
        <v>18</v>
      </c>
      <c r="H62" s="297" t="n">
        <v>18</v>
      </c>
      <c r="I62" s="133">
        <f>G62-H62</f>
        <v/>
      </c>
      <c r="J62" s="298" t="inlineStr">
        <is>
          <t>Защита интеллектуальной собственности и патентоведение</t>
        </is>
      </c>
      <c r="K62" s="298" t="inlineStr">
        <is>
          <t>ЛК</t>
        </is>
      </c>
      <c r="L62" s="298" t="inlineStr">
        <is>
          <t>М9О-104М-21, Т11О-101М-21, Т11О-102М-21, Т11О-103М-21, Т11О-104М-21</t>
        </is>
      </c>
      <c r="M62" s="297" t="n">
        <v>18</v>
      </c>
      <c r="N62" s="298" t="inlineStr">
        <is>
          <t>12597</t>
        </is>
      </c>
      <c r="O62" s="297" t="n">
        <v>18</v>
      </c>
      <c r="P62" s="298" t="inlineStr">
        <is>
          <t xml:space="preserve">89090     </t>
        </is>
      </c>
      <c r="Q62" s="298" t="inlineStr">
        <is>
          <t>Степанов Владимир Валерьевич</t>
        </is>
      </c>
      <c r="R62" s="298" t="n"/>
      <c r="S62" s="298" t="inlineStr">
        <is>
          <t>Нет</t>
        </is>
      </c>
      <c r="T62" s="298" t="inlineStr">
        <is>
          <t>Орш. А-527</t>
        </is>
      </c>
      <c r="U62" s="298" t="inlineStr">
        <is>
          <t>желательно по пятницам, субботам (проектор)</t>
        </is>
      </c>
    </row>
    <row r="63" ht="15.75" customHeight="1" s="2">
      <c r="E63" s="302" t="n">
        <v>2</v>
      </c>
      <c r="G63" s="303" t="n">
        <v>28</v>
      </c>
      <c r="H63" s="297" t="n">
        <v>28</v>
      </c>
      <c r="I63" s="133">
        <f>G63-H63</f>
        <v/>
      </c>
      <c r="J63" s="298" t="inlineStr">
        <is>
          <t>Защита интеллектуальной собственности и патентоведение</t>
        </is>
      </c>
      <c r="K63" s="298" t="inlineStr">
        <is>
          <t>ПЗ</t>
        </is>
      </c>
      <c r="L63" s="298" t="inlineStr">
        <is>
          <t>Т11О-101М-21</t>
        </is>
      </c>
      <c r="M63" s="297" t="n">
        <v>28</v>
      </c>
      <c r="N63" s="298" t="inlineStr">
        <is>
          <t>12597</t>
        </is>
      </c>
      <c r="O63" s="297" t="n">
        <v>28</v>
      </c>
      <c r="P63" s="298" t="inlineStr">
        <is>
          <t xml:space="preserve">82021     </t>
        </is>
      </c>
      <c r="Q63" s="298" t="inlineStr">
        <is>
          <t xml:space="preserve">Власенко Артем Николаевич </t>
        </is>
      </c>
      <c r="R63" s="298" t="n"/>
      <c r="S63" s="298" t="inlineStr">
        <is>
          <t>Нет</t>
        </is>
      </c>
      <c r="T63" s="298" t="inlineStr">
        <is>
          <t>Орш. А-509</t>
        </is>
      </c>
      <c r="U63" s="298" t="n"/>
    </row>
    <row r="64" ht="15.75" customHeight="1" s="2">
      <c r="E64" s="302" t="n">
        <v>16</v>
      </c>
      <c r="G64" s="303" t="n">
        <v>28</v>
      </c>
      <c r="H64" s="297" t="n">
        <v>28</v>
      </c>
      <c r="I64" s="133">
        <f>G64-H64</f>
        <v/>
      </c>
      <c r="J64" s="298" t="inlineStr">
        <is>
          <t>Защита интеллектуальной собственности и патентоведение</t>
        </is>
      </c>
      <c r="K64" s="298" t="inlineStr">
        <is>
          <t>ПЗ</t>
        </is>
      </c>
      <c r="L64" s="298" t="inlineStr">
        <is>
          <t>Т11О-102М-21</t>
        </is>
      </c>
      <c r="M64" s="297" t="n">
        <v>28</v>
      </c>
      <c r="N64" s="298" t="inlineStr">
        <is>
          <t>12597</t>
        </is>
      </c>
      <c r="O64" s="297" t="n">
        <v>28</v>
      </c>
      <c r="P64" s="298" t="inlineStr">
        <is>
          <t xml:space="preserve">82021     </t>
        </is>
      </c>
      <c r="Q64" s="298" t="inlineStr">
        <is>
          <t xml:space="preserve">Власенко Артем Николаевич </t>
        </is>
      </c>
      <c r="R64" s="298" t="n"/>
      <c r="S64" s="298" t="inlineStr">
        <is>
          <t>Нет</t>
        </is>
      </c>
      <c r="T64" s="298" t="inlineStr">
        <is>
          <t>Орш. А-509</t>
        </is>
      </c>
      <c r="U64" s="298" t="n"/>
    </row>
    <row r="65" ht="15.75" customHeight="1" s="2">
      <c r="E65" s="302" t="n">
        <v>32</v>
      </c>
      <c r="G65" s="303" t="n">
        <v>28</v>
      </c>
      <c r="H65" s="297" t="n">
        <v>28</v>
      </c>
      <c r="I65" s="133">
        <f>G65-H65</f>
        <v/>
      </c>
      <c r="J65" s="298" t="inlineStr">
        <is>
          <t>Защита интеллектуальной собственности и патентоведение</t>
        </is>
      </c>
      <c r="K65" s="298" t="inlineStr">
        <is>
          <t>ПЗ</t>
        </is>
      </c>
      <c r="L65" s="298" t="inlineStr">
        <is>
          <t>Т11О-103М-21</t>
        </is>
      </c>
      <c r="M65" s="297" t="n">
        <v>28</v>
      </c>
      <c r="N65" s="298" t="inlineStr">
        <is>
          <t>12597</t>
        </is>
      </c>
      <c r="O65" s="297" t="n">
        <v>28</v>
      </c>
      <c r="P65" s="298" t="inlineStr">
        <is>
          <t xml:space="preserve">82021     </t>
        </is>
      </c>
      <c r="Q65" s="298" t="inlineStr">
        <is>
          <t xml:space="preserve">Власенко Артем Николаевич </t>
        </is>
      </c>
      <c r="R65" s="298" t="n"/>
      <c r="S65" s="298" t="inlineStr">
        <is>
          <t>Нет</t>
        </is>
      </c>
      <c r="T65" s="298" t="inlineStr">
        <is>
          <t>Орш. А-509</t>
        </is>
      </c>
      <c r="U65" s="298" t="n"/>
    </row>
    <row r="66" ht="15.75" customHeight="1" s="2">
      <c r="E66" s="302" t="n">
        <v>1</v>
      </c>
      <c r="G66" s="303" t="n">
        <v>28</v>
      </c>
      <c r="H66" s="297" t="n">
        <v>28</v>
      </c>
      <c r="I66" s="133">
        <f>G66-H66</f>
        <v/>
      </c>
      <c r="J66" s="298" t="inlineStr">
        <is>
          <t>Защита интеллектуальной собственности и патентоведение</t>
        </is>
      </c>
      <c r="K66" s="298" t="inlineStr">
        <is>
          <t>ПЗ</t>
        </is>
      </c>
      <c r="L66" s="298" t="inlineStr">
        <is>
          <t>Т11О-104М-21</t>
        </is>
      </c>
      <c r="M66" s="297" t="n">
        <v>28</v>
      </c>
      <c r="N66" s="298" t="inlineStr">
        <is>
          <t>12597</t>
        </is>
      </c>
      <c r="O66" s="297" t="n">
        <v>28</v>
      </c>
      <c r="P66" s="298" t="inlineStr">
        <is>
          <t xml:space="preserve">82021     </t>
        </is>
      </c>
      <c r="Q66" s="298" t="inlineStr">
        <is>
          <t xml:space="preserve">Власенко Артем Николаевич </t>
        </is>
      </c>
      <c r="R66" s="298" t="n"/>
      <c r="S66" s="298" t="inlineStr">
        <is>
          <t>Нет</t>
        </is>
      </c>
      <c r="T66" s="298" t="inlineStr">
        <is>
          <t>Орш. А-509</t>
        </is>
      </c>
      <c r="U66" s="298" t="n"/>
    </row>
    <row r="67" ht="15.75" customHeight="1" s="2">
      <c r="E67" s="302" t="n">
        <v>18</v>
      </c>
      <c r="G67" s="303" t="n">
        <v>28</v>
      </c>
      <c r="H67" s="297" t="n">
        <v>28</v>
      </c>
      <c r="I67" s="133">
        <f>G67-H67</f>
        <v/>
      </c>
      <c r="J67" s="298" t="inlineStr">
        <is>
          <t>Защита интеллектуальной собственности и патентоведение</t>
        </is>
      </c>
      <c r="K67" s="298" t="inlineStr">
        <is>
          <t>ПЗ</t>
        </is>
      </c>
      <c r="L67" s="298" t="inlineStr">
        <is>
          <t>М9О-104М-21</t>
        </is>
      </c>
      <c r="M67" s="297" t="n">
        <v>28</v>
      </c>
      <c r="N67" s="298" t="inlineStr">
        <is>
          <t>12597</t>
        </is>
      </c>
      <c r="O67" s="297" t="n">
        <v>28</v>
      </c>
      <c r="P67" s="298" t="inlineStr">
        <is>
          <t xml:space="preserve">82021     </t>
        </is>
      </c>
      <c r="Q67" s="298" t="inlineStr">
        <is>
          <t xml:space="preserve">Власенко Артем Николаевич </t>
        </is>
      </c>
      <c r="R67" s="298" t="n"/>
      <c r="S67" s="298" t="inlineStr">
        <is>
          <t>Нет</t>
        </is>
      </c>
      <c r="T67" s="298" t="inlineStr">
        <is>
          <t>Орш. А-509</t>
        </is>
      </c>
      <c r="U67" s="298" t="n"/>
    </row>
    <row r="68" ht="15.75" customHeight="1" s="2">
      <c r="E68" s="302" t="n">
        <v>28</v>
      </c>
      <c r="G68" s="303" t="n">
        <v>2</v>
      </c>
      <c r="H68" s="297" t="n">
        <v>2</v>
      </c>
      <c r="I68" s="133">
        <f>G68-H68</f>
        <v/>
      </c>
      <c r="J68" s="298" t="inlineStr">
        <is>
          <t>Защита интеллектуальной собственности и патентоведение</t>
        </is>
      </c>
      <c r="K68" s="298" t="inlineStr">
        <is>
          <t>Зачет</t>
        </is>
      </c>
      <c r="L68" s="298" t="inlineStr">
        <is>
          <t>Т11О-101М-21</t>
        </is>
      </c>
      <c r="M68" s="297" t="n">
        <v>2</v>
      </c>
      <c r="N68" s="298" t="inlineStr">
        <is>
          <t>12597</t>
        </is>
      </c>
      <c r="O68" s="299" t="n"/>
      <c r="P68" s="298" t="inlineStr">
        <is>
          <t xml:space="preserve">89090     </t>
        </is>
      </c>
      <c r="Q68" s="298" t="inlineStr">
        <is>
          <t>Степанов Владимир Валерьевич</t>
        </is>
      </c>
      <c r="R68" s="298" t="n"/>
      <c r="S68" s="298" t="inlineStr">
        <is>
          <t>Нет</t>
        </is>
      </c>
      <c r="T68" s="298" t="n"/>
      <c r="U68" s="298" t="inlineStr">
        <is>
          <t>желательно конец недели, включая субботу</t>
        </is>
      </c>
    </row>
    <row r="69" ht="15.75" customHeight="1" s="2">
      <c r="E69" s="302" t="n">
        <v>28</v>
      </c>
      <c r="G69" s="303" t="n">
        <v>2</v>
      </c>
      <c r="H69" s="297" t="n">
        <v>2</v>
      </c>
      <c r="I69" s="133">
        <f>G69-H69</f>
        <v/>
      </c>
      <c r="J69" s="298" t="inlineStr">
        <is>
          <t>Защита интеллектуальной собственности и патентоведение</t>
        </is>
      </c>
      <c r="K69" s="298" t="inlineStr">
        <is>
          <t>Зачет</t>
        </is>
      </c>
      <c r="L69" s="298" t="inlineStr">
        <is>
          <t>Т11О-102М-21</t>
        </is>
      </c>
      <c r="M69" s="297" t="n">
        <v>2</v>
      </c>
      <c r="N69" s="298" t="inlineStr">
        <is>
          <t>12597</t>
        </is>
      </c>
      <c r="O69" s="299" t="n"/>
      <c r="P69" s="298" t="inlineStr">
        <is>
          <t xml:space="preserve">89090     </t>
        </is>
      </c>
      <c r="Q69" s="298" t="inlineStr">
        <is>
          <t>Степанов Владимир Валерьевич</t>
        </is>
      </c>
      <c r="R69" s="298" t="n"/>
      <c r="S69" s="298" t="inlineStr">
        <is>
          <t>Нет</t>
        </is>
      </c>
      <c r="T69" s="298" t="n"/>
      <c r="U69" s="298" t="inlineStr">
        <is>
          <t>желательно конец недели, включая субботу</t>
        </is>
      </c>
    </row>
    <row r="70" ht="15.75" customHeight="1" s="2">
      <c r="E70" s="302" t="n">
        <v>28</v>
      </c>
      <c r="G70" s="303" t="n">
        <v>2</v>
      </c>
      <c r="H70" s="297" t="n">
        <v>2</v>
      </c>
      <c r="I70" s="133">
        <f>G70-H70</f>
        <v/>
      </c>
      <c r="J70" s="298" t="inlineStr">
        <is>
          <t>Защита интеллектуальной собственности и патентоведение</t>
        </is>
      </c>
      <c r="K70" s="298" t="inlineStr">
        <is>
          <t>Зачет</t>
        </is>
      </c>
      <c r="L70" s="298" t="inlineStr">
        <is>
          <t>Т11О-103М-21</t>
        </is>
      </c>
      <c r="M70" s="297" t="n">
        <v>2</v>
      </c>
      <c r="N70" s="298" t="inlineStr">
        <is>
          <t>12597</t>
        </is>
      </c>
      <c r="O70" s="299" t="n"/>
      <c r="P70" s="298" t="inlineStr">
        <is>
          <t xml:space="preserve">89090     </t>
        </is>
      </c>
      <c r="Q70" s="298" t="inlineStr">
        <is>
          <t>Степанов Владимир Валерьевич</t>
        </is>
      </c>
      <c r="R70" s="298" t="n"/>
      <c r="S70" s="298" t="inlineStr">
        <is>
          <t>Нет</t>
        </is>
      </c>
      <c r="T70" s="298" t="n"/>
      <c r="U70" s="298" t="inlineStr">
        <is>
          <t>желательно конец недели, включая субботу</t>
        </is>
      </c>
    </row>
    <row r="71" ht="15.75" customHeight="1" s="2">
      <c r="E71" s="302" t="n">
        <v>28</v>
      </c>
      <c r="G71" s="303" t="n">
        <v>2</v>
      </c>
      <c r="H71" s="297" t="n">
        <v>2</v>
      </c>
      <c r="I71" s="133">
        <f>G71-H71</f>
        <v/>
      </c>
      <c r="J71" s="298" t="inlineStr">
        <is>
          <t>Защита интеллектуальной собственности и патентоведение</t>
        </is>
      </c>
      <c r="K71" s="298" t="inlineStr">
        <is>
          <t>Зачет</t>
        </is>
      </c>
      <c r="L71" s="298" t="inlineStr">
        <is>
          <t>Т11О-104М-21</t>
        </is>
      </c>
      <c r="M71" s="297" t="n">
        <v>2</v>
      </c>
      <c r="N71" s="298" t="inlineStr">
        <is>
          <t>12597</t>
        </is>
      </c>
      <c r="O71" s="299" t="n"/>
      <c r="P71" s="298" t="inlineStr">
        <is>
          <t xml:space="preserve">89090     </t>
        </is>
      </c>
      <c r="Q71" s="298" t="inlineStr">
        <is>
          <t>Степанов Владимир Валерьевич</t>
        </is>
      </c>
      <c r="R71" s="298" t="n"/>
      <c r="S71" s="298" t="inlineStr">
        <is>
          <t>Нет</t>
        </is>
      </c>
      <c r="T71" s="298" t="n"/>
      <c r="U71" s="298" t="inlineStr">
        <is>
          <t>желательно конец недели, включая субботу</t>
        </is>
      </c>
    </row>
    <row r="72" ht="15.75" customHeight="1" s="2">
      <c r="E72" s="302" t="n">
        <v>28</v>
      </c>
      <c r="G72" s="303" t="n">
        <v>2</v>
      </c>
      <c r="H72" s="297" t="n">
        <v>2</v>
      </c>
      <c r="I72" s="133">
        <f>G72-H72</f>
        <v/>
      </c>
      <c r="J72" s="298" t="inlineStr">
        <is>
          <t>Защита интеллектуальной собственности и патентоведение</t>
        </is>
      </c>
      <c r="K72" s="298" t="inlineStr">
        <is>
          <t>Зачет</t>
        </is>
      </c>
      <c r="L72" s="298" t="inlineStr">
        <is>
          <t>М9О-104М-21</t>
        </is>
      </c>
      <c r="M72" s="297" t="n">
        <v>2</v>
      </c>
      <c r="N72" s="298" t="inlineStr">
        <is>
          <t>12597</t>
        </is>
      </c>
      <c r="O72" s="299" t="n"/>
      <c r="P72" s="298" t="inlineStr">
        <is>
          <t xml:space="preserve">89090     </t>
        </is>
      </c>
      <c r="Q72" s="298" t="inlineStr">
        <is>
          <t>Степанов Владимир Валерьевич</t>
        </is>
      </c>
      <c r="R72" s="298" t="n"/>
      <c r="S72" s="298" t="inlineStr">
        <is>
          <t>Нет</t>
        </is>
      </c>
      <c r="T72" s="298" t="n"/>
      <c r="U72" s="298" t="n"/>
    </row>
    <row r="73" ht="15.75" customHeight="1" s="2">
      <c r="E73" s="302" t="n">
        <v>2</v>
      </c>
      <c r="G73" s="303" t="n">
        <v>1</v>
      </c>
      <c r="H73" s="297" t="n">
        <v>1</v>
      </c>
      <c r="I73" s="133">
        <f>G73-H73</f>
        <v/>
      </c>
      <c r="J73" s="298" t="inlineStr">
        <is>
          <t>Защита интеллектуальной собственности и патентоведение</t>
        </is>
      </c>
      <c r="K73" s="298" t="inlineStr">
        <is>
          <t>Консультация</t>
        </is>
      </c>
      <c r="L73" s="298" t="inlineStr">
        <is>
          <t>Т11О-101М-21</t>
        </is>
      </c>
      <c r="M73" s="297" t="n">
        <v>1</v>
      </c>
      <c r="N73" s="298" t="inlineStr">
        <is>
          <t>12597</t>
        </is>
      </c>
      <c r="O73" s="299" t="n"/>
      <c r="P73" s="298" t="inlineStr">
        <is>
          <t xml:space="preserve">89090     </t>
        </is>
      </c>
      <c r="Q73" s="298" t="inlineStr">
        <is>
          <t>Степанов Владимир Валерьевич</t>
        </is>
      </c>
      <c r="R73" s="298" t="n"/>
      <c r="S73" s="298" t="inlineStr">
        <is>
          <t>Нет</t>
        </is>
      </c>
      <c r="T73" s="298" t="n"/>
      <c r="U73" s="298" t="n"/>
    </row>
    <row r="74" ht="15.75" customHeight="1" s="2">
      <c r="E74" s="302" t="n">
        <v>2</v>
      </c>
      <c r="G74" s="303" t="n">
        <v>1</v>
      </c>
      <c r="H74" s="297" t="n">
        <v>1</v>
      </c>
      <c r="I74" s="133">
        <f>G74-H74</f>
        <v/>
      </c>
      <c r="J74" s="298" t="inlineStr">
        <is>
          <t>Защита интеллектуальной собственности и патентоведение</t>
        </is>
      </c>
      <c r="K74" s="298" t="inlineStr">
        <is>
          <t>Консультация</t>
        </is>
      </c>
      <c r="L74" s="298" t="inlineStr">
        <is>
          <t>Т11О-102М-21</t>
        </is>
      </c>
      <c r="M74" s="297" t="n">
        <v>1</v>
      </c>
      <c r="N74" s="298" t="inlineStr">
        <is>
          <t>12597</t>
        </is>
      </c>
      <c r="O74" s="299" t="n"/>
      <c r="P74" s="298" t="inlineStr">
        <is>
          <t xml:space="preserve">89090     </t>
        </is>
      </c>
      <c r="Q74" s="298" t="inlineStr">
        <is>
          <t>Степанов Владимир Валерьевич</t>
        </is>
      </c>
      <c r="R74" s="298" t="n"/>
      <c r="S74" s="298" t="inlineStr">
        <is>
          <t>Нет</t>
        </is>
      </c>
      <c r="T74" s="298" t="n"/>
      <c r="U74" s="298" t="n"/>
    </row>
    <row r="75" ht="15.75" customHeight="1" s="2">
      <c r="E75" s="302" t="n">
        <v>2</v>
      </c>
      <c r="G75" s="303" t="n">
        <v>1</v>
      </c>
      <c r="H75" s="297" t="n">
        <v>1</v>
      </c>
      <c r="I75" s="133">
        <f>G75-H75</f>
        <v/>
      </c>
      <c r="J75" s="298" t="inlineStr">
        <is>
          <t>Защита интеллектуальной собственности и патентоведение</t>
        </is>
      </c>
      <c r="K75" s="298" t="inlineStr">
        <is>
          <t>Консультация</t>
        </is>
      </c>
      <c r="L75" s="298" t="inlineStr">
        <is>
          <t>Т11О-103М-21</t>
        </is>
      </c>
      <c r="M75" s="297" t="n">
        <v>1</v>
      </c>
      <c r="N75" s="298" t="inlineStr">
        <is>
          <t>12597</t>
        </is>
      </c>
      <c r="O75" s="299" t="n"/>
      <c r="P75" s="298" t="inlineStr">
        <is>
          <t xml:space="preserve">89090     </t>
        </is>
      </c>
      <c r="Q75" s="298" t="inlineStr">
        <is>
          <t>Степанов Владимир Валерьевич</t>
        </is>
      </c>
      <c r="R75" s="298" t="n"/>
      <c r="S75" s="298" t="inlineStr">
        <is>
          <t>Нет</t>
        </is>
      </c>
      <c r="T75" s="298" t="n"/>
      <c r="U75" s="298" t="n"/>
    </row>
    <row r="76" ht="15.75" customHeight="1" s="2">
      <c r="E76" s="302" t="n">
        <v>2</v>
      </c>
      <c r="G76" s="303" t="n">
        <v>1</v>
      </c>
      <c r="H76" s="297" t="n">
        <v>1</v>
      </c>
      <c r="I76" s="133">
        <f>G76-H76</f>
        <v/>
      </c>
      <c r="J76" s="298" t="inlineStr">
        <is>
          <t>Защита интеллектуальной собственности и патентоведение</t>
        </is>
      </c>
      <c r="K76" s="298" t="inlineStr">
        <is>
          <t>Консультация</t>
        </is>
      </c>
      <c r="L76" s="298" t="inlineStr">
        <is>
          <t>Т11О-104М-21</t>
        </is>
      </c>
      <c r="M76" s="297" t="n">
        <v>1</v>
      </c>
      <c r="N76" s="298" t="inlineStr">
        <is>
          <t>12597</t>
        </is>
      </c>
      <c r="O76" s="299" t="n"/>
      <c r="P76" s="298" t="inlineStr">
        <is>
          <t xml:space="preserve">89090     </t>
        </is>
      </c>
      <c r="Q76" s="298" t="inlineStr">
        <is>
          <t>Степанов Владимир Валерьевич</t>
        </is>
      </c>
      <c r="R76" s="298" t="n"/>
      <c r="S76" s="298" t="inlineStr">
        <is>
          <t>Нет</t>
        </is>
      </c>
      <c r="T76" s="298" t="n"/>
      <c r="U76" s="298" t="n"/>
    </row>
    <row r="77" ht="15.75" customHeight="1" s="2">
      <c r="E77" s="302" t="n">
        <v>2</v>
      </c>
      <c r="G77" s="303" t="n">
        <v>1</v>
      </c>
      <c r="H77" s="297" t="n">
        <v>1</v>
      </c>
      <c r="I77" s="133">
        <f>G77-H77</f>
        <v/>
      </c>
      <c r="J77" s="298" t="inlineStr">
        <is>
          <t>Защита интеллектуальной собственности и патентоведение</t>
        </is>
      </c>
      <c r="K77" s="298" t="inlineStr">
        <is>
          <t>Консультация</t>
        </is>
      </c>
      <c r="L77" s="298" t="inlineStr">
        <is>
          <t>М9О-104М-21</t>
        </is>
      </c>
      <c r="M77" s="297" t="n">
        <v>1</v>
      </c>
      <c r="N77" s="298" t="inlineStr">
        <is>
          <t>12597</t>
        </is>
      </c>
      <c r="O77" s="299" t="n"/>
      <c r="P77" s="298" t="inlineStr">
        <is>
          <t xml:space="preserve">89090     </t>
        </is>
      </c>
      <c r="Q77" s="298" t="inlineStr">
        <is>
          <t>Степанов Владимир Валерьевич</t>
        </is>
      </c>
      <c r="R77" s="298" t="n"/>
      <c r="S77" s="298" t="inlineStr">
        <is>
          <t>Нет</t>
        </is>
      </c>
      <c r="T77" s="298" t="n"/>
      <c r="U77" s="298" t="n"/>
    </row>
    <row r="78" ht="15.75" customHeight="1" s="2">
      <c r="E78" s="302" t="n">
        <v>1</v>
      </c>
      <c r="G78" s="296" t="n">
        <v>8</v>
      </c>
      <c r="H78" s="297" t="n">
        <v>8</v>
      </c>
      <c r="I78" s="133">
        <f>G78-H78</f>
        <v/>
      </c>
      <c r="J78" s="298" t="inlineStr">
        <is>
          <t>Современные технологии сварки плавлением</t>
        </is>
      </c>
      <c r="K78" s="298" t="inlineStr">
        <is>
          <t>ЛК</t>
        </is>
      </c>
      <c r="L78" s="298" t="inlineStr">
        <is>
          <t>Т11О-204М-20</t>
        </is>
      </c>
      <c r="M78" s="297" t="n">
        <v>8</v>
      </c>
      <c r="N78" s="298" t="inlineStr">
        <is>
          <t>04595</t>
        </is>
      </c>
      <c r="O78" s="297" t="n">
        <v>8</v>
      </c>
      <c r="P78" s="298" t="inlineStr">
        <is>
          <t xml:space="preserve">82056     </t>
        </is>
      </c>
      <c r="Q78" s="298" t="inlineStr">
        <is>
          <t xml:space="preserve">Никитина Елена Владимировна </t>
        </is>
      </c>
      <c r="R78" s="298" t="n"/>
      <c r="S78" s="298" t="inlineStr">
        <is>
          <t>Да</t>
        </is>
      </c>
      <c r="T78" s="298" t="n"/>
      <c r="U78" s="298" t="inlineStr">
        <is>
          <t>пн-пт с 13:00 (509 или 532)</t>
        </is>
      </c>
    </row>
    <row r="79" ht="15.75" customHeight="1" s="2">
      <c r="E79" s="302" t="n">
        <v>1</v>
      </c>
      <c r="G79" s="296" t="n">
        <v>18</v>
      </c>
      <c r="H79" s="297" t="n">
        <v>18</v>
      </c>
      <c r="I79" s="133">
        <f>G79-H79</f>
        <v/>
      </c>
      <c r="J79" s="298" t="inlineStr">
        <is>
          <t>Современные технологии сварки плавлением</t>
        </is>
      </c>
      <c r="K79" s="298" t="inlineStr">
        <is>
          <t>КР</t>
        </is>
      </c>
      <c r="L79" s="298" t="inlineStr">
        <is>
          <t>Т11О-204М-20</t>
        </is>
      </c>
      <c r="M79" s="297" t="n">
        <v>18</v>
      </c>
      <c r="N79" s="298" t="inlineStr">
        <is>
          <t>04595</t>
        </is>
      </c>
      <c r="O79" s="299" t="n"/>
      <c r="P79" s="298" t="inlineStr">
        <is>
          <t xml:space="preserve">82056     </t>
        </is>
      </c>
      <c r="Q79" s="298" t="inlineStr">
        <is>
          <t xml:space="preserve">Никитина Елена Владимировна </t>
        </is>
      </c>
      <c r="R79" s="298" t="n"/>
      <c r="S79" s="298" t="inlineStr">
        <is>
          <t>Да</t>
        </is>
      </c>
      <c r="T79" s="298" t="n"/>
      <c r="U79" s="298" t="inlineStr">
        <is>
          <t>пн-пт с 13:00 (509 или 532)</t>
        </is>
      </c>
    </row>
    <row r="80" ht="15.75" customHeight="1" s="2">
      <c r="E80" s="302" t="n">
        <v>1</v>
      </c>
      <c r="G80" s="296" t="n">
        <v>36</v>
      </c>
      <c r="H80" s="297" t="n">
        <v>36</v>
      </c>
      <c r="I80" s="133">
        <f>G80-H80</f>
        <v/>
      </c>
      <c r="J80" s="298" t="inlineStr">
        <is>
          <t>Современные технологии сварки плавлением</t>
        </is>
      </c>
      <c r="K80" s="298" t="inlineStr">
        <is>
          <t>ПЗ</t>
        </is>
      </c>
      <c r="L80" s="298" t="inlineStr">
        <is>
          <t>Т11О-204М-20</t>
        </is>
      </c>
      <c r="M80" s="297" t="n">
        <v>36</v>
      </c>
      <c r="N80" s="298" t="inlineStr">
        <is>
          <t>04595</t>
        </is>
      </c>
      <c r="O80" s="297" t="n">
        <v>36</v>
      </c>
      <c r="P80" s="298" t="inlineStr">
        <is>
          <t xml:space="preserve">82056     </t>
        </is>
      </c>
      <c r="Q80" s="298" t="inlineStr">
        <is>
          <t xml:space="preserve">Никитина Елена Владимировна </t>
        </is>
      </c>
      <c r="R80" s="298" t="n"/>
      <c r="S80" s="298" t="inlineStr">
        <is>
          <t>Да</t>
        </is>
      </c>
      <c r="T80" s="298" t="n"/>
      <c r="U80" s="298" t="inlineStr">
        <is>
          <t>пн-пт с 13:00 (509 или 532)</t>
        </is>
      </c>
    </row>
    <row r="81" ht="15.75" customHeight="1" s="2">
      <c r="E81" s="302" t="n">
        <v>1</v>
      </c>
      <c r="G81" s="296" t="n">
        <v>3</v>
      </c>
      <c r="H81" s="297" t="n">
        <v>3</v>
      </c>
      <c r="I81" s="133">
        <f>G81-H81</f>
        <v/>
      </c>
      <c r="J81" s="298" t="inlineStr">
        <is>
          <t>Современные технологии сварки плавлением</t>
        </is>
      </c>
      <c r="K81" s="298" t="inlineStr">
        <is>
          <t>Экзамен</t>
        </is>
      </c>
      <c r="L81" s="298" t="inlineStr">
        <is>
          <t>Т11О-204М-20</t>
        </is>
      </c>
      <c r="M81" s="297" t="n">
        <v>3</v>
      </c>
      <c r="N81" s="298" t="inlineStr">
        <is>
          <t>04595</t>
        </is>
      </c>
      <c r="O81" s="299" t="n"/>
      <c r="P81" s="298" t="inlineStr">
        <is>
          <t xml:space="preserve">82056     </t>
        </is>
      </c>
      <c r="Q81" s="298" t="inlineStr">
        <is>
          <t xml:space="preserve">Никитина Елена Владимировна </t>
        </is>
      </c>
      <c r="R81" s="298" t="n"/>
      <c r="S81" s="298" t="inlineStr">
        <is>
          <t>Да</t>
        </is>
      </c>
      <c r="T81" s="298" t="n"/>
      <c r="U81" s="298" t="n"/>
    </row>
    <row r="82" ht="15.75" customHeight="1" s="2">
      <c r="E82" s="302" t="n">
        <v>1</v>
      </c>
      <c r="G82" s="296" t="n">
        <v>2</v>
      </c>
      <c r="H82" s="297" t="n">
        <v>2</v>
      </c>
      <c r="I82" s="133">
        <f>G82-H82</f>
        <v/>
      </c>
      <c r="J82" s="298" t="inlineStr">
        <is>
          <t>Современные технологии сварки плавлением</t>
        </is>
      </c>
      <c r="K82" s="298" t="inlineStr">
        <is>
          <t>Консультация</t>
        </is>
      </c>
      <c r="L82" s="298" t="inlineStr">
        <is>
          <t>Т11О-204М-20</t>
        </is>
      </c>
      <c r="M82" s="297" t="n">
        <v>2</v>
      </c>
      <c r="N82" s="298" t="inlineStr">
        <is>
          <t>04595</t>
        </is>
      </c>
      <c r="O82" s="299" t="n"/>
      <c r="P82" s="298" t="inlineStr">
        <is>
          <t xml:space="preserve">82056     </t>
        </is>
      </c>
      <c r="Q82" s="298" t="inlineStr">
        <is>
          <t xml:space="preserve">Никитина Елена Владимировна </t>
        </is>
      </c>
      <c r="R82" s="298" t="n"/>
      <c r="S82" s="298" t="inlineStr">
        <is>
          <t>Да</t>
        </is>
      </c>
      <c r="T82" s="298" t="n"/>
      <c r="U82" s="298" t="n"/>
    </row>
    <row r="83" ht="15.75" customHeight="1" s="2">
      <c r="E83" s="300" t="n">
        <v>8</v>
      </c>
      <c r="G83" s="304" t="n">
        <v>8</v>
      </c>
      <c r="H83" s="297" t="n">
        <v>8</v>
      </c>
      <c r="I83" s="133">
        <f>G83-H83</f>
        <v/>
      </c>
      <c r="J83" s="298" t="inlineStr">
        <is>
          <t>Современные технологии сварки давлением</t>
        </is>
      </c>
      <c r="K83" s="298" t="inlineStr">
        <is>
          <t>ЛК</t>
        </is>
      </c>
      <c r="L83" s="298" t="inlineStr">
        <is>
          <t>Т11О-104М-21</t>
        </is>
      </c>
      <c r="M83" s="297" t="n">
        <v>8</v>
      </c>
      <c r="N83" s="298" t="inlineStr">
        <is>
          <t>04595</t>
        </is>
      </c>
      <c r="O83" s="297" t="n">
        <v>8</v>
      </c>
      <c r="P83" s="298" t="inlineStr">
        <is>
          <t xml:space="preserve">89090     </t>
        </is>
      </c>
      <c r="Q83" s="298" t="inlineStr">
        <is>
          <t>Степанов Владимир Валерьевич</t>
        </is>
      </c>
      <c r="R83" s="298" t="n"/>
      <c r="S83" s="298" t="inlineStr">
        <is>
          <t>Нет</t>
        </is>
      </c>
      <c r="T83" s="298" t="inlineStr">
        <is>
          <t>Орш. А-527</t>
        </is>
      </c>
      <c r="U83" s="298" t="inlineStr">
        <is>
          <t>желательно по пятницам, субботам (проектор)</t>
        </is>
      </c>
    </row>
    <row r="84" ht="15.75" customHeight="1" s="2">
      <c r="E84" s="300" t="n">
        <v>18</v>
      </c>
      <c r="G84" s="304" t="n">
        <v>15</v>
      </c>
      <c r="H84" s="297" t="n">
        <v>15</v>
      </c>
      <c r="I84" s="133">
        <f>G84-H84</f>
        <v/>
      </c>
      <c r="J84" s="298" t="inlineStr">
        <is>
          <t>Современные технологии сварки давлением</t>
        </is>
      </c>
      <c r="K84" s="298" t="inlineStr">
        <is>
          <t>КР</t>
        </is>
      </c>
      <c r="L84" s="298" t="inlineStr">
        <is>
          <t>Т11О-104М-21</t>
        </is>
      </c>
      <c r="M84" s="297" t="n">
        <v>15</v>
      </c>
      <c r="N84" s="298" t="inlineStr">
        <is>
          <t>04595</t>
        </is>
      </c>
      <c r="O84" s="299" t="n"/>
      <c r="P84" s="298" t="inlineStr">
        <is>
          <t xml:space="preserve">89090     </t>
        </is>
      </c>
      <c r="Q84" s="298" t="inlineStr">
        <is>
          <t>Степанов Владимир Валерьевич</t>
        </is>
      </c>
      <c r="R84" s="298" t="n"/>
      <c r="S84" s="298" t="inlineStr">
        <is>
          <t>Нет</t>
        </is>
      </c>
      <c r="T84" s="298" t="n"/>
      <c r="U84" s="298" t="n"/>
    </row>
    <row r="85" ht="15.75" customHeight="1" s="2">
      <c r="E85" s="300" t="n">
        <v>36</v>
      </c>
      <c r="G85" s="304" t="n">
        <v>2</v>
      </c>
      <c r="H85" s="297" t="n">
        <v>2</v>
      </c>
      <c r="I85" s="133">
        <f>G85-H85</f>
        <v/>
      </c>
      <c r="J85" s="298" t="inlineStr">
        <is>
          <t>Современные технологии сварки давлением</t>
        </is>
      </c>
      <c r="K85" s="298" t="inlineStr">
        <is>
          <t>Зачет с оценкой</t>
        </is>
      </c>
      <c r="L85" s="298" t="inlineStr">
        <is>
          <t>Т11О-104М-21</t>
        </is>
      </c>
      <c r="M85" s="297" t="n">
        <v>2</v>
      </c>
      <c r="N85" s="298" t="inlineStr">
        <is>
          <t>04595</t>
        </is>
      </c>
      <c r="O85" s="299" t="n"/>
      <c r="P85" s="298" t="inlineStr">
        <is>
          <t xml:space="preserve">89090     </t>
        </is>
      </c>
      <c r="Q85" s="298" t="inlineStr">
        <is>
          <t>Степанов Владимир Валерьевич</t>
        </is>
      </c>
      <c r="R85" s="298" t="n"/>
      <c r="S85" s="298" t="inlineStr">
        <is>
          <t>Нет</t>
        </is>
      </c>
      <c r="T85" s="298" t="n"/>
      <c r="U85" s="298" t="n"/>
    </row>
    <row r="86" ht="15.75" customHeight="1" s="2">
      <c r="E86" s="300" t="n">
        <v>3</v>
      </c>
      <c r="G86" s="304" t="n">
        <v>36</v>
      </c>
      <c r="H86" s="297" t="n">
        <v>36</v>
      </c>
      <c r="I86" s="133">
        <f>G86-H86</f>
        <v/>
      </c>
      <c r="J86" s="298" t="inlineStr">
        <is>
          <t>Современные технологии сварки давлением</t>
        </is>
      </c>
      <c r="K86" s="298" t="inlineStr">
        <is>
          <t>ПЗ</t>
        </is>
      </c>
      <c r="L86" s="298" t="inlineStr">
        <is>
          <t>Т11О-104М-21</t>
        </is>
      </c>
      <c r="M86" s="297" t="n">
        <v>36</v>
      </c>
      <c r="N86" s="298" t="inlineStr">
        <is>
          <t>04595</t>
        </is>
      </c>
      <c r="O86" s="297" t="n">
        <v>36</v>
      </c>
      <c r="P86" s="298" t="inlineStr">
        <is>
          <t xml:space="preserve">89090     </t>
        </is>
      </c>
      <c r="Q86" s="298" t="inlineStr">
        <is>
          <t>Степанов Владимир Валерьевич</t>
        </is>
      </c>
      <c r="R86" s="298" t="n"/>
      <c r="S86" s="298" t="inlineStr">
        <is>
          <t>Нет</t>
        </is>
      </c>
      <c r="T86" s="298" t="inlineStr">
        <is>
          <t>Орш. А-527</t>
        </is>
      </c>
      <c r="U86" s="298" t="inlineStr">
        <is>
          <t>желательно по пятницам, субботам (проектор)</t>
        </is>
      </c>
    </row>
    <row r="87" ht="15.75" customHeight="1" s="2">
      <c r="E87" s="300" t="n">
        <v>2</v>
      </c>
      <c r="G87" s="296" t="n">
        <v>12</v>
      </c>
      <c r="H87" s="297" t="n">
        <v>12</v>
      </c>
      <c r="I87" s="133">
        <f>G87-H87</f>
        <v/>
      </c>
      <c r="J87" s="298" t="inlineStr">
        <is>
          <t>Современные технологии пайки</t>
        </is>
      </c>
      <c r="K87" s="298" t="inlineStr">
        <is>
          <t>ЛК</t>
        </is>
      </c>
      <c r="L87" s="298" t="inlineStr">
        <is>
          <t>Т11О-204М-20</t>
        </is>
      </c>
      <c r="M87" s="297" t="n">
        <v>12</v>
      </c>
      <c r="N87" s="298" t="inlineStr">
        <is>
          <t>04595</t>
        </is>
      </c>
      <c r="O87" s="297" t="n">
        <v>12</v>
      </c>
      <c r="P87" s="298" t="inlineStr">
        <is>
          <t xml:space="preserve">92509     </t>
        </is>
      </c>
      <c r="Q87" s="298" t="inlineStr">
        <is>
          <t xml:space="preserve">Пашков Игорь Николаевич </t>
        </is>
      </c>
      <c r="R87" s="298" t="n"/>
      <c r="S87" s="298" t="inlineStr">
        <is>
          <t>Нет</t>
        </is>
      </c>
      <c r="T87" s="298" t="inlineStr">
        <is>
          <t>Орш. А-527</t>
        </is>
      </c>
      <c r="U87" s="298" t="n"/>
    </row>
    <row r="88" ht="15.75" customHeight="1" s="2">
      <c r="E88" s="302" t="n">
        <v>8</v>
      </c>
      <c r="G88" s="296" t="n">
        <v>2</v>
      </c>
      <c r="H88" s="297" t="n">
        <v>2</v>
      </c>
      <c r="I88" s="133">
        <f>G88-H88</f>
        <v/>
      </c>
      <c r="J88" s="298" t="inlineStr">
        <is>
          <t>Современные технологии пайки</t>
        </is>
      </c>
      <c r="K88" s="298" t="inlineStr">
        <is>
          <t>Зачет с оценкой</t>
        </is>
      </c>
      <c r="L88" s="298" t="inlineStr">
        <is>
          <t>Т11О-204М-20</t>
        </is>
      </c>
      <c r="M88" s="297" t="n">
        <v>2</v>
      </c>
      <c r="N88" s="298" t="inlineStr">
        <is>
          <t>04595</t>
        </is>
      </c>
      <c r="O88" s="299" t="n"/>
      <c r="P88" s="298" t="inlineStr">
        <is>
          <t xml:space="preserve">92509     </t>
        </is>
      </c>
      <c r="Q88" s="298" t="inlineStr">
        <is>
          <t xml:space="preserve">Пашков Игорь Николаевич </t>
        </is>
      </c>
      <c r="R88" s="298" t="n"/>
      <c r="S88" s="298" t="inlineStr">
        <is>
          <t>Нет</t>
        </is>
      </c>
      <c r="T88" s="298" t="n"/>
      <c r="U88" s="298" t="n"/>
    </row>
    <row r="89" ht="15.75" customHeight="1" s="2">
      <c r="E89" s="302" t="n">
        <v>15</v>
      </c>
      <c r="G89" s="296" t="n">
        <v>40</v>
      </c>
      <c r="H89" s="297" t="n">
        <v>40</v>
      </c>
      <c r="I89" s="133">
        <f>G89-H89</f>
        <v/>
      </c>
      <c r="J89" s="298" t="inlineStr">
        <is>
          <t>Современные технологии пайки</t>
        </is>
      </c>
      <c r="K89" s="298" t="inlineStr">
        <is>
          <t>ПЗ</t>
        </is>
      </c>
      <c r="L89" s="298" t="inlineStr">
        <is>
          <t>Т11О-204М-20</t>
        </is>
      </c>
      <c r="M89" s="297" t="n">
        <v>40</v>
      </c>
      <c r="N89" s="298" t="inlineStr">
        <is>
          <t>04595</t>
        </is>
      </c>
      <c r="O89" s="297" t="n">
        <v>40</v>
      </c>
      <c r="P89" s="298" t="inlineStr">
        <is>
          <t xml:space="preserve">92509     </t>
        </is>
      </c>
      <c r="Q89" s="298" t="inlineStr">
        <is>
          <t xml:space="preserve">Пашков Игорь Николаевич </t>
        </is>
      </c>
      <c r="R89" s="298" t="n"/>
      <c r="S89" s="298" t="inlineStr">
        <is>
          <t>Нет</t>
        </is>
      </c>
      <c r="T89" s="298" t="inlineStr">
        <is>
          <t>Орш. А-527</t>
        </is>
      </c>
      <c r="U89" s="298" t="n"/>
    </row>
    <row r="90" ht="15.75" customHeight="1" s="2">
      <c r="E90" s="302" t="n">
        <v>2</v>
      </c>
      <c r="G90" s="296" t="n">
        <v>1</v>
      </c>
      <c r="H90" s="297" t="n">
        <v>1</v>
      </c>
      <c r="I90" s="133">
        <f>G90-H90</f>
        <v/>
      </c>
      <c r="J90" s="298" t="inlineStr">
        <is>
          <t>Современные технологии пайки</t>
        </is>
      </c>
      <c r="K90" s="298" t="inlineStr">
        <is>
          <t>Консультация</t>
        </is>
      </c>
      <c r="L90" s="298" t="inlineStr">
        <is>
          <t>Т11О-204М-20</t>
        </is>
      </c>
      <c r="M90" s="297" t="n">
        <v>1</v>
      </c>
      <c r="N90" s="298" t="inlineStr">
        <is>
          <t>04595</t>
        </is>
      </c>
      <c r="O90" s="299" t="n"/>
      <c r="P90" s="298" t="inlineStr">
        <is>
          <t xml:space="preserve">92509     </t>
        </is>
      </c>
      <c r="Q90" s="298" t="inlineStr">
        <is>
          <t xml:space="preserve">Пашков Игорь Николаевич </t>
        </is>
      </c>
      <c r="R90" s="298" t="n"/>
      <c r="S90" s="298" t="inlineStr">
        <is>
          <t>Нет</t>
        </is>
      </c>
      <c r="T90" s="298" t="n"/>
      <c r="U90" s="298" t="n"/>
    </row>
    <row r="91" ht="15.75" customHeight="1" s="2">
      <c r="E91" s="302" t="n">
        <v>36</v>
      </c>
      <c r="G91" s="296" t="n">
        <v>16</v>
      </c>
      <c r="H91" s="297" t="n">
        <v>16</v>
      </c>
      <c r="I91" s="133">
        <f>G91-H91</f>
        <v/>
      </c>
      <c r="J91" s="298" t="inlineStr">
        <is>
          <t>Контроль качества в порошковой металлургии</t>
        </is>
      </c>
      <c r="K91" s="298" t="inlineStr">
        <is>
          <t>ЛК</t>
        </is>
      </c>
      <c r="L91" s="298" t="inlineStr">
        <is>
          <t>Т11О-203М-20</t>
        </is>
      </c>
      <c r="M91" s="297" t="n">
        <v>16</v>
      </c>
      <c r="N91" s="298" t="inlineStr">
        <is>
          <t>06203</t>
        </is>
      </c>
      <c r="O91" s="297" t="n">
        <v>16</v>
      </c>
      <c r="P91" s="298" t="inlineStr">
        <is>
          <t xml:space="preserve">82090     </t>
        </is>
      </c>
      <c r="Q91" s="298" t="inlineStr">
        <is>
          <t xml:space="preserve">Барабанова Ольга Алексеевна </t>
        </is>
      </c>
      <c r="R91" s="298" t="n"/>
      <c r="S91" s="298" t="inlineStr">
        <is>
          <t>Да</t>
        </is>
      </c>
      <c r="T91" s="298" t="inlineStr">
        <is>
          <t>Орш. А-532</t>
        </is>
      </c>
      <c r="U91" s="298" t="inlineStr">
        <is>
          <t>вторник или среда и пятница с 13-00;</t>
        </is>
      </c>
    </row>
    <row r="92" ht="15.75" customHeight="1" s="2">
      <c r="E92" s="300" t="n">
        <v>12</v>
      </c>
      <c r="G92" s="296" t="n">
        <v>36</v>
      </c>
      <c r="H92" s="297" t="n">
        <v>36</v>
      </c>
      <c r="I92" s="133">
        <f>G92-H92</f>
        <v/>
      </c>
      <c r="J92" s="298" t="inlineStr">
        <is>
          <t>Контроль качества в порошковой металлургии</t>
        </is>
      </c>
      <c r="K92" s="298" t="inlineStr">
        <is>
          <t>ПЗ</t>
        </is>
      </c>
      <c r="L92" s="298" t="inlineStr">
        <is>
          <t>Т11О-203М-20</t>
        </is>
      </c>
      <c r="M92" s="297" t="n">
        <v>36</v>
      </c>
      <c r="N92" s="298" t="inlineStr">
        <is>
          <t>06203</t>
        </is>
      </c>
      <c r="O92" s="297" t="n">
        <v>36</v>
      </c>
      <c r="P92" s="298" t="inlineStr">
        <is>
          <t xml:space="preserve">82090     </t>
        </is>
      </c>
      <c r="Q92" s="298" t="inlineStr">
        <is>
          <t xml:space="preserve">Барабанова Ольга Алексеевна </t>
        </is>
      </c>
      <c r="R92" s="298" t="n"/>
      <c r="S92" s="298" t="inlineStr">
        <is>
          <t>Да</t>
        </is>
      </c>
      <c r="T92" s="298" t="inlineStr">
        <is>
          <t>Орш. А-532</t>
        </is>
      </c>
      <c r="U92" s="298" t="inlineStr">
        <is>
          <t>вторник или среда и пятница с 13-00;</t>
        </is>
      </c>
    </row>
    <row r="93" ht="15.75" customHeight="1" s="2">
      <c r="E93" s="300" t="n">
        <v>2</v>
      </c>
      <c r="G93" s="296" t="n">
        <v>2</v>
      </c>
      <c r="H93" s="297" t="n">
        <v>2</v>
      </c>
      <c r="I93" s="133">
        <f>G93-H93</f>
        <v/>
      </c>
      <c r="J93" s="298" t="inlineStr">
        <is>
          <t>Контроль качества в порошковой металлургии</t>
        </is>
      </c>
      <c r="K93" s="298" t="inlineStr">
        <is>
          <t>Зачет</t>
        </is>
      </c>
      <c r="L93" s="298" t="inlineStr">
        <is>
          <t>Т11О-203М-20</t>
        </is>
      </c>
      <c r="M93" s="297" t="n">
        <v>2</v>
      </c>
      <c r="N93" s="298" t="inlineStr">
        <is>
          <t>06203</t>
        </is>
      </c>
      <c r="O93" s="299" t="n"/>
      <c r="P93" s="298" t="inlineStr">
        <is>
          <t xml:space="preserve">82090     </t>
        </is>
      </c>
      <c r="Q93" s="298" t="inlineStr">
        <is>
          <t xml:space="preserve">Барабанова Ольга Алексеевна </t>
        </is>
      </c>
      <c r="R93" s="298" t="n"/>
      <c r="S93" s="298" t="inlineStr">
        <is>
          <t>Да</t>
        </is>
      </c>
      <c r="T93" s="298" t="n"/>
      <c r="U93" s="298" t="n"/>
    </row>
    <row r="94" ht="15.75" customHeight="1" s="2">
      <c r="E94" s="300" t="n">
        <v>40</v>
      </c>
      <c r="G94" s="296" t="n">
        <v>1</v>
      </c>
      <c r="H94" s="297" t="n">
        <v>1</v>
      </c>
      <c r="I94" s="133">
        <f>G94-H94</f>
        <v/>
      </c>
      <c r="J94" s="298" t="inlineStr">
        <is>
          <t>Контроль качества в порошковой металлургии</t>
        </is>
      </c>
      <c r="K94" s="298" t="inlineStr">
        <is>
          <t>Консультация</t>
        </is>
      </c>
      <c r="L94" s="298" t="inlineStr">
        <is>
          <t>Т11О-203М-20</t>
        </is>
      </c>
      <c r="M94" s="297" t="n">
        <v>1</v>
      </c>
      <c r="N94" s="298" t="inlineStr">
        <is>
          <t>06203</t>
        </is>
      </c>
      <c r="O94" s="299" t="n"/>
      <c r="P94" s="298" t="inlineStr">
        <is>
          <t xml:space="preserve">82090     </t>
        </is>
      </c>
      <c r="Q94" s="298" t="inlineStr">
        <is>
          <t xml:space="preserve">Барабанова Ольга Алексеевна </t>
        </is>
      </c>
      <c r="R94" s="298" t="n"/>
      <c r="S94" s="298" t="inlineStr">
        <is>
          <t>Да</t>
        </is>
      </c>
      <c r="T94" s="298" t="n"/>
      <c r="U94" s="298" t="n"/>
    </row>
    <row r="95" ht="15.75" customHeight="1" s="2">
      <c r="E95" s="300" t="n">
        <v>1</v>
      </c>
      <c r="G95" s="296" t="n">
        <v>12</v>
      </c>
      <c r="H95" s="297" t="n">
        <v>12</v>
      </c>
      <c r="I95" s="133">
        <f>G95-H95</f>
        <v/>
      </c>
      <c r="J95" s="298" t="inlineStr">
        <is>
          <t>Разработка ресурсосберегающих технологий диффузионной сварки</t>
        </is>
      </c>
      <c r="K95" s="298" t="inlineStr">
        <is>
          <t>ЛК</t>
        </is>
      </c>
      <c r="L95" s="298" t="inlineStr">
        <is>
          <t>Т11О-103М-21</t>
        </is>
      </c>
      <c r="M95" s="297" t="n">
        <v>12</v>
      </c>
      <c r="N95" s="298" t="inlineStr">
        <is>
          <t>06203</t>
        </is>
      </c>
      <c r="O95" s="297" t="n">
        <v>12</v>
      </c>
      <c r="P95" s="298" t="inlineStr">
        <is>
          <t xml:space="preserve">82090     </t>
        </is>
      </c>
      <c r="Q95" s="298" t="inlineStr">
        <is>
          <t xml:space="preserve">Барабанова Ольга Алексеевна </t>
        </is>
      </c>
      <c r="R95" s="298" t="n"/>
      <c r="S95" s="298" t="inlineStr">
        <is>
          <t>Да</t>
        </is>
      </c>
      <c r="T95" s="298" t="inlineStr">
        <is>
          <t>Орш. А-532</t>
        </is>
      </c>
      <c r="U95" s="298" t="inlineStr">
        <is>
          <t>вторник или среда и пятница с 13-00;</t>
        </is>
      </c>
    </row>
    <row r="96" ht="15.75" customHeight="1" s="2">
      <c r="E96" s="305" t="n">
        <v>16</v>
      </c>
      <c r="G96" s="296" t="n">
        <v>2</v>
      </c>
      <c r="H96" s="297" t="n">
        <v>2</v>
      </c>
      <c r="I96" s="133">
        <f>G96-H96</f>
        <v/>
      </c>
      <c r="J96" s="298" t="inlineStr">
        <is>
          <t>Разработка ресурсосберегающих технологий диффузионной сварки</t>
        </is>
      </c>
      <c r="K96" s="298" t="inlineStr">
        <is>
          <t>Зачет с оценкой</t>
        </is>
      </c>
      <c r="L96" s="298" t="inlineStr">
        <is>
          <t>Т11О-103М-21</t>
        </is>
      </c>
      <c r="M96" s="297" t="n">
        <v>2</v>
      </c>
      <c r="N96" s="298" t="inlineStr">
        <is>
          <t>06203</t>
        </is>
      </c>
      <c r="O96" s="299" t="n"/>
      <c r="P96" s="298" t="inlineStr">
        <is>
          <t xml:space="preserve">82090     </t>
        </is>
      </c>
      <c r="Q96" s="298" t="inlineStr">
        <is>
          <t xml:space="preserve">Барабанова Ольга Алексеевна </t>
        </is>
      </c>
      <c r="R96" s="298" t="n"/>
      <c r="S96" s="298" t="inlineStr">
        <is>
          <t>Да</t>
        </is>
      </c>
      <c r="T96" s="298" t="n"/>
      <c r="U96" s="298" t="n"/>
    </row>
    <row r="97" ht="15.75" customHeight="1" s="2">
      <c r="E97" s="305" t="n">
        <v>36</v>
      </c>
      <c r="G97" s="296" t="n">
        <v>6</v>
      </c>
      <c r="H97" s="297" t="n">
        <v>6</v>
      </c>
      <c r="I97" s="133">
        <f>G97-H97</f>
        <v/>
      </c>
      <c r="J97" s="298" t="inlineStr">
        <is>
          <t>Разработка ресурсосберегающих технологий диффузионной сварки</t>
        </is>
      </c>
      <c r="K97" s="298" t="inlineStr">
        <is>
          <t>ПЗ</t>
        </is>
      </c>
      <c r="L97" s="298" t="inlineStr">
        <is>
          <t>Т11О-103М-21</t>
        </is>
      </c>
      <c r="M97" s="297" t="n">
        <v>6</v>
      </c>
      <c r="N97" s="298" t="inlineStr">
        <is>
          <t>06203</t>
        </is>
      </c>
      <c r="O97" s="297" t="n">
        <v>6</v>
      </c>
      <c r="P97" s="298" t="inlineStr">
        <is>
          <t xml:space="preserve">82090     </t>
        </is>
      </c>
      <c r="Q97" s="298" t="inlineStr">
        <is>
          <t xml:space="preserve">Барабанова Ольга Алексеевна </t>
        </is>
      </c>
      <c r="R97" s="298" t="n"/>
      <c r="S97" s="298" t="inlineStr">
        <is>
          <t>Да</t>
        </is>
      </c>
      <c r="T97" s="298" t="inlineStr">
        <is>
          <t>Орш. А-532</t>
        </is>
      </c>
      <c r="U97" s="298" t="inlineStr">
        <is>
          <t>вторник или среда и пятница с 13-00;</t>
        </is>
      </c>
    </row>
    <row r="98" ht="15.75" customHeight="1" s="2">
      <c r="E98" s="305" t="n">
        <v>2</v>
      </c>
      <c r="G98" s="296" t="n">
        <v>20</v>
      </c>
      <c r="H98" s="297" t="n">
        <v>20</v>
      </c>
      <c r="I98" s="133">
        <f>G98-H98</f>
        <v/>
      </c>
      <c r="J98" s="298" t="inlineStr">
        <is>
          <t>Разработка ресурсосберегающих технологий диффузионной сварки</t>
        </is>
      </c>
      <c r="K98" s="298" t="inlineStr">
        <is>
          <t>ЛР</t>
        </is>
      </c>
      <c r="L98" s="298" t="inlineStr">
        <is>
          <t>Т11О-103М-21</t>
        </is>
      </c>
      <c r="M98" s="297" t="n">
        <v>20</v>
      </c>
      <c r="N98" s="298" t="inlineStr">
        <is>
          <t>06203</t>
        </is>
      </c>
      <c r="O98" s="297" t="n">
        <v>20</v>
      </c>
      <c r="P98" s="298" t="inlineStr">
        <is>
          <t xml:space="preserve">82090     </t>
        </is>
      </c>
      <c r="Q98" s="298" t="inlineStr">
        <is>
          <t xml:space="preserve">Барабанова Ольга Алексеевна </t>
        </is>
      </c>
      <c r="R98" s="298" t="n"/>
      <c r="S98" s="298" t="inlineStr">
        <is>
          <t>Да</t>
        </is>
      </c>
      <c r="T98" s="298" t="inlineStr">
        <is>
          <t>Орш. А-532</t>
        </is>
      </c>
      <c r="U98" s="298" t="inlineStr">
        <is>
          <t>вторник или среда и пятница с 13-00;</t>
        </is>
      </c>
    </row>
    <row r="99" ht="15.75" customHeight="1" s="2">
      <c r="E99" s="305" t="n">
        <v>1</v>
      </c>
      <c r="G99" s="296" t="n">
        <v>1</v>
      </c>
      <c r="H99" s="297" t="n">
        <v>1</v>
      </c>
      <c r="I99" s="133">
        <f>G99-H99</f>
        <v/>
      </c>
      <c r="J99" s="298" t="inlineStr">
        <is>
          <t>Разработка ресурсосберегающих технологий диффузионной сварки</t>
        </is>
      </c>
      <c r="K99" s="298" t="inlineStr">
        <is>
          <t>Консультация</t>
        </is>
      </c>
      <c r="L99" s="298" t="inlineStr">
        <is>
          <t>Т11О-103М-21</t>
        </is>
      </c>
      <c r="M99" s="297" t="n">
        <v>1</v>
      </c>
      <c r="N99" s="298" t="inlineStr">
        <is>
          <t>06203</t>
        </is>
      </c>
      <c r="O99" s="299" t="n"/>
      <c r="P99" s="298" t="inlineStr">
        <is>
          <t xml:space="preserve">82090     </t>
        </is>
      </c>
      <c r="Q99" s="298" t="inlineStr">
        <is>
          <t xml:space="preserve">Барабанова Ольга Алексеевна </t>
        </is>
      </c>
      <c r="R99" s="298" t="n"/>
      <c r="S99" s="298" t="inlineStr">
        <is>
          <t>Да</t>
        </is>
      </c>
      <c r="T99" s="298" t="n"/>
      <c r="U99" s="298" t="n"/>
    </row>
    <row r="100" ht="15.75" customHeight="1" s="2">
      <c r="E100" s="300" t="n">
        <v>12</v>
      </c>
      <c r="G100" s="306" t="n">
        <v>18</v>
      </c>
      <c r="H100" s="297" t="n">
        <v>18</v>
      </c>
      <c r="I100" s="133">
        <f>G100-H100</f>
        <v/>
      </c>
      <c r="J100" s="298" t="inlineStr">
        <is>
          <t>Документооборот в профессиональной деятельности</t>
        </is>
      </c>
      <c r="K100" s="298" t="inlineStr">
        <is>
          <t>ЛК</t>
        </is>
      </c>
      <c r="L100" s="298" t="inlineStr">
        <is>
          <t>Т11О-301Б-19, Т11О-302Б-19</t>
        </is>
      </c>
      <c r="M100" s="297" t="n">
        <v>18</v>
      </c>
      <c r="N100" s="298" t="inlineStr">
        <is>
          <t>08947</t>
        </is>
      </c>
      <c r="O100" s="297" t="n">
        <v>18</v>
      </c>
      <c r="P100" s="298" t="inlineStr">
        <is>
          <t xml:space="preserve">95790     </t>
        </is>
      </c>
      <c r="Q100" s="298" t="inlineStr">
        <is>
          <t xml:space="preserve">Шляпцева Анастасия Дмитриевна </t>
        </is>
      </c>
      <c r="R100" s="298" t="n"/>
      <c r="S100" s="298" t="inlineStr">
        <is>
          <t>Нет</t>
        </is>
      </c>
      <c r="T100" s="298" t="inlineStr">
        <is>
          <t>Орш. А-509</t>
        </is>
      </c>
      <c r="U100" s="298" t="n"/>
    </row>
    <row r="101" ht="15.75" customHeight="1" s="2">
      <c r="E101" s="300" t="n">
        <v>2</v>
      </c>
      <c r="G101" s="306" t="n">
        <v>18</v>
      </c>
      <c r="H101" s="297" t="n">
        <v>18</v>
      </c>
      <c r="I101" s="133">
        <f>G101-H101</f>
        <v/>
      </c>
      <c r="J101" s="298" t="inlineStr">
        <is>
          <t>Документооборот в профессиональной деятельности</t>
        </is>
      </c>
      <c r="K101" s="298" t="inlineStr">
        <is>
          <t>ПЗ</t>
        </is>
      </c>
      <c r="L101" s="298" t="inlineStr">
        <is>
          <t>Т11О-301Б-19</t>
        </is>
      </c>
      <c r="M101" s="297" t="n">
        <v>18</v>
      </c>
      <c r="N101" s="298" t="inlineStr">
        <is>
          <t>08947</t>
        </is>
      </c>
      <c r="O101" s="297" t="n">
        <v>18</v>
      </c>
      <c r="P101" s="298" t="inlineStr">
        <is>
          <t xml:space="preserve">95790     </t>
        </is>
      </c>
      <c r="Q101" s="298" t="inlineStr">
        <is>
          <t xml:space="preserve">Шляпцева Анастасия Дмитриевна </t>
        </is>
      </c>
      <c r="R101" s="298" t="n"/>
      <c r="S101" s="298" t="inlineStr">
        <is>
          <t>Нет</t>
        </is>
      </c>
      <c r="T101" s="298" t="inlineStr">
        <is>
          <t>Орш. А-509</t>
        </is>
      </c>
      <c r="U101" s="298" t="n"/>
    </row>
    <row r="102" ht="15.75" customHeight="1" s="2">
      <c r="E102" s="300" t="n">
        <v>6</v>
      </c>
      <c r="G102" s="306" t="n">
        <v>18</v>
      </c>
      <c r="H102" s="297" t="n">
        <v>18</v>
      </c>
      <c r="I102" s="133">
        <f>G102-H102</f>
        <v/>
      </c>
      <c r="J102" s="298" t="inlineStr">
        <is>
          <t>Документооборот в профессиональной деятельности</t>
        </is>
      </c>
      <c r="K102" s="298" t="inlineStr">
        <is>
          <t>ПЗ</t>
        </is>
      </c>
      <c r="L102" s="298" t="inlineStr">
        <is>
          <t>Т11О-302Б-19</t>
        </is>
      </c>
      <c r="M102" s="297" t="n">
        <v>18</v>
      </c>
      <c r="N102" s="298" t="inlineStr">
        <is>
          <t>08947</t>
        </is>
      </c>
      <c r="O102" s="297" t="n">
        <v>18</v>
      </c>
      <c r="P102" s="298" t="inlineStr">
        <is>
          <t xml:space="preserve">95790     </t>
        </is>
      </c>
      <c r="Q102" s="298" t="inlineStr">
        <is>
          <t xml:space="preserve">Шляпцева Анастасия Дмитриевна </t>
        </is>
      </c>
      <c r="R102" s="298" t="n"/>
      <c r="S102" s="298" t="inlineStr">
        <is>
          <t>Нет</t>
        </is>
      </c>
      <c r="T102" s="298" t="inlineStr">
        <is>
          <t>Орш. А-509</t>
        </is>
      </c>
      <c r="U102" s="298" t="n"/>
    </row>
    <row r="103" ht="15.75" customHeight="1" s="2">
      <c r="E103" s="300" t="n">
        <v>20</v>
      </c>
      <c r="G103" s="306" t="n">
        <v>3.33</v>
      </c>
      <c r="H103" s="297" t="n">
        <v>3.33</v>
      </c>
      <c r="I103" s="133">
        <f>G103-H103</f>
        <v/>
      </c>
      <c r="J103" s="298" t="inlineStr">
        <is>
          <t>Документооборот в профессиональной деятельности</t>
        </is>
      </c>
      <c r="K103" s="298" t="inlineStr">
        <is>
          <t>Зачет</t>
        </is>
      </c>
      <c r="L103" s="298" t="inlineStr">
        <is>
          <t>Т11О-301Б-19</t>
        </is>
      </c>
      <c r="M103" s="297" t="n">
        <v>3.33</v>
      </c>
      <c r="N103" s="298" t="inlineStr">
        <is>
          <t>08947</t>
        </is>
      </c>
      <c r="O103" s="299" t="n"/>
      <c r="P103" s="298" t="inlineStr">
        <is>
          <t xml:space="preserve">95790     </t>
        </is>
      </c>
      <c r="Q103" s="298" t="inlineStr">
        <is>
          <t xml:space="preserve">Шляпцева Анастасия Дмитриевна </t>
        </is>
      </c>
      <c r="R103" s="298" t="n"/>
      <c r="S103" s="298" t="inlineStr">
        <is>
          <t>Нет</t>
        </is>
      </c>
      <c r="T103" s="298" t="n"/>
      <c r="U103" s="298" t="n"/>
    </row>
    <row r="104" ht="15.75" customHeight="1" s="2">
      <c r="E104" s="300" t="n">
        <v>1</v>
      </c>
      <c r="G104" s="306" t="n">
        <v>1.67</v>
      </c>
      <c r="H104" s="297" t="n">
        <v>1.67</v>
      </c>
      <c r="I104" s="133">
        <f>G104-H104</f>
        <v/>
      </c>
      <c r="J104" s="298" t="inlineStr">
        <is>
          <t>Документооборот в профессиональной деятельности</t>
        </is>
      </c>
      <c r="K104" s="298" t="inlineStr">
        <is>
          <t>Зачет</t>
        </is>
      </c>
      <c r="L104" s="298" t="inlineStr">
        <is>
          <t>Т11О-301Б-19</t>
        </is>
      </c>
      <c r="M104" s="297" t="n">
        <v>1.67</v>
      </c>
      <c r="N104" s="298" t="inlineStr">
        <is>
          <t>08947</t>
        </is>
      </c>
      <c r="O104" s="299" t="n"/>
      <c r="P104" s="298" t="inlineStr">
        <is>
          <t xml:space="preserve">93685     </t>
        </is>
      </c>
      <c r="Q104" s="298" t="inlineStr">
        <is>
          <t xml:space="preserve">Банишев Александр Федорович </t>
        </is>
      </c>
      <c r="R104" s="298" t="inlineStr">
        <is>
          <t>профессор</t>
        </is>
      </c>
      <c r="S104" s="298" t="inlineStr">
        <is>
          <t>Да</t>
        </is>
      </c>
      <c r="T104" s="298" t="n"/>
      <c r="U104" s="298" t="n"/>
    </row>
    <row r="105" ht="15.75" customHeight="1" s="2">
      <c r="E105" s="300" t="n">
        <v>18</v>
      </c>
      <c r="G105" s="306" t="n">
        <v>6</v>
      </c>
      <c r="H105" s="297" t="n">
        <v>6</v>
      </c>
      <c r="I105" s="133">
        <f>G105-H105</f>
        <v/>
      </c>
      <c r="J105" s="298" t="inlineStr">
        <is>
          <t>Документооборот в профессиональной деятельности</t>
        </is>
      </c>
      <c r="K105" s="298" t="inlineStr">
        <is>
          <t>Зачет</t>
        </is>
      </c>
      <c r="L105" s="298" t="inlineStr">
        <is>
          <t>Т11О-302Б-19</t>
        </is>
      </c>
      <c r="M105" s="297" t="n">
        <v>6</v>
      </c>
      <c r="N105" s="298" t="inlineStr">
        <is>
          <t>08947</t>
        </is>
      </c>
      <c r="O105" s="299" t="n"/>
      <c r="P105" s="298" t="inlineStr">
        <is>
          <t xml:space="preserve">95790     </t>
        </is>
      </c>
      <c r="Q105" s="298" t="inlineStr">
        <is>
          <t xml:space="preserve">Шляпцева Анастасия Дмитриевна </t>
        </is>
      </c>
      <c r="R105" s="298" t="n"/>
      <c r="S105" s="298" t="inlineStr">
        <is>
          <t>Нет</t>
        </is>
      </c>
      <c r="T105" s="298" t="n"/>
      <c r="U105" s="298" t="n"/>
    </row>
    <row r="106" ht="15.75" customHeight="1" s="2">
      <c r="E106" s="300" t="n">
        <v>18</v>
      </c>
      <c r="G106" s="306" t="n">
        <v>2</v>
      </c>
      <c r="H106" s="297" t="n">
        <v>2</v>
      </c>
      <c r="I106" s="133">
        <f>G106-H106</f>
        <v/>
      </c>
      <c r="J106" s="298" t="inlineStr">
        <is>
          <t>Документооборот в профессиональной деятельности</t>
        </is>
      </c>
      <c r="K106" s="298" t="inlineStr">
        <is>
          <t>Зачет</t>
        </is>
      </c>
      <c r="L106" s="298" t="inlineStr">
        <is>
          <t>Т11О-302Б-19</t>
        </is>
      </c>
      <c r="M106" s="297" t="n">
        <v>2</v>
      </c>
      <c r="N106" s="298" t="inlineStr">
        <is>
          <t>08947</t>
        </is>
      </c>
      <c r="O106" s="299" t="n"/>
      <c r="P106" s="298" t="inlineStr">
        <is>
          <t xml:space="preserve">93685     </t>
        </is>
      </c>
      <c r="Q106" s="298" t="inlineStr">
        <is>
          <t xml:space="preserve">Банишев Александр Федорович </t>
        </is>
      </c>
      <c r="R106" s="298" t="inlineStr">
        <is>
          <t>профессор</t>
        </is>
      </c>
      <c r="S106" s="298" t="inlineStr">
        <is>
          <t>Да</t>
        </is>
      </c>
      <c r="T106" s="298" t="n"/>
      <c r="U106" s="298" t="n"/>
    </row>
    <row r="107" ht="15.75" customHeight="1" s="2">
      <c r="E107" s="300" t="n">
        <v>18</v>
      </c>
      <c r="G107" s="306" t="n">
        <v>1</v>
      </c>
      <c r="H107" s="297" t="n">
        <v>1</v>
      </c>
      <c r="I107" s="133">
        <f>G107-H107</f>
        <v/>
      </c>
      <c r="J107" s="298" t="inlineStr">
        <is>
          <t>Документооборот в профессиональной деятельности</t>
        </is>
      </c>
      <c r="K107" s="298" t="inlineStr">
        <is>
          <t>Консультация</t>
        </is>
      </c>
      <c r="L107" s="298" t="inlineStr">
        <is>
          <t>Т11О-301Б-19</t>
        </is>
      </c>
      <c r="M107" s="297" t="n">
        <v>1</v>
      </c>
      <c r="N107" s="298" t="inlineStr">
        <is>
          <t>08947</t>
        </is>
      </c>
      <c r="O107" s="299" t="n"/>
      <c r="P107" s="298" t="inlineStr">
        <is>
          <t xml:space="preserve">95790     </t>
        </is>
      </c>
      <c r="Q107" s="298" t="inlineStr">
        <is>
          <t xml:space="preserve">Шляпцева Анастасия Дмитриевна </t>
        </is>
      </c>
      <c r="R107" s="298" t="n"/>
      <c r="S107" s="298" t="inlineStr">
        <is>
          <t>Нет</t>
        </is>
      </c>
      <c r="T107" s="298" t="n"/>
      <c r="U107" s="298" t="n"/>
    </row>
    <row r="108" ht="15.75" customHeight="1" s="2">
      <c r="E108" s="295" t="n">
        <v>3</v>
      </c>
      <c r="G108" s="306" t="n">
        <v>1</v>
      </c>
      <c r="H108" s="297" t="n">
        <v>1</v>
      </c>
      <c r="I108" s="133">
        <f>G108-H108</f>
        <v/>
      </c>
      <c r="J108" s="298" t="inlineStr">
        <is>
          <t>Документооборот в профессиональной деятельности</t>
        </is>
      </c>
      <c r="K108" s="298" t="inlineStr">
        <is>
          <t>Консультация</t>
        </is>
      </c>
      <c r="L108" s="298" t="inlineStr">
        <is>
          <t>Т11О-302Б-19</t>
        </is>
      </c>
      <c r="M108" s="297" t="n">
        <v>1</v>
      </c>
      <c r="N108" s="298" t="inlineStr">
        <is>
          <t>08947</t>
        </is>
      </c>
      <c r="O108" s="299" t="n"/>
      <c r="P108" s="298" t="inlineStr">
        <is>
          <t xml:space="preserve">95790     </t>
        </is>
      </c>
      <c r="Q108" s="298" t="inlineStr">
        <is>
          <t xml:space="preserve">Шляпцева Анастасия Дмитриевна </t>
        </is>
      </c>
      <c r="R108" s="298" t="n"/>
      <c r="S108" s="298" t="inlineStr">
        <is>
          <t>Нет</t>
        </is>
      </c>
      <c r="T108" s="298" t="n"/>
      <c r="U108" s="298" t="n"/>
    </row>
    <row r="109" ht="15.75" customHeight="1" s="2">
      <c r="E109" s="300" t="n">
        <v>2</v>
      </c>
      <c r="G109" s="296" t="n">
        <v>18</v>
      </c>
      <c r="H109" s="297" t="n">
        <v>18</v>
      </c>
      <c r="I109" s="133">
        <f>G109-H109</f>
        <v/>
      </c>
      <c r="J109" s="298" t="inlineStr">
        <is>
          <t>Моделирование и оптимизация технологических процессов</t>
        </is>
      </c>
      <c r="K109" s="298" t="inlineStr">
        <is>
          <t>ЛК</t>
        </is>
      </c>
      <c r="L109" s="298" t="inlineStr">
        <is>
          <t>Т11О-201М-20</t>
        </is>
      </c>
      <c r="M109" s="297" t="n">
        <v>18</v>
      </c>
      <c r="N109" s="298" t="inlineStr">
        <is>
          <t>04489</t>
        </is>
      </c>
      <c r="O109" s="297" t="n">
        <v>18</v>
      </c>
      <c r="P109" s="298" t="inlineStr">
        <is>
          <t xml:space="preserve">81722     </t>
        </is>
      </c>
      <c r="Q109" s="298" t="inlineStr">
        <is>
          <t xml:space="preserve">Шленский Алексей Геннадьевич </t>
        </is>
      </c>
      <c r="R109" s="298" t="n"/>
      <c r="S109" s="298" t="inlineStr">
        <is>
          <t>Нет</t>
        </is>
      </c>
      <c r="T109" s="298" t="inlineStr">
        <is>
          <t>Орш. А-523</t>
        </is>
      </c>
      <c r="U109" s="298" t="inlineStr">
        <is>
          <t>ЛК 523А,318А, 319А (проектор). Практика и лабораторные - 525А,  521А (522А). Кроме субботы.</t>
        </is>
      </c>
    </row>
    <row r="110" ht="15.75" customHeight="1" s="2">
      <c r="E110" s="300" t="n">
        <v>6</v>
      </c>
      <c r="G110" s="296" t="n">
        <v>18</v>
      </c>
      <c r="H110" s="297" t="n">
        <v>18</v>
      </c>
      <c r="I110" s="133">
        <f>G110-H110</f>
        <v/>
      </c>
      <c r="J110" s="298" t="inlineStr">
        <is>
          <t>Моделирование и оптимизация технологических процессов</t>
        </is>
      </c>
      <c r="K110" s="298" t="inlineStr">
        <is>
          <t>КР</t>
        </is>
      </c>
      <c r="L110" s="298" t="inlineStr">
        <is>
          <t>Т11О-201М-20</t>
        </is>
      </c>
      <c r="M110" s="297" t="n">
        <v>18</v>
      </c>
      <c r="N110" s="298" t="inlineStr">
        <is>
          <t>04489</t>
        </is>
      </c>
      <c r="O110" s="299" t="n"/>
      <c r="P110" s="298" t="inlineStr">
        <is>
          <t xml:space="preserve">81722     </t>
        </is>
      </c>
      <c r="Q110" s="298" t="inlineStr">
        <is>
          <t xml:space="preserve">Шленский Алексей Геннадьевич </t>
        </is>
      </c>
      <c r="R110" s="298" t="n"/>
      <c r="S110" s="298" t="inlineStr">
        <is>
          <t>Нет</t>
        </is>
      </c>
      <c r="T110" s="298" t="n"/>
      <c r="U110" s="298" t="n"/>
    </row>
    <row r="111" ht="15.75" customHeight="1" s="2">
      <c r="E111" s="300" t="n">
        <v>2</v>
      </c>
      <c r="G111" s="296" t="n">
        <v>2</v>
      </c>
      <c r="H111" s="297" t="n">
        <v>2</v>
      </c>
      <c r="I111" s="133">
        <f>G111-H111</f>
        <v/>
      </c>
      <c r="J111" s="298" t="inlineStr">
        <is>
          <t>Моделирование и оптимизация технологических процессов</t>
        </is>
      </c>
      <c r="K111" s="298" t="inlineStr">
        <is>
          <t>Зачет с оценкой</t>
        </is>
      </c>
      <c r="L111" s="298" t="inlineStr">
        <is>
          <t>Т11О-201М-20</t>
        </is>
      </c>
      <c r="M111" s="297" t="n">
        <v>2</v>
      </c>
      <c r="N111" s="298" t="inlineStr">
        <is>
          <t>04489</t>
        </is>
      </c>
      <c r="O111" s="299" t="n"/>
      <c r="P111" s="298" t="inlineStr">
        <is>
          <t xml:space="preserve">81722     </t>
        </is>
      </c>
      <c r="Q111" s="298" t="inlineStr">
        <is>
          <t xml:space="preserve">Шленский Алексей Геннадьевич </t>
        </is>
      </c>
      <c r="R111" s="298" t="n"/>
      <c r="S111" s="298" t="inlineStr">
        <is>
          <t>Нет</t>
        </is>
      </c>
      <c r="T111" s="298" t="n"/>
      <c r="U111" s="298" t="n"/>
    </row>
    <row r="112" ht="15.75" customHeight="1" s="2">
      <c r="E112" s="300" t="n">
        <v>1</v>
      </c>
      <c r="G112" s="296" t="n">
        <v>62</v>
      </c>
      <c r="H112" s="297" t="n">
        <v>62</v>
      </c>
      <c r="I112" s="133">
        <f>G112-H112</f>
        <v/>
      </c>
      <c r="J112" s="298" t="inlineStr">
        <is>
          <t>Моделирование и оптимизация технологических процессов</t>
        </is>
      </c>
      <c r="K112" s="298" t="inlineStr">
        <is>
          <t>ПЗ</t>
        </is>
      </c>
      <c r="L112" s="298" t="inlineStr">
        <is>
          <t>Т11О-201М-20</t>
        </is>
      </c>
      <c r="M112" s="297" t="n">
        <v>62</v>
      </c>
      <c r="N112" s="298" t="inlineStr">
        <is>
          <t>04489</t>
        </is>
      </c>
      <c r="O112" s="297" t="n">
        <v>62</v>
      </c>
      <c r="P112" s="298" t="inlineStr">
        <is>
          <t xml:space="preserve">81722     </t>
        </is>
      </c>
      <c r="Q112" s="298" t="inlineStr">
        <is>
          <t xml:space="preserve">Шленский Алексей Геннадьевич </t>
        </is>
      </c>
      <c r="R112" s="298" t="n"/>
      <c r="S112" s="298" t="inlineStr">
        <is>
          <t>Нет</t>
        </is>
      </c>
      <c r="T112" s="298" t="inlineStr">
        <is>
          <t>Орш. А-525</t>
        </is>
      </c>
      <c r="U112" s="298" t="inlineStr">
        <is>
          <t>ЛК 523А,318А, 319А (проектор). Практика и лабораторные - 525А,  521А (522А). Кроме субботы.</t>
        </is>
      </c>
    </row>
    <row r="113" ht="15.75" customHeight="1" s="2">
      <c r="E113" s="300" t="n">
        <v>1</v>
      </c>
      <c r="G113" s="296" t="n">
        <v>1</v>
      </c>
      <c r="H113" s="297" t="n">
        <v>1</v>
      </c>
      <c r="I113" s="133">
        <f>G113-H113</f>
        <v/>
      </c>
      <c r="J113" s="298" t="inlineStr">
        <is>
          <t>Моделирование и оптимизация технологических процессов</t>
        </is>
      </c>
      <c r="K113" s="298" t="inlineStr">
        <is>
          <t>Консультация</t>
        </is>
      </c>
      <c r="L113" s="298" t="inlineStr">
        <is>
          <t>Т11О-201М-20</t>
        </is>
      </c>
      <c r="M113" s="297" t="n">
        <v>1</v>
      </c>
      <c r="N113" s="298" t="inlineStr">
        <is>
          <t>04489</t>
        </is>
      </c>
      <c r="O113" s="299" t="n"/>
      <c r="P113" s="298" t="inlineStr">
        <is>
          <t xml:space="preserve">81722     </t>
        </is>
      </c>
      <c r="Q113" s="298" t="inlineStr">
        <is>
          <t xml:space="preserve">Шленский Алексей Геннадьевич </t>
        </is>
      </c>
      <c r="R113" s="298" t="n"/>
      <c r="S113" s="298" t="inlineStr">
        <is>
          <t>Нет</t>
        </is>
      </c>
      <c r="T113" s="298" t="n"/>
      <c r="U113" s="298" t="n"/>
    </row>
    <row r="114" ht="15.75" customHeight="1" s="2">
      <c r="E114" s="300" t="n">
        <v>18</v>
      </c>
      <c r="G114" s="296" t="n">
        <v>12</v>
      </c>
      <c r="H114" s="297" t="n">
        <v>12</v>
      </c>
      <c r="I114" s="133">
        <f>G114-H114</f>
        <v/>
      </c>
      <c r="J114" s="298" t="inlineStr">
        <is>
          <t>Физико-математическое моделирование процессов обработки металлов давлением</t>
        </is>
      </c>
      <c r="K114" s="298" t="inlineStr">
        <is>
          <t>ЛК</t>
        </is>
      </c>
      <c r="L114" s="298" t="inlineStr">
        <is>
          <t>Т11О-201М-20</t>
        </is>
      </c>
      <c r="M114" s="297" t="n">
        <v>12</v>
      </c>
      <c r="N114" s="298" t="inlineStr">
        <is>
          <t>04489</t>
        </is>
      </c>
      <c r="O114" s="297" t="n">
        <v>12</v>
      </c>
      <c r="P114" s="298" t="inlineStr">
        <is>
          <t xml:space="preserve">81732     </t>
        </is>
      </c>
      <c r="Q114" s="298" t="inlineStr">
        <is>
          <t xml:space="preserve">Петров Анатолий Павлович </t>
        </is>
      </c>
      <c r="R114" s="298" t="inlineStr">
        <is>
          <t>профессор</t>
        </is>
      </c>
      <c r="S114" s="298" t="inlineStr">
        <is>
          <t>Да</t>
        </is>
      </c>
      <c r="T114" s="298" t="inlineStr">
        <is>
          <t>Орш. А-525</t>
        </is>
      </c>
      <c r="U114" s="298" t="inlineStr">
        <is>
          <t>кроме среды и первой пары понедельника</t>
        </is>
      </c>
    </row>
    <row r="115" ht="15.75" customHeight="1" s="2">
      <c r="E115" s="295" t="n">
        <v>18</v>
      </c>
      <c r="G115" s="296" t="n">
        <v>42</v>
      </c>
      <c r="H115" s="297" t="n">
        <v>42</v>
      </c>
      <c r="I115" s="133">
        <f>G115-H115</f>
        <v/>
      </c>
      <c r="J115" s="298" t="inlineStr">
        <is>
          <t>Физико-математическое моделирование процессов обработки металлов давлением</t>
        </is>
      </c>
      <c r="K115" s="298" t="inlineStr">
        <is>
          <t>ПЗ</t>
        </is>
      </c>
      <c r="L115" s="298" t="inlineStr">
        <is>
          <t>Т11О-201М-20</t>
        </is>
      </c>
      <c r="M115" s="297" t="n">
        <v>42</v>
      </c>
      <c r="N115" s="298" t="inlineStr">
        <is>
          <t>04489</t>
        </is>
      </c>
      <c r="O115" s="297" t="n">
        <v>42</v>
      </c>
      <c r="P115" s="298" t="inlineStr">
        <is>
          <t xml:space="preserve">81732     </t>
        </is>
      </c>
      <c r="Q115" s="298" t="inlineStr">
        <is>
          <t xml:space="preserve">Петров Анатолий Павлович </t>
        </is>
      </c>
      <c r="R115" s="298" t="inlineStr">
        <is>
          <t>профессор</t>
        </is>
      </c>
      <c r="S115" s="298" t="inlineStr">
        <is>
          <t>Да</t>
        </is>
      </c>
      <c r="T115" s="298" t="inlineStr">
        <is>
          <t>Орш. А-525</t>
        </is>
      </c>
      <c r="U115" s="298" t="inlineStr">
        <is>
          <t>кроме среды и первой пары понедельника</t>
        </is>
      </c>
    </row>
    <row r="116" ht="15.75" customHeight="1" s="2">
      <c r="E116" s="300" t="n">
        <v>2</v>
      </c>
      <c r="G116" s="296" t="n">
        <v>2.25</v>
      </c>
      <c r="H116" s="297" t="n">
        <v>2.25</v>
      </c>
      <c r="I116" s="133">
        <f>G116-H116</f>
        <v/>
      </c>
      <c r="J116" s="298" t="inlineStr">
        <is>
          <t>Физико-математическое моделирование процессов обработки металлов давлением</t>
        </is>
      </c>
      <c r="K116" s="298" t="inlineStr">
        <is>
          <t>Экзамен</t>
        </is>
      </c>
      <c r="L116" s="298" t="inlineStr">
        <is>
          <t>Т11О-201М-20</t>
        </is>
      </c>
      <c r="M116" s="297" t="n">
        <v>2.25</v>
      </c>
      <c r="N116" s="298" t="inlineStr">
        <is>
          <t>04489</t>
        </is>
      </c>
      <c r="O116" s="299" t="n"/>
      <c r="P116" s="298" t="inlineStr">
        <is>
          <t xml:space="preserve">81732     </t>
        </is>
      </c>
      <c r="Q116" s="298" t="inlineStr">
        <is>
          <t xml:space="preserve">Петров Анатолий Павлович </t>
        </is>
      </c>
      <c r="R116" s="298" t="inlineStr">
        <is>
          <t>профессор</t>
        </is>
      </c>
      <c r="S116" s="298" t="inlineStr">
        <is>
          <t>Да</t>
        </is>
      </c>
      <c r="T116" s="298" t="n"/>
      <c r="U116" s="298" t="n"/>
    </row>
    <row r="117" ht="15.75" customHeight="1" s="2">
      <c r="E117" s="300" t="n">
        <v>62</v>
      </c>
      <c r="G117" s="296" t="n">
        <v>0.75</v>
      </c>
      <c r="H117" s="297" t="n">
        <v>0.75</v>
      </c>
      <c r="I117" s="133">
        <f>G117-H117</f>
        <v/>
      </c>
      <c r="J117" s="298" t="inlineStr">
        <is>
          <t>Физико-математическое моделирование процессов обработки металлов давлением</t>
        </is>
      </c>
      <c r="K117" s="298" t="inlineStr">
        <is>
          <t>Экзамен</t>
        </is>
      </c>
      <c r="L117" s="298" t="inlineStr">
        <is>
          <t>Т11О-201М-20</t>
        </is>
      </c>
      <c r="M117" s="297" t="n">
        <v>0.75</v>
      </c>
      <c r="N117" s="298" t="inlineStr">
        <is>
          <t>04489</t>
        </is>
      </c>
      <c r="O117" s="299" t="n"/>
      <c r="P117" s="298" t="inlineStr">
        <is>
          <t xml:space="preserve">93685     </t>
        </is>
      </c>
      <c r="Q117" s="298" t="inlineStr">
        <is>
          <t xml:space="preserve">Банишев Александр Федорович </t>
        </is>
      </c>
      <c r="R117" s="298" t="inlineStr">
        <is>
          <t>профессор</t>
        </is>
      </c>
      <c r="S117" s="298" t="inlineStr">
        <is>
          <t>Да</t>
        </is>
      </c>
      <c r="T117" s="298" t="n"/>
      <c r="U117" s="298" t="n"/>
    </row>
    <row r="118" ht="15.75" customHeight="1" s="2">
      <c r="E118" s="300" t="n">
        <v>1</v>
      </c>
      <c r="G118" s="296" t="n">
        <v>3</v>
      </c>
      <c r="H118" s="297" t="n">
        <v>3</v>
      </c>
      <c r="I118" s="133">
        <f>G118-H118</f>
        <v/>
      </c>
      <c r="J118" s="298" t="inlineStr">
        <is>
          <t>Физико-математическое моделирование процессов обработки металлов давлением</t>
        </is>
      </c>
      <c r="K118" s="298" t="inlineStr">
        <is>
          <t>Консультация</t>
        </is>
      </c>
      <c r="L118" s="298" t="inlineStr">
        <is>
          <t>Т11О-201М-20</t>
        </is>
      </c>
      <c r="M118" s="297" t="n">
        <v>3</v>
      </c>
      <c r="N118" s="298" t="inlineStr">
        <is>
          <t>04489</t>
        </is>
      </c>
      <c r="O118" s="299" t="n"/>
      <c r="P118" s="298" t="inlineStr">
        <is>
          <t xml:space="preserve">81732     </t>
        </is>
      </c>
      <c r="Q118" s="298" t="inlineStr">
        <is>
          <t xml:space="preserve">Петров Анатолий Павлович </t>
        </is>
      </c>
      <c r="R118" s="298" t="inlineStr">
        <is>
          <t>профессор</t>
        </is>
      </c>
      <c r="S118" s="298" t="inlineStr">
        <is>
          <t>Да</t>
        </is>
      </c>
      <c r="T118" s="298" t="n"/>
      <c r="U118" s="298" t="n"/>
    </row>
    <row r="119" ht="15.75" customHeight="1" s="2">
      <c r="E119" s="300" t="n">
        <v>12</v>
      </c>
      <c r="G119" s="296" t="n">
        <v>18</v>
      </c>
      <c r="H119" s="297" t="n">
        <v>18</v>
      </c>
      <c r="I119" s="133">
        <f>G119-H119</f>
        <v/>
      </c>
      <c r="J119" s="298" t="inlineStr">
        <is>
          <t>Физика и техника высоких давлений</t>
        </is>
      </c>
      <c r="K119" s="298" t="inlineStr">
        <is>
          <t>ЛК</t>
        </is>
      </c>
      <c r="L119" s="298" t="inlineStr">
        <is>
          <t>Т11О-201М-20</t>
        </is>
      </c>
      <c r="M119" s="297" t="n">
        <v>18</v>
      </c>
      <c r="N119" s="298" t="inlineStr">
        <is>
          <t>04489</t>
        </is>
      </c>
      <c r="O119" s="297" t="n">
        <v>18</v>
      </c>
      <c r="P119" s="298" t="inlineStr">
        <is>
          <t xml:space="preserve">81730     </t>
        </is>
      </c>
      <c r="Q119" s="298" t="inlineStr">
        <is>
          <t>Федоров Анатолий Александрович</t>
        </is>
      </c>
      <c r="R119" s="298" t="n"/>
      <c r="S119" s="298" t="inlineStr">
        <is>
          <t>Да</t>
        </is>
      </c>
      <c r="T119" s="298" t="n"/>
      <c r="U119" s="298" t="n"/>
    </row>
    <row r="120" ht="15.75" customHeight="1" s="2">
      <c r="E120" s="300" t="n">
        <v>42</v>
      </c>
      <c r="G120" s="296" t="n">
        <v>36</v>
      </c>
      <c r="H120" s="297" t="n">
        <v>36</v>
      </c>
      <c r="I120" s="133">
        <f>G120-H120</f>
        <v/>
      </c>
      <c r="J120" s="298" t="inlineStr">
        <is>
          <t>Физика и техника высоких давлений</t>
        </is>
      </c>
      <c r="K120" s="298" t="inlineStr">
        <is>
          <t>ПЗ</t>
        </is>
      </c>
      <c r="L120" s="298" t="inlineStr">
        <is>
          <t>Т11О-201М-20</t>
        </is>
      </c>
      <c r="M120" s="297" t="n">
        <v>36</v>
      </c>
      <c r="N120" s="298" t="inlineStr">
        <is>
          <t>04489</t>
        </is>
      </c>
      <c r="O120" s="297" t="n">
        <v>36</v>
      </c>
      <c r="P120" s="298" t="inlineStr">
        <is>
          <t xml:space="preserve">81730     </t>
        </is>
      </c>
      <c r="Q120" s="298" t="inlineStr">
        <is>
          <t>Федоров Анатолий Александрович</t>
        </is>
      </c>
      <c r="R120" s="298" t="n"/>
      <c r="S120" s="298" t="inlineStr">
        <is>
          <t>Да</t>
        </is>
      </c>
      <c r="T120" s="298" t="n"/>
      <c r="U120" s="298" t="n"/>
    </row>
    <row r="121" ht="15.75" customHeight="1" s="2">
      <c r="E121" s="300" t="n">
        <v>3</v>
      </c>
      <c r="G121" s="296" t="n">
        <v>2.25</v>
      </c>
      <c r="H121" s="297" t="n">
        <v>2.25</v>
      </c>
      <c r="I121" s="133">
        <f>G121-H121</f>
        <v/>
      </c>
      <c r="J121" s="298" t="inlineStr">
        <is>
          <t>Физика и техника высоких давлений</t>
        </is>
      </c>
      <c r="K121" s="298" t="inlineStr">
        <is>
          <t>Экзамен</t>
        </is>
      </c>
      <c r="L121" s="298" t="inlineStr">
        <is>
          <t>Т11О-201М-20</t>
        </is>
      </c>
      <c r="M121" s="297" t="n">
        <v>2.25</v>
      </c>
      <c r="N121" s="298" t="inlineStr">
        <is>
          <t>04489</t>
        </is>
      </c>
      <c r="O121" s="299" t="n"/>
      <c r="P121" s="298" t="inlineStr">
        <is>
          <t xml:space="preserve">81730     </t>
        </is>
      </c>
      <c r="Q121" s="298" t="inlineStr">
        <is>
          <t>Федоров Анатолий Александрович</t>
        </is>
      </c>
      <c r="R121" s="298" t="n"/>
      <c r="S121" s="298" t="inlineStr">
        <is>
          <t>Да</t>
        </is>
      </c>
      <c r="T121" s="298" t="n"/>
      <c r="U121" s="298" t="n"/>
    </row>
    <row r="122" ht="15.75" customHeight="1" s="2">
      <c r="E122" s="300" t="n">
        <v>1</v>
      </c>
      <c r="G122" s="296" t="n">
        <v>0.75</v>
      </c>
      <c r="H122" s="297" t="n">
        <v>0.75</v>
      </c>
      <c r="I122" s="133">
        <f>G122-H122</f>
        <v/>
      </c>
      <c r="J122" s="298" t="inlineStr">
        <is>
          <t>Физика и техника высоких давлений</t>
        </is>
      </c>
      <c r="K122" s="298" t="inlineStr">
        <is>
          <t>Экзамен</t>
        </is>
      </c>
      <c r="L122" s="298" t="inlineStr">
        <is>
          <t>Т11О-201М-20</t>
        </is>
      </c>
      <c r="M122" s="297" t="n">
        <v>0.75</v>
      </c>
      <c r="N122" s="298" t="inlineStr">
        <is>
          <t>04489</t>
        </is>
      </c>
      <c r="O122" s="299" t="n"/>
      <c r="P122" s="298" t="inlineStr">
        <is>
          <t xml:space="preserve">93685     </t>
        </is>
      </c>
      <c r="Q122" s="298" t="inlineStr">
        <is>
          <t xml:space="preserve">Банишев Александр Федорович </t>
        </is>
      </c>
      <c r="R122" s="298" t="inlineStr">
        <is>
          <t>профессор</t>
        </is>
      </c>
      <c r="S122" s="298" t="inlineStr">
        <is>
          <t>Да</t>
        </is>
      </c>
      <c r="T122" s="298" t="n"/>
      <c r="U122" s="298" t="n"/>
    </row>
    <row r="123" ht="15.75" customHeight="1" s="2">
      <c r="E123" s="295" t="n">
        <v>2</v>
      </c>
      <c r="G123" s="296" t="n">
        <v>3</v>
      </c>
      <c r="H123" s="297" t="n">
        <v>3</v>
      </c>
      <c r="I123" s="133">
        <f>G123-H123</f>
        <v/>
      </c>
      <c r="J123" s="298" t="inlineStr">
        <is>
          <t>Физика и техника высоких давлений</t>
        </is>
      </c>
      <c r="K123" s="298" t="inlineStr">
        <is>
          <t>Консультация</t>
        </is>
      </c>
      <c r="L123" s="298" t="inlineStr">
        <is>
          <t>Т11О-201М-20</t>
        </is>
      </c>
      <c r="M123" s="297" t="n">
        <v>3</v>
      </c>
      <c r="N123" s="298" t="inlineStr">
        <is>
          <t>04489</t>
        </is>
      </c>
      <c r="O123" s="299" t="n"/>
      <c r="P123" s="298" t="inlineStr">
        <is>
          <t xml:space="preserve">81730     </t>
        </is>
      </c>
      <c r="Q123" s="298" t="inlineStr">
        <is>
          <t>Федоров Анатолий Александрович</t>
        </is>
      </c>
      <c r="R123" s="298" t="n"/>
      <c r="S123" s="298" t="inlineStr">
        <is>
          <t>Да</t>
        </is>
      </c>
      <c r="T123" s="298" t="n"/>
      <c r="U123" s="298" t="n"/>
    </row>
    <row r="124" ht="15.75" customHeight="1" s="2">
      <c r="E124" s="300" t="n">
        <v>18</v>
      </c>
      <c r="G124" s="296" t="n">
        <v>24</v>
      </c>
      <c r="H124" s="297" t="n">
        <v>24</v>
      </c>
      <c r="I124" s="133">
        <f>G124-H124</f>
        <v/>
      </c>
      <c r="J124" s="298" t="inlineStr">
        <is>
          <t>Основы автоматизации технологических процессов</t>
        </is>
      </c>
      <c r="K124" s="298" t="inlineStr">
        <is>
          <t>ЛК</t>
        </is>
      </c>
      <c r="L124" s="298" t="inlineStr">
        <is>
          <t>Т11О-301Б-19, Т11О-302Б-19, Т11О-304Б-19, Т11О-305Б-19, Т11О-306Б-19, Т11О-307Б-19, Т11О-308Б-19</t>
        </is>
      </c>
      <c r="M124" s="297" t="n">
        <v>24</v>
      </c>
      <c r="N124" s="298" t="inlineStr">
        <is>
          <t>12710</t>
        </is>
      </c>
      <c r="O124" s="297" t="n">
        <v>24</v>
      </c>
      <c r="P124" s="298" t="inlineStr">
        <is>
          <t xml:space="preserve">81720     </t>
        </is>
      </c>
      <c r="Q124" s="298" t="inlineStr">
        <is>
          <t xml:space="preserve">Палтиевич Андрей Романович </t>
        </is>
      </c>
      <c r="R124" s="298" t="n"/>
      <c r="S124" s="298" t="inlineStr">
        <is>
          <t>Нет</t>
        </is>
      </c>
      <c r="T124" s="298" t="inlineStr">
        <is>
          <t>Орш. А-523</t>
        </is>
      </c>
      <c r="U124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125" ht="15.75" customHeight="1" s="2">
      <c r="E125" s="300" t="n">
        <v>36</v>
      </c>
      <c r="G125" s="296" t="n">
        <v>3.33</v>
      </c>
      <c r="H125" s="297" t="n">
        <v>3.33</v>
      </c>
      <c r="I125" s="133">
        <f>G125-H125</f>
        <v/>
      </c>
      <c r="J125" s="298" t="inlineStr">
        <is>
          <t>Основы автоматизации технологических процессов</t>
        </is>
      </c>
      <c r="K125" s="298" t="inlineStr">
        <is>
          <t>Зачет с оценкой</t>
        </is>
      </c>
      <c r="L125" s="298" t="inlineStr">
        <is>
          <t>Т11О-301Б-19</t>
        </is>
      </c>
      <c r="M125" s="297" t="n">
        <v>3.33</v>
      </c>
      <c r="N125" s="298" t="inlineStr">
        <is>
          <t>12710</t>
        </is>
      </c>
      <c r="O125" s="299" t="n"/>
      <c r="P125" s="298" t="inlineStr">
        <is>
          <t xml:space="preserve">81720     </t>
        </is>
      </c>
      <c r="Q125" s="298" t="inlineStr">
        <is>
          <t xml:space="preserve">Палтиевич Андрей Романович </t>
        </is>
      </c>
      <c r="R125" s="298" t="n"/>
      <c r="S125" s="298" t="inlineStr">
        <is>
          <t>Нет</t>
        </is>
      </c>
      <c r="T125" s="298" t="n"/>
      <c r="U125" s="298" t="n"/>
    </row>
    <row r="126" ht="15.75" customHeight="1" s="2">
      <c r="E126" s="300" t="n">
        <v>3</v>
      </c>
      <c r="G126" s="296" t="n">
        <v>1.67</v>
      </c>
      <c r="H126" s="297" t="n">
        <v>1.67</v>
      </c>
      <c r="I126" s="133">
        <f>G126-H126</f>
        <v/>
      </c>
      <c r="J126" s="298" t="inlineStr">
        <is>
          <t>Основы автоматизации технологических процессов</t>
        </is>
      </c>
      <c r="K126" s="298" t="inlineStr">
        <is>
          <t>Зачет с оценкой</t>
        </is>
      </c>
      <c r="L126" s="298" t="inlineStr">
        <is>
          <t>Т11О-301Б-19</t>
        </is>
      </c>
      <c r="M126" s="297" t="n">
        <v>1.67</v>
      </c>
      <c r="N126" s="298" t="inlineStr">
        <is>
          <t>12710</t>
        </is>
      </c>
      <c r="O126" s="299" t="n"/>
      <c r="P126" s="298" t="inlineStr">
        <is>
          <t xml:space="preserve">93685     </t>
        </is>
      </c>
      <c r="Q126" s="298" t="inlineStr">
        <is>
          <t xml:space="preserve">Банишев Александр Федорович </t>
        </is>
      </c>
      <c r="R126" s="298" t="inlineStr">
        <is>
          <t>профессор</t>
        </is>
      </c>
      <c r="S126" s="298" t="inlineStr">
        <is>
          <t>Да</t>
        </is>
      </c>
      <c r="T126" s="298" t="n"/>
      <c r="U126" s="298" t="n"/>
    </row>
    <row r="127" ht="15.75" customHeight="1" s="2">
      <c r="E127" s="300" t="n">
        <v>1</v>
      </c>
      <c r="G127" s="296" t="n">
        <v>6</v>
      </c>
      <c r="H127" s="297" t="n">
        <v>6</v>
      </c>
      <c r="I127" s="133">
        <f>G127-H127</f>
        <v/>
      </c>
      <c r="J127" s="298" t="inlineStr">
        <is>
          <t>Основы автоматизации технологических процессов</t>
        </is>
      </c>
      <c r="K127" s="298" t="inlineStr">
        <is>
          <t>Зачет с оценкой</t>
        </is>
      </c>
      <c r="L127" s="298" t="inlineStr">
        <is>
          <t>Т11О-302Б-19</t>
        </is>
      </c>
      <c r="M127" s="297" t="n">
        <v>6</v>
      </c>
      <c r="N127" s="298" t="inlineStr">
        <is>
          <t>12710</t>
        </is>
      </c>
      <c r="O127" s="299" t="n"/>
      <c r="P127" s="298" t="inlineStr">
        <is>
          <t xml:space="preserve">81720     </t>
        </is>
      </c>
      <c r="Q127" s="298" t="inlineStr">
        <is>
          <t xml:space="preserve">Палтиевич Андрей Романович </t>
        </is>
      </c>
      <c r="R127" s="298" t="n"/>
      <c r="S127" s="298" t="inlineStr">
        <is>
          <t>Нет</t>
        </is>
      </c>
      <c r="T127" s="298" t="n"/>
      <c r="U127" s="298" t="n"/>
    </row>
    <row r="128" ht="15.75" customHeight="1" s="2">
      <c r="E128" s="295" t="n">
        <v>2</v>
      </c>
      <c r="G128" s="296" t="n">
        <v>2</v>
      </c>
      <c r="H128" s="297" t="n">
        <v>2</v>
      </c>
      <c r="I128" s="133">
        <f>G128-H128</f>
        <v/>
      </c>
      <c r="J128" s="298" t="inlineStr">
        <is>
          <t>Основы автоматизации технологических процессов</t>
        </is>
      </c>
      <c r="K128" s="298" t="inlineStr">
        <is>
          <t>Зачет с оценкой</t>
        </is>
      </c>
      <c r="L128" s="298" t="inlineStr">
        <is>
          <t>Т11О-302Б-19</t>
        </is>
      </c>
      <c r="M128" s="297" t="n">
        <v>2</v>
      </c>
      <c r="N128" s="298" t="inlineStr">
        <is>
          <t>12710</t>
        </is>
      </c>
      <c r="O128" s="299" t="n"/>
      <c r="P128" s="298" t="inlineStr">
        <is>
          <t xml:space="preserve">93685     </t>
        </is>
      </c>
      <c r="Q128" s="298" t="inlineStr">
        <is>
          <t xml:space="preserve">Банишев Александр Федорович </t>
        </is>
      </c>
      <c r="R128" s="298" t="inlineStr">
        <is>
          <t>профессор</t>
        </is>
      </c>
      <c r="S128" s="298" t="inlineStr">
        <is>
          <t>Да</t>
        </is>
      </c>
      <c r="T128" s="298" t="n"/>
      <c r="U128" s="298" t="n"/>
    </row>
    <row r="129" ht="15.75" customHeight="1" s="2">
      <c r="E129" s="307" t="n">
        <v>24</v>
      </c>
      <c r="G129" s="296" t="n">
        <v>8</v>
      </c>
      <c r="H129" s="297" t="n">
        <v>8</v>
      </c>
      <c r="I129" s="133">
        <f>G129-H129</f>
        <v/>
      </c>
      <c r="J129" s="298" t="inlineStr">
        <is>
          <t>Основы автоматизации технологических процессов</t>
        </is>
      </c>
      <c r="K129" s="298" t="inlineStr">
        <is>
          <t>ПЗ</t>
        </is>
      </c>
      <c r="L129" s="298" t="inlineStr">
        <is>
          <t>Т11О-304Б-19</t>
        </is>
      </c>
      <c r="M129" s="297" t="n">
        <v>8</v>
      </c>
      <c r="N129" s="298" t="inlineStr">
        <is>
          <t>12710</t>
        </is>
      </c>
      <c r="O129" s="297" t="n">
        <v>8</v>
      </c>
      <c r="P129" s="298" t="inlineStr">
        <is>
          <t xml:space="preserve">81722     </t>
        </is>
      </c>
      <c r="Q129" s="298" t="inlineStr">
        <is>
          <t xml:space="preserve">Шленский Алексей Геннадьевич </t>
        </is>
      </c>
      <c r="R129" s="298" t="n"/>
      <c r="S129" s="298" t="inlineStr">
        <is>
          <t>Нет</t>
        </is>
      </c>
      <c r="T129" s="298" t="inlineStr">
        <is>
          <t>Орш. А-525</t>
        </is>
      </c>
      <c r="U129" s="298" t="inlineStr">
        <is>
          <t>ЛК 523А,318А, 319А (проектор). Практика и лабораторные - 525А,  521А (522А). Кроме субботы.</t>
        </is>
      </c>
    </row>
    <row r="130" ht="15.75" customHeight="1" s="2">
      <c r="E130" s="308" t="n">
        <v>3</v>
      </c>
      <c r="G130" s="296" t="n">
        <v>8</v>
      </c>
      <c r="H130" s="297" t="n">
        <v>8</v>
      </c>
      <c r="I130" s="133">
        <f>G130-H130</f>
        <v/>
      </c>
      <c r="J130" s="298" t="inlineStr">
        <is>
          <t>Основы автоматизации технологических процессов</t>
        </is>
      </c>
      <c r="K130" s="298" t="inlineStr">
        <is>
          <t>ПЗ</t>
        </is>
      </c>
      <c r="L130" s="298" t="inlineStr">
        <is>
          <t>Т11О-301Б-19</t>
        </is>
      </c>
      <c r="M130" s="297" t="n">
        <v>8</v>
      </c>
      <c r="N130" s="298" t="inlineStr">
        <is>
          <t>12710</t>
        </is>
      </c>
      <c r="O130" s="297" t="n">
        <v>8</v>
      </c>
      <c r="P130" s="298" t="inlineStr">
        <is>
          <t xml:space="preserve">81722     </t>
        </is>
      </c>
      <c r="Q130" s="298" t="inlineStr">
        <is>
          <t xml:space="preserve">Шленский Алексей Геннадьевич </t>
        </is>
      </c>
      <c r="R130" s="298" t="n"/>
      <c r="S130" s="298" t="inlineStr">
        <is>
          <t>Нет</t>
        </is>
      </c>
      <c r="T130" s="298" t="inlineStr">
        <is>
          <t>Орш. А-525</t>
        </is>
      </c>
      <c r="U130" s="298" t="inlineStr">
        <is>
          <t>ЛК 523А,318А, 319А (проектор). Практика и лабораторные - 525А,  521А (522А). Кроме субботы.</t>
        </is>
      </c>
    </row>
    <row r="131" ht="15.75" customHeight="1" s="2">
      <c r="E131" s="307" t="n">
        <v>2</v>
      </c>
      <c r="G131" s="296" t="n">
        <v>8</v>
      </c>
      <c r="H131" s="297" t="n">
        <v>8</v>
      </c>
      <c r="I131" s="133">
        <f>G131-H131</f>
        <v/>
      </c>
      <c r="J131" s="298" t="inlineStr">
        <is>
          <t>Основы автоматизации технологических процессов</t>
        </is>
      </c>
      <c r="K131" s="298" t="inlineStr">
        <is>
          <t>ПЗ</t>
        </is>
      </c>
      <c r="L131" s="298" t="inlineStr">
        <is>
          <t>Т11О-302Б-19</t>
        </is>
      </c>
      <c r="M131" s="297" t="n">
        <v>8</v>
      </c>
      <c r="N131" s="298" t="inlineStr">
        <is>
          <t>12710</t>
        </is>
      </c>
      <c r="O131" s="297" t="n">
        <v>8</v>
      </c>
      <c r="P131" s="298" t="inlineStr">
        <is>
          <t xml:space="preserve">81722     </t>
        </is>
      </c>
      <c r="Q131" s="298" t="inlineStr">
        <is>
          <t xml:space="preserve">Шленский Алексей Геннадьевич </t>
        </is>
      </c>
      <c r="R131" s="298" t="n"/>
      <c r="S131" s="298" t="inlineStr">
        <is>
          <t>Нет</t>
        </is>
      </c>
      <c r="T131" s="298" t="inlineStr">
        <is>
          <t>Орш. А-525</t>
        </is>
      </c>
      <c r="U131" s="298" t="inlineStr">
        <is>
          <t>ЛК 523А,318А, 319А (проектор). Практика и лабораторные - 525А,  521А (522А). Кроме субботы.</t>
        </is>
      </c>
    </row>
    <row r="132" ht="15.75" customHeight="1" s="2">
      <c r="E132" s="307" t="n">
        <v>6</v>
      </c>
      <c r="G132" s="296" t="n">
        <v>8</v>
      </c>
      <c r="H132" s="297" t="n">
        <v>8</v>
      </c>
      <c r="I132" s="133">
        <f>G132-H132</f>
        <v/>
      </c>
      <c r="J132" s="298" t="inlineStr">
        <is>
          <t>Основы автоматизации технологических процессов</t>
        </is>
      </c>
      <c r="K132" s="298" t="inlineStr">
        <is>
          <t>ПЗ</t>
        </is>
      </c>
      <c r="L132" s="298" t="inlineStr">
        <is>
          <t>Т11О-305Б-19</t>
        </is>
      </c>
      <c r="M132" s="297" t="n">
        <v>8</v>
      </c>
      <c r="N132" s="298" t="inlineStr">
        <is>
          <t>12710</t>
        </is>
      </c>
      <c r="O132" s="297" t="n">
        <v>8</v>
      </c>
      <c r="P132" s="298" t="inlineStr">
        <is>
          <t xml:space="preserve">81722     </t>
        </is>
      </c>
      <c r="Q132" s="298" t="inlineStr">
        <is>
          <t xml:space="preserve">Шленский Алексей Геннадьевич </t>
        </is>
      </c>
      <c r="R132" s="298" t="n"/>
      <c r="S132" s="298" t="inlineStr">
        <is>
          <t>Нет</t>
        </is>
      </c>
      <c r="T132" s="298" t="inlineStr">
        <is>
          <t>Орш. А-525</t>
        </is>
      </c>
      <c r="U132" s="298" t="inlineStr">
        <is>
          <t>ЛК 523А,318А, 319А (проектор). Практика и лабораторные - 525А,  521А (522А). Кроме субботы.</t>
        </is>
      </c>
    </row>
    <row r="133" ht="15.75" customHeight="1" s="2">
      <c r="E133" s="307" t="n">
        <v>2</v>
      </c>
      <c r="G133" s="296" t="n">
        <v>8</v>
      </c>
      <c r="H133" s="297" t="n">
        <v>8</v>
      </c>
      <c r="I133" s="133">
        <f>G133-H133</f>
        <v/>
      </c>
      <c r="J133" s="298" t="inlineStr">
        <is>
          <t>Основы автоматизации технологических процессов</t>
        </is>
      </c>
      <c r="K133" s="298" t="inlineStr">
        <is>
          <t>ПЗ</t>
        </is>
      </c>
      <c r="L133" s="298" t="inlineStr">
        <is>
          <t>Т11О-306Б-19</t>
        </is>
      </c>
      <c r="M133" s="297" t="n">
        <v>8</v>
      </c>
      <c r="N133" s="298" t="inlineStr">
        <is>
          <t>12710</t>
        </is>
      </c>
      <c r="O133" s="297" t="n">
        <v>8</v>
      </c>
      <c r="P133" s="298" t="inlineStr">
        <is>
          <t xml:space="preserve">93584     </t>
        </is>
      </c>
      <c r="Q133" s="298" t="inlineStr">
        <is>
          <t xml:space="preserve">Комаров Роман Сергеевич </t>
        </is>
      </c>
      <c r="R133" s="298" t="n"/>
      <c r="S133" s="298" t="inlineStr">
        <is>
          <t>Нет</t>
        </is>
      </c>
      <c r="T133" s="298" t="inlineStr">
        <is>
          <t>Орш. А-525</t>
        </is>
      </c>
      <c r="U133" s="298" t="inlineStr">
        <is>
          <t>ПЗ - 521,522,525А (осенний и весенний семестр) - с 18:15 (по будням), в субботу (с 9:00)</t>
        </is>
      </c>
    </row>
    <row r="134" ht="15.75" customHeight="1" s="2">
      <c r="E134" s="307" t="n">
        <v>8</v>
      </c>
      <c r="G134" s="296" t="n">
        <v>8</v>
      </c>
      <c r="H134" s="297" t="n">
        <v>8</v>
      </c>
      <c r="I134" s="133">
        <f>G134-H134</f>
        <v/>
      </c>
      <c r="J134" s="298" t="inlineStr">
        <is>
          <t>Основы автоматизации технологических процессов</t>
        </is>
      </c>
      <c r="K134" s="298" t="inlineStr">
        <is>
          <t>ПЗ</t>
        </is>
      </c>
      <c r="L134" s="298" t="inlineStr">
        <is>
          <t>Т11О-307Б-19</t>
        </is>
      </c>
      <c r="M134" s="297" t="n">
        <v>8</v>
      </c>
      <c r="N134" s="298" t="inlineStr">
        <is>
          <t>12710</t>
        </is>
      </c>
      <c r="O134" s="297" t="n">
        <v>8</v>
      </c>
      <c r="P134" s="298" t="inlineStr">
        <is>
          <t xml:space="preserve">93584     </t>
        </is>
      </c>
      <c r="Q134" s="298" t="inlineStr">
        <is>
          <t xml:space="preserve">Комаров Роман Сергеевич </t>
        </is>
      </c>
      <c r="R134" s="298" t="n"/>
      <c r="S134" s="298" t="inlineStr">
        <is>
          <t>Нет</t>
        </is>
      </c>
      <c r="T134" s="298" t="inlineStr">
        <is>
          <t>Орш. А-525</t>
        </is>
      </c>
      <c r="U134" s="298" t="inlineStr">
        <is>
          <t>ПЗ - 521,522,525А (осенний и весенний семестр) - с 18:15 (по будням), в субботу (с 9:00)</t>
        </is>
      </c>
    </row>
    <row r="135" ht="15.75" customHeight="1" s="2">
      <c r="E135" s="307" t="n">
        <v>8</v>
      </c>
      <c r="G135" s="296" t="n">
        <v>8</v>
      </c>
      <c r="H135" s="297" t="n">
        <v>8</v>
      </c>
      <c r="I135" s="133">
        <f>G135-H135</f>
        <v/>
      </c>
      <c r="J135" s="298" t="inlineStr">
        <is>
          <t>Основы автоматизации технологических процессов</t>
        </is>
      </c>
      <c r="K135" s="298" t="inlineStr">
        <is>
          <t>ПЗ</t>
        </is>
      </c>
      <c r="L135" s="298" t="inlineStr">
        <is>
          <t>Т11О-308Б-19</t>
        </is>
      </c>
      <c r="M135" s="297" t="n">
        <v>8</v>
      </c>
      <c r="N135" s="298" t="inlineStr">
        <is>
          <t>12710</t>
        </is>
      </c>
      <c r="O135" s="297" t="n">
        <v>8</v>
      </c>
      <c r="P135" s="298" t="inlineStr">
        <is>
          <t xml:space="preserve">81722     </t>
        </is>
      </c>
      <c r="Q135" s="298" t="inlineStr">
        <is>
          <t xml:space="preserve">Шленский Алексей Геннадьевич </t>
        </is>
      </c>
      <c r="R135" s="298" t="n"/>
      <c r="S135" s="298" t="inlineStr">
        <is>
          <t>Нет</t>
        </is>
      </c>
      <c r="T135" s="298" t="inlineStr">
        <is>
          <t>Орш. А-525</t>
        </is>
      </c>
      <c r="U135" s="298" t="inlineStr">
        <is>
          <t>ЛК 523А,318А, 319А (проектор). Практика и лабораторные - 525А,  521А (522А). Кроме субботы.</t>
        </is>
      </c>
    </row>
    <row r="136" ht="15.75" customHeight="1" s="2">
      <c r="E136" s="307" t="n">
        <v>8</v>
      </c>
      <c r="G136" s="296" t="n">
        <v>24</v>
      </c>
      <c r="H136" s="297" t="n">
        <v>24</v>
      </c>
      <c r="I136" s="133">
        <f>G136-H136</f>
        <v/>
      </c>
      <c r="J136" s="298" t="inlineStr">
        <is>
          <t>Основы автоматизации технологических процессов</t>
        </is>
      </c>
      <c r="K136" s="298" t="inlineStr">
        <is>
          <t>ЛР</t>
        </is>
      </c>
      <c r="L136" s="298" t="inlineStr">
        <is>
          <t>Т11О-304Б-19</t>
        </is>
      </c>
      <c r="M136" s="297" t="n">
        <v>24</v>
      </c>
      <c r="N136" s="298" t="inlineStr">
        <is>
          <t>12710</t>
        </is>
      </c>
      <c r="O136" s="297" t="n">
        <v>24</v>
      </c>
      <c r="P136" s="298" t="inlineStr">
        <is>
          <t xml:space="preserve">81722     </t>
        </is>
      </c>
      <c r="Q136" s="298" t="inlineStr">
        <is>
          <t xml:space="preserve">Шленский Алексей Геннадьевич </t>
        </is>
      </c>
      <c r="R136" s="298" t="n"/>
      <c r="S136" s="298" t="inlineStr">
        <is>
          <t>Нет</t>
        </is>
      </c>
      <c r="T136" s="298" t="inlineStr">
        <is>
          <t>Орш. А-525</t>
        </is>
      </c>
      <c r="U136" s="298" t="inlineStr">
        <is>
          <t>ЛК 523А,318А, 319А (проектор). Практика и лабораторные - 525А,  521А (522А). Кроме субботы.</t>
        </is>
      </c>
    </row>
    <row r="137" ht="15.75" customHeight="1" s="2">
      <c r="E137" s="307" t="n">
        <v>8</v>
      </c>
      <c r="G137" s="296" t="n">
        <v>24</v>
      </c>
      <c r="H137" s="297" t="n">
        <v>24</v>
      </c>
      <c r="I137" s="133">
        <f>G137-H137</f>
        <v/>
      </c>
      <c r="J137" s="298" t="inlineStr">
        <is>
          <t>Основы автоматизации технологических процессов</t>
        </is>
      </c>
      <c r="K137" s="298" t="inlineStr">
        <is>
          <t>ЛР</t>
        </is>
      </c>
      <c r="L137" s="298" t="inlineStr">
        <is>
          <t>Т11О-301Б-19</t>
        </is>
      </c>
      <c r="M137" s="297" t="n">
        <v>24</v>
      </c>
      <c r="N137" s="298" t="inlineStr">
        <is>
          <t>12710</t>
        </is>
      </c>
      <c r="O137" s="297" t="n">
        <v>24</v>
      </c>
      <c r="P137" s="298" t="inlineStr">
        <is>
          <t xml:space="preserve">81722     </t>
        </is>
      </c>
      <c r="Q137" s="298" t="inlineStr">
        <is>
          <t xml:space="preserve">Шленский Алексей Геннадьевич </t>
        </is>
      </c>
      <c r="R137" s="298" t="n"/>
      <c r="S137" s="298" t="inlineStr">
        <is>
          <t>Нет</t>
        </is>
      </c>
      <c r="T137" s="298" t="inlineStr">
        <is>
          <t>Орш. А-525</t>
        </is>
      </c>
      <c r="U137" s="298" t="inlineStr">
        <is>
          <t>ЛК 523А,318А, 319А (проектор). Практика и лабораторные - 525А,  521А (522А). Кроме субботы.</t>
        </is>
      </c>
    </row>
    <row r="138" ht="15.75" customHeight="1" s="2">
      <c r="E138" s="307" t="n">
        <v>8</v>
      </c>
      <c r="G138" s="296" t="n">
        <v>48</v>
      </c>
      <c r="H138" s="297" t="n">
        <v>48</v>
      </c>
      <c r="I138" s="133">
        <f>G138-H138</f>
        <v/>
      </c>
      <c r="J138" s="298" t="inlineStr">
        <is>
          <t>Основы автоматизации технологических процессов</t>
        </is>
      </c>
      <c r="K138" s="298" t="inlineStr">
        <is>
          <t>ЛР</t>
        </is>
      </c>
      <c r="L138" s="298" t="inlineStr">
        <is>
          <t>Т11О-302Б-19</t>
        </is>
      </c>
      <c r="M138" s="297" t="n">
        <v>48</v>
      </c>
      <c r="N138" s="298" t="inlineStr">
        <is>
          <t>12710</t>
        </is>
      </c>
      <c r="O138" s="297" t="n">
        <v>24</v>
      </c>
      <c r="P138" s="298" t="inlineStr">
        <is>
          <t xml:space="preserve">81722     </t>
        </is>
      </c>
      <c r="Q138" s="298" t="inlineStr">
        <is>
          <t xml:space="preserve">Шленский Алексей Геннадьевич </t>
        </is>
      </c>
      <c r="R138" s="298" t="n"/>
      <c r="S138" s="298" t="inlineStr">
        <is>
          <t>Нет</t>
        </is>
      </c>
      <c r="T138" s="298" t="inlineStr">
        <is>
          <t>Орш. А-525</t>
        </is>
      </c>
      <c r="U138" s="298" t="inlineStr">
        <is>
          <t>ЛК 523А,318А, 319А (проектор). Практика и лабораторные - 525А,  521А (522А). Кроме субботы.</t>
        </is>
      </c>
    </row>
    <row r="139" ht="15.75" customHeight="1" s="2">
      <c r="E139" s="307" t="n">
        <v>8</v>
      </c>
      <c r="G139" s="296" t="n">
        <v>48</v>
      </c>
      <c r="H139" s="297" t="n">
        <v>48</v>
      </c>
      <c r="I139" s="133">
        <f>G139-H139</f>
        <v/>
      </c>
      <c r="J139" s="298" t="inlineStr">
        <is>
          <t>Основы автоматизации технологических процессов</t>
        </is>
      </c>
      <c r="K139" s="298" t="inlineStr">
        <is>
          <t>ЛР</t>
        </is>
      </c>
      <c r="L139" s="298" t="inlineStr">
        <is>
          <t>Т11О-305Б-19</t>
        </is>
      </c>
      <c r="M139" s="297" t="n">
        <v>48</v>
      </c>
      <c r="N139" s="298" t="inlineStr">
        <is>
          <t>12710</t>
        </is>
      </c>
      <c r="O139" s="297" t="n">
        <v>24</v>
      </c>
      <c r="P139" s="298" t="inlineStr">
        <is>
          <t xml:space="preserve">81722     </t>
        </is>
      </c>
      <c r="Q139" s="298" t="inlineStr">
        <is>
          <t xml:space="preserve">Шленский Алексей Геннадьевич </t>
        </is>
      </c>
      <c r="R139" s="298" t="n"/>
      <c r="S139" s="298" t="inlineStr">
        <is>
          <t>Нет</t>
        </is>
      </c>
      <c r="T139" s="298" t="inlineStr">
        <is>
          <t>Орш. А-525</t>
        </is>
      </c>
      <c r="U139" s="298" t="inlineStr">
        <is>
          <t>ЛК 523А,318А, 319А (проектор). Практика и лабораторные - 525А,  521А (522А). Кроме субботы.</t>
        </is>
      </c>
    </row>
    <row r="140" ht="15.75" customHeight="1" s="2">
      <c r="E140" s="307" t="n">
        <v>8</v>
      </c>
      <c r="G140" s="296" t="n">
        <v>24</v>
      </c>
      <c r="H140" s="297" t="n">
        <v>24</v>
      </c>
      <c r="I140" s="133">
        <f>G140-H140</f>
        <v/>
      </c>
      <c r="J140" s="298" t="inlineStr">
        <is>
          <t>Основы автоматизации технологических процессов</t>
        </is>
      </c>
      <c r="K140" s="298" t="inlineStr">
        <is>
          <t>ЛР</t>
        </is>
      </c>
      <c r="L140" s="298" t="inlineStr">
        <is>
          <t>Т11О-306Б-19</t>
        </is>
      </c>
      <c r="M140" s="297" t="n">
        <v>24</v>
      </c>
      <c r="N140" s="298" t="inlineStr">
        <is>
          <t>12710</t>
        </is>
      </c>
      <c r="O140" s="297" t="n">
        <v>24</v>
      </c>
      <c r="P140" s="298" t="inlineStr">
        <is>
          <t xml:space="preserve">93584     </t>
        </is>
      </c>
      <c r="Q140" s="298" t="inlineStr">
        <is>
          <t xml:space="preserve">Комаров Роман Сергеевич </t>
        </is>
      </c>
      <c r="R140" s="298" t="n"/>
      <c r="S140" s="298" t="inlineStr">
        <is>
          <t>Нет</t>
        </is>
      </c>
      <c r="T140" s="298" t="inlineStr">
        <is>
          <t>Орш. А-525</t>
        </is>
      </c>
      <c r="U140" s="298" t="inlineStr">
        <is>
          <t>ПЗ - 521,522,525А (осенний и весенний семестр) - с 18:15 (по будням), в субботу (с 9:00)</t>
        </is>
      </c>
    </row>
    <row r="141" ht="15.75" customHeight="1" s="2">
      <c r="E141" s="308" t="n">
        <v>24</v>
      </c>
      <c r="G141" s="296" t="n">
        <v>24</v>
      </c>
      <c r="H141" s="297" t="n">
        <v>24</v>
      </c>
      <c r="I141" s="133">
        <f>G141-H141</f>
        <v/>
      </c>
      <c r="J141" s="298" t="inlineStr">
        <is>
          <t>Основы автоматизации технологических процессов</t>
        </is>
      </c>
      <c r="K141" s="298" t="inlineStr">
        <is>
          <t>ЛР</t>
        </is>
      </c>
      <c r="L141" s="298" t="inlineStr">
        <is>
          <t>Т11О-307Б-19</t>
        </is>
      </c>
      <c r="M141" s="297" t="n">
        <v>24</v>
      </c>
      <c r="N141" s="298" t="inlineStr">
        <is>
          <t>12710</t>
        </is>
      </c>
      <c r="O141" s="297" t="n">
        <v>24</v>
      </c>
      <c r="P141" s="298" t="inlineStr">
        <is>
          <t xml:space="preserve">93584     </t>
        </is>
      </c>
      <c r="Q141" s="298" t="inlineStr">
        <is>
          <t xml:space="preserve">Комаров Роман Сергеевич </t>
        </is>
      </c>
      <c r="R141" s="298" t="n"/>
      <c r="S141" s="298" t="inlineStr">
        <is>
          <t>Нет</t>
        </is>
      </c>
      <c r="T141" s="298" t="inlineStr">
        <is>
          <t>Орш. А-525</t>
        </is>
      </c>
      <c r="U141" s="298" t="inlineStr">
        <is>
          <t>ПЗ - 521,522,525А (осенний и весенний семестр) - с 18:15 (по будням), в субботу (с 9:00)</t>
        </is>
      </c>
    </row>
    <row r="142" ht="15.75" customHeight="1" s="2">
      <c r="E142" s="308" t="n">
        <v>24</v>
      </c>
      <c r="G142" s="296" t="n">
        <v>48</v>
      </c>
      <c r="H142" s="297" t="n">
        <v>48</v>
      </c>
      <c r="I142" s="133">
        <f>G142-H142</f>
        <v/>
      </c>
      <c r="J142" s="298" t="inlineStr">
        <is>
          <t>Основы автоматизации технологических процессов</t>
        </is>
      </c>
      <c r="K142" s="298" t="inlineStr">
        <is>
          <t>ЛР</t>
        </is>
      </c>
      <c r="L142" s="298" t="inlineStr">
        <is>
          <t>Т11О-308Б-19</t>
        </is>
      </c>
      <c r="M142" s="297" t="n">
        <v>48</v>
      </c>
      <c r="N142" s="298" t="inlineStr">
        <is>
          <t>12710</t>
        </is>
      </c>
      <c r="O142" s="297" t="n">
        <v>24</v>
      </c>
      <c r="P142" s="298" t="inlineStr">
        <is>
          <t xml:space="preserve">81722     </t>
        </is>
      </c>
      <c r="Q142" s="298" t="inlineStr">
        <is>
          <t xml:space="preserve">Шленский Алексей Геннадьевич </t>
        </is>
      </c>
      <c r="R142" s="298" t="n"/>
      <c r="S142" s="298" t="inlineStr">
        <is>
          <t>Нет</t>
        </is>
      </c>
      <c r="T142" s="298" t="inlineStr">
        <is>
          <t>Орш. А-525</t>
        </is>
      </c>
      <c r="U142" s="298" t="inlineStr">
        <is>
          <t>ЛК 523А,318А, 319А (проектор). Практика и лабораторные - 525А,  521А (522А). Кроме субботы.</t>
        </is>
      </c>
    </row>
    <row r="143" ht="15.75" customHeight="1" s="2">
      <c r="E143" s="307" t="n">
        <v>48</v>
      </c>
      <c r="G143" s="296" t="n">
        <v>8</v>
      </c>
      <c r="H143" s="297" t="n">
        <v>8</v>
      </c>
      <c r="I143" s="133">
        <f>G143-H143</f>
        <v/>
      </c>
      <c r="J143" s="298" t="inlineStr">
        <is>
          <t>Основы автоматизации технологических процессов</t>
        </is>
      </c>
      <c r="K143" s="298" t="inlineStr">
        <is>
          <t>Экзамен</t>
        </is>
      </c>
      <c r="L143" s="298" t="inlineStr">
        <is>
          <t>Т11О-304Б-19</t>
        </is>
      </c>
      <c r="M143" s="297" t="n">
        <v>8</v>
      </c>
      <c r="N143" s="298" t="inlineStr">
        <is>
          <t>12710</t>
        </is>
      </c>
      <c r="O143" s="299" t="n"/>
      <c r="P143" s="298" t="inlineStr">
        <is>
          <t xml:space="preserve">93685     </t>
        </is>
      </c>
      <c r="Q143" s="298" t="inlineStr">
        <is>
          <t xml:space="preserve">Банишев Александр Федорович </t>
        </is>
      </c>
      <c r="R143" s="298" t="inlineStr">
        <is>
          <t>профессор</t>
        </is>
      </c>
      <c r="S143" s="298" t="inlineStr">
        <is>
          <t>Да</t>
        </is>
      </c>
      <c r="T143" s="298" t="n"/>
      <c r="U143" s="298" t="n"/>
    </row>
    <row r="144" ht="15.75" customHeight="1" s="2">
      <c r="E144" s="309" t="n">
        <v>48</v>
      </c>
      <c r="G144" s="296" t="n">
        <v>4</v>
      </c>
      <c r="H144" s="297" t="n">
        <v>4</v>
      </c>
      <c r="I144" s="133">
        <f>G144-H144</f>
        <v/>
      </c>
      <c r="J144" s="298" t="inlineStr">
        <is>
          <t>Основы автоматизации технологических процессов</t>
        </is>
      </c>
      <c r="K144" s="298" t="inlineStr">
        <is>
          <t>Экзамен</t>
        </is>
      </c>
      <c r="L144" s="298" t="inlineStr">
        <is>
          <t>Т11О-305Б-19</t>
        </is>
      </c>
      <c r="M144" s="297" t="n">
        <v>4</v>
      </c>
      <c r="N144" s="298" t="inlineStr">
        <is>
          <t>12710</t>
        </is>
      </c>
      <c r="O144" s="299" t="n"/>
      <c r="P144" s="298" t="inlineStr">
        <is>
          <t xml:space="preserve">81720     </t>
        </is>
      </c>
      <c r="Q144" s="298" t="inlineStr">
        <is>
          <t xml:space="preserve">Палтиевич Андрей Романович </t>
        </is>
      </c>
      <c r="R144" s="298" t="n"/>
      <c r="S144" s="298" t="inlineStr">
        <is>
          <t>Нет</t>
        </is>
      </c>
      <c r="T144" s="298" t="n"/>
      <c r="U144" s="298" t="n"/>
    </row>
    <row r="145" ht="15.75" customHeight="1" s="2">
      <c r="E145" s="307" t="n">
        <v>24</v>
      </c>
      <c r="G145" s="296" t="n">
        <v>4</v>
      </c>
      <c r="H145" s="297" t="n">
        <v>4</v>
      </c>
      <c r="I145" s="133">
        <f>G145-H145</f>
        <v/>
      </c>
      <c r="J145" s="298" t="inlineStr">
        <is>
          <t>Основы автоматизации технологических процессов</t>
        </is>
      </c>
      <c r="K145" s="298" t="inlineStr">
        <is>
          <t>Экзамен</t>
        </is>
      </c>
      <c r="L145" s="298" t="inlineStr">
        <is>
          <t>Т11О-305Б-19</t>
        </is>
      </c>
      <c r="M145" s="297" t="n">
        <v>4</v>
      </c>
      <c r="N145" s="298" t="inlineStr">
        <is>
          <t>12710</t>
        </is>
      </c>
      <c r="O145" s="299" t="n"/>
      <c r="P145" s="298" t="inlineStr">
        <is>
          <t xml:space="preserve">93685     </t>
        </is>
      </c>
      <c r="Q145" s="298" t="inlineStr">
        <is>
          <t xml:space="preserve">Банишев Александр Федорович </t>
        </is>
      </c>
      <c r="R145" s="298" t="inlineStr">
        <is>
          <t>профессор</t>
        </is>
      </c>
      <c r="S145" s="298" t="inlineStr">
        <is>
          <t>Да</t>
        </is>
      </c>
      <c r="T145" s="298" t="n"/>
      <c r="U145" s="298" t="n"/>
    </row>
    <row r="146" ht="15.75" customHeight="1" s="2">
      <c r="E146" s="307" t="n">
        <v>24</v>
      </c>
      <c r="G146" s="296" t="n">
        <v>3.57</v>
      </c>
      <c r="H146" s="297" t="n">
        <v>3.57</v>
      </c>
      <c r="I146" s="133">
        <f>G146-H146</f>
        <v/>
      </c>
      <c r="J146" s="298" t="inlineStr">
        <is>
          <t>Основы автоматизации технологических процессов</t>
        </is>
      </c>
      <c r="K146" s="298" t="inlineStr">
        <is>
          <t>Экзамен</t>
        </is>
      </c>
      <c r="L146" s="298" t="inlineStr">
        <is>
          <t>Т11О-306Б-19</t>
        </is>
      </c>
      <c r="M146" s="297" t="n">
        <v>3.57</v>
      </c>
      <c r="N146" s="298" t="inlineStr">
        <is>
          <t>12710</t>
        </is>
      </c>
      <c r="O146" s="299" t="n"/>
      <c r="P146" s="298" t="inlineStr">
        <is>
          <t xml:space="preserve">81720     </t>
        </is>
      </c>
      <c r="Q146" s="298" t="inlineStr">
        <is>
          <t xml:space="preserve">Палтиевич Андрей Романович </t>
        </is>
      </c>
      <c r="R146" s="298" t="n"/>
      <c r="S146" s="298" t="inlineStr">
        <is>
          <t>Нет</t>
        </is>
      </c>
      <c r="T146" s="298" t="n"/>
      <c r="U146" s="298" t="n"/>
    </row>
    <row r="147" ht="15.75" customHeight="1" s="2">
      <c r="E147" s="307" t="n">
        <v>48</v>
      </c>
      <c r="G147" s="296" t="n">
        <v>1.43</v>
      </c>
      <c r="H147" s="297" t="n">
        <v>1.43</v>
      </c>
      <c r="I147" s="133">
        <f>G147-H147</f>
        <v/>
      </c>
      <c r="J147" s="298" t="inlineStr">
        <is>
          <t>Основы автоматизации технологических процессов</t>
        </is>
      </c>
      <c r="K147" s="298" t="inlineStr">
        <is>
          <t>Экзамен</t>
        </is>
      </c>
      <c r="L147" s="298" t="inlineStr">
        <is>
          <t>Т11О-306Б-19</t>
        </is>
      </c>
      <c r="M147" s="297" t="n">
        <v>1.43</v>
      </c>
      <c r="N147" s="298" t="inlineStr">
        <is>
          <t>12710</t>
        </is>
      </c>
      <c r="O147" s="299" t="n"/>
      <c r="P147" s="298" t="inlineStr">
        <is>
          <t xml:space="preserve">93685     </t>
        </is>
      </c>
      <c r="Q147" s="298" t="inlineStr">
        <is>
          <t xml:space="preserve">Банишев Александр Федорович </t>
        </is>
      </c>
      <c r="R147" s="298" t="inlineStr">
        <is>
          <t>профессор</t>
        </is>
      </c>
      <c r="S147" s="298" t="inlineStr">
        <is>
          <t>Да</t>
        </is>
      </c>
      <c r="T147" s="298" t="n"/>
      <c r="U147" s="298" t="n"/>
    </row>
    <row r="148" ht="15.75" customHeight="1" s="2">
      <c r="E148" s="307" t="n">
        <v>3</v>
      </c>
      <c r="G148" s="296" t="n">
        <v>6</v>
      </c>
      <c r="H148" s="297" t="n">
        <v>6</v>
      </c>
      <c r="I148" s="133">
        <f>G148-H148</f>
        <v/>
      </c>
      <c r="J148" s="298" t="inlineStr">
        <is>
          <t>Основы автоматизации технологических процессов</t>
        </is>
      </c>
      <c r="K148" s="298" t="inlineStr">
        <is>
          <t>Экзамен</t>
        </is>
      </c>
      <c r="L148" s="298" t="inlineStr">
        <is>
          <t>Т11О-307Б-19</t>
        </is>
      </c>
      <c r="M148" s="297" t="n">
        <v>6</v>
      </c>
      <c r="N148" s="298" t="inlineStr">
        <is>
          <t>12710</t>
        </is>
      </c>
      <c r="O148" s="299" t="n"/>
      <c r="P148" s="298" t="inlineStr">
        <is>
          <t xml:space="preserve">81720     </t>
        </is>
      </c>
      <c r="Q148" s="298" t="inlineStr">
        <is>
          <t xml:space="preserve">Палтиевич Андрей Романович </t>
        </is>
      </c>
      <c r="R148" s="298" t="n"/>
      <c r="S148" s="298" t="inlineStr">
        <is>
          <t>Нет</t>
        </is>
      </c>
      <c r="T148" s="298" t="n"/>
      <c r="U148" s="298" t="n"/>
    </row>
    <row r="149" ht="15.75" customHeight="1" s="2">
      <c r="E149" s="307" t="n">
        <v>2</v>
      </c>
      <c r="G149" s="296" t="n">
        <v>2</v>
      </c>
      <c r="H149" s="297" t="n">
        <v>2</v>
      </c>
      <c r="I149" s="133">
        <f>G149-H149</f>
        <v/>
      </c>
      <c r="J149" s="298" t="inlineStr">
        <is>
          <t>Основы автоматизации технологических процессов</t>
        </is>
      </c>
      <c r="K149" s="298" t="inlineStr">
        <is>
          <t>Экзамен</t>
        </is>
      </c>
      <c r="L149" s="298" t="inlineStr">
        <is>
          <t>Т11О-307Б-19</t>
        </is>
      </c>
      <c r="M149" s="297" t="n">
        <v>2</v>
      </c>
      <c r="N149" s="298" t="inlineStr">
        <is>
          <t>12710</t>
        </is>
      </c>
      <c r="O149" s="299" t="n"/>
      <c r="P149" s="298" t="inlineStr">
        <is>
          <t xml:space="preserve">93685     </t>
        </is>
      </c>
      <c r="Q149" s="298" t="inlineStr">
        <is>
          <t xml:space="preserve">Банишев Александр Федорович </t>
        </is>
      </c>
      <c r="R149" s="298" t="inlineStr">
        <is>
          <t>профессор</t>
        </is>
      </c>
      <c r="S149" s="298" t="inlineStr">
        <is>
          <t>Да</t>
        </is>
      </c>
      <c r="T149" s="298" t="n"/>
      <c r="U149" s="298" t="n"/>
    </row>
    <row r="150" ht="15.75" customHeight="1" s="2">
      <c r="E150" s="307" t="n">
        <v>2</v>
      </c>
      <c r="G150" s="296" t="n">
        <v>4.5</v>
      </c>
      <c r="H150" s="297" t="n">
        <v>4.5</v>
      </c>
      <c r="I150" s="133">
        <f>G150-H150</f>
        <v/>
      </c>
      <c r="J150" s="298" t="inlineStr">
        <is>
          <t>Основы автоматизации технологических процессов</t>
        </is>
      </c>
      <c r="K150" s="298" t="inlineStr">
        <is>
          <t>Экзамен</t>
        </is>
      </c>
      <c r="L150" s="298" t="inlineStr">
        <is>
          <t>Т11О-308Б-19</t>
        </is>
      </c>
      <c r="M150" s="297" t="n">
        <v>4.5</v>
      </c>
      <c r="N150" s="298" t="inlineStr">
        <is>
          <t>12710</t>
        </is>
      </c>
      <c r="O150" s="299" t="n"/>
      <c r="P150" s="298" t="inlineStr">
        <is>
          <t xml:space="preserve">81720     </t>
        </is>
      </c>
      <c r="Q150" s="298" t="inlineStr">
        <is>
          <t xml:space="preserve">Палтиевич Андрей Романович </t>
        </is>
      </c>
      <c r="R150" s="298" t="n"/>
      <c r="S150" s="298" t="inlineStr">
        <is>
          <t>Нет</t>
        </is>
      </c>
      <c r="T150" s="298" t="n"/>
      <c r="U150" s="298" t="n"/>
    </row>
    <row r="151" ht="15.75" customHeight="1" s="2">
      <c r="E151" s="307" t="n">
        <v>1</v>
      </c>
      <c r="G151" s="296" t="n">
        <v>4.5</v>
      </c>
      <c r="H151" s="297" t="n">
        <v>4.5</v>
      </c>
      <c r="I151" s="133">
        <f>G151-H151</f>
        <v/>
      </c>
      <c r="J151" s="298" t="inlineStr">
        <is>
          <t>Основы автоматизации технологических процессов</t>
        </is>
      </c>
      <c r="K151" s="298" t="inlineStr">
        <is>
          <t>Экзамен</t>
        </is>
      </c>
      <c r="L151" s="298" t="inlineStr">
        <is>
          <t>Т11О-308Б-19</t>
        </is>
      </c>
      <c r="M151" s="297" t="n">
        <v>4.5</v>
      </c>
      <c r="N151" s="298" t="inlineStr">
        <is>
          <t>12710</t>
        </is>
      </c>
      <c r="O151" s="299" t="n"/>
      <c r="P151" s="298" t="inlineStr">
        <is>
          <t xml:space="preserve">93685     </t>
        </is>
      </c>
      <c r="Q151" s="298" t="inlineStr">
        <is>
          <t xml:space="preserve">Банишев Александр Федорович </t>
        </is>
      </c>
      <c r="R151" s="298" t="inlineStr">
        <is>
          <t>профессор</t>
        </is>
      </c>
      <c r="S151" s="298" t="inlineStr">
        <is>
          <t>Да</t>
        </is>
      </c>
      <c r="T151" s="298" t="n"/>
      <c r="U151" s="298" t="n"/>
    </row>
    <row r="152" ht="15.75" customHeight="1" s="2">
      <c r="E152" s="307" t="n">
        <v>4</v>
      </c>
      <c r="G152" s="296" t="n">
        <v>3</v>
      </c>
      <c r="H152" s="297" t="n">
        <v>3</v>
      </c>
      <c r="I152" s="133">
        <f>G152-H152</f>
        <v/>
      </c>
      <c r="J152" s="298" t="inlineStr">
        <is>
          <t>Основы автоматизации технологических процессов</t>
        </is>
      </c>
      <c r="K152" s="298" t="inlineStr">
        <is>
          <t>Консультация</t>
        </is>
      </c>
      <c r="L152" s="298" t="inlineStr">
        <is>
          <t>Т11О-304Б-19</t>
        </is>
      </c>
      <c r="M152" s="297" t="n">
        <v>3</v>
      </c>
      <c r="N152" s="298" t="inlineStr">
        <is>
          <t>12710</t>
        </is>
      </c>
      <c r="O152" s="299" t="n"/>
      <c r="P152" s="298" t="inlineStr">
        <is>
          <t xml:space="preserve">81720     </t>
        </is>
      </c>
      <c r="Q152" s="298" t="inlineStr">
        <is>
          <t xml:space="preserve">Палтиевич Андрей Романович </t>
        </is>
      </c>
      <c r="R152" s="298" t="n"/>
      <c r="S152" s="298" t="inlineStr">
        <is>
          <t>Нет</t>
        </is>
      </c>
      <c r="T152" s="298" t="n"/>
      <c r="U152" s="298" t="n"/>
    </row>
    <row r="153" ht="15.75" customHeight="1" s="2">
      <c r="E153" s="307" t="n">
        <v>2</v>
      </c>
      <c r="G153" s="296" t="n">
        <v>1</v>
      </c>
      <c r="H153" s="297" t="n">
        <v>1</v>
      </c>
      <c r="I153" s="133">
        <f>G153-H153</f>
        <v/>
      </c>
      <c r="J153" s="298" t="inlineStr">
        <is>
          <t>Основы автоматизации технологических процессов</t>
        </is>
      </c>
      <c r="K153" s="298" t="inlineStr">
        <is>
          <t>Консультация</t>
        </is>
      </c>
      <c r="L153" s="298" t="inlineStr">
        <is>
          <t>Т11О-301Б-19</t>
        </is>
      </c>
      <c r="M153" s="297" t="n">
        <v>1</v>
      </c>
      <c r="N153" s="298" t="inlineStr">
        <is>
          <t>12710</t>
        </is>
      </c>
      <c r="O153" s="299" t="n"/>
      <c r="P153" s="298" t="inlineStr">
        <is>
          <t xml:space="preserve">81720     </t>
        </is>
      </c>
      <c r="Q153" s="298" t="inlineStr">
        <is>
          <t xml:space="preserve">Палтиевич Андрей Романович </t>
        </is>
      </c>
      <c r="R153" s="298" t="n"/>
      <c r="S153" s="298" t="inlineStr">
        <is>
          <t>Нет</t>
        </is>
      </c>
      <c r="T153" s="298" t="n"/>
      <c r="U153" s="298" t="n"/>
    </row>
    <row r="154" ht="15.75" customHeight="1" s="2">
      <c r="E154" s="307" t="n">
        <v>2</v>
      </c>
      <c r="G154" s="296" t="n">
        <v>1</v>
      </c>
      <c r="H154" s="297" t="n">
        <v>1</v>
      </c>
      <c r="I154" s="133">
        <f>G154-H154</f>
        <v/>
      </c>
      <c r="J154" s="298" t="inlineStr">
        <is>
          <t>Основы автоматизации технологических процессов</t>
        </is>
      </c>
      <c r="K154" s="298" t="inlineStr">
        <is>
          <t>Консультация</t>
        </is>
      </c>
      <c r="L154" s="298" t="inlineStr">
        <is>
          <t>Т11О-302Б-19</t>
        </is>
      </c>
      <c r="M154" s="297" t="n">
        <v>1</v>
      </c>
      <c r="N154" s="298" t="inlineStr">
        <is>
          <t>12710</t>
        </is>
      </c>
      <c r="O154" s="299" t="n"/>
      <c r="P154" s="298" t="inlineStr">
        <is>
          <t xml:space="preserve">81720     </t>
        </is>
      </c>
      <c r="Q154" s="298" t="inlineStr">
        <is>
          <t xml:space="preserve">Палтиевич Андрей Романович </t>
        </is>
      </c>
      <c r="R154" s="298" t="n"/>
      <c r="S154" s="298" t="inlineStr">
        <is>
          <t>Нет</t>
        </is>
      </c>
      <c r="T154" s="298" t="n"/>
      <c r="U154" s="298" t="n"/>
    </row>
    <row r="155" ht="15.75" customHeight="1" s="2">
      <c r="E155" s="308" t="n">
        <v>3</v>
      </c>
      <c r="G155" s="296" t="n">
        <v>3</v>
      </c>
      <c r="H155" s="297" t="n">
        <v>3</v>
      </c>
      <c r="I155" s="133">
        <f>G155-H155</f>
        <v/>
      </c>
      <c r="J155" s="298" t="inlineStr">
        <is>
          <t>Основы автоматизации технологических процессов</t>
        </is>
      </c>
      <c r="K155" s="298" t="inlineStr">
        <is>
          <t>Консультация</t>
        </is>
      </c>
      <c r="L155" s="298" t="inlineStr">
        <is>
          <t>Т11О-305Б-19</t>
        </is>
      </c>
      <c r="M155" s="297" t="n">
        <v>3</v>
      </c>
      <c r="N155" s="298" t="inlineStr">
        <is>
          <t>12710</t>
        </is>
      </c>
      <c r="O155" s="299" t="n"/>
      <c r="P155" s="298" t="inlineStr">
        <is>
          <t xml:space="preserve">81720     </t>
        </is>
      </c>
      <c r="Q155" s="298" t="inlineStr">
        <is>
          <t xml:space="preserve">Палтиевич Андрей Романович </t>
        </is>
      </c>
      <c r="R155" s="298" t="n"/>
      <c r="S155" s="298" t="inlineStr">
        <is>
          <t>Нет</t>
        </is>
      </c>
      <c r="T155" s="298" t="n"/>
      <c r="U155" s="298" t="n"/>
    </row>
    <row r="156" ht="15.75" customHeight="1" s="2">
      <c r="E156" s="307" t="n">
        <v>2</v>
      </c>
      <c r="G156" s="296" t="n">
        <v>3</v>
      </c>
      <c r="H156" s="297" t="n">
        <v>3</v>
      </c>
      <c r="I156" s="133">
        <f>G156-H156</f>
        <v/>
      </c>
      <c r="J156" s="298" t="inlineStr">
        <is>
          <t>Основы автоматизации технологических процессов</t>
        </is>
      </c>
      <c r="K156" s="298" t="inlineStr">
        <is>
          <t>Консультация</t>
        </is>
      </c>
      <c r="L156" s="298" t="inlineStr">
        <is>
          <t>Т11О-306Б-19</t>
        </is>
      </c>
      <c r="M156" s="297" t="n">
        <v>3</v>
      </c>
      <c r="N156" s="298" t="inlineStr">
        <is>
          <t>12710</t>
        </is>
      </c>
      <c r="O156" s="299" t="n"/>
      <c r="P156" s="298" t="inlineStr">
        <is>
          <t xml:space="preserve">81720     </t>
        </is>
      </c>
      <c r="Q156" s="298" t="inlineStr">
        <is>
          <t xml:space="preserve">Палтиевич Андрей Романович </t>
        </is>
      </c>
      <c r="R156" s="298" t="n"/>
      <c r="S156" s="298" t="inlineStr">
        <is>
          <t>Нет</t>
        </is>
      </c>
      <c r="T156" s="298" t="n"/>
      <c r="U156" s="298" t="n"/>
    </row>
    <row r="157" ht="15.75" customHeight="1" s="2">
      <c r="E157" s="307" t="n">
        <v>6</v>
      </c>
      <c r="G157" s="296" t="n">
        <v>3</v>
      </c>
      <c r="H157" s="297" t="n">
        <v>3</v>
      </c>
      <c r="I157" s="133">
        <f>G157-H157</f>
        <v/>
      </c>
      <c r="J157" s="298" t="inlineStr">
        <is>
          <t>Основы автоматизации технологических процессов</t>
        </is>
      </c>
      <c r="K157" s="298" t="inlineStr">
        <is>
          <t>Консультация</t>
        </is>
      </c>
      <c r="L157" s="298" t="inlineStr">
        <is>
          <t>Т11О-307Б-19</t>
        </is>
      </c>
      <c r="M157" s="297" t="n">
        <v>3</v>
      </c>
      <c r="N157" s="298" t="inlineStr">
        <is>
          <t>12710</t>
        </is>
      </c>
      <c r="O157" s="299" t="n"/>
      <c r="P157" s="298" t="inlineStr">
        <is>
          <t xml:space="preserve">81720     </t>
        </is>
      </c>
      <c r="Q157" s="298" t="inlineStr">
        <is>
          <t xml:space="preserve">Палтиевич Андрей Романович </t>
        </is>
      </c>
      <c r="R157" s="298" t="n"/>
      <c r="S157" s="298" t="inlineStr">
        <is>
          <t>Нет</t>
        </is>
      </c>
      <c r="T157" s="298" t="n"/>
      <c r="U157" s="298" t="n"/>
    </row>
    <row r="158" ht="15.75" customHeight="1" s="2">
      <c r="E158" s="307" t="n">
        <v>2</v>
      </c>
      <c r="G158" s="296" t="n">
        <v>3</v>
      </c>
      <c r="H158" s="297" t="n">
        <v>3</v>
      </c>
      <c r="I158" s="133">
        <f>G158-H158</f>
        <v/>
      </c>
      <c r="J158" s="298" t="inlineStr">
        <is>
          <t>Основы автоматизации технологических процессов</t>
        </is>
      </c>
      <c r="K158" s="298" t="inlineStr">
        <is>
          <t>Консультация</t>
        </is>
      </c>
      <c r="L158" s="298" t="inlineStr">
        <is>
          <t>Т11О-308Б-19</t>
        </is>
      </c>
      <c r="M158" s="297" t="n">
        <v>3</v>
      </c>
      <c r="N158" s="298" t="inlineStr">
        <is>
          <t>12710</t>
        </is>
      </c>
      <c r="O158" s="299" t="n"/>
      <c r="P158" s="298" t="inlineStr">
        <is>
          <t xml:space="preserve">81720     </t>
        </is>
      </c>
      <c r="Q158" s="298" t="inlineStr">
        <is>
          <t xml:space="preserve">Палтиевич Андрей Романович </t>
        </is>
      </c>
      <c r="R158" s="298" t="n"/>
      <c r="S158" s="298" t="inlineStr">
        <is>
          <t>Нет</t>
        </is>
      </c>
      <c r="T158" s="298" t="n"/>
      <c r="U158" s="298" t="n"/>
    </row>
    <row r="159" ht="15.75" customHeight="1" s="2">
      <c r="E159" s="308" t="n">
        <v>4</v>
      </c>
      <c r="G159" s="296" t="n">
        <v>24</v>
      </c>
      <c r="H159" s="297" t="n">
        <v>24</v>
      </c>
      <c r="I159" s="133">
        <f>G159-H159</f>
        <v/>
      </c>
      <c r="J159" s="298" t="inlineStr">
        <is>
          <t>CALS-технологии в производстве продукции</t>
        </is>
      </c>
      <c r="K159" s="298" t="inlineStr">
        <is>
          <t>ЛК</t>
        </is>
      </c>
      <c r="L159" s="298" t="inlineStr">
        <is>
          <t>Т11О-404Б-18</t>
        </is>
      </c>
      <c r="M159" s="297" t="n">
        <v>24</v>
      </c>
      <c r="N159" s="298" t="inlineStr">
        <is>
          <t>08770</t>
        </is>
      </c>
      <c r="O159" s="297" t="n">
        <v>24</v>
      </c>
      <c r="P159" s="298" t="inlineStr">
        <is>
          <t xml:space="preserve">81724     </t>
        </is>
      </c>
      <c r="Q159" s="298" t="inlineStr">
        <is>
          <t xml:space="preserve">Галкин Евгений Владимирович </t>
        </is>
      </c>
      <c r="R159" s="298" t="n"/>
      <c r="S159" s="298" t="inlineStr">
        <is>
          <t>Нет</t>
        </is>
      </c>
      <c r="T159" s="298" t="inlineStr">
        <is>
          <t>Орш. А-525</t>
        </is>
      </c>
      <c r="U159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160" ht="15.75" customHeight="1" s="2">
      <c r="E160" s="307" t="n">
        <v>3</v>
      </c>
      <c r="G160" s="296" t="n">
        <v>40</v>
      </c>
      <c r="H160" s="297" t="n">
        <v>40</v>
      </c>
      <c r="I160" s="133">
        <f>G160-H160</f>
        <v/>
      </c>
      <c r="J160" s="298" t="inlineStr">
        <is>
          <t>CALS-технологии в производстве продукции</t>
        </is>
      </c>
      <c r="K160" s="298" t="inlineStr">
        <is>
          <t>ПЗ</t>
        </is>
      </c>
      <c r="L160" s="298" t="inlineStr">
        <is>
          <t>Т11О-404Б-18</t>
        </is>
      </c>
      <c r="M160" s="297" t="n">
        <v>40</v>
      </c>
      <c r="N160" s="298" t="inlineStr">
        <is>
          <t>08770</t>
        </is>
      </c>
      <c r="O160" s="297" t="n">
        <v>40</v>
      </c>
      <c r="P160" s="298" t="inlineStr">
        <is>
          <t xml:space="preserve">81724     </t>
        </is>
      </c>
      <c r="Q160" s="298" t="inlineStr">
        <is>
          <t xml:space="preserve">Галкин Евгений Владимирович </t>
        </is>
      </c>
      <c r="R160" s="298" t="n"/>
      <c r="S160" s="298" t="inlineStr">
        <is>
          <t>Нет</t>
        </is>
      </c>
      <c r="T160" s="298" t="inlineStr">
        <is>
          <t>Орш. А-525</t>
        </is>
      </c>
      <c r="U160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161" ht="15.75" customHeight="1" s="2">
      <c r="E161" s="307" t="n">
        <v>2</v>
      </c>
      <c r="G161" s="296" t="n">
        <v>6</v>
      </c>
      <c r="H161" s="297" t="n">
        <v>6</v>
      </c>
      <c r="I161" s="133">
        <f>G161-H161</f>
        <v/>
      </c>
      <c r="J161" s="298" t="inlineStr">
        <is>
          <t>CALS-технологии в производстве продукции</t>
        </is>
      </c>
      <c r="K161" s="298" t="inlineStr">
        <is>
          <t>Экзамен</t>
        </is>
      </c>
      <c r="L161" s="298" t="inlineStr">
        <is>
          <t>Т11О-404Б-18</t>
        </is>
      </c>
      <c r="M161" s="297" t="n">
        <v>6</v>
      </c>
      <c r="N161" s="298" t="inlineStr">
        <is>
          <t>08770</t>
        </is>
      </c>
      <c r="O161" s="299" t="n"/>
      <c r="P161" s="298" t="inlineStr">
        <is>
          <t xml:space="preserve">81724     </t>
        </is>
      </c>
      <c r="Q161" s="298" t="inlineStr">
        <is>
          <t xml:space="preserve">Галкин Евгений Владимирович </t>
        </is>
      </c>
      <c r="R161" s="298" t="n"/>
      <c r="S161" s="298" t="inlineStr">
        <is>
          <t>Нет</t>
        </is>
      </c>
      <c r="T161" s="298" t="n"/>
      <c r="U161" s="298" t="n"/>
    </row>
    <row r="162" ht="15.75" customHeight="1" s="2">
      <c r="E162" s="307" t="n">
        <v>3</v>
      </c>
      <c r="G162" s="296" t="n">
        <v>3</v>
      </c>
      <c r="H162" s="297" t="n">
        <v>3</v>
      </c>
      <c r="I162" s="133">
        <f>G162-H162</f>
        <v/>
      </c>
      <c r="J162" s="298" t="inlineStr">
        <is>
          <t>CALS-технологии в производстве продукции</t>
        </is>
      </c>
      <c r="K162" s="298" t="inlineStr">
        <is>
          <t>Экзамен</t>
        </is>
      </c>
      <c r="L162" s="298" t="inlineStr">
        <is>
          <t>Т11О-404Б-18</t>
        </is>
      </c>
      <c r="M162" s="297" t="n">
        <v>3</v>
      </c>
      <c r="N162" s="298" t="inlineStr">
        <is>
          <t>08770</t>
        </is>
      </c>
      <c r="O162" s="299" t="n"/>
      <c r="P162" s="298" t="inlineStr">
        <is>
          <t xml:space="preserve">93685     </t>
        </is>
      </c>
      <c r="Q162" s="298" t="inlineStr">
        <is>
          <t xml:space="preserve">Банишев Александр Федорович </t>
        </is>
      </c>
      <c r="R162" s="298" t="inlineStr">
        <is>
          <t>профессор</t>
        </is>
      </c>
      <c r="S162" s="298" t="inlineStr">
        <is>
          <t>Да</t>
        </is>
      </c>
      <c r="T162" s="298" t="n"/>
      <c r="U162" s="298" t="n"/>
    </row>
    <row r="163" ht="15.75" customHeight="1" s="2">
      <c r="E163" s="307" t="n">
        <v>1</v>
      </c>
      <c r="G163" s="296" t="n">
        <v>3</v>
      </c>
      <c r="H163" s="297" t="n">
        <v>3</v>
      </c>
      <c r="I163" s="133">
        <f>G163-H163</f>
        <v/>
      </c>
      <c r="J163" s="298" t="inlineStr">
        <is>
          <t>CALS-технологии в производстве продукции</t>
        </is>
      </c>
      <c r="K163" s="298" t="inlineStr">
        <is>
          <t>Консультация</t>
        </is>
      </c>
      <c r="L163" s="298" t="inlineStr">
        <is>
          <t>Т11О-404Б-18</t>
        </is>
      </c>
      <c r="M163" s="297" t="n">
        <v>3</v>
      </c>
      <c r="N163" s="298" t="inlineStr">
        <is>
          <t>08770</t>
        </is>
      </c>
      <c r="O163" s="299" t="n"/>
      <c r="P163" s="298" t="inlineStr">
        <is>
          <t xml:space="preserve">81724     </t>
        </is>
      </c>
      <c r="Q163" s="298" t="inlineStr">
        <is>
          <t xml:space="preserve">Галкин Евгений Владимирович </t>
        </is>
      </c>
      <c r="R163" s="298" t="n"/>
      <c r="S163" s="298" t="inlineStr">
        <is>
          <t>Нет</t>
        </is>
      </c>
      <c r="T163" s="298" t="n"/>
      <c r="U163" s="298" t="n"/>
    </row>
    <row r="164" ht="15.75" customHeight="1" s="2">
      <c r="E164" s="307" t="n">
        <v>1</v>
      </c>
      <c r="G164" s="296" t="n">
        <v>10</v>
      </c>
      <c r="H164" s="297" t="n">
        <v>10</v>
      </c>
      <c r="I164" s="133">
        <f>G164-H164</f>
        <v/>
      </c>
      <c r="J164" s="298" t="inlineStr">
        <is>
          <t>Теория и технология композиционных материалов</t>
        </is>
      </c>
      <c r="K164" s="298" t="inlineStr">
        <is>
          <t>ЛК</t>
        </is>
      </c>
      <c r="L164" s="298" t="inlineStr">
        <is>
          <t>Т11О-101М-21</t>
        </is>
      </c>
      <c r="M164" s="297" t="n">
        <v>10</v>
      </c>
      <c r="N164" s="298" t="inlineStr">
        <is>
          <t>04489</t>
        </is>
      </c>
      <c r="O164" s="297" t="n">
        <v>10</v>
      </c>
      <c r="P164" s="298" t="inlineStr">
        <is>
          <t xml:space="preserve">81724     </t>
        </is>
      </c>
      <c r="Q164" s="298" t="inlineStr">
        <is>
          <t xml:space="preserve">Галкин Евгений Владимирович </t>
        </is>
      </c>
      <c r="R164" s="298" t="n"/>
      <c r="S164" s="298" t="inlineStr">
        <is>
          <t>Нет</t>
        </is>
      </c>
      <c r="T164" s="298" t="inlineStr">
        <is>
          <t>Орш. А-525</t>
        </is>
      </c>
      <c r="U164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165" ht="15.75" customHeight="1" s="2">
      <c r="E165" s="307" t="n">
        <v>3</v>
      </c>
      <c r="G165" s="296" t="n">
        <v>16</v>
      </c>
      <c r="H165" s="297" t="n">
        <v>16</v>
      </c>
      <c r="I165" s="133">
        <f>G165-H165</f>
        <v/>
      </c>
      <c r="J165" s="298" t="inlineStr">
        <is>
          <t>Теория и технология композиционных материалов</t>
        </is>
      </c>
      <c r="K165" s="298" t="inlineStr">
        <is>
          <t>ПЗ</t>
        </is>
      </c>
      <c r="L165" s="298" t="inlineStr">
        <is>
          <t>Т11О-101М-21</t>
        </is>
      </c>
      <c r="M165" s="297" t="n">
        <v>16</v>
      </c>
      <c r="N165" s="298" t="inlineStr">
        <is>
          <t>04489</t>
        </is>
      </c>
      <c r="O165" s="297" t="n">
        <v>16</v>
      </c>
      <c r="P165" s="298" t="inlineStr">
        <is>
          <t xml:space="preserve">81724     </t>
        </is>
      </c>
      <c r="Q165" s="298" t="inlineStr">
        <is>
          <t xml:space="preserve">Галкин Евгений Владимирович </t>
        </is>
      </c>
      <c r="R165" s="298" t="n"/>
      <c r="S165" s="298" t="inlineStr">
        <is>
          <t>Нет</t>
        </is>
      </c>
      <c r="T165" s="298" t="inlineStr">
        <is>
          <t>Орш. А-525</t>
        </is>
      </c>
      <c r="U165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166" ht="15.75" customHeight="1" s="2">
      <c r="E166" s="307" t="n">
        <v>3</v>
      </c>
      <c r="G166" s="296" t="n">
        <v>2</v>
      </c>
      <c r="H166" s="297" t="n">
        <v>2</v>
      </c>
      <c r="I166" s="133">
        <f>G166-H166</f>
        <v/>
      </c>
      <c r="J166" s="298" t="inlineStr">
        <is>
          <t>Теория и технология композиционных материалов</t>
        </is>
      </c>
      <c r="K166" s="298" t="inlineStr">
        <is>
          <t>Зачет</t>
        </is>
      </c>
      <c r="L166" s="298" t="inlineStr">
        <is>
          <t>Т11О-101М-21</t>
        </is>
      </c>
      <c r="M166" s="297" t="n">
        <v>2</v>
      </c>
      <c r="N166" s="298" t="inlineStr">
        <is>
          <t>04489</t>
        </is>
      </c>
      <c r="O166" s="299" t="n"/>
      <c r="P166" s="298" t="inlineStr">
        <is>
          <t xml:space="preserve">81724     </t>
        </is>
      </c>
      <c r="Q166" s="298" t="inlineStr">
        <is>
          <t xml:space="preserve">Галкин Евгений Владимирович </t>
        </is>
      </c>
      <c r="R166" s="298" t="n"/>
      <c r="S166" s="298" t="inlineStr">
        <is>
          <t>Нет</t>
        </is>
      </c>
      <c r="T166" s="298" t="n"/>
      <c r="U166" s="298" t="n"/>
    </row>
    <row r="167" ht="15.75" customHeight="1" s="2">
      <c r="E167" s="307" t="n">
        <v>3</v>
      </c>
      <c r="G167" s="296" t="n">
        <v>1</v>
      </c>
      <c r="H167" s="297" t="n">
        <v>1</v>
      </c>
      <c r="I167" s="133">
        <f>G167-H167</f>
        <v/>
      </c>
      <c r="J167" s="298" t="inlineStr">
        <is>
          <t>Теория и технология композиционных материалов</t>
        </is>
      </c>
      <c r="K167" s="298" t="inlineStr">
        <is>
          <t>Консультация</t>
        </is>
      </c>
      <c r="L167" s="298" t="inlineStr">
        <is>
          <t>Т11О-101М-21</t>
        </is>
      </c>
      <c r="M167" s="297" t="n">
        <v>1</v>
      </c>
      <c r="N167" s="298" t="inlineStr">
        <is>
          <t>04489</t>
        </is>
      </c>
      <c r="O167" s="299" t="n"/>
      <c r="P167" s="298" t="inlineStr">
        <is>
          <t xml:space="preserve">81724     </t>
        </is>
      </c>
      <c r="Q167" s="298" t="inlineStr">
        <is>
          <t xml:space="preserve">Галкин Евгений Владимирович </t>
        </is>
      </c>
      <c r="R167" s="298" t="n"/>
      <c r="S167" s="298" t="inlineStr">
        <is>
          <t>Нет</t>
        </is>
      </c>
      <c r="T167" s="298" t="n"/>
      <c r="U167" s="298" t="n"/>
    </row>
    <row r="168" ht="15.75" customHeight="1" s="2">
      <c r="E168" s="307" t="n">
        <v>3</v>
      </c>
      <c r="G168" s="296" t="n">
        <v>40</v>
      </c>
      <c r="H168" s="297" t="n">
        <v>40</v>
      </c>
      <c r="I168" s="133">
        <f>G168-H168</f>
        <v/>
      </c>
      <c r="J168" s="298" t="inlineStr">
        <is>
          <t>Технология прокатно-прессового производства</t>
        </is>
      </c>
      <c r="K168" s="298" t="inlineStr">
        <is>
          <t>ЛК</t>
        </is>
      </c>
      <c r="L168" s="298" t="inlineStr">
        <is>
          <t>Т11О-401Б-18</t>
        </is>
      </c>
      <c r="M168" s="297" t="n">
        <v>40</v>
      </c>
      <c r="N168" s="298" t="inlineStr">
        <is>
          <t>10858</t>
        </is>
      </c>
      <c r="O168" s="297" t="n">
        <v>40</v>
      </c>
      <c r="P168" s="298" t="inlineStr">
        <is>
          <t xml:space="preserve">81722     </t>
        </is>
      </c>
      <c r="Q168" s="298" t="inlineStr">
        <is>
          <t xml:space="preserve">Шленский Алексей Геннадьевич </t>
        </is>
      </c>
      <c r="R168" s="298" t="n"/>
      <c r="S168" s="298" t="inlineStr">
        <is>
          <t>Нет</t>
        </is>
      </c>
      <c r="T168" s="298" t="inlineStr">
        <is>
          <t>Орш. А-525</t>
        </is>
      </c>
      <c r="U168" s="298" t="inlineStr">
        <is>
          <t>ЛК 523А,318А, 319А (проектор). Практика и лабораторные - 525А,  521А (522А). Кроме субботы.</t>
        </is>
      </c>
    </row>
    <row r="169" ht="15.75" customHeight="1" s="2">
      <c r="E169" s="307" t="n">
        <v>24</v>
      </c>
      <c r="G169" s="296" t="n">
        <v>68</v>
      </c>
      <c r="H169" s="297" t="n">
        <v>68</v>
      </c>
      <c r="I169" s="133">
        <f>G169-H169</f>
        <v/>
      </c>
      <c r="J169" s="298" t="inlineStr">
        <is>
          <t>Технология прокатно-прессового производства</t>
        </is>
      </c>
      <c r="K169" s="298" t="inlineStr">
        <is>
          <t>ПЗ</t>
        </is>
      </c>
      <c r="L169" s="298" t="inlineStr">
        <is>
          <t>Т11О-401Б-18</t>
        </is>
      </c>
      <c r="M169" s="297" t="n">
        <v>68</v>
      </c>
      <c r="N169" s="298" t="inlineStr">
        <is>
          <t>10858</t>
        </is>
      </c>
      <c r="O169" s="297" t="n">
        <v>68</v>
      </c>
      <c r="P169" s="298" t="inlineStr">
        <is>
          <t xml:space="preserve">81722     </t>
        </is>
      </c>
      <c r="Q169" s="298" t="inlineStr">
        <is>
          <t xml:space="preserve">Шленский Алексей Геннадьевич </t>
        </is>
      </c>
      <c r="R169" s="298" t="n"/>
      <c r="S169" s="298" t="inlineStr">
        <is>
          <t>Нет</t>
        </is>
      </c>
      <c r="T169" s="298" t="inlineStr">
        <is>
          <t>Орш. А-525</t>
        </is>
      </c>
      <c r="U169" s="298" t="inlineStr">
        <is>
          <t>ЛК 523А,318А, 319А (проектор). Практика и лабораторные - 525А,  521А (522А). Кроме субботы.</t>
        </is>
      </c>
    </row>
    <row r="170" ht="15.75" customHeight="1" s="2">
      <c r="E170" s="307" t="n">
        <v>40</v>
      </c>
      <c r="G170" s="296" t="n">
        <v>6</v>
      </c>
      <c r="H170" s="297" t="n">
        <v>6</v>
      </c>
      <c r="I170" s="133">
        <f>G170-H170</f>
        <v/>
      </c>
      <c r="J170" s="298" t="inlineStr">
        <is>
          <t>Технология прокатно-прессового производства</t>
        </is>
      </c>
      <c r="K170" s="298" t="inlineStr">
        <is>
          <t>Экзамен</t>
        </is>
      </c>
      <c r="L170" s="298" t="inlineStr">
        <is>
          <t>Т11О-401Б-18</t>
        </is>
      </c>
      <c r="M170" s="297" t="n">
        <v>6</v>
      </c>
      <c r="N170" s="298" t="inlineStr">
        <is>
          <t>10858</t>
        </is>
      </c>
      <c r="O170" s="299" t="n"/>
      <c r="P170" s="298" t="inlineStr">
        <is>
          <t xml:space="preserve">81722     </t>
        </is>
      </c>
      <c r="Q170" s="298" t="inlineStr">
        <is>
          <t xml:space="preserve">Шленский Алексей Геннадьевич </t>
        </is>
      </c>
      <c r="R170" s="298" t="n"/>
      <c r="S170" s="298" t="inlineStr">
        <is>
          <t>Нет</t>
        </is>
      </c>
      <c r="T170" s="298" t="n"/>
      <c r="U170" s="298" t="n"/>
    </row>
    <row r="171" ht="15.75" customHeight="1" s="2">
      <c r="E171" s="307" t="n">
        <v>6</v>
      </c>
      <c r="G171" s="296" t="n">
        <v>2</v>
      </c>
      <c r="H171" s="297" t="n">
        <v>2</v>
      </c>
      <c r="I171" s="133">
        <f>G171-H171</f>
        <v/>
      </c>
      <c r="J171" s="298" t="inlineStr">
        <is>
          <t>Технология прокатно-прессового производства</t>
        </is>
      </c>
      <c r="K171" s="298" t="inlineStr">
        <is>
          <t>Экзамен</t>
        </is>
      </c>
      <c r="L171" s="298" t="inlineStr">
        <is>
          <t>Т11О-401Б-18</t>
        </is>
      </c>
      <c r="M171" s="297" t="n">
        <v>2</v>
      </c>
      <c r="N171" s="298" t="inlineStr">
        <is>
          <t>10858</t>
        </is>
      </c>
      <c r="O171" s="299" t="n"/>
      <c r="P171" s="298" t="inlineStr">
        <is>
          <t xml:space="preserve">93685     </t>
        </is>
      </c>
      <c r="Q171" s="298" t="inlineStr">
        <is>
          <t xml:space="preserve">Банишев Александр Федорович </t>
        </is>
      </c>
      <c r="R171" s="298" t="inlineStr">
        <is>
          <t>профессор</t>
        </is>
      </c>
      <c r="S171" s="298" t="inlineStr">
        <is>
          <t>Да</t>
        </is>
      </c>
      <c r="T171" s="298" t="inlineStr">
        <is>
          <t>Орш. А-522</t>
        </is>
      </c>
      <c r="U171" s="298" t="n"/>
    </row>
    <row r="172" ht="15.75" customHeight="1" s="2">
      <c r="E172" s="307" t="n">
        <v>3</v>
      </c>
      <c r="G172" s="296" t="n">
        <v>3</v>
      </c>
      <c r="H172" s="297" t="n">
        <v>3</v>
      </c>
      <c r="I172" s="133">
        <f>G172-H172</f>
        <v/>
      </c>
      <c r="J172" s="298" t="inlineStr">
        <is>
          <t>Технология прокатно-прессового производства</t>
        </is>
      </c>
      <c r="K172" s="298" t="inlineStr">
        <is>
          <t>Консультация</t>
        </is>
      </c>
      <c r="L172" s="298" t="inlineStr">
        <is>
          <t>Т11О-401Б-18</t>
        </is>
      </c>
      <c r="M172" s="297" t="n">
        <v>3</v>
      </c>
      <c r="N172" s="298" t="inlineStr">
        <is>
          <t>10858</t>
        </is>
      </c>
      <c r="O172" s="299" t="n"/>
      <c r="P172" s="298" t="inlineStr">
        <is>
          <t xml:space="preserve">81722     </t>
        </is>
      </c>
      <c r="Q172" s="298" t="inlineStr">
        <is>
          <t xml:space="preserve">Шленский Алексей Геннадьевич </t>
        </is>
      </c>
      <c r="R172" s="298" t="n"/>
      <c r="S172" s="298" t="inlineStr">
        <is>
          <t>Нет</t>
        </is>
      </c>
      <c r="T172" s="298" t="n"/>
      <c r="U172" s="298" t="n"/>
    </row>
    <row r="173" ht="15.75" customHeight="1" s="2">
      <c r="E173" s="300" t="n">
        <v>3</v>
      </c>
      <c r="G173" s="296" t="n">
        <v>1</v>
      </c>
      <c r="H173" s="297" t="n">
        <v>1</v>
      </c>
      <c r="I173" s="133">
        <f>G173-H173</f>
        <v/>
      </c>
      <c r="J173" s="298" t="inlineStr">
        <is>
          <t>Технология прокатно-прессового производства</t>
        </is>
      </c>
      <c r="K173" s="298" t="inlineStr">
        <is>
          <t>Консультация</t>
        </is>
      </c>
      <c r="L173" s="298" t="inlineStr">
        <is>
          <t>Т11О-401Б-18</t>
        </is>
      </c>
      <c r="M173" s="297" t="n">
        <v>1</v>
      </c>
      <c r="N173" s="298" t="inlineStr">
        <is>
          <t>10858</t>
        </is>
      </c>
      <c r="O173" s="299" t="n"/>
      <c r="P173" s="298" t="inlineStr">
        <is>
          <t xml:space="preserve">93685     </t>
        </is>
      </c>
      <c r="Q173" s="298" t="inlineStr">
        <is>
          <t xml:space="preserve">Банишев Александр Федорович </t>
        </is>
      </c>
      <c r="R173" s="298" t="inlineStr">
        <is>
          <t>профессор</t>
        </is>
      </c>
      <c r="S173" s="298" t="inlineStr">
        <is>
          <t>Да</t>
        </is>
      </c>
      <c r="T173" s="298" t="n"/>
      <c r="U173" s="298" t="n"/>
    </row>
    <row r="174" ht="15.75" customHeight="1" s="2">
      <c r="E174" s="300" t="n">
        <v>10</v>
      </c>
      <c r="G174" s="296" t="n">
        <v>18</v>
      </c>
      <c r="H174" s="297" t="n">
        <v>18</v>
      </c>
      <c r="I174" s="133">
        <f>G174-H174</f>
        <v/>
      </c>
      <c r="J174" s="298" t="inlineStr">
        <is>
          <t>Программирование и алгоритмизация</t>
        </is>
      </c>
      <c r="K174" s="298" t="inlineStr">
        <is>
          <t>ЛК</t>
        </is>
      </c>
      <c r="L174" s="298" t="inlineStr">
        <is>
          <t>Т11О-203Б-20</t>
        </is>
      </c>
      <c r="M174" s="297" t="n">
        <v>18</v>
      </c>
      <c r="N174" s="298" t="inlineStr">
        <is>
          <t>13288</t>
        </is>
      </c>
      <c r="O174" s="297" t="n">
        <v>18</v>
      </c>
      <c r="P174" s="298" t="inlineStr">
        <is>
          <t xml:space="preserve">81721     </t>
        </is>
      </c>
      <c r="Q174" s="298" t="inlineStr">
        <is>
          <t xml:space="preserve">Преображенский Евгений Владимирович </t>
        </is>
      </c>
      <c r="R174" s="298" t="n"/>
      <c r="S174" s="298" t="inlineStr">
        <is>
          <t>Нет</t>
        </is>
      </c>
      <c r="T174" s="298" t="inlineStr">
        <is>
          <t>Орш. А-525</t>
        </is>
      </c>
      <c r="U174" s="298" t="n"/>
    </row>
    <row r="175" ht="15.75" customHeight="1" s="2">
      <c r="E175" s="300" t="n">
        <v>16</v>
      </c>
      <c r="G175" s="296" t="n">
        <v>4</v>
      </c>
      <c r="H175" s="297" t="n">
        <v>4</v>
      </c>
      <c r="I175" s="133">
        <f>G175-H175</f>
        <v/>
      </c>
      <c r="J175" s="298" t="inlineStr">
        <is>
          <t>Программирование и алгоритмизация</t>
        </is>
      </c>
      <c r="K175" s="298" t="inlineStr">
        <is>
          <t>Зачет с оценкой</t>
        </is>
      </c>
      <c r="L175" s="298" t="inlineStr">
        <is>
          <t>Т11О-203Б-20</t>
        </is>
      </c>
      <c r="M175" s="297" t="n">
        <v>4</v>
      </c>
      <c r="N175" s="298" t="inlineStr">
        <is>
          <t>13288</t>
        </is>
      </c>
      <c r="O175" s="299" t="n"/>
      <c r="P175" s="298" t="inlineStr">
        <is>
          <t xml:space="preserve">81721     </t>
        </is>
      </c>
      <c r="Q175" s="298" t="inlineStr">
        <is>
          <t xml:space="preserve">Преображенский Евгений Владимирович </t>
        </is>
      </c>
      <c r="R175" s="298" t="n"/>
      <c r="S175" s="298" t="inlineStr">
        <is>
          <t>Нет</t>
        </is>
      </c>
      <c r="T175" s="298" t="n"/>
      <c r="U175" s="298" t="n"/>
    </row>
    <row r="176" ht="15.75" customHeight="1" s="2">
      <c r="E176" s="300" t="n">
        <v>2</v>
      </c>
      <c r="G176" s="296" t="n">
        <v>1</v>
      </c>
      <c r="H176" s="297" t="n">
        <v>1</v>
      </c>
      <c r="I176" s="133">
        <f>G176-H176</f>
        <v/>
      </c>
      <c r="J176" s="298" t="inlineStr">
        <is>
          <t>Программирование и алгоритмизация</t>
        </is>
      </c>
      <c r="K176" s="298" t="inlineStr">
        <is>
          <t>Зачет с оценкой</t>
        </is>
      </c>
      <c r="L176" s="298" t="inlineStr">
        <is>
          <t>Т11О-203Б-20</t>
        </is>
      </c>
      <c r="M176" s="297" t="n">
        <v>1</v>
      </c>
      <c r="N176" s="298" t="inlineStr">
        <is>
          <t>13288</t>
        </is>
      </c>
      <c r="O176" s="299" t="n"/>
      <c r="P176" s="298" t="inlineStr">
        <is>
          <t xml:space="preserve">93685     </t>
        </is>
      </c>
      <c r="Q176" s="298" t="inlineStr">
        <is>
          <t xml:space="preserve">Банишев Александр Федорович </t>
        </is>
      </c>
      <c r="R176" s="298" t="inlineStr">
        <is>
          <t>профессор</t>
        </is>
      </c>
      <c r="S176" s="298" t="inlineStr">
        <is>
          <t>Да</t>
        </is>
      </c>
      <c r="T176" s="298" t="n"/>
      <c r="U176" s="298" t="n"/>
    </row>
    <row r="177" ht="15.75" customHeight="1" s="2">
      <c r="E177" s="300" t="n">
        <v>1</v>
      </c>
      <c r="G177" s="296" t="n">
        <v>18</v>
      </c>
      <c r="H177" s="297" t="n">
        <v>18</v>
      </c>
      <c r="I177" s="133">
        <f>G177-H177</f>
        <v/>
      </c>
      <c r="J177" s="298" t="inlineStr">
        <is>
          <t>Программирование и алгоритмизация</t>
        </is>
      </c>
      <c r="K177" s="298" t="inlineStr">
        <is>
          <t>ПЗ</t>
        </is>
      </c>
      <c r="L177" s="298" t="inlineStr">
        <is>
          <t>Т11О-203Б-20</t>
        </is>
      </c>
      <c r="M177" s="297" t="n">
        <v>18</v>
      </c>
      <c r="N177" s="298" t="inlineStr">
        <is>
          <t>13288</t>
        </is>
      </c>
      <c r="O177" s="297" t="n">
        <v>18</v>
      </c>
      <c r="P177" s="298" t="inlineStr">
        <is>
          <t xml:space="preserve">81721     </t>
        </is>
      </c>
      <c r="Q177" s="298" t="inlineStr">
        <is>
          <t xml:space="preserve">Преображенский Евгений Владимирович </t>
        </is>
      </c>
      <c r="R177" s="298" t="n"/>
      <c r="S177" s="298" t="inlineStr">
        <is>
          <t>Нет</t>
        </is>
      </c>
      <c r="T177" s="298" t="inlineStr">
        <is>
          <t>Орш. А-525</t>
        </is>
      </c>
      <c r="U177" s="298" t="n"/>
    </row>
    <row r="178" ht="15.75" customHeight="1" s="2">
      <c r="E178" s="300" t="n">
        <v>40</v>
      </c>
      <c r="G178" s="296" t="n">
        <v>1</v>
      </c>
      <c r="H178" s="297" t="n">
        <v>1</v>
      </c>
      <c r="I178" s="133">
        <f>G178-H178</f>
        <v/>
      </c>
      <c r="J178" s="298" t="inlineStr">
        <is>
          <t>Программирование и алгоритмизация</t>
        </is>
      </c>
      <c r="K178" s="298" t="inlineStr">
        <is>
          <t>Консультация</t>
        </is>
      </c>
      <c r="L178" s="298" t="inlineStr">
        <is>
          <t>Т11О-203Б-20</t>
        </is>
      </c>
      <c r="M178" s="297" t="n">
        <v>1</v>
      </c>
      <c r="N178" s="298" t="inlineStr">
        <is>
          <t>13288</t>
        </is>
      </c>
      <c r="O178" s="299" t="n"/>
      <c r="P178" s="298" t="inlineStr">
        <is>
          <t xml:space="preserve">81721     </t>
        </is>
      </c>
      <c r="Q178" s="298" t="inlineStr">
        <is>
          <t xml:space="preserve">Преображенский Евгений Владимирович </t>
        </is>
      </c>
      <c r="R178" s="298" t="n"/>
      <c r="S178" s="298" t="inlineStr">
        <is>
          <t>Нет</t>
        </is>
      </c>
      <c r="T178" s="298" t="n"/>
      <c r="U178" s="298" t="n"/>
    </row>
    <row r="179" ht="15.75" customHeight="1" s="2">
      <c r="E179" s="300" t="n">
        <v>68</v>
      </c>
      <c r="G179" s="296" t="n">
        <v>16</v>
      </c>
      <c r="H179" s="297" t="n">
        <v>16</v>
      </c>
      <c r="I179" s="133">
        <f>G179-H179</f>
        <v/>
      </c>
      <c r="J179" s="298" t="inlineStr">
        <is>
          <t>Средства автоматизации и управления</t>
        </is>
      </c>
      <c r="K179" s="298" t="inlineStr">
        <is>
          <t>ЛК</t>
        </is>
      </c>
      <c r="L179" s="298" t="inlineStr">
        <is>
          <t>Т11О-404Б-18</t>
        </is>
      </c>
      <c r="M179" s="297" t="n">
        <v>16</v>
      </c>
      <c r="N179" s="298" t="inlineStr">
        <is>
          <t>08770</t>
        </is>
      </c>
      <c r="O179" s="297" t="n">
        <v>16</v>
      </c>
      <c r="P179" s="298" t="inlineStr">
        <is>
          <t xml:space="preserve">81721     </t>
        </is>
      </c>
      <c r="Q179" s="298" t="inlineStr">
        <is>
          <t xml:space="preserve">Преображенский Евгений Владимирович </t>
        </is>
      </c>
      <c r="R179" s="298" t="n"/>
      <c r="S179" s="298" t="inlineStr">
        <is>
          <t>Нет</t>
        </is>
      </c>
      <c r="T179" s="298" t="inlineStr">
        <is>
          <t>Орш. А-525</t>
        </is>
      </c>
      <c r="U179" s="298" t="n"/>
    </row>
    <row r="180" ht="15.75" customHeight="1" s="2">
      <c r="E180" s="300" t="n">
        <v>6</v>
      </c>
      <c r="G180" s="296" t="n">
        <v>16</v>
      </c>
      <c r="H180" s="297" t="n">
        <v>16</v>
      </c>
      <c r="I180" s="133">
        <f>G180-H180</f>
        <v/>
      </c>
      <c r="J180" s="298" t="inlineStr">
        <is>
          <t>Средства автоматизации и управления</t>
        </is>
      </c>
      <c r="K180" s="298" t="inlineStr">
        <is>
          <t>ПЗ</t>
        </is>
      </c>
      <c r="L180" s="298" t="inlineStr">
        <is>
          <t>Т11О-404Б-18</t>
        </is>
      </c>
      <c r="M180" s="297" t="n">
        <v>16</v>
      </c>
      <c r="N180" s="298" t="inlineStr">
        <is>
          <t>08770</t>
        </is>
      </c>
      <c r="O180" s="297" t="n">
        <v>16</v>
      </c>
      <c r="P180" s="298" t="inlineStr">
        <is>
          <t xml:space="preserve">81721     </t>
        </is>
      </c>
      <c r="Q180" s="298" t="inlineStr">
        <is>
          <t xml:space="preserve">Преображенский Евгений Владимирович </t>
        </is>
      </c>
      <c r="R180" s="298" t="n"/>
      <c r="S180" s="298" t="inlineStr">
        <is>
          <t>Нет</t>
        </is>
      </c>
      <c r="T180" s="298" t="inlineStr">
        <is>
          <t>Орш. А-525</t>
        </is>
      </c>
      <c r="U180" s="298" t="n"/>
    </row>
    <row r="181" ht="15.75" customHeight="1" s="2">
      <c r="E181" s="300" t="n">
        <v>2</v>
      </c>
      <c r="G181" s="296" t="n">
        <v>16</v>
      </c>
      <c r="H181" s="297" t="n">
        <v>16</v>
      </c>
      <c r="I181" s="133">
        <f>G181-H181</f>
        <v/>
      </c>
      <c r="J181" s="298" t="inlineStr">
        <is>
          <t>Средства автоматизации и управления</t>
        </is>
      </c>
      <c r="K181" s="298" t="inlineStr">
        <is>
          <t>ЛР</t>
        </is>
      </c>
      <c r="L181" s="298" t="inlineStr">
        <is>
          <t>Т11О-404Б-18</t>
        </is>
      </c>
      <c r="M181" s="297" t="n">
        <v>16</v>
      </c>
      <c r="N181" s="298" t="inlineStr">
        <is>
          <t>08770</t>
        </is>
      </c>
      <c r="O181" s="297" t="n">
        <v>8</v>
      </c>
      <c r="P181" s="298" t="inlineStr">
        <is>
          <t xml:space="preserve">81721     </t>
        </is>
      </c>
      <c r="Q181" s="298" t="inlineStr">
        <is>
          <t xml:space="preserve">Преображенский Евгений Владимирович </t>
        </is>
      </c>
      <c r="R181" s="298" t="n"/>
      <c r="S181" s="298" t="inlineStr">
        <is>
          <t>Нет</t>
        </is>
      </c>
      <c r="T181" s="298" t="inlineStr">
        <is>
          <t>Орш. А-525</t>
        </is>
      </c>
      <c r="U181" s="298" t="n"/>
    </row>
    <row r="182" ht="15.75" customHeight="1" s="2">
      <c r="E182" s="300" t="n">
        <v>3</v>
      </c>
      <c r="G182" s="296" t="n">
        <v>4</v>
      </c>
      <c r="H182" s="297" t="n">
        <v>4</v>
      </c>
      <c r="I182" s="133">
        <f>G182-H182</f>
        <v/>
      </c>
      <c r="J182" s="298" t="inlineStr">
        <is>
          <t>Средства автоматизации и управления</t>
        </is>
      </c>
      <c r="K182" s="298" t="inlineStr">
        <is>
          <t>Зачет</t>
        </is>
      </c>
      <c r="L182" s="298" t="inlineStr">
        <is>
          <t>Т11О-404Б-18</t>
        </is>
      </c>
      <c r="M182" s="297" t="n">
        <v>4</v>
      </c>
      <c r="N182" s="298" t="inlineStr">
        <is>
          <t>08770</t>
        </is>
      </c>
      <c r="O182" s="299" t="n"/>
      <c r="P182" s="298" t="inlineStr">
        <is>
          <t xml:space="preserve">81721     </t>
        </is>
      </c>
      <c r="Q182" s="298" t="inlineStr">
        <is>
          <t xml:space="preserve">Преображенский Евгений Владимирович </t>
        </is>
      </c>
      <c r="R182" s="298" t="n"/>
      <c r="S182" s="298" t="inlineStr">
        <is>
          <t>Нет</t>
        </is>
      </c>
      <c r="T182" s="298" t="inlineStr">
        <is>
          <t>Орш. А-525</t>
        </is>
      </c>
      <c r="U182" s="298" t="n"/>
    </row>
    <row r="183" ht="15.75" customHeight="1" s="2">
      <c r="E183" s="300" t="n">
        <v>1</v>
      </c>
      <c r="G183" s="296" t="n">
        <v>2</v>
      </c>
      <c r="H183" s="297" t="n">
        <v>2</v>
      </c>
      <c r="I183" s="133">
        <f>G183-H183</f>
        <v/>
      </c>
      <c r="J183" s="298" t="inlineStr">
        <is>
          <t>Средства автоматизации и управления</t>
        </is>
      </c>
      <c r="K183" s="298" t="inlineStr">
        <is>
          <t>Зачет</t>
        </is>
      </c>
      <c r="L183" s="298" t="inlineStr">
        <is>
          <t>Т11О-404Б-18</t>
        </is>
      </c>
      <c r="M183" s="297" t="n">
        <v>2</v>
      </c>
      <c r="N183" s="298" t="inlineStr">
        <is>
          <t>08770</t>
        </is>
      </c>
      <c r="O183" s="299" t="n"/>
      <c r="P183" s="298" t="inlineStr">
        <is>
          <t xml:space="preserve">93685     </t>
        </is>
      </c>
      <c r="Q183" s="298" t="inlineStr">
        <is>
          <t xml:space="preserve">Банишев Александр Федорович </t>
        </is>
      </c>
      <c r="R183" s="298" t="inlineStr">
        <is>
          <t>профессор</t>
        </is>
      </c>
      <c r="S183" s="298" t="inlineStr">
        <is>
          <t>Да</t>
        </is>
      </c>
      <c r="T183" s="298" t="inlineStr">
        <is>
          <t>Орш. А-525</t>
        </is>
      </c>
      <c r="U183" s="298" t="n"/>
    </row>
    <row r="184" ht="15.75" customHeight="1" s="2">
      <c r="E184" s="300" t="n">
        <v>18</v>
      </c>
      <c r="G184" s="296" t="n">
        <v>1</v>
      </c>
      <c r="H184" s="297" t="n">
        <v>1</v>
      </c>
      <c r="I184" s="133">
        <f>G184-H184</f>
        <v/>
      </c>
      <c r="J184" s="298" t="inlineStr">
        <is>
          <t>Средства автоматизации и управления</t>
        </is>
      </c>
      <c r="K184" s="298" t="inlineStr">
        <is>
          <t>Консультация</t>
        </is>
      </c>
      <c r="L184" s="298" t="inlineStr">
        <is>
          <t>Т11О-404Б-18</t>
        </is>
      </c>
      <c r="M184" s="297" t="n">
        <v>1</v>
      </c>
      <c r="N184" s="298" t="inlineStr">
        <is>
          <t>08770</t>
        </is>
      </c>
      <c r="O184" s="299" t="n"/>
      <c r="P184" s="298" t="inlineStr">
        <is>
          <t xml:space="preserve">81721     </t>
        </is>
      </c>
      <c r="Q184" s="298" t="inlineStr">
        <is>
          <t xml:space="preserve">Преображенский Евгений Владимирович </t>
        </is>
      </c>
      <c r="R184" s="298" t="n"/>
      <c r="S184" s="298" t="inlineStr">
        <is>
          <t>Нет</t>
        </is>
      </c>
      <c r="T184" s="298" t="inlineStr">
        <is>
          <t>Орш. А-525</t>
        </is>
      </c>
      <c r="U184" s="298" t="n"/>
    </row>
    <row r="185" ht="15.75" customHeight="1" s="2">
      <c r="E185" s="300" t="n">
        <v>4</v>
      </c>
      <c r="G185" s="296" t="n">
        <v>16</v>
      </c>
      <c r="H185" s="297" t="n">
        <v>16</v>
      </c>
      <c r="I185" s="133">
        <f>G185-H185</f>
        <v/>
      </c>
      <c r="J185" s="298" t="inlineStr">
        <is>
          <t>Технологические процессы автоматизированных производств</t>
        </is>
      </c>
      <c r="K185" s="298" t="inlineStr">
        <is>
          <t>ЛК</t>
        </is>
      </c>
      <c r="L185" s="298" t="inlineStr">
        <is>
          <t>Т11О-404Б-18</t>
        </is>
      </c>
      <c r="M185" s="297" t="n">
        <v>16</v>
      </c>
      <c r="N185" s="298" t="inlineStr">
        <is>
          <t>08770</t>
        </is>
      </c>
      <c r="O185" s="297" t="n">
        <v>16</v>
      </c>
      <c r="P185" s="298" t="inlineStr">
        <is>
          <t xml:space="preserve">81721     </t>
        </is>
      </c>
      <c r="Q185" s="298" t="inlineStr">
        <is>
          <t xml:space="preserve">Преображенский Евгений Владимирович </t>
        </is>
      </c>
      <c r="R185" s="298" t="n"/>
      <c r="S185" s="298" t="inlineStr">
        <is>
          <t>Нет</t>
        </is>
      </c>
      <c r="T185" s="298" t="inlineStr">
        <is>
          <t>Орш. А-525</t>
        </is>
      </c>
      <c r="U185" s="298" t="inlineStr">
        <is>
          <t>кроме понедельника и пятницы</t>
        </is>
      </c>
    </row>
    <row r="186" ht="15.75" customHeight="1" s="2">
      <c r="E186" s="300" t="n">
        <v>1</v>
      </c>
      <c r="G186" s="296" t="n">
        <v>4</v>
      </c>
      <c r="H186" s="297" t="n">
        <v>4</v>
      </c>
      <c r="I186" s="133">
        <f>G186-H186</f>
        <v/>
      </c>
      <c r="J186" s="298" t="inlineStr">
        <is>
          <t>Технологические процессы автоматизированных производств</t>
        </is>
      </c>
      <c r="K186" s="298" t="inlineStr">
        <is>
          <t>Зачет с оценкой</t>
        </is>
      </c>
      <c r="L186" s="298" t="inlineStr">
        <is>
          <t>Т11О-404Б-18</t>
        </is>
      </c>
      <c r="M186" s="297" t="n">
        <v>4</v>
      </c>
      <c r="N186" s="298" t="inlineStr">
        <is>
          <t>08770</t>
        </is>
      </c>
      <c r="O186" s="299" t="n"/>
      <c r="P186" s="298" t="inlineStr">
        <is>
          <t xml:space="preserve">81721     </t>
        </is>
      </c>
      <c r="Q186" s="298" t="inlineStr">
        <is>
          <t xml:space="preserve">Преображенский Евгений Владимирович </t>
        </is>
      </c>
      <c r="R186" s="298" t="n"/>
      <c r="S186" s="298" t="inlineStr">
        <is>
          <t>Нет</t>
        </is>
      </c>
      <c r="T186" s="298" t="inlineStr">
        <is>
          <t>Орш. А-525</t>
        </is>
      </c>
      <c r="U186" s="298" t="inlineStr">
        <is>
          <t>кроме понедельника и пятницы</t>
        </is>
      </c>
    </row>
    <row r="187" ht="15.75" customHeight="1" s="2">
      <c r="E187" s="300" t="n">
        <v>18</v>
      </c>
      <c r="G187" s="296" t="n">
        <v>2</v>
      </c>
      <c r="H187" s="297" t="n">
        <v>2</v>
      </c>
      <c r="I187" s="133">
        <f>G187-H187</f>
        <v/>
      </c>
      <c r="J187" s="298" t="inlineStr">
        <is>
          <t>Технологические процессы автоматизированных производств</t>
        </is>
      </c>
      <c r="K187" s="298" t="inlineStr">
        <is>
          <t>Зачет с оценкой</t>
        </is>
      </c>
      <c r="L187" s="298" t="inlineStr">
        <is>
          <t>Т11О-404Б-18</t>
        </is>
      </c>
      <c r="M187" s="297" t="n">
        <v>2</v>
      </c>
      <c r="N187" s="298" t="inlineStr">
        <is>
          <t>08770</t>
        </is>
      </c>
      <c r="O187" s="299" t="n"/>
      <c r="P187" s="298" t="inlineStr">
        <is>
          <t xml:space="preserve">93685     </t>
        </is>
      </c>
      <c r="Q187" s="298" t="inlineStr">
        <is>
          <t xml:space="preserve">Банишев Александр Федорович </t>
        </is>
      </c>
      <c r="R187" s="298" t="inlineStr">
        <is>
          <t>профессор</t>
        </is>
      </c>
      <c r="S187" s="298" t="inlineStr">
        <is>
          <t>Да</t>
        </is>
      </c>
      <c r="T187" s="298" t="n"/>
      <c r="U187" s="298" t="n"/>
    </row>
    <row r="188" ht="15.75" customHeight="1" s="2">
      <c r="E188" s="300" t="n">
        <v>1</v>
      </c>
      <c r="G188" s="296" t="n">
        <v>32</v>
      </c>
      <c r="H188" s="297" t="n">
        <v>32</v>
      </c>
      <c r="I188" s="133">
        <f>G188-H188</f>
        <v/>
      </c>
      <c r="J188" s="298" t="inlineStr">
        <is>
          <t>Технологические процессы автоматизированных производств</t>
        </is>
      </c>
      <c r="K188" s="298" t="inlineStr">
        <is>
          <t>ПЗ</t>
        </is>
      </c>
      <c r="L188" s="298" t="inlineStr">
        <is>
          <t>Т11О-404Б-18</t>
        </is>
      </c>
      <c r="M188" s="297" t="n">
        <v>32</v>
      </c>
      <c r="N188" s="298" t="inlineStr">
        <is>
          <t>08770</t>
        </is>
      </c>
      <c r="O188" s="297" t="n">
        <v>32</v>
      </c>
      <c r="P188" s="298" t="inlineStr">
        <is>
          <t xml:space="preserve">81721     </t>
        </is>
      </c>
      <c r="Q188" s="298" t="inlineStr">
        <is>
          <t xml:space="preserve">Преображенский Евгений Владимирович </t>
        </is>
      </c>
      <c r="R188" s="298" t="n"/>
      <c r="S188" s="298" t="inlineStr">
        <is>
          <t>Нет</t>
        </is>
      </c>
      <c r="T188" s="298" t="inlineStr">
        <is>
          <t>Орш. А-525</t>
        </is>
      </c>
      <c r="U188" s="298" t="inlineStr">
        <is>
          <t>кроме понедельника и пятницы</t>
        </is>
      </c>
    </row>
    <row r="189" ht="15.75" customHeight="1" s="2">
      <c r="E189" s="300" t="n">
        <v>16</v>
      </c>
      <c r="G189" s="296" t="n">
        <v>16</v>
      </c>
      <c r="H189" s="297" t="n">
        <v>16</v>
      </c>
      <c r="I189" s="133">
        <f>G189-H189</f>
        <v/>
      </c>
      <c r="J189" s="298" t="inlineStr">
        <is>
          <t>Технологические процессы автоматизированных производств</t>
        </is>
      </c>
      <c r="K189" s="298" t="inlineStr">
        <is>
          <t>ЛР</t>
        </is>
      </c>
      <c r="L189" s="298" t="inlineStr">
        <is>
          <t>Т11О-404Б-18</t>
        </is>
      </c>
      <c r="M189" s="297" t="n">
        <v>16</v>
      </c>
      <c r="N189" s="298" t="inlineStr">
        <is>
          <t>08770</t>
        </is>
      </c>
      <c r="O189" s="297" t="n">
        <v>8</v>
      </c>
      <c r="P189" s="298" t="inlineStr">
        <is>
          <t xml:space="preserve">81721     </t>
        </is>
      </c>
      <c r="Q189" s="298" t="inlineStr">
        <is>
          <t xml:space="preserve">Преображенский Евгений Владимирович </t>
        </is>
      </c>
      <c r="R189" s="298" t="n"/>
      <c r="S189" s="298" t="inlineStr">
        <is>
          <t>Нет</t>
        </is>
      </c>
      <c r="T189" s="298" t="inlineStr">
        <is>
          <t>Орш. А-525</t>
        </is>
      </c>
      <c r="U189" s="298" t="inlineStr">
        <is>
          <t>кроме понедельника и пятницы</t>
        </is>
      </c>
    </row>
    <row r="190" ht="15.75" customHeight="1" s="2">
      <c r="E190" s="300" t="n">
        <v>16</v>
      </c>
      <c r="G190" s="296" t="n">
        <v>1</v>
      </c>
      <c r="H190" s="297" t="n">
        <v>1</v>
      </c>
      <c r="I190" s="133">
        <f>G190-H190</f>
        <v/>
      </c>
      <c r="J190" s="298" t="inlineStr">
        <is>
          <t>Технологические процессы автоматизированных производств</t>
        </is>
      </c>
      <c r="K190" s="298" t="inlineStr">
        <is>
          <t>Консультация</t>
        </is>
      </c>
      <c r="L190" s="298" t="inlineStr">
        <is>
          <t>Т11О-404Б-18</t>
        </is>
      </c>
      <c r="M190" s="297" t="n">
        <v>1</v>
      </c>
      <c r="N190" s="298" t="inlineStr">
        <is>
          <t>08770</t>
        </is>
      </c>
      <c r="O190" s="299" t="n"/>
      <c r="P190" s="298" t="inlineStr">
        <is>
          <t xml:space="preserve">81721     </t>
        </is>
      </c>
      <c r="Q190" s="298" t="inlineStr">
        <is>
          <t xml:space="preserve">Преображенский Евгений Владимирович </t>
        </is>
      </c>
      <c r="R190" s="298" t="n"/>
      <c r="S190" s="298" t="inlineStr">
        <is>
          <t>Нет</t>
        </is>
      </c>
      <c r="T190" s="298" t="inlineStr">
        <is>
          <t>Орш. А-525</t>
        </is>
      </c>
      <c r="U190" s="298" t="inlineStr">
        <is>
          <t>кроме понедельника и пятницы</t>
        </is>
      </c>
    </row>
    <row r="191" ht="15.75" customHeight="1" s="2">
      <c r="E191" s="300" t="n">
        <v>16</v>
      </c>
      <c r="G191" s="296" t="n">
        <v>24</v>
      </c>
      <c r="H191" s="297" t="n">
        <v>24</v>
      </c>
      <c r="I191" s="133">
        <f>G191-H191</f>
        <v/>
      </c>
      <c r="J191" s="298" t="inlineStr">
        <is>
          <t>Основы технологии и организации получения продукции методами КШП</t>
        </is>
      </c>
      <c r="K191" s="298" t="inlineStr">
        <is>
          <t>ЛК</t>
        </is>
      </c>
      <c r="L191" s="298" t="inlineStr">
        <is>
          <t>Т11О-404Б-18</t>
        </is>
      </c>
      <c r="M191" s="297" t="n">
        <v>24</v>
      </c>
      <c r="N191" s="298" t="inlineStr">
        <is>
          <t>08770</t>
        </is>
      </c>
      <c r="O191" s="297" t="n">
        <v>24</v>
      </c>
      <c r="P191" s="298" t="inlineStr">
        <is>
          <t xml:space="preserve">81729     </t>
        </is>
      </c>
      <c r="Q191" s="298" t="inlineStr">
        <is>
          <t xml:space="preserve">Соколов Алексей Викторович </t>
        </is>
      </c>
      <c r="R191" s="298" t="n"/>
      <c r="S191" s="298" t="inlineStr">
        <is>
          <t>Нет</t>
        </is>
      </c>
      <c r="T191" s="298" t="inlineStr">
        <is>
          <t>Орш. А-523</t>
        </is>
      </c>
      <c r="U191" s="298" t="inlineStr">
        <is>
          <t xml:space="preserve">Кроме пятницы. с 10-45 и позже </t>
        </is>
      </c>
    </row>
    <row r="192" ht="15.75" customHeight="1" s="2">
      <c r="E192" s="300" t="n">
        <v>4</v>
      </c>
      <c r="G192" s="296" t="n">
        <v>4</v>
      </c>
      <c r="H192" s="297" t="n">
        <v>4</v>
      </c>
      <c r="I192" s="133">
        <f>G192-H192</f>
        <v/>
      </c>
      <c r="J192" s="298" t="inlineStr">
        <is>
          <t>Основы технологии и организации получения продукции методами КШП</t>
        </is>
      </c>
      <c r="K192" s="298" t="inlineStr">
        <is>
          <t>Зачет с оценкой</t>
        </is>
      </c>
      <c r="L192" s="298" t="inlineStr">
        <is>
          <t>Т11О-404Б-18</t>
        </is>
      </c>
      <c r="M192" s="297" t="n">
        <v>4</v>
      </c>
      <c r="N192" s="298" t="inlineStr">
        <is>
          <t>08770</t>
        </is>
      </c>
      <c r="O192" s="299" t="n"/>
      <c r="P192" s="298" t="inlineStr">
        <is>
          <t xml:space="preserve">81729     </t>
        </is>
      </c>
      <c r="Q192" s="298" t="inlineStr">
        <is>
          <t xml:space="preserve">Соколов Алексей Викторович </t>
        </is>
      </c>
      <c r="R192" s="298" t="n"/>
      <c r="S192" s="298" t="inlineStr">
        <is>
          <t>Нет</t>
        </is>
      </c>
      <c r="T192" s="298" t="n"/>
      <c r="U192" s="298" t="inlineStr">
        <is>
          <t xml:space="preserve">Кроме пятницы. с 10-45 и позже </t>
        </is>
      </c>
    </row>
    <row r="193" ht="15.75" customHeight="1" s="2">
      <c r="E193" s="300" t="n">
        <v>2</v>
      </c>
      <c r="G193" s="296" t="n">
        <v>2</v>
      </c>
      <c r="H193" s="297" t="n">
        <v>2</v>
      </c>
      <c r="I193" s="133">
        <f>G193-H193</f>
        <v/>
      </c>
      <c r="J193" s="298" t="inlineStr">
        <is>
          <t>Основы технологии и организации получения продукции методами КШП</t>
        </is>
      </c>
      <c r="K193" s="298" t="inlineStr">
        <is>
          <t>Зачет с оценкой</t>
        </is>
      </c>
      <c r="L193" s="298" t="inlineStr">
        <is>
          <t>Т11О-404Б-18</t>
        </is>
      </c>
      <c r="M193" s="297" t="n">
        <v>2</v>
      </c>
      <c r="N193" s="298" t="inlineStr">
        <is>
          <t>08770</t>
        </is>
      </c>
      <c r="O193" s="299" t="n"/>
      <c r="P193" s="298" t="inlineStr">
        <is>
          <t xml:space="preserve">93685     </t>
        </is>
      </c>
      <c r="Q193" s="298" t="inlineStr">
        <is>
          <t xml:space="preserve">Банишев Александр Федорович </t>
        </is>
      </c>
      <c r="R193" s="298" t="inlineStr">
        <is>
          <t>профессор</t>
        </is>
      </c>
      <c r="S193" s="298" t="inlineStr">
        <is>
          <t>Да</t>
        </is>
      </c>
      <c r="T193" s="298" t="n"/>
      <c r="U193" s="298" t="inlineStr">
        <is>
          <t>кроме пятницы</t>
        </is>
      </c>
    </row>
    <row r="194" ht="15.75" customHeight="1" s="2">
      <c r="E194" s="300" t="n">
        <v>1</v>
      </c>
      <c r="G194" s="296" t="n">
        <v>40</v>
      </c>
      <c r="H194" s="297" t="n">
        <v>40</v>
      </c>
      <c r="I194" s="133">
        <f>G194-H194</f>
        <v/>
      </c>
      <c r="J194" s="298" t="inlineStr">
        <is>
          <t>Основы технологии и организации получения продукции методами КШП</t>
        </is>
      </c>
      <c r="K194" s="298" t="inlineStr">
        <is>
          <t>ПЗ</t>
        </is>
      </c>
      <c r="L194" s="298" t="inlineStr">
        <is>
          <t>Т11О-404Б-18</t>
        </is>
      </c>
      <c r="M194" s="297" t="n">
        <v>40</v>
      </c>
      <c r="N194" s="298" t="inlineStr">
        <is>
          <t>08770</t>
        </is>
      </c>
      <c r="O194" s="297" t="n">
        <v>40</v>
      </c>
      <c r="P194" s="298" t="inlineStr">
        <is>
          <t xml:space="preserve">81729     </t>
        </is>
      </c>
      <c r="Q194" s="298" t="inlineStr">
        <is>
          <t xml:space="preserve">Соколов Алексей Викторович </t>
        </is>
      </c>
      <c r="R194" s="298" t="n"/>
      <c r="S194" s="298" t="inlineStr">
        <is>
          <t>Нет</t>
        </is>
      </c>
      <c r="T194" s="298" t="inlineStr">
        <is>
          <t>Орш. А-521</t>
        </is>
      </c>
      <c r="U194" s="298" t="inlineStr">
        <is>
          <t xml:space="preserve">Кроме пятницы. с 10-45 и позже </t>
        </is>
      </c>
    </row>
    <row r="195" ht="15.75" customHeight="1" s="2">
      <c r="E195" s="300" t="n">
        <v>16</v>
      </c>
      <c r="G195" s="296" t="n">
        <v>1</v>
      </c>
      <c r="H195" s="297" t="n">
        <v>1</v>
      </c>
      <c r="I195" s="133">
        <f>G195-H195</f>
        <v/>
      </c>
      <c r="J195" s="298" t="inlineStr">
        <is>
          <t>Основы технологии и организации получения продукции методами КШП</t>
        </is>
      </c>
      <c r="K195" s="298" t="inlineStr">
        <is>
          <t>Консультация</t>
        </is>
      </c>
      <c r="L195" s="298" t="inlineStr">
        <is>
          <t>Т11О-404Б-18</t>
        </is>
      </c>
      <c r="M195" s="297" t="n">
        <v>1</v>
      </c>
      <c r="N195" s="298" t="inlineStr">
        <is>
          <t>08770</t>
        </is>
      </c>
      <c r="O195" s="299" t="n"/>
      <c r="P195" s="298" t="inlineStr">
        <is>
          <t xml:space="preserve">81729     </t>
        </is>
      </c>
      <c r="Q195" s="298" t="inlineStr">
        <is>
          <t xml:space="preserve">Соколов Алексей Викторович </t>
        </is>
      </c>
      <c r="R195" s="298" t="n"/>
      <c r="S195" s="298" t="inlineStr">
        <is>
          <t>Нет</t>
        </is>
      </c>
      <c r="T195" s="298" t="n"/>
      <c r="U195" s="298" t="inlineStr">
        <is>
          <t xml:space="preserve">Кроме пятницы. с 10-45 и позже </t>
        </is>
      </c>
    </row>
    <row r="196" ht="15.75" customHeight="1" s="2">
      <c r="E196" s="300" t="n">
        <v>4</v>
      </c>
      <c r="G196" s="296" t="n">
        <v>32</v>
      </c>
      <c r="H196" s="297" t="n">
        <v>32</v>
      </c>
      <c r="I196" s="133">
        <f>G196-H196</f>
        <v/>
      </c>
      <c r="J196" s="298" t="inlineStr">
        <is>
          <t>Методы управления информационными и материальными потоками</t>
        </is>
      </c>
      <c r="K196" s="298" t="inlineStr">
        <is>
          <t>ЛК</t>
        </is>
      </c>
      <c r="L196" s="298" t="inlineStr">
        <is>
          <t>Т11О-404Б-18</t>
        </is>
      </c>
      <c r="M196" s="297" t="n">
        <v>32</v>
      </c>
      <c r="N196" s="298" t="inlineStr">
        <is>
          <t>08770</t>
        </is>
      </c>
      <c r="O196" s="297" t="n">
        <v>32</v>
      </c>
      <c r="P196" s="298" t="inlineStr">
        <is>
          <t xml:space="preserve">81716     </t>
        </is>
      </c>
      <c r="Q196" s="298" t="inlineStr">
        <is>
          <t xml:space="preserve">Жаров Максим Владимирович </t>
        </is>
      </c>
      <c r="R196" s="298" t="n"/>
      <c r="S196" s="298" t="inlineStr">
        <is>
          <t>Нет</t>
        </is>
      </c>
      <c r="T196" s="298" t="inlineStr">
        <is>
          <t>Орш. А-523</t>
        </is>
      </c>
      <c r="U196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197" ht="15.75" customHeight="1" s="2">
      <c r="E197" s="300" t="n">
        <v>2</v>
      </c>
      <c r="G197" s="296" t="n">
        <v>32</v>
      </c>
      <c r="H197" s="297" t="n">
        <v>32</v>
      </c>
      <c r="I197" s="133">
        <f>G197-H197</f>
        <v/>
      </c>
      <c r="J197" s="298" t="inlineStr">
        <is>
          <t>Методы управления информационными и материальными потоками</t>
        </is>
      </c>
      <c r="K197" s="298" t="inlineStr">
        <is>
          <t>ПЗ</t>
        </is>
      </c>
      <c r="L197" s="298" t="inlineStr">
        <is>
          <t>Т11О-404Б-18</t>
        </is>
      </c>
      <c r="M197" s="297" t="n">
        <v>32</v>
      </c>
      <c r="N197" s="298" t="inlineStr">
        <is>
          <t>08770</t>
        </is>
      </c>
      <c r="O197" s="297" t="n">
        <v>32</v>
      </c>
      <c r="P197" s="298" t="inlineStr">
        <is>
          <t xml:space="preserve">81716     </t>
        </is>
      </c>
      <c r="Q197" s="298" t="inlineStr">
        <is>
          <t xml:space="preserve">Жаров Максим Владимирович </t>
        </is>
      </c>
      <c r="R197" s="298" t="n"/>
      <c r="S197" s="298" t="inlineStr">
        <is>
          <t>Нет</t>
        </is>
      </c>
      <c r="T197" s="298" t="inlineStr">
        <is>
          <t>Орш. А-521</t>
        </is>
      </c>
      <c r="U197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198" ht="15.75" customHeight="1" s="2">
      <c r="E198" s="300" t="n">
        <v>32</v>
      </c>
      <c r="G198" s="296" t="n">
        <v>6</v>
      </c>
      <c r="H198" s="297" t="n">
        <v>6</v>
      </c>
      <c r="I198" s="133">
        <f>G198-H198</f>
        <v/>
      </c>
      <c r="J198" s="298" t="inlineStr">
        <is>
          <t>Методы управления информационными и материальными потоками</t>
        </is>
      </c>
      <c r="K198" s="298" t="inlineStr">
        <is>
          <t>Экзамен</t>
        </is>
      </c>
      <c r="L198" s="298" t="inlineStr">
        <is>
          <t>Т11О-404Б-18</t>
        </is>
      </c>
      <c r="M198" s="297" t="n">
        <v>6</v>
      </c>
      <c r="N198" s="298" t="inlineStr">
        <is>
          <t>08770</t>
        </is>
      </c>
      <c r="O198" s="299" t="n"/>
      <c r="P198" s="298" t="inlineStr">
        <is>
          <t xml:space="preserve">81716     </t>
        </is>
      </c>
      <c r="Q198" s="298" t="inlineStr">
        <is>
          <t xml:space="preserve">Жаров Максим Владимирович </t>
        </is>
      </c>
      <c r="R198" s="298" t="n"/>
      <c r="S198" s="298" t="inlineStr">
        <is>
          <t>Нет</t>
        </is>
      </c>
      <c r="T198" s="298" t="n"/>
      <c r="U198" s="298" t="n"/>
    </row>
    <row r="199" ht="15.75" customHeight="1" s="2">
      <c r="E199" s="300" t="n">
        <v>16</v>
      </c>
      <c r="G199" s="296" t="n">
        <v>3</v>
      </c>
      <c r="H199" s="297" t="n">
        <v>3</v>
      </c>
      <c r="I199" s="133">
        <f>G199-H199</f>
        <v/>
      </c>
      <c r="J199" s="298" t="inlineStr">
        <is>
          <t>Методы управления информационными и материальными потоками</t>
        </is>
      </c>
      <c r="K199" s="298" t="inlineStr">
        <is>
          <t>Экзамен</t>
        </is>
      </c>
      <c r="L199" s="298" t="inlineStr">
        <is>
          <t>Т11О-404Б-18</t>
        </is>
      </c>
      <c r="M199" s="297" t="n">
        <v>3</v>
      </c>
      <c r="N199" s="298" t="inlineStr">
        <is>
          <t>08770</t>
        </is>
      </c>
      <c r="O199" s="299" t="n"/>
      <c r="P199" s="298" t="inlineStr">
        <is>
          <t xml:space="preserve">93685     </t>
        </is>
      </c>
      <c r="Q199" s="298" t="inlineStr">
        <is>
          <t xml:space="preserve">Банишев Александр Федорович </t>
        </is>
      </c>
      <c r="R199" s="298" t="inlineStr">
        <is>
          <t>профессор</t>
        </is>
      </c>
      <c r="S199" s="298" t="inlineStr">
        <is>
          <t>Да</t>
        </is>
      </c>
      <c r="T199" s="298" t="n"/>
      <c r="U199" s="298" t="inlineStr">
        <is>
          <t>по первым неделям</t>
        </is>
      </c>
    </row>
    <row r="200" ht="15.75" customHeight="1" s="2">
      <c r="E200" s="300" t="n">
        <v>1</v>
      </c>
      <c r="G200" s="296" t="n">
        <v>4</v>
      </c>
      <c r="H200" s="297" t="n">
        <v>4</v>
      </c>
      <c r="I200" s="133">
        <f>G200-H200</f>
        <v/>
      </c>
      <c r="J200" s="298" t="inlineStr">
        <is>
          <t>Методы управления информационными и материальными потоками</t>
        </is>
      </c>
      <c r="K200" s="298" t="inlineStr">
        <is>
          <t>Консультация</t>
        </is>
      </c>
      <c r="L200" s="298" t="inlineStr">
        <is>
          <t>Т11О-404Б-18</t>
        </is>
      </c>
      <c r="M200" s="297" t="n">
        <v>4</v>
      </c>
      <c r="N200" s="298" t="inlineStr">
        <is>
          <t>08770</t>
        </is>
      </c>
      <c r="O200" s="299" t="n"/>
      <c r="P200" s="298" t="inlineStr">
        <is>
          <t xml:space="preserve">81716     </t>
        </is>
      </c>
      <c r="Q200" s="298" t="inlineStr">
        <is>
          <t xml:space="preserve">Жаров Максим Владимирович </t>
        </is>
      </c>
      <c r="R200" s="298" t="n"/>
      <c r="S200" s="298" t="inlineStr">
        <is>
          <t>Нет</t>
        </is>
      </c>
      <c r="T200" s="298" t="n"/>
      <c r="U200" s="298" t="n"/>
    </row>
    <row r="201" ht="15.75" customHeight="1" s="2">
      <c r="E201" s="300" t="n">
        <v>24</v>
      </c>
      <c r="G201" s="296" t="n">
        <v>24</v>
      </c>
      <c r="H201" s="297" t="n">
        <v>24</v>
      </c>
      <c r="I201" s="133">
        <f>G201-H201</f>
        <v/>
      </c>
      <c r="J201" s="298" t="inlineStr">
        <is>
          <t>TPS-технологии</t>
        </is>
      </c>
      <c r="K201" s="298" t="inlineStr">
        <is>
          <t>ЛК</t>
        </is>
      </c>
      <c r="L201" s="298" t="inlineStr">
        <is>
          <t>Т11О-404Б-18</t>
        </is>
      </c>
      <c r="M201" s="297" t="n">
        <v>24</v>
      </c>
      <c r="N201" s="298" t="inlineStr">
        <is>
          <t>08770</t>
        </is>
      </c>
      <c r="O201" s="297" t="n">
        <v>24</v>
      </c>
      <c r="P201" s="298" t="inlineStr">
        <is>
          <t xml:space="preserve">81728     </t>
        </is>
      </c>
      <c r="Q201" s="298" t="inlineStr">
        <is>
          <t xml:space="preserve">Галкин Виктор Иванович </t>
        </is>
      </c>
      <c r="R201" s="298" t="n"/>
      <c r="S201" s="298" t="inlineStr">
        <is>
          <t>Нет</t>
        </is>
      </c>
      <c r="T201" s="298" t="inlineStr">
        <is>
          <t>Орш. А-525</t>
        </is>
      </c>
      <c r="U201" s="298" t="inlineStr">
        <is>
          <t xml:space="preserve">По будням, кроме первой пары в понедельник. </t>
        </is>
      </c>
    </row>
    <row r="202" ht="15.75" customHeight="1" s="2">
      <c r="E202" s="300" t="n">
        <v>4</v>
      </c>
      <c r="G202" s="296" t="n">
        <v>40</v>
      </c>
      <c r="H202" s="297" t="n">
        <v>40</v>
      </c>
      <c r="I202" s="133">
        <f>G202-H202</f>
        <v/>
      </c>
      <c r="J202" s="298" t="inlineStr">
        <is>
          <t>TPS-технологии</t>
        </is>
      </c>
      <c r="K202" s="298" t="inlineStr">
        <is>
          <t>ПЗ</t>
        </is>
      </c>
      <c r="L202" s="298" t="inlineStr">
        <is>
          <t>Т11О-404Б-18</t>
        </is>
      </c>
      <c r="M202" s="297" t="n">
        <v>40</v>
      </c>
      <c r="N202" s="298" t="inlineStr">
        <is>
          <t>08770</t>
        </is>
      </c>
      <c r="O202" s="297" t="n">
        <v>40</v>
      </c>
      <c r="P202" s="298" t="inlineStr">
        <is>
          <t xml:space="preserve">81728     </t>
        </is>
      </c>
      <c r="Q202" s="298" t="inlineStr">
        <is>
          <t xml:space="preserve">Галкин Виктор Иванович </t>
        </is>
      </c>
      <c r="R202" s="298" t="n"/>
      <c r="S202" s="298" t="inlineStr">
        <is>
          <t>Нет</t>
        </is>
      </c>
      <c r="T202" s="298" t="inlineStr">
        <is>
          <t>Орш. А-525</t>
        </is>
      </c>
      <c r="U202" s="298" t="inlineStr">
        <is>
          <t xml:space="preserve">По будням, кроме первой пары в понедельник. </t>
        </is>
      </c>
    </row>
    <row r="203" ht="15.75" customHeight="1" s="2">
      <c r="E203" s="300" t="n">
        <v>2</v>
      </c>
      <c r="G203" s="296" t="n">
        <v>16</v>
      </c>
      <c r="H203" s="297" t="n">
        <v>16</v>
      </c>
      <c r="I203" s="133">
        <f>G203-H203</f>
        <v/>
      </c>
      <c r="J203" s="298" t="inlineStr">
        <is>
          <t>TPS-технологии</t>
        </is>
      </c>
      <c r="K203" s="298" t="inlineStr">
        <is>
          <t>ЛР</t>
        </is>
      </c>
      <c r="L203" s="298" t="inlineStr">
        <is>
          <t>Т11О-404Б-18</t>
        </is>
      </c>
      <c r="M203" s="297" t="n">
        <v>16</v>
      </c>
      <c r="N203" s="298" t="inlineStr">
        <is>
          <t>08770</t>
        </is>
      </c>
      <c r="O203" s="297" t="n">
        <v>8</v>
      </c>
      <c r="P203" s="298" t="inlineStr">
        <is>
          <t xml:space="preserve">81728     </t>
        </is>
      </c>
      <c r="Q203" s="298" t="inlineStr">
        <is>
          <t xml:space="preserve">Галкин Виктор Иванович </t>
        </is>
      </c>
      <c r="R203" s="298" t="n"/>
      <c r="S203" s="298" t="inlineStr">
        <is>
          <t>Нет</t>
        </is>
      </c>
      <c r="T203" s="298" t="inlineStr">
        <is>
          <t>Орш. А-525</t>
        </is>
      </c>
      <c r="U203" s="298" t="inlineStr">
        <is>
          <t xml:space="preserve">По будням, кроме первой пары в понедельник. </t>
        </is>
      </c>
    </row>
    <row r="204" ht="15.75" customHeight="1" s="2">
      <c r="E204" s="300" t="n">
        <v>40</v>
      </c>
      <c r="G204" s="296" t="n">
        <v>6</v>
      </c>
      <c r="H204" s="297" t="n">
        <v>6</v>
      </c>
      <c r="I204" s="133">
        <f>G204-H204</f>
        <v/>
      </c>
      <c r="J204" s="298" t="inlineStr">
        <is>
          <t>TPS-технологии</t>
        </is>
      </c>
      <c r="K204" s="298" t="inlineStr">
        <is>
          <t>Экзамен</t>
        </is>
      </c>
      <c r="L204" s="298" t="inlineStr">
        <is>
          <t>Т11О-404Б-18</t>
        </is>
      </c>
      <c r="M204" s="297" t="n">
        <v>6</v>
      </c>
      <c r="N204" s="298" t="inlineStr">
        <is>
          <t>08770</t>
        </is>
      </c>
      <c r="O204" s="299" t="n"/>
      <c r="P204" s="298" t="inlineStr">
        <is>
          <t xml:space="preserve">81728     </t>
        </is>
      </c>
      <c r="Q204" s="298" t="inlineStr">
        <is>
          <t xml:space="preserve">Галкин Виктор Иванович </t>
        </is>
      </c>
      <c r="R204" s="298" t="n"/>
      <c r="S204" s="298" t="inlineStr">
        <is>
          <t>Нет</t>
        </is>
      </c>
      <c r="T204" s="298" t="n"/>
      <c r="U204" s="298" t="n"/>
    </row>
    <row r="205" ht="15.75" customHeight="1" s="2">
      <c r="E205" s="300" t="n">
        <v>1</v>
      </c>
      <c r="G205" s="296" t="n">
        <v>3</v>
      </c>
      <c r="H205" s="297" t="n">
        <v>3</v>
      </c>
      <c r="I205" s="133">
        <f>G205-H205</f>
        <v/>
      </c>
      <c r="J205" s="298" t="inlineStr">
        <is>
          <t>TPS-технологии</t>
        </is>
      </c>
      <c r="K205" s="298" t="inlineStr">
        <is>
          <t>Экзамен</t>
        </is>
      </c>
      <c r="L205" s="298" t="inlineStr">
        <is>
          <t>Т11О-404Б-18</t>
        </is>
      </c>
      <c r="M205" s="297" t="n">
        <v>3</v>
      </c>
      <c r="N205" s="298" t="inlineStr">
        <is>
          <t>08770</t>
        </is>
      </c>
      <c r="O205" s="299" t="n"/>
      <c r="P205" s="298" t="inlineStr">
        <is>
          <t xml:space="preserve">93685     </t>
        </is>
      </c>
      <c r="Q205" s="298" t="inlineStr">
        <is>
          <t xml:space="preserve">Банишев Александр Федорович </t>
        </is>
      </c>
      <c r="R205" s="298" t="inlineStr">
        <is>
          <t>профессор</t>
        </is>
      </c>
      <c r="S205" s="298" t="inlineStr">
        <is>
          <t>Да</t>
        </is>
      </c>
      <c r="T205" s="298" t="inlineStr">
        <is>
          <t>Орш. А-525</t>
        </is>
      </c>
      <c r="U205" s="298" t="inlineStr">
        <is>
          <t>кроме среды и первой пары понедельника</t>
        </is>
      </c>
    </row>
    <row r="206" ht="15.75" customHeight="1" s="2">
      <c r="E206" s="300" t="n">
        <v>32</v>
      </c>
      <c r="G206" s="296" t="n">
        <v>3</v>
      </c>
      <c r="H206" s="297" t="n">
        <v>3</v>
      </c>
      <c r="I206" s="133">
        <f>G206-H206</f>
        <v/>
      </c>
      <c r="J206" s="298" t="inlineStr">
        <is>
          <t>TPS-технологии</t>
        </is>
      </c>
      <c r="K206" s="298" t="inlineStr">
        <is>
          <t>Консультация</t>
        </is>
      </c>
      <c r="L206" s="298" t="inlineStr">
        <is>
          <t>Т11О-404Б-18</t>
        </is>
      </c>
      <c r="M206" s="297" t="n">
        <v>3</v>
      </c>
      <c r="N206" s="298" t="inlineStr">
        <is>
          <t>08770</t>
        </is>
      </c>
      <c r="O206" s="299" t="n"/>
      <c r="P206" s="298" t="inlineStr">
        <is>
          <t xml:space="preserve">81728     </t>
        </is>
      </c>
      <c r="Q206" s="298" t="inlineStr">
        <is>
          <t xml:space="preserve">Галкин Виктор Иванович </t>
        </is>
      </c>
      <c r="R206" s="298" t="n"/>
      <c r="S206" s="298" t="inlineStr">
        <is>
          <t>Нет</t>
        </is>
      </c>
      <c r="T206" s="298" t="n"/>
      <c r="U206" s="298" t="n"/>
    </row>
    <row r="207" ht="15.75" customHeight="1" s="2">
      <c r="E207" s="300" t="n">
        <v>32</v>
      </c>
      <c r="G207" s="296" t="n">
        <v>18</v>
      </c>
      <c r="H207" s="297" t="n">
        <v>18</v>
      </c>
      <c r="I207" s="133">
        <f>G207-H207</f>
        <v/>
      </c>
      <c r="J207" s="298" t="inlineStr">
        <is>
          <t>Применение вычислительной техники в инженерной деятельности</t>
        </is>
      </c>
      <c r="K207" s="298" t="inlineStr">
        <is>
          <t>ЛК</t>
        </is>
      </c>
      <c r="L207" s="298" t="inlineStr">
        <is>
          <t>Т11О-401Б-18</t>
        </is>
      </c>
      <c r="M207" s="297" t="n">
        <v>18</v>
      </c>
      <c r="N207" s="298" t="inlineStr">
        <is>
          <t>10858</t>
        </is>
      </c>
      <c r="O207" s="297" t="n">
        <v>18</v>
      </c>
      <c r="P207" s="298" t="inlineStr">
        <is>
          <t xml:space="preserve">81724     </t>
        </is>
      </c>
      <c r="Q207" s="298" t="inlineStr">
        <is>
          <t xml:space="preserve">Галкин Евгений Владимирович </t>
        </is>
      </c>
      <c r="R207" s="298" t="n"/>
      <c r="S207" s="298" t="inlineStr">
        <is>
          <t>Нет</t>
        </is>
      </c>
      <c r="T207" s="298" t="inlineStr">
        <is>
          <t>Орш. А-525</t>
        </is>
      </c>
      <c r="U207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208" ht="15.75" customHeight="1" s="2">
      <c r="E208" s="300" t="n">
        <v>6</v>
      </c>
      <c r="G208" s="296" t="n">
        <v>32</v>
      </c>
      <c r="H208" s="297" t="n">
        <v>32</v>
      </c>
      <c r="I208" s="133">
        <f>G208-H208</f>
        <v/>
      </c>
      <c r="J208" s="298" t="inlineStr">
        <is>
          <t>Применение вычислительной техники в инженерной деятельности</t>
        </is>
      </c>
      <c r="K208" s="298" t="inlineStr">
        <is>
          <t>ЛР</t>
        </is>
      </c>
      <c r="L208" s="298" t="inlineStr">
        <is>
          <t>Т11О-401Б-18</t>
        </is>
      </c>
      <c r="M208" s="297" t="n">
        <v>32</v>
      </c>
      <c r="N208" s="298" t="inlineStr">
        <is>
          <t>10858</t>
        </is>
      </c>
      <c r="O208" s="297" t="n">
        <v>32</v>
      </c>
      <c r="P208" s="298" t="inlineStr">
        <is>
          <t xml:space="preserve">81724     </t>
        </is>
      </c>
      <c r="Q208" s="298" t="inlineStr">
        <is>
          <t xml:space="preserve">Галкин Евгений Владимирович </t>
        </is>
      </c>
      <c r="R208" s="298" t="n"/>
      <c r="S208" s="298" t="inlineStr">
        <is>
          <t>Нет</t>
        </is>
      </c>
      <c r="T208" s="298" t="inlineStr">
        <is>
          <t>Орш. А-525</t>
        </is>
      </c>
      <c r="U208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209" ht="15.75" customHeight="1" s="2">
      <c r="E209" s="300" t="n">
        <v>3</v>
      </c>
      <c r="G209" s="296" t="n">
        <v>4</v>
      </c>
      <c r="H209" s="297" t="n">
        <v>4</v>
      </c>
      <c r="I209" s="133">
        <f>G209-H209</f>
        <v/>
      </c>
      <c r="J209" s="298" t="inlineStr">
        <is>
          <t>Применение вычислительной техники в инженерной деятельности</t>
        </is>
      </c>
      <c r="K209" s="298" t="inlineStr">
        <is>
          <t>Зачет</t>
        </is>
      </c>
      <c r="L209" s="298" t="inlineStr">
        <is>
          <t>Т11О-401Б-18</t>
        </is>
      </c>
      <c r="M209" s="297" t="n">
        <v>4</v>
      </c>
      <c r="N209" s="298" t="inlineStr">
        <is>
          <t>10858</t>
        </is>
      </c>
      <c r="O209" s="299" t="n"/>
      <c r="P209" s="298" t="inlineStr">
        <is>
          <t xml:space="preserve">81724     </t>
        </is>
      </c>
      <c r="Q209" s="298" t="inlineStr">
        <is>
          <t xml:space="preserve">Галкин Евгений Владимирович </t>
        </is>
      </c>
      <c r="R209" s="298" t="n"/>
      <c r="S209" s="298" t="inlineStr">
        <is>
          <t>Нет</t>
        </is>
      </c>
      <c r="T209" s="298" t="n"/>
      <c r="U209" s="298" t="n"/>
    </row>
    <row r="210" ht="15.75" customHeight="1" s="2">
      <c r="E210" s="300" t="n">
        <v>4</v>
      </c>
      <c r="G210" s="296" t="n">
        <v>1</v>
      </c>
      <c r="H210" s="297" t="n">
        <v>1</v>
      </c>
      <c r="I210" s="133">
        <f>G210-H210</f>
        <v/>
      </c>
      <c r="J210" s="298" t="inlineStr">
        <is>
          <t>Применение вычислительной техники в инженерной деятельности</t>
        </is>
      </c>
      <c r="K210" s="298" t="inlineStr">
        <is>
          <t>Зачет</t>
        </is>
      </c>
      <c r="L210" s="298" t="inlineStr">
        <is>
          <t>Т11О-401Б-18</t>
        </is>
      </c>
      <c r="M210" s="297" t="n">
        <v>1</v>
      </c>
      <c r="N210" s="298" t="inlineStr">
        <is>
          <t>10858</t>
        </is>
      </c>
      <c r="O210" s="299" t="n"/>
      <c r="P210" s="298" t="inlineStr">
        <is>
          <t xml:space="preserve">93685     </t>
        </is>
      </c>
      <c r="Q210" s="298" t="inlineStr">
        <is>
          <t xml:space="preserve">Банишев Александр Федорович </t>
        </is>
      </c>
      <c r="R210" s="298" t="inlineStr">
        <is>
          <t>профессор</t>
        </is>
      </c>
      <c r="S210" s="298" t="inlineStr">
        <is>
          <t>Да</t>
        </is>
      </c>
      <c r="T210" s="298" t="n"/>
      <c r="U210" s="298" t="n"/>
    </row>
    <row r="211" ht="15.75" customHeight="1" s="2">
      <c r="E211" s="300" t="n">
        <v>24</v>
      </c>
      <c r="G211" s="296" t="n">
        <v>1</v>
      </c>
      <c r="H211" s="297" t="n">
        <v>1</v>
      </c>
      <c r="I211" s="133">
        <f>G211-H211</f>
        <v/>
      </c>
      <c r="J211" s="298" t="inlineStr">
        <is>
          <t>Применение вычислительной техники в инженерной деятельности</t>
        </is>
      </c>
      <c r="K211" s="298" t="inlineStr">
        <is>
          <t>Консультация</t>
        </is>
      </c>
      <c r="L211" s="298" t="inlineStr">
        <is>
          <t>Т11О-401Б-18</t>
        </is>
      </c>
      <c r="M211" s="297" t="n">
        <v>1</v>
      </c>
      <c r="N211" s="298" t="inlineStr">
        <is>
          <t>10858</t>
        </is>
      </c>
      <c r="O211" s="299" t="n"/>
      <c r="P211" s="298" t="inlineStr">
        <is>
          <t xml:space="preserve">81724     </t>
        </is>
      </c>
      <c r="Q211" s="298" t="inlineStr">
        <is>
          <t xml:space="preserve">Галкин Евгений Владимирович </t>
        </is>
      </c>
      <c r="R211" s="298" t="n"/>
      <c r="S211" s="298" t="inlineStr">
        <is>
          <t>Нет</t>
        </is>
      </c>
      <c r="T211" s="298" t="n"/>
      <c r="U211" s="298" t="n"/>
    </row>
    <row r="212" ht="15.75" customHeight="1" s="2">
      <c r="E212" s="300" t="n">
        <v>40</v>
      </c>
      <c r="G212" s="296" t="n">
        <v>18</v>
      </c>
      <c r="H212" s="297" t="n">
        <v>18</v>
      </c>
      <c r="I212" s="133">
        <f>G212-H212</f>
        <v/>
      </c>
      <c r="J212" s="298" t="inlineStr">
        <is>
          <t>Автоматизация технологических процессов ОМД</t>
        </is>
      </c>
      <c r="K212" s="298" t="inlineStr">
        <is>
          <t>ЛК</t>
        </is>
      </c>
      <c r="L212" s="298" t="inlineStr">
        <is>
          <t>Т1В-512Б-17</t>
        </is>
      </c>
      <c r="M212" s="297" t="n">
        <v>18</v>
      </c>
      <c r="N212" s="298" t="inlineStr">
        <is>
          <t>08769</t>
        </is>
      </c>
      <c r="O212" s="297" t="n">
        <v>18</v>
      </c>
      <c r="P212" s="298" t="inlineStr">
        <is>
          <t xml:space="preserve">81722     </t>
        </is>
      </c>
      <c r="Q212" s="298" t="inlineStr">
        <is>
          <t xml:space="preserve">Шленский Алексей Геннадьевич </t>
        </is>
      </c>
      <c r="R212" s="298" t="n"/>
      <c r="S212" s="298" t="inlineStr">
        <is>
          <t>Нет</t>
        </is>
      </c>
      <c r="T212" s="298" t="inlineStr">
        <is>
          <t>Орш. А-523</t>
        </is>
      </c>
      <c r="U212" s="298" t="inlineStr">
        <is>
          <t>ЛК 523А,318А, 319А (проектор). Практика и лабораторные - 525А,  521А (522А). Кроме субботы.</t>
        </is>
      </c>
    </row>
    <row r="213" ht="15.75" customHeight="1" s="2">
      <c r="E213" s="300" t="n">
        <v>16</v>
      </c>
      <c r="G213" s="296" t="n">
        <v>3</v>
      </c>
      <c r="H213" s="297" t="n">
        <v>3</v>
      </c>
      <c r="I213" s="133">
        <f>G213-H213</f>
        <v/>
      </c>
      <c r="J213" s="298" t="inlineStr">
        <is>
          <t>Автоматизация технологических процессов ОМД</t>
        </is>
      </c>
      <c r="K213" s="298" t="inlineStr">
        <is>
          <t>Зачет с оценкой</t>
        </is>
      </c>
      <c r="L213" s="298" t="inlineStr">
        <is>
          <t>Т1В-512Б-17</t>
        </is>
      </c>
      <c r="M213" s="297" t="n">
        <v>3</v>
      </c>
      <c r="N213" s="298" t="inlineStr">
        <is>
          <t>08769</t>
        </is>
      </c>
      <c r="O213" s="299" t="n"/>
      <c r="P213" s="298" t="inlineStr">
        <is>
          <t xml:space="preserve">81722     </t>
        </is>
      </c>
      <c r="Q213" s="298" t="inlineStr">
        <is>
          <t xml:space="preserve">Шленский Алексей Геннадьевич </t>
        </is>
      </c>
      <c r="R213" s="298" t="n"/>
      <c r="S213" s="298" t="inlineStr">
        <is>
          <t>Нет</t>
        </is>
      </c>
      <c r="T213" s="298" t="n"/>
      <c r="U213" s="298" t="n"/>
    </row>
    <row r="214" ht="15.75" customHeight="1" s="2">
      <c r="E214" s="300" t="n">
        <v>6</v>
      </c>
      <c r="G214" s="296" t="n">
        <v>1</v>
      </c>
      <c r="H214" s="297" t="n">
        <v>1</v>
      </c>
      <c r="I214" s="133">
        <f>G214-H214</f>
        <v/>
      </c>
      <c r="J214" s="298" t="inlineStr">
        <is>
          <t>Автоматизация технологических процессов ОМД</t>
        </is>
      </c>
      <c r="K214" s="298" t="inlineStr">
        <is>
          <t>Зачет с оценкой</t>
        </is>
      </c>
      <c r="L214" s="298" t="inlineStr">
        <is>
          <t>Т1В-512Б-17</t>
        </is>
      </c>
      <c r="M214" s="297" t="n">
        <v>1</v>
      </c>
      <c r="N214" s="298" t="inlineStr">
        <is>
          <t>08769</t>
        </is>
      </c>
      <c r="O214" s="299" t="n"/>
      <c r="P214" s="298" t="inlineStr">
        <is>
          <t xml:space="preserve">93685     </t>
        </is>
      </c>
      <c r="Q214" s="298" t="inlineStr">
        <is>
          <t xml:space="preserve">Банишев Александр Федорович </t>
        </is>
      </c>
      <c r="R214" s="298" t="inlineStr">
        <is>
          <t>профессор</t>
        </is>
      </c>
      <c r="S214" s="298" t="inlineStr">
        <is>
          <t>Да</t>
        </is>
      </c>
      <c r="T214" s="298" t="n"/>
      <c r="U214" s="298" t="n"/>
    </row>
    <row r="215" ht="15.75" customHeight="1" s="2">
      <c r="E215" s="300" t="n">
        <v>3</v>
      </c>
      <c r="G215" s="296" t="n">
        <v>26</v>
      </c>
      <c r="H215" s="297" t="n">
        <v>26</v>
      </c>
      <c r="I215" s="133">
        <f>G215-H215</f>
        <v/>
      </c>
      <c r="J215" s="298" t="inlineStr">
        <is>
          <t>Автоматизация технологических процессов ОМД</t>
        </is>
      </c>
      <c r="K215" s="298" t="inlineStr">
        <is>
          <t>ПЗ</t>
        </is>
      </c>
      <c r="L215" s="298" t="inlineStr">
        <is>
          <t>Т1В-512Б-17</t>
        </is>
      </c>
      <c r="M215" s="297" t="n">
        <v>26</v>
      </c>
      <c r="N215" s="298" t="inlineStr">
        <is>
          <t>08769</t>
        </is>
      </c>
      <c r="O215" s="297" t="n">
        <v>26</v>
      </c>
      <c r="P215" s="298" t="inlineStr">
        <is>
          <t xml:space="preserve">81722     </t>
        </is>
      </c>
      <c r="Q215" s="298" t="inlineStr">
        <is>
          <t xml:space="preserve">Шленский Алексей Геннадьевич </t>
        </is>
      </c>
      <c r="R215" s="298" t="n"/>
      <c r="S215" s="298" t="inlineStr">
        <is>
          <t>Нет</t>
        </is>
      </c>
      <c r="T215" s="298" t="inlineStr">
        <is>
          <t>Орш. А-525</t>
        </is>
      </c>
      <c r="U215" s="298" t="inlineStr">
        <is>
          <t>ЛК 523А,318А, 319А (проектор). Практика и лабораторные - 525А,  521А (522А). Кроме субботы.</t>
        </is>
      </c>
    </row>
    <row r="216" ht="15.75" customHeight="1" s="2">
      <c r="E216" s="300" t="n">
        <v>3</v>
      </c>
      <c r="G216" s="296" t="n">
        <v>2</v>
      </c>
      <c r="H216" s="297" t="n">
        <v>2</v>
      </c>
      <c r="I216" s="133">
        <f>G216-H216</f>
        <v/>
      </c>
      <c r="J216" s="298" t="inlineStr">
        <is>
          <t>Автоматизация технологических процессов ОМД</t>
        </is>
      </c>
      <c r="K216" s="298" t="inlineStr">
        <is>
          <t>Консультация</t>
        </is>
      </c>
      <c r="L216" s="298" t="inlineStr">
        <is>
          <t>Т1В-512Б-17</t>
        </is>
      </c>
      <c r="M216" s="297" t="n">
        <v>2</v>
      </c>
      <c r="N216" s="298" t="inlineStr">
        <is>
          <t>08769</t>
        </is>
      </c>
      <c r="O216" s="299" t="n"/>
      <c r="P216" s="298" t="inlineStr">
        <is>
          <t xml:space="preserve">81722     </t>
        </is>
      </c>
      <c r="Q216" s="298" t="inlineStr">
        <is>
          <t xml:space="preserve">Шленский Алексей Геннадьевич </t>
        </is>
      </c>
      <c r="R216" s="298" t="n"/>
      <c r="S216" s="298" t="inlineStr">
        <is>
          <t>Нет</t>
        </is>
      </c>
      <c r="T216" s="298" t="n"/>
      <c r="U216" s="298" t="n"/>
    </row>
    <row r="217" ht="15.75" customHeight="1" s="2">
      <c r="E217" s="300" t="n">
        <v>18</v>
      </c>
      <c r="G217" s="296" t="n">
        <v>20</v>
      </c>
      <c r="H217" s="297" t="n">
        <v>20</v>
      </c>
      <c r="I217" s="133">
        <f>G217-H217</f>
        <v/>
      </c>
      <c r="J217" s="298" t="inlineStr">
        <is>
          <t>Технология кузнечно-штамповочного производства</t>
        </is>
      </c>
      <c r="K217" s="298" t="inlineStr">
        <is>
          <t>ЛК</t>
        </is>
      </c>
      <c r="L217" s="298" t="inlineStr">
        <is>
          <t>Т11О-401Б-18</t>
        </is>
      </c>
      <c r="M217" s="297" t="n">
        <v>20</v>
      </c>
      <c r="N217" s="298" t="inlineStr">
        <is>
          <t>10858</t>
        </is>
      </c>
      <c r="O217" s="297" t="n">
        <v>20</v>
      </c>
      <c r="P217" s="298" t="inlineStr">
        <is>
          <t xml:space="preserve">81729     </t>
        </is>
      </c>
      <c r="Q217" s="298" t="inlineStr">
        <is>
          <t xml:space="preserve">Соколов Алексей Викторович </t>
        </is>
      </c>
      <c r="R217" s="298" t="n"/>
      <c r="S217" s="298" t="inlineStr">
        <is>
          <t>Нет</t>
        </is>
      </c>
      <c r="T217" s="298" t="inlineStr">
        <is>
          <t>Орш. А-523</t>
        </is>
      </c>
      <c r="U217" s="298" t="inlineStr">
        <is>
          <t xml:space="preserve">Кроме пятницы. с 10-45 и позже </t>
        </is>
      </c>
    </row>
    <row r="218" ht="15.75" customHeight="1" s="2">
      <c r="E218" s="300" t="n">
        <v>32</v>
      </c>
      <c r="G218" s="296" t="n">
        <v>22</v>
      </c>
      <c r="H218" s="297" t="n">
        <v>22</v>
      </c>
      <c r="I218" s="133">
        <f>G218-H218</f>
        <v/>
      </c>
      <c r="J218" s="298" t="inlineStr">
        <is>
          <t>Технология кузнечно-штамповочного производства</t>
        </is>
      </c>
      <c r="K218" s="298" t="inlineStr">
        <is>
          <t>ЛК</t>
        </is>
      </c>
      <c r="L218" s="298" t="inlineStr">
        <is>
          <t>Т1В-512Б-17</t>
        </is>
      </c>
      <c r="M218" s="297" t="n">
        <v>22</v>
      </c>
      <c r="N218" s="298" t="inlineStr">
        <is>
          <t>08769</t>
        </is>
      </c>
      <c r="O218" s="297" t="n">
        <v>22</v>
      </c>
      <c r="P218" s="298" t="inlineStr">
        <is>
          <t xml:space="preserve">81729     </t>
        </is>
      </c>
      <c r="Q218" s="298" t="inlineStr">
        <is>
          <t xml:space="preserve">Соколов Алексей Викторович </t>
        </is>
      </c>
      <c r="R218" s="298" t="n"/>
      <c r="S218" s="298" t="inlineStr">
        <is>
          <t>Нет</t>
        </is>
      </c>
      <c r="T218" s="298" t="inlineStr">
        <is>
          <t>Орш. А-523</t>
        </is>
      </c>
      <c r="U218" s="298" t="inlineStr">
        <is>
          <t xml:space="preserve">Кроме пятницы. с 10-45 и позже </t>
        </is>
      </c>
    </row>
    <row r="219" ht="15.75" customHeight="1" s="2">
      <c r="E219" s="300" t="n">
        <v>4</v>
      </c>
      <c r="G219" s="296" t="n">
        <v>30</v>
      </c>
      <c r="H219" s="297" t="n">
        <v>30</v>
      </c>
      <c r="I219" s="133">
        <f>G219-H219</f>
        <v/>
      </c>
      <c r="J219" s="298" t="inlineStr">
        <is>
          <t>Технология кузнечно-штамповочного производства</t>
        </is>
      </c>
      <c r="K219" s="298" t="inlineStr">
        <is>
          <t>ПЗ</t>
        </is>
      </c>
      <c r="L219" s="298" t="inlineStr">
        <is>
          <t>Т11О-401Б-18</t>
        </is>
      </c>
      <c r="M219" s="297" t="n">
        <v>30</v>
      </c>
      <c r="N219" s="298" t="inlineStr">
        <is>
          <t>10858</t>
        </is>
      </c>
      <c r="O219" s="297" t="n">
        <v>30</v>
      </c>
      <c r="P219" s="298" t="inlineStr">
        <is>
          <t xml:space="preserve">81729     </t>
        </is>
      </c>
      <c r="Q219" s="298" t="inlineStr">
        <is>
          <t xml:space="preserve">Соколов Алексей Викторович </t>
        </is>
      </c>
      <c r="R219" s="298" t="n"/>
      <c r="S219" s="298" t="inlineStr">
        <is>
          <t>Нет</t>
        </is>
      </c>
      <c r="T219" s="298" t="inlineStr">
        <is>
          <t>Орш. А-521</t>
        </is>
      </c>
      <c r="U219" s="298" t="inlineStr">
        <is>
          <t xml:space="preserve">Кроме пятницы. с 10-45 и позже </t>
        </is>
      </c>
    </row>
    <row r="220" ht="15.75" customHeight="1" s="2">
      <c r="E220" s="300" t="n">
        <v>1</v>
      </c>
      <c r="G220" s="296" t="n">
        <v>32</v>
      </c>
      <c r="H220" s="297" t="n">
        <v>32</v>
      </c>
      <c r="I220" s="133">
        <f>G220-H220</f>
        <v/>
      </c>
      <c r="J220" s="298" t="inlineStr">
        <is>
          <t>Технология кузнечно-штамповочного производства</t>
        </is>
      </c>
      <c r="K220" s="298" t="inlineStr">
        <is>
          <t>ПЗ</t>
        </is>
      </c>
      <c r="L220" s="298" t="inlineStr">
        <is>
          <t>Т1В-512Б-17</t>
        </is>
      </c>
      <c r="M220" s="297" t="n">
        <v>32</v>
      </c>
      <c r="N220" s="298" t="inlineStr">
        <is>
          <t>08769</t>
        </is>
      </c>
      <c r="O220" s="297" t="n">
        <v>32</v>
      </c>
      <c r="P220" s="298" t="inlineStr">
        <is>
          <t xml:space="preserve">81729     </t>
        </is>
      </c>
      <c r="Q220" s="298" t="inlineStr">
        <is>
          <t xml:space="preserve">Соколов Алексей Викторович </t>
        </is>
      </c>
      <c r="R220" s="298" t="n"/>
      <c r="S220" s="298" t="inlineStr">
        <is>
          <t>Нет</t>
        </is>
      </c>
      <c r="T220" s="298" t="inlineStr">
        <is>
          <t>Орш. А-521</t>
        </is>
      </c>
      <c r="U220" s="298" t="inlineStr">
        <is>
          <t xml:space="preserve">Кроме пятницы. с 10-45 и позже </t>
        </is>
      </c>
    </row>
    <row r="221" ht="15.75" customHeight="1" s="2">
      <c r="E221" s="300" t="n">
        <v>1</v>
      </c>
      <c r="G221" s="296" t="n">
        <v>3.33</v>
      </c>
      <c r="H221" s="297" t="n">
        <v>3.33</v>
      </c>
      <c r="I221" s="133">
        <f>G221-H221</f>
        <v/>
      </c>
      <c r="J221" s="298" t="inlineStr">
        <is>
          <t>Технология кузнечно-штамповочного производства</t>
        </is>
      </c>
      <c r="K221" s="298" t="inlineStr">
        <is>
          <t>Экзамен</t>
        </is>
      </c>
      <c r="L221" s="298" t="inlineStr">
        <is>
          <t>Т1В-512Б-17</t>
        </is>
      </c>
      <c r="M221" s="297" t="n">
        <v>3.33</v>
      </c>
      <c r="N221" s="298" t="inlineStr">
        <is>
          <t>08769</t>
        </is>
      </c>
      <c r="O221" s="299" t="n"/>
      <c r="P221" s="298" t="inlineStr">
        <is>
          <t xml:space="preserve">81729     </t>
        </is>
      </c>
      <c r="Q221" s="298" t="inlineStr">
        <is>
          <t xml:space="preserve">Соколов Алексей Викторович </t>
        </is>
      </c>
      <c r="R221" s="298" t="n"/>
      <c r="S221" s="298" t="inlineStr">
        <is>
          <t>Нет</t>
        </is>
      </c>
      <c r="T221" s="298" t="n"/>
      <c r="U221" s="298" t="n"/>
    </row>
    <row r="222" ht="15.75" customHeight="1" s="2">
      <c r="E222" s="302" t="n">
        <v>18</v>
      </c>
      <c r="G222" s="296" t="n">
        <v>1.67</v>
      </c>
      <c r="H222" s="297" t="n">
        <v>1.67</v>
      </c>
      <c r="I222" s="133">
        <f>G222-H222</f>
        <v/>
      </c>
      <c r="J222" s="298" t="inlineStr">
        <is>
          <t>Технология кузнечно-штамповочного производства</t>
        </is>
      </c>
      <c r="K222" s="298" t="inlineStr">
        <is>
          <t>Экзамен</t>
        </is>
      </c>
      <c r="L222" s="298" t="inlineStr">
        <is>
          <t>Т1В-512Б-17</t>
        </is>
      </c>
      <c r="M222" s="297" t="n">
        <v>1.67</v>
      </c>
      <c r="N222" s="298" t="inlineStr">
        <is>
          <t>08769</t>
        </is>
      </c>
      <c r="O222" s="299" t="n"/>
      <c r="P222" s="298" t="inlineStr">
        <is>
          <t xml:space="preserve">93685     </t>
        </is>
      </c>
      <c r="Q222" s="298" t="inlineStr">
        <is>
          <t xml:space="preserve">Банишев Александр Федорович </t>
        </is>
      </c>
      <c r="R222" s="298" t="inlineStr">
        <is>
          <t>профессор</t>
        </is>
      </c>
      <c r="S222" s="298" t="inlineStr">
        <is>
          <t>Да</t>
        </is>
      </c>
      <c r="T222" s="298" t="n"/>
      <c r="U222" s="298" t="n"/>
    </row>
    <row r="223" ht="15.75" customHeight="1" s="2">
      <c r="E223" s="302" t="n">
        <v>3</v>
      </c>
      <c r="G223" s="296" t="n">
        <v>4</v>
      </c>
      <c r="H223" s="297" t="n">
        <v>4</v>
      </c>
      <c r="I223" s="133">
        <f>G223-H223</f>
        <v/>
      </c>
      <c r="J223" s="298" t="inlineStr">
        <is>
          <t>Технология кузнечно-штамповочного производства</t>
        </is>
      </c>
      <c r="K223" s="298" t="inlineStr">
        <is>
          <t>Зачет</t>
        </is>
      </c>
      <c r="L223" s="298" t="inlineStr">
        <is>
          <t>Т11О-401Б-18</t>
        </is>
      </c>
      <c r="M223" s="297" t="n">
        <v>4</v>
      </c>
      <c r="N223" s="298" t="inlineStr">
        <is>
          <t>10858</t>
        </is>
      </c>
      <c r="O223" s="299" t="n"/>
      <c r="P223" s="298" t="inlineStr">
        <is>
          <t xml:space="preserve">81729     </t>
        </is>
      </c>
      <c r="Q223" s="298" t="inlineStr">
        <is>
          <t xml:space="preserve">Соколов Алексей Викторович </t>
        </is>
      </c>
      <c r="R223" s="298" t="n"/>
      <c r="S223" s="298" t="inlineStr">
        <is>
          <t>Нет</t>
        </is>
      </c>
      <c r="T223" s="298" t="n"/>
      <c r="U223" s="298" t="n"/>
    </row>
    <row r="224" ht="15.75" customHeight="1" s="2">
      <c r="E224" s="302" t="n">
        <v>1</v>
      </c>
      <c r="G224" s="296" t="n">
        <v>1</v>
      </c>
      <c r="H224" s="297" t="n">
        <v>1</v>
      </c>
      <c r="I224" s="133">
        <f>G224-H224</f>
        <v/>
      </c>
      <c r="J224" s="298" t="inlineStr">
        <is>
          <t>Технология кузнечно-штамповочного производства</t>
        </is>
      </c>
      <c r="K224" s="298" t="inlineStr">
        <is>
          <t>Зачет</t>
        </is>
      </c>
      <c r="L224" s="298" t="inlineStr">
        <is>
          <t>Т11О-401Б-18</t>
        </is>
      </c>
      <c r="M224" s="297" t="n">
        <v>1</v>
      </c>
      <c r="N224" s="298" t="inlineStr">
        <is>
          <t>10858</t>
        </is>
      </c>
      <c r="O224" s="299" t="n"/>
      <c r="P224" s="298" t="inlineStr">
        <is>
          <t xml:space="preserve">93685     </t>
        </is>
      </c>
      <c r="Q224" s="298" t="inlineStr">
        <is>
          <t xml:space="preserve">Банишев Александр Федорович </t>
        </is>
      </c>
      <c r="R224" s="298" t="inlineStr">
        <is>
          <t>профессор</t>
        </is>
      </c>
      <c r="S224" s="298" t="inlineStr">
        <is>
          <t>Да</t>
        </is>
      </c>
      <c r="T224" s="298" t="n"/>
      <c r="U224" s="298" t="n"/>
    </row>
    <row r="225" ht="15.75" customHeight="1" s="2">
      <c r="E225" s="302" t="n">
        <v>26</v>
      </c>
      <c r="G225" s="296" t="n">
        <v>1</v>
      </c>
      <c r="H225" s="297" t="n">
        <v>1</v>
      </c>
      <c r="I225" s="133">
        <f>G225-H225</f>
        <v/>
      </c>
      <c r="J225" s="298" t="inlineStr">
        <is>
          <t>Технология кузнечно-штамповочного производства</t>
        </is>
      </c>
      <c r="K225" s="298" t="inlineStr">
        <is>
          <t>Консультация</t>
        </is>
      </c>
      <c r="L225" s="298" t="inlineStr">
        <is>
          <t>Т11О-401Б-18</t>
        </is>
      </c>
      <c r="M225" s="297" t="n">
        <v>1</v>
      </c>
      <c r="N225" s="298" t="inlineStr">
        <is>
          <t>10858</t>
        </is>
      </c>
      <c r="O225" s="299" t="n"/>
      <c r="P225" s="298" t="inlineStr">
        <is>
          <t xml:space="preserve">81729     </t>
        </is>
      </c>
      <c r="Q225" s="298" t="inlineStr">
        <is>
          <t xml:space="preserve">Соколов Алексей Викторович </t>
        </is>
      </c>
      <c r="R225" s="298" t="n"/>
      <c r="S225" s="298" t="inlineStr">
        <is>
          <t>Нет</t>
        </is>
      </c>
      <c r="T225" s="298" t="n"/>
      <c r="U225" s="298" t="n"/>
    </row>
    <row r="226" ht="15.75" customHeight="1" s="2">
      <c r="E226" s="302" t="n">
        <v>2</v>
      </c>
      <c r="G226" s="296" t="n">
        <v>3</v>
      </c>
      <c r="H226" s="297" t="n">
        <v>3</v>
      </c>
      <c r="I226" s="133">
        <f>G226-H226</f>
        <v/>
      </c>
      <c r="J226" s="298" t="inlineStr">
        <is>
          <t>Технология кузнечно-штамповочного производства</t>
        </is>
      </c>
      <c r="K226" s="298" t="inlineStr">
        <is>
          <t>Консультация</t>
        </is>
      </c>
      <c r="L226" s="298" t="inlineStr">
        <is>
          <t>Т1В-512Б-17</t>
        </is>
      </c>
      <c r="M226" s="297" t="n">
        <v>3</v>
      </c>
      <c r="N226" s="298" t="inlineStr">
        <is>
          <t>08769</t>
        </is>
      </c>
      <c r="O226" s="299" t="n"/>
      <c r="P226" s="298" t="inlineStr">
        <is>
          <t xml:space="preserve">81729     </t>
        </is>
      </c>
      <c r="Q226" s="298" t="inlineStr">
        <is>
          <t xml:space="preserve">Соколов Алексей Викторович </t>
        </is>
      </c>
      <c r="R226" s="298" t="n"/>
      <c r="S226" s="298" t="inlineStr">
        <is>
          <t>Нет</t>
        </is>
      </c>
      <c r="T226" s="298" t="n"/>
      <c r="U226" s="298" t="n"/>
    </row>
    <row r="227" ht="15.75" customHeight="1" s="2">
      <c r="E227" s="300" t="n">
        <v>20</v>
      </c>
      <c r="G227" s="296" t="n">
        <v>1</v>
      </c>
      <c r="H227" s="297" t="n">
        <v>1</v>
      </c>
      <c r="I227" s="133">
        <f>G227-H227</f>
        <v/>
      </c>
      <c r="J227" s="298" t="inlineStr">
        <is>
          <t>Технология кузнечно-штамповочного производства</t>
        </is>
      </c>
      <c r="K227" s="298" t="inlineStr">
        <is>
          <t>Консультация</t>
        </is>
      </c>
      <c r="L227" s="298" t="inlineStr">
        <is>
          <t>Т1В-512Б-17</t>
        </is>
      </c>
      <c r="M227" s="297" t="n">
        <v>1</v>
      </c>
      <c r="N227" s="298" t="inlineStr">
        <is>
          <t>08769</t>
        </is>
      </c>
      <c r="O227" s="299" t="n"/>
      <c r="P227" s="298" t="inlineStr">
        <is>
          <t xml:space="preserve">93685     </t>
        </is>
      </c>
      <c r="Q227" s="298" t="inlineStr">
        <is>
          <t xml:space="preserve">Банишев Александр Федорович </t>
        </is>
      </c>
      <c r="R227" s="298" t="inlineStr">
        <is>
          <t>профессор</t>
        </is>
      </c>
      <c r="S227" s="298" t="inlineStr">
        <is>
          <t>Да</t>
        </is>
      </c>
      <c r="T227" s="298" t="n"/>
      <c r="U227" s="298" t="n"/>
    </row>
    <row r="228" ht="15.75" customHeight="1" s="2">
      <c r="E228" s="300" t="n">
        <v>22</v>
      </c>
      <c r="G228" s="296" t="n">
        <v>12</v>
      </c>
      <c r="H228" s="297" t="n">
        <v>12</v>
      </c>
      <c r="I228" s="133">
        <f>G228-H228</f>
        <v/>
      </c>
      <c r="J228" s="298" t="inlineStr">
        <is>
          <t>Организация и математическое планирование эксперимента</t>
        </is>
      </c>
      <c r="K228" s="298" t="inlineStr">
        <is>
          <t>ЛК</t>
        </is>
      </c>
      <c r="L228" s="298" t="inlineStr">
        <is>
          <t>Т11О-101М-21</t>
        </is>
      </c>
      <c r="M228" s="297" t="n">
        <v>12</v>
      </c>
      <c r="N228" s="298" t="inlineStr">
        <is>
          <t>04489</t>
        </is>
      </c>
      <c r="O228" s="297" t="n">
        <v>12</v>
      </c>
      <c r="P228" s="298" t="inlineStr">
        <is>
          <t xml:space="preserve">81728     </t>
        </is>
      </c>
      <c r="Q228" s="298" t="inlineStr">
        <is>
          <t xml:space="preserve">Галкин Виктор Иванович </t>
        </is>
      </c>
      <c r="R228" s="298" t="n"/>
      <c r="S228" s="298" t="inlineStr">
        <is>
          <t>Нет</t>
        </is>
      </c>
      <c r="T228" s="298" t="inlineStr">
        <is>
          <t>Орш. А-525</t>
        </is>
      </c>
      <c r="U228" s="298" t="inlineStr">
        <is>
          <t xml:space="preserve">По будням, кроме первой пары в понедельник. </t>
        </is>
      </c>
    </row>
    <row r="229" ht="15.75" customHeight="1" s="2">
      <c r="E229" s="300" t="n">
        <v>30</v>
      </c>
      <c r="G229" s="296" t="n">
        <v>24</v>
      </c>
      <c r="H229" s="297" t="n">
        <v>24</v>
      </c>
      <c r="I229" s="133">
        <f>G229-H229</f>
        <v/>
      </c>
      <c r="J229" s="298" t="inlineStr">
        <is>
          <t>Организация и математическое планирование эксперимента</t>
        </is>
      </c>
      <c r="K229" s="298" t="inlineStr">
        <is>
          <t>ПЗ</t>
        </is>
      </c>
      <c r="L229" s="298" t="inlineStr">
        <is>
          <t>Т11О-101М-21</t>
        </is>
      </c>
      <c r="M229" s="297" t="n">
        <v>24</v>
      </c>
      <c r="N229" s="298" t="inlineStr">
        <is>
          <t>04489</t>
        </is>
      </c>
      <c r="O229" s="297" t="n">
        <v>24</v>
      </c>
      <c r="P229" s="298" t="inlineStr">
        <is>
          <t xml:space="preserve">81728     </t>
        </is>
      </c>
      <c r="Q229" s="298" t="inlineStr">
        <is>
          <t xml:space="preserve">Галкин Виктор Иванович </t>
        </is>
      </c>
      <c r="R229" s="298" t="n"/>
      <c r="S229" s="298" t="inlineStr">
        <is>
          <t>Нет</t>
        </is>
      </c>
      <c r="T229" s="298" t="inlineStr">
        <is>
          <t>Орш. А-525</t>
        </is>
      </c>
      <c r="U229" s="298" t="inlineStr">
        <is>
          <t xml:space="preserve">По будням, кроме первой пары в понедельник. </t>
        </is>
      </c>
    </row>
    <row r="230" ht="15.75" customHeight="1" s="2">
      <c r="E230" s="300" t="n">
        <v>32</v>
      </c>
      <c r="G230" s="296" t="n">
        <v>2</v>
      </c>
      <c r="H230" s="297" t="n">
        <v>2</v>
      </c>
      <c r="I230" s="133">
        <f>G230-H230</f>
        <v/>
      </c>
      <c r="J230" s="298" t="inlineStr">
        <is>
          <t>Организация и математическое планирование эксперимента</t>
        </is>
      </c>
      <c r="K230" s="298" t="inlineStr">
        <is>
          <t>Зачет</t>
        </is>
      </c>
      <c r="L230" s="298" t="inlineStr">
        <is>
          <t>Т11О-101М-21</t>
        </is>
      </c>
      <c r="M230" s="297" t="n">
        <v>2</v>
      </c>
      <c r="N230" s="298" t="inlineStr">
        <is>
          <t>04489</t>
        </is>
      </c>
      <c r="O230" s="299" t="n"/>
      <c r="P230" s="298" t="inlineStr">
        <is>
          <t xml:space="preserve">81728     </t>
        </is>
      </c>
      <c r="Q230" s="298" t="inlineStr">
        <is>
          <t xml:space="preserve">Галкин Виктор Иванович </t>
        </is>
      </c>
      <c r="R230" s="298" t="n"/>
      <c r="S230" s="298" t="inlineStr">
        <is>
          <t>Нет</t>
        </is>
      </c>
      <c r="T230" s="298" t="n"/>
      <c r="U230" s="298" t="n"/>
    </row>
    <row r="231" ht="15.75" customHeight="1" s="2">
      <c r="E231" s="295" t="n">
        <v>3</v>
      </c>
      <c r="G231" s="296" t="n">
        <v>1</v>
      </c>
      <c r="H231" s="297" t="n">
        <v>1</v>
      </c>
      <c r="I231" s="133">
        <f>G231-H231</f>
        <v/>
      </c>
      <c r="J231" s="298" t="inlineStr">
        <is>
          <t>Организация и математическое планирование эксперимента</t>
        </is>
      </c>
      <c r="K231" s="298" t="inlineStr">
        <is>
          <t>Консультация</t>
        </is>
      </c>
      <c r="L231" s="298" t="inlineStr">
        <is>
          <t>Т11О-101М-21</t>
        </is>
      </c>
      <c r="M231" s="297" t="n">
        <v>1</v>
      </c>
      <c r="N231" s="298" t="inlineStr">
        <is>
          <t>04489</t>
        </is>
      </c>
      <c r="O231" s="299" t="n"/>
      <c r="P231" s="298" t="inlineStr">
        <is>
          <t xml:space="preserve">81728     </t>
        </is>
      </c>
      <c r="Q231" s="298" t="inlineStr">
        <is>
          <t xml:space="preserve">Галкин Виктор Иванович </t>
        </is>
      </c>
      <c r="R231" s="298" t="n"/>
      <c r="S231" s="298" t="inlineStr">
        <is>
          <t>Нет</t>
        </is>
      </c>
      <c r="T231" s="298" t="n"/>
      <c r="U231" s="298" t="n"/>
    </row>
    <row r="232" ht="15.75" customHeight="1" s="2">
      <c r="E232" s="300" t="n">
        <v>2</v>
      </c>
      <c r="G232" s="296" t="n">
        <v>20</v>
      </c>
      <c r="H232" s="297" t="n">
        <v>20</v>
      </c>
      <c r="I232" s="133">
        <f>G232-H232</f>
        <v/>
      </c>
      <c r="J232" s="298" t="inlineStr">
        <is>
          <t>Технология прессования  легких сплавов</t>
        </is>
      </c>
      <c r="K232" s="298" t="inlineStr">
        <is>
          <t>КП</t>
        </is>
      </c>
      <c r="L232" s="298" t="inlineStr">
        <is>
          <t>Т11О-101М-21</t>
        </is>
      </c>
      <c r="M232" s="297" t="n">
        <v>20</v>
      </c>
      <c r="N232" s="298" t="inlineStr">
        <is>
          <t>04489</t>
        </is>
      </c>
      <c r="O232" s="299" t="n"/>
      <c r="P232" s="298" t="inlineStr">
        <is>
          <t xml:space="preserve">81731     </t>
        </is>
      </c>
      <c r="Q232" s="298" t="inlineStr">
        <is>
          <t xml:space="preserve">Беспалов Александр Владимирович </t>
        </is>
      </c>
      <c r="R232" s="298" t="n"/>
      <c r="S232" s="298" t="inlineStr">
        <is>
          <t>Нет</t>
        </is>
      </c>
      <c r="T232" s="298" t="n"/>
      <c r="U232" s="298" t="n"/>
    </row>
    <row r="233" ht="15.75" customHeight="1" s="2">
      <c r="E233" s="300" t="n">
        <v>4</v>
      </c>
      <c r="G233" s="296" t="n">
        <v>16</v>
      </c>
      <c r="H233" s="297" t="n">
        <v>16</v>
      </c>
      <c r="I233" s="133">
        <f>G233-H233</f>
        <v/>
      </c>
      <c r="J233" s="298" t="inlineStr">
        <is>
          <t>Технология прессования  легких сплавов</t>
        </is>
      </c>
      <c r="K233" s="298" t="inlineStr">
        <is>
          <t>ЛК</t>
        </is>
      </c>
      <c r="L233" s="298" t="inlineStr">
        <is>
          <t>Т11О-101М-21</t>
        </is>
      </c>
      <c r="M233" s="297" t="n">
        <v>16</v>
      </c>
      <c r="N233" s="298" t="inlineStr">
        <is>
          <t>04489</t>
        </is>
      </c>
      <c r="O233" s="297" t="n">
        <v>16</v>
      </c>
      <c r="P233" s="298" t="inlineStr">
        <is>
          <t xml:space="preserve">81731     </t>
        </is>
      </c>
      <c r="Q233" s="298" t="inlineStr">
        <is>
          <t xml:space="preserve">Беспалов Александр Владимирович </t>
        </is>
      </c>
      <c r="R233" s="298" t="n"/>
      <c r="S233" s="298" t="inlineStr">
        <is>
          <t>Нет</t>
        </is>
      </c>
      <c r="T233" s="298" t="inlineStr">
        <is>
          <t>Орш. А-523</t>
        </is>
      </c>
      <c r="U233" s="298" t="inlineStr">
        <is>
          <t>Понедельник</t>
        </is>
      </c>
    </row>
    <row r="234" ht="15.75" customHeight="1" s="2">
      <c r="E234" s="300" t="n">
        <v>1</v>
      </c>
      <c r="G234" s="296" t="n">
        <v>2</v>
      </c>
      <c r="H234" s="297" t="n">
        <v>2</v>
      </c>
      <c r="I234" s="133">
        <f>G234-H234</f>
        <v/>
      </c>
      <c r="J234" s="298" t="inlineStr">
        <is>
          <t>Технология прессования  легких сплавов</t>
        </is>
      </c>
      <c r="K234" s="298" t="inlineStr">
        <is>
          <t>Зачет с оценкой</t>
        </is>
      </c>
      <c r="L234" s="298" t="inlineStr">
        <is>
          <t>Т11О-101М-21</t>
        </is>
      </c>
      <c r="M234" s="297" t="n">
        <v>2</v>
      </c>
      <c r="N234" s="298" t="inlineStr">
        <is>
          <t>04489</t>
        </is>
      </c>
      <c r="O234" s="299" t="n"/>
      <c r="P234" s="298" t="inlineStr">
        <is>
          <t xml:space="preserve">81731     </t>
        </is>
      </c>
      <c r="Q234" s="298" t="inlineStr">
        <is>
          <t xml:space="preserve">Беспалов Александр Владимирович </t>
        </is>
      </c>
      <c r="R234" s="298" t="n"/>
      <c r="S234" s="298" t="inlineStr">
        <is>
          <t>Нет</t>
        </is>
      </c>
      <c r="T234" s="298" t="n"/>
      <c r="U234" s="298" t="n"/>
    </row>
    <row r="235" ht="15.75" customHeight="1" s="2">
      <c r="E235" s="300" t="n">
        <v>1</v>
      </c>
      <c r="G235" s="296" t="n">
        <v>28</v>
      </c>
      <c r="H235" s="297" t="n">
        <v>28</v>
      </c>
      <c r="I235" s="133">
        <f>G235-H235</f>
        <v/>
      </c>
      <c r="J235" s="298" t="inlineStr">
        <is>
          <t>Технология прессования  легких сплавов</t>
        </is>
      </c>
      <c r="K235" s="298" t="inlineStr">
        <is>
          <t>ПЗ</t>
        </is>
      </c>
      <c r="L235" s="298" t="inlineStr">
        <is>
          <t>Т11О-101М-21</t>
        </is>
      </c>
      <c r="M235" s="297" t="n">
        <v>28</v>
      </c>
      <c r="N235" s="298" t="inlineStr">
        <is>
          <t>04489</t>
        </is>
      </c>
      <c r="O235" s="297" t="n">
        <v>28</v>
      </c>
      <c r="P235" s="298" t="inlineStr">
        <is>
          <t xml:space="preserve">81731     </t>
        </is>
      </c>
      <c r="Q235" s="298" t="inlineStr">
        <is>
          <t xml:space="preserve">Беспалов Александр Владимирович </t>
        </is>
      </c>
      <c r="R235" s="298" t="n"/>
      <c r="S235" s="298" t="inlineStr">
        <is>
          <t>Нет</t>
        </is>
      </c>
      <c r="T235" s="298" t="inlineStr">
        <is>
          <t>Орш. А-523</t>
        </is>
      </c>
      <c r="U235" s="298" t="inlineStr">
        <is>
          <t>Понедельник</t>
        </is>
      </c>
    </row>
    <row r="236" ht="15.75" customHeight="1" s="2">
      <c r="E236" s="300" t="n">
        <v>3</v>
      </c>
      <c r="G236" s="296" t="n">
        <v>1</v>
      </c>
      <c r="H236" s="297" t="n">
        <v>1</v>
      </c>
      <c r="I236" s="133">
        <f>G236-H236</f>
        <v/>
      </c>
      <c r="J236" s="298" t="inlineStr">
        <is>
          <t>Технология прессования  легких сплавов</t>
        </is>
      </c>
      <c r="K236" s="298" t="inlineStr">
        <is>
          <t>Консультация</t>
        </is>
      </c>
      <c r="L236" s="298" t="inlineStr">
        <is>
          <t>Т11О-101М-21</t>
        </is>
      </c>
      <c r="M236" s="297" t="n">
        <v>1</v>
      </c>
      <c r="N236" s="298" t="inlineStr">
        <is>
          <t>04489</t>
        </is>
      </c>
      <c r="O236" s="299" t="n"/>
      <c r="P236" s="298" t="inlineStr">
        <is>
          <t xml:space="preserve">81731     </t>
        </is>
      </c>
      <c r="Q236" s="298" t="inlineStr">
        <is>
          <t xml:space="preserve">Беспалов Александр Владимирович </t>
        </is>
      </c>
      <c r="R236" s="298" t="n"/>
      <c r="S236" s="298" t="inlineStr">
        <is>
          <t>Нет</t>
        </is>
      </c>
      <c r="T236" s="298" t="n"/>
      <c r="U236" s="298" t="n"/>
    </row>
    <row r="237" ht="15.75" customHeight="1" s="2">
      <c r="E237" s="300" t="n">
        <v>1</v>
      </c>
      <c r="G237" s="296" t="n">
        <v>14</v>
      </c>
      <c r="H237" s="297" t="n">
        <v>14</v>
      </c>
      <c r="I237" s="133">
        <f>G237-H237</f>
        <v/>
      </c>
      <c r="J237" s="298" t="inlineStr">
        <is>
          <t>Прикладная термодинамика и кинетика</t>
        </is>
      </c>
      <c r="K237" s="298" t="inlineStr">
        <is>
          <t>ЛК</t>
        </is>
      </c>
      <c r="L237" s="298" t="inlineStr">
        <is>
          <t>Т11О-102М-21, Т11О-103М-21</t>
        </is>
      </c>
      <c r="M237" s="297" t="n">
        <v>14</v>
      </c>
      <c r="N237" s="298" t="inlineStr">
        <is>
          <t>07996</t>
        </is>
      </c>
      <c r="O237" s="297" t="n">
        <v>14</v>
      </c>
      <c r="P237" s="298" t="inlineStr">
        <is>
          <t xml:space="preserve">82018     </t>
        </is>
      </c>
      <c r="Q237" s="298" t="inlineStr">
        <is>
          <t>Бережной Дмитрий Васильевич</t>
        </is>
      </c>
      <c r="R237" s="298" t="n"/>
      <c r="S237" s="298" t="inlineStr">
        <is>
          <t>Нет</t>
        </is>
      </c>
      <c r="T237" s="298" t="inlineStr">
        <is>
          <t>Орш. А-325</t>
        </is>
      </c>
      <c r="U237" s="298" t="inlineStr">
        <is>
          <t>По будням и плюс один свободный день на неделе</t>
        </is>
      </c>
    </row>
    <row r="238" ht="15.75" customHeight="1" s="2">
      <c r="E238" s="300" t="n">
        <v>12</v>
      </c>
      <c r="G238" s="296" t="n">
        <v>2</v>
      </c>
      <c r="H238" s="297" t="n">
        <v>2</v>
      </c>
      <c r="I238" s="133">
        <f>G238-H238</f>
        <v/>
      </c>
      <c r="J238" s="298" t="inlineStr">
        <is>
          <t>Прикладная термодинамика и кинетика</t>
        </is>
      </c>
      <c r="K238" s="298" t="inlineStr">
        <is>
          <t>Зачет с оценкой</t>
        </is>
      </c>
      <c r="L238" s="298" t="inlineStr">
        <is>
          <t>Т11О-103М-21</t>
        </is>
      </c>
      <c r="M238" s="297" t="n">
        <v>2</v>
      </c>
      <c r="N238" s="298" t="inlineStr">
        <is>
          <t>07996</t>
        </is>
      </c>
      <c r="O238" s="299" t="n"/>
      <c r="P238" s="298" t="inlineStr">
        <is>
          <t xml:space="preserve">82018     </t>
        </is>
      </c>
      <c r="Q238" s="298" t="inlineStr">
        <is>
          <t>Бережной Дмитрий Васильевич</t>
        </is>
      </c>
      <c r="R238" s="298" t="n"/>
      <c r="S238" s="298" t="inlineStr">
        <is>
          <t>Нет</t>
        </is>
      </c>
      <c r="T238" s="298" t="n"/>
      <c r="U238" s="298" t="n"/>
    </row>
    <row r="239" ht="15.75" customHeight="1" s="2">
      <c r="E239" s="300" t="n">
        <v>24</v>
      </c>
      <c r="G239" s="296" t="n">
        <v>36</v>
      </c>
      <c r="H239" s="297" t="n">
        <v>36</v>
      </c>
      <c r="I239" s="133">
        <f>G239-H239</f>
        <v/>
      </c>
      <c r="J239" s="298" t="inlineStr">
        <is>
          <t>Прикладная термодинамика и кинетика</t>
        </is>
      </c>
      <c r="K239" s="298" t="inlineStr">
        <is>
          <t>ПЗ</t>
        </is>
      </c>
      <c r="L239" s="298" t="inlineStr">
        <is>
          <t>Т11О-102М-21</t>
        </is>
      </c>
      <c r="M239" s="297" t="n">
        <v>36</v>
      </c>
      <c r="N239" s="298" t="inlineStr">
        <is>
          <t>07996</t>
        </is>
      </c>
      <c r="O239" s="297" t="n">
        <v>36</v>
      </c>
      <c r="P239" s="298" t="inlineStr">
        <is>
          <t xml:space="preserve">82018     </t>
        </is>
      </c>
      <c r="Q239" s="298" t="inlineStr">
        <is>
          <t>Бережной Дмитрий Васильевич</t>
        </is>
      </c>
      <c r="R239" s="298" t="n"/>
      <c r="S239" s="298" t="inlineStr">
        <is>
          <t>Нет</t>
        </is>
      </c>
      <c r="T239" s="298" t="inlineStr">
        <is>
          <t>Орш. А-325</t>
        </is>
      </c>
      <c r="U239" s="298" t="inlineStr">
        <is>
          <t>По будням и плюс один свободный день на неделе</t>
        </is>
      </c>
    </row>
    <row r="240" ht="15.75" customHeight="1" s="2">
      <c r="E240" s="300" t="n">
        <v>2</v>
      </c>
      <c r="G240" s="296" t="n">
        <v>36</v>
      </c>
      <c r="H240" s="297" t="n">
        <v>36</v>
      </c>
      <c r="I240" s="133">
        <f>G240-H240</f>
        <v/>
      </c>
      <c r="J240" s="298" t="inlineStr">
        <is>
          <t>Прикладная термодинамика и кинетика</t>
        </is>
      </c>
      <c r="K240" s="298" t="inlineStr">
        <is>
          <t>ПЗ</t>
        </is>
      </c>
      <c r="L240" s="298" t="inlineStr">
        <is>
          <t>Т11О-103М-21</t>
        </is>
      </c>
      <c r="M240" s="297" t="n">
        <v>36</v>
      </c>
      <c r="N240" s="298" t="inlineStr">
        <is>
          <t>07996</t>
        </is>
      </c>
      <c r="O240" s="297" t="n">
        <v>36</v>
      </c>
      <c r="P240" s="298" t="inlineStr">
        <is>
          <t xml:space="preserve">82018     </t>
        </is>
      </c>
      <c r="Q240" s="298" t="inlineStr">
        <is>
          <t>Бережной Дмитрий Васильевич</t>
        </is>
      </c>
      <c r="R240" s="298" t="n"/>
      <c r="S240" s="298" t="inlineStr">
        <is>
          <t>Нет</t>
        </is>
      </c>
      <c r="T240" s="298" t="inlineStr">
        <is>
          <t>Орш. А-325</t>
        </is>
      </c>
      <c r="U240" s="298" t="inlineStr">
        <is>
          <t>По будням и плюс один свободный день на неделе</t>
        </is>
      </c>
    </row>
    <row r="241" ht="15.75" customHeight="1" s="2">
      <c r="E241" s="300" t="n">
        <v>1</v>
      </c>
      <c r="G241" s="296" t="n">
        <v>3</v>
      </c>
      <c r="H241" s="297" t="n">
        <v>3</v>
      </c>
      <c r="I241" s="133">
        <f>G241-H241</f>
        <v/>
      </c>
      <c r="J241" s="298" t="inlineStr">
        <is>
          <t>Прикладная термодинамика и кинетика</t>
        </is>
      </c>
      <c r="K241" s="298" t="inlineStr">
        <is>
          <t>Экзамен</t>
        </is>
      </c>
      <c r="L241" s="298" t="inlineStr">
        <is>
          <t>Т11О-102М-21</t>
        </is>
      </c>
      <c r="M241" s="297" t="n">
        <v>3</v>
      </c>
      <c r="N241" s="298" t="inlineStr">
        <is>
          <t>07996</t>
        </is>
      </c>
      <c r="O241" s="299" t="n"/>
      <c r="P241" s="298" t="inlineStr">
        <is>
          <t xml:space="preserve">82018     </t>
        </is>
      </c>
      <c r="Q241" s="298" t="inlineStr">
        <is>
          <t>Бережной Дмитрий Васильевич</t>
        </is>
      </c>
      <c r="R241" s="298" t="n"/>
      <c r="S241" s="298" t="inlineStr">
        <is>
          <t>Нет</t>
        </is>
      </c>
      <c r="T241" s="298" t="n"/>
      <c r="U241" s="298" t="inlineStr">
        <is>
          <t>По будням и плюс один свободный день на неделе</t>
        </is>
      </c>
    </row>
    <row r="242" ht="15.75" customHeight="1" s="2">
      <c r="E242" s="300" t="n">
        <v>20</v>
      </c>
      <c r="G242" s="296" t="n">
        <v>3</v>
      </c>
      <c r="H242" s="297" t="n">
        <v>3</v>
      </c>
      <c r="I242" s="133">
        <f>G242-H242</f>
        <v/>
      </c>
      <c r="J242" s="298" t="inlineStr">
        <is>
          <t>Прикладная термодинамика и кинетика</t>
        </is>
      </c>
      <c r="K242" s="298" t="inlineStr">
        <is>
          <t>Консультация</t>
        </is>
      </c>
      <c r="L242" s="298" t="inlineStr">
        <is>
          <t>Т11О-102М-21</t>
        </is>
      </c>
      <c r="M242" s="297" t="n">
        <v>3</v>
      </c>
      <c r="N242" s="298" t="inlineStr">
        <is>
          <t>07996</t>
        </is>
      </c>
      <c r="O242" s="299" t="n"/>
      <c r="P242" s="298" t="inlineStr">
        <is>
          <t xml:space="preserve">82018     </t>
        </is>
      </c>
      <c r="Q242" s="298" t="inlineStr">
        <is>
          <t>Бережной Дмитрий Васильевич</t>
        </is>
      </c>
      <c r="R242" s="298" t="n"/>
      <c r="S242" s="298" t="inlineStr">
        <is>
          <t>Нет</t>
        </is>
      </c>
      <c r="T242" s="298" t="n"/>
      <c r="U242" s="298" t="inlineStr">
        <is>
          <t>По будням и плюс один свободный день на неделе</t>
        </is>
      </c>
    </row>
    <row r="243" ht="15.75" customHeight="1" s="2">
      <c r="E243" s="300" t="n">
        <v>16</v>
      </c>
      <c r="G243" s="296" t="n">
        <v>1</v>
      </c>
      <c r="H243" s="297" t="n">
        <v>1</v>
      </c>
      <c r="I243" s="133">
        <f>G243-H243</f>
        <v/>
      </c>
      <c r="J243" s="298" t="inlineStr">
        <is>
          <t>Прикладная термодинамика и кинетика</t>
        </is>
      </c>
      <c r="K243" s="298" t="inlineStr">
        <is>
          <t>Консультация</t>
        </is>
      </c>
      <c r="L243" s="298" t="inlineStr">
        <is>
          <t>Т11О-103М-21</t>
        </is>
      </c>
      <c r="M243" s="297" t="n">
        <v>1</v>
      </c>
      <c r="N243" s="298" t="inlineStr">
        <is>
          <t>07996</t>
        </is>
      </c>
      <c r="O243" s="299" t="n"/>
      <c r="P243" s="298" t="inlineStr">
        <is>
          <t xml:space="preserve">82018     </t>
        </is>
      </c>
      <c r="Q243" s="298" t="inlineStr">
        <is>
          <t>Бережной Дмитрий Васильевич</t>
        </is>
      </c>
      <c r="R243" s="298" t="n"/>
      <c r="S243" s="298" t="inlineStr">
        <is>
          <t>Нет</t>
        </is>
      </c>
      <c r="T243" s="298" t="n"/>
      <c r="U243" s="298" t="inlineStr">
        <is>
          <t>По будням и плюс один свободный день на неделе</t>
        </is>
      </c>
    </row>
    <row r="244" ht="15.75" customHeight="1" s="2">
      <c r="E244" s="300" t="n">
        <v>2</v>
      </c>
      <c r="G244" s="296" t="n">
        <v>20</v>
      </c>
      <c r="H244" s="297" t="n">
        <v>20</v>
      </c>
      <c r="I244" s="133">
        <f>G244-H244</f>
        <v/>
      </c>
      <c r="J244" s="298" t="inlineStr">
        <is>
          <t>Производство отливок из легких сплавов</t>
        </is>
      </c>
      <c r="K244" s="298" t="inlineStr">
        <is>
          <t>ЛК</t>
        </is>
      </c>
      <c r="L244" s="298" t="inlineStr">
        <is>
          <t>Т11О-202М-20</t>
        </is>
      </c>
      <c r="M244" s="297" t="n">
        <v>20</v>
      </c>
      <c r="N244" s="298" t="inlineStr">
        <is>
          <t>06201</t>
        </is>
      </c>
      <c r="O244" s="297" t="n">
        <v>20</v>
      </c>
      <c r="P244" s="298" t="inlineStr">
        <is>
          <t xml:space="preserve">82061     </t>
        </is>
      </c>
      <c r="Q244" s="298" t="inlineStr">
        <is>
          <t xml:space="preserve">Моисеев Виктор Сергеевич </t>
        </is>
      </c>
      <c r="R244" s="298" t="n"/>
      <c r="S244" s="298" t="inlineStr">
        <is>
          <t>Да</t>
        </is>
      </c>
      <c r="T244" s="298" t="n"/>
      <c r="U244" s="298" t="n"/>
    </row>
    <row r="245" ht="15.75" customHeight="1" s="2">
      <c r="E245" s="300" t="n">
        <v>28</v>
      </c>
      <c r="G245" s="296" t="n">
        <v>15</v>
      </c>
      <c r="H245" s="297" t="n">
        <v>15</v>
      </c>
      <c r="I245" s="133">
        <f>G245-H245</f>
        <v/>
      </c>
      <c r="J245" s="298" t="inlineStr">
        <is>
          <t>Производство отливок из легких сплавов</t>
        </is>
      </c>
      <c r="K245" s="298" t="inlineStr">
        <is>
          <t>КР</t>
        </is>
      </c>
      <c r="L245" s="298" t="inlineStr">
        <is>
          <t>Т11О-202М-20</t>
        </is>
      </c>
      <c r="M245" s="297" t="n">
        <v>15</v>
      </c>
      <c r="N245" s="298" t="inlineStr">
        <is>
          <t>06201</t>
        </is>
      </c>
      <c r="O245" s="299" t="n"/>
      <c r="P245" s="298" t="inlineStr">
        <is>
          <t xml:space="preserve">82061     </t>
        </is>
      </c>
      <c r="Q245" s="298" t="inlineStr">
        <is>
          <t xml:space="preserve">Моисеев Виктор Сергеевич </t>
        </is>
      </c>
      <c r="R245" s="298" t="n"/>
      <c r="S245" s="298" t="inlineStr">
        <is>
          <t>Да</t>
        </is>
      </c>
      <c r="T245" s="298" t="n"/>
      <c r="U245" s="298" t="n"/>
    </row>
    <row r="246" ht="15.75" customHeight="1" s="2">
      <c r="E246" s="300" t="n">
        <v>1</v>
      </c>
      <c r="G246" s="296" t="n">
        <v>2</v>
      </c>
      <c r="H246" s="297" t="n">
        <v>2</v>
      </c>
      <c r="I246" s="133">
        <f>G246-H246</f>
        <v/>
      </c>
      <c r="J246" s="298" t="inlineStr">
        <is>
          <t>Производство отливок из легких сплавов</t>
        </is>
      </c>
      <c r="K246" s="298" t="inlineStr">
        <is>
          <t>Зачет с оценкой</t>
        </is>
      </c>
      <c r="L246" s="298" t="inlineStr">
        <is>
          <t>Т11О-202М-20</t>
        </is>
      </c>
      <c r="M246" s="297" t="n">
        <v>2</v>
      </c>
      <c r="N246" s="298" t="inlineStr">
        <is>
          <t>06201</t>
        </is>
      </c>
      <c r="O246" s="299" t="n"/>
      <c r="P246" s="298" t="inlineStr">
        <is>
          <t xml:space="preserve">82061     </t>
        </is>
      </c>
      <c r="Q246" s="298" t="inlineStr">
        <is>
          <t xml:space="preserve">Моисеев Виктор Сергеевич </t>
        </is>
      </c>
      <c r="R246" s="298" t="n"/>
      <c r="S246" s="298" t="inlineStr">
        <is>
          <t>Да</t>
        </is>
      </c>
      <c r="T246" s="298" t="n"/>
      <c r="U246" s="298" t="n"/>
    </row>
    <row r="247" ht="15.75" customHeight="1" s="2">
      <c r="E247" s="300" t="n">
        <v>14</v>
      </c>
      <c r="G247" s="296" t="n">
        <v>12</v>
      </c>
      <c r="H247" s="297" t="n">
        <v>12</v>
      </c>
      <c r="I247" s="133">
        <f>G247-H247</f>
        <v/>
      </c>
      <c r="J247" s="298" t="inlineStr">
        <is>
          <t>Производство отливок из легких сплавов</t>
        </is>
      </c>
      <c r="K247" s="298" t="inlineStr">
        <is>
          <t>ПЗ</t>
        </is>
      </c>
      <c r="L247" s="298" t="inlineStr">
        <is>
          <t>Т11О-202М-20</t>
        </is>
      </c>
      <c r="M247" s="297" t="n">
        <v>12</v>
      </c>
      <c r="N247" s="298" t="inlineStr">
        <is>
          <t>06201</t>
        </is>
      </c>
      <c r="O247" s="297" t="n">
        <v>12</v>
      </c>
      <c r="P247" s="298" t="inlineStr">
        <is>
          <t xml:space="preserve">82061     </t>
        </is>
      </c>
      <c r="Q247" s="298" t="inlineStr">
        <is>
          <t xml:space="preserve">Моисеев Виктор Сергеевич </t>
        </is>
      </c>
      <c r="R247" s="298" t="n"/>
      <c r="S247" s="298" t="inlineStr">
        <is>
          <t>Да</t>
        </is>
      </c>
      <c r="T247" s="298" t="n"/>
      <c r="U247" s="298" t="n"/>
    </row>
    <row r="248" ht="15.75" customHeight="1" s="2">
      <c r="E248" s="300" t="n">
        <v>2</v>
      </c>
      <c r="G248" s="296" t="n">
        <v>24</v>
      </c>
      <c r="H248" s="297" t="n">
        <v>24</v>
      </c>
      <c r="I248" s="133">
        <f>G248-H248</f>
        <v/>
      </c>
      <c r="J248" s="298" t="inlineStr">
        <is>
          <t>Производство отливок из легких сплавов</t>
        </is>
      </c>
      <c r="K248" s="298" t="inlineStr">
        <is>
          <t>ЛР</t>
        </is>
      </c>
      <c r="L248" s="298" t="inlineStr">
        <is>
          <t>Т11О-202М-20</t>
        </is>
      </c>
      <c r="M248" s="297" t="n">
        <v>24</v>
      </c>
      <c r="N248" s="298" t="inlineStr">
        <is>
          <t>06201</t>
        </is>
      </c>
      <c r="O248" s="297" t="n">
        <v>24</v>
      </c>
      <c r="P248" s="298" t="inlineStr">
        <is>
          <t xml:space="preserve">82061     </t>
        </is>
      </c>
      <c r="Q248" s="298" t="inlineStr">
        <is>
          <t xml:space="preserve">Моисеев Виктор Сергеевич </t>
        </is>
      </c>
      <c r="R248" s="298" t="n"/>
      <c r="S248" s="298" t="inlineStr">
        <is>
          <t>Да</t>
        </is>
      </c>
      <c r="T248" s="298" t="n"/>
      <c r="U248" s="298" t="n"/>
    </row>
    <row r="249" ht="15.75" customHeight="1" s="2">
      <c r="E249" s="300" t="n">
        <v>36</v>
      </c>
      <c r="G249" s="296" t="n">
        <v>1</v>
      </c>
      <c r="H249" s="297" t="n">
        <v>1</v>
      </c>
      <c r="I249" s="133">
        <f>G249-H249</f>
        <v/>
      </c>
      <c r="J249" s="298" t="inlineStr">
        <is>
          <t>Производство отливок из легких сплавов</t>
        </is>
      </c>
      <c r="K249" s="298" t="inlineStr">
        <is>
          <t>Консультация</t>
        </is>
      </c>
      <c r="L249" s="298" t="inlineStr">
        <is>
          <t>Т11О-202М-20</t>
        </is>
      </c>
      <c r="M249" s="297" t="n">
        <v>1</v>
      </c>
      <c r="N249" s="298" t="inlineStr">
        <is>
          <t>06201</t>
        </is>
      </c>
      <c r="O249" s="299" t="n"/>
      <c r="P249" s="298" t="inlineStr">
        <is>
          <t xml:space="preserve">82061     </t>
        </is>
      </c>
      <c r="Q249" s="298" t="inlineStr">
        <is>
          <t xml:space="preserve">Моисеев Виктор Сергеевич </t>
        </is>
      </c>
      <c r="R249" s="298" t="n"/>
      <c r="S249" s="298" t="inlineStr">
        <is>
          <t>Да</t>
        </is>
      </c>
      <c r="T249" s="298" t="n"/>
      <c r="U249" s="298" t="n"/>
    </row>
    <row r="250" ht="15.75" customHeight="1" s="2">
      <c r="E250" s="300" t="n">
        <v>36</v>
      </c>
      <c r="G250" s="296" t="n">
        <v>10</v>
      </c>
      <c r="H250" s="297" t="n">
        <v>10</v>
      </c>
      <c r="I250" s="133">
        <f>G250-H250</f>
        <v/>
      </c>
      <c r="J250" s="298" t="inlineStr">
        <is>
          <t>Системный и численный анализ в САПР ТП литья</t>
        </is>
      </c>
      <c r="K250" s="298" t="inlineStr">
        <is>
          <t>ЛК</t>
        </is>
      </c>
      <c r="L250" s="298" t="inlineStr">
        <is>
          <t>Т11О-102М-21</t>
        </is>
      </c>
      <c r="M250" s="297" t="n">
        <v>10</v>
      </c>
      <c r="N250" s="298" t="inlineStr">
        <is>
          <t>06201</t>
        </is>
      </c>
      <c r="O250" s="297" t="n">
        <v>10</v>
      </c>
      <c r="P250" s="298" t="inlineStr">
        <is>
          <t xml:space="preserve">82061     </t>
        </is>
      </c>
      <c r="Q250" s="298" t="inlineStr">
        <is>
          <t xml:space="preserve">Моисеев Виктор Сергеевич </t>
        </is>
      </c>
      <c r="R250" s="298" t="n"/>
      <c r="S250" s="298" t="inlineStr">
        <is>
          <t>Да</t>
        </is>
      </c>
      <c r="T250" s="298" t="n"/>
      <c r="U250" s="298" t="n"/>
    </row>
    <row r="251" ht="15.75" customHeight="1" s="2">
      <c r="E251" s="300" t="n">
        <v>3</v>
      </c>
      <c r="G251" s="296" t="n">
        <v>18</v>
      </c>
      <c r="H251" s="297" t="n">
        <v>18</v>
      </c>
      <c r="I251" s="133">
        <f>G251-H251</f>
        <v/>
      </c>
      <c r="J251" s="298" t="inlineStr">
        <is>
          <t>Системный и численный анализ в САПР ТП литья</t>
        </is>
      </c>
      <c r="K251" s="298" t="inlineStr">
        <is>
          <t>КР</t>
        </is>
      </c>
      <c r="L251" s="298" t="inlineStr">
        <is>
          <t>Т11О-102М-21</t>
        </is>
      </c>
      <c r="M251" s="297" t="n">
        <v>18</v>
      </c>
      <c r="N251" s="298" t="inlineStr">
        <is>
          <t>06201</t>
        </is>
      </c>
      <c r="O251" s="299" t="n"/>
      <c r="P251" s="298" t="inlineStr">
        <is>
          <t xml:space="preserve">82061     </t>
        </is>
      </c>
      <c r="Q251" s="298" t="inlineStr">
        <is>
          <t xml:space="preserve">Моисеев Виктор Сергеевич </t>
        </is>
      </c>
      <c r="R251" s="298" t="n"/>
      <c r="S251" s="298" t="inlineStr">
        <is>
          <t>Да</t>
        </is>
      </c>
      <c r="T251" s="298" t="n"/>
      <c r="U251" s="298" t="n"/>
    </row>
    <row r="252" ht="15.75" customHeight="1" s="2">
      <c r="E252" s="300" t="n">
        <v>3</v>
      </c>
      <c r="G252" s="296" t="n">
        <v>2</v>
      </c>
      <c r="H252" s="297" t="n">
        <v>2</v>
      </c>
      <c r="I252" s="133">
        <f>G252-H252</f>
        <v/>
      </c>
      <c r="J252" s="298" t="inlineStr">
        <is>
          <t>Системный и численный анализ в САПР ТП литья</t>
        </is>
      </c>
      <c r="K252" s="298" t="inlineStr">
        <is>
          <t>Зачет с оценкой</t>
        </is>
      </c>
      <c r="L252" s="298" t="inlineStr">
        <is>
          <t>Т11О-102М-21</t>
        </is>
      </c>
      <c r="M252" s="297" t="n">
        <v>2</v>
      </c>
      <c r="N252" s="298" t="inlineStr">
        <is>
          <t>06201</t>
        </is>
      </c>
      <c r="O252" s="299" t="n"/>
      <c r="P252" s="298" t="inlineStr">
        <is>
          <t xml:space="preserve">82061     </t>
        </is>
      </c>
      <c r="Q252" s="298" t="inlineStr">
        <is>
          <t xml:space="preserve">Моисеев Виктор Сергеевич </t>
        </is>
      </c>
      <c r="R252" s="298" t="n"/>
      <c r="S252" s="298" t="inlineStr">
        <is>
          <t>Да</t>
        </is>
      </c>
      <c r="T252" s="298" t="n"/>
      <c r="U252" s="298" t="n"/>
    </row>
    <row r="253" ht="15.75" customHeight="1" s="2">
      <c r="E253" s="300" t="n">
        <v>1</v>
      </c>
      <c r="G253" s="296" t="n">
        <v>26</v>
      </c>
      <c r="H253" s="297" t="n">
        <v>26</v>
      </c>
      <c r="I253" s="133">
        <f>G253-H253</f>
        <v/>
      </c>
      <c r="J253" s="298" t="inlineStr">
        <is>
          <t>Системный и численный анализ в САПР ТП литья</t>
        </is>
      </c>
      <c r="K253" s="298" t="inlineStr">
        <is>
          <t>ПЗ</t>
        </is>
      </c>
      <c r="L253" s="298" t="inlineStr">
        <is>
          <t>Т11О-102М-21</t>
        </is>
      </c>
      <c r="M253" s="297" t="n">
        <v>26</v>
      </c>
      <c r="N253" s="298" t="inlineStr">
        <is>
          <t>06201</t>
        </is>
      </c>
      <c r="O253" s="297" t="n">
        <v>26</v>
      </c>
      <c r="P253" s="298" t="inlineStr">
        <is>
          <t xml:space="preserve">82061     </t>
        </is>
      </c>
      <c r="Q253" s="298" t="inlineStr">
        <is>
          <t xml:space="preserve">Моисеев Виктор Сергеевич </t>
        </is>
      </c>
      <c r="R253" s="298" t="n"/>
      <c r="S253" s="298" t="inlineStr">
        <is>
          <t>Да</t>
        </is>
      </c>
      <c r="T253" s="298" t="n"/>
      <c r="U253" s="298" t="n"/>
    </row>
    <row r="254" ht="15.75" customHeight="1" s="2">
      <c r="E254" s="300" t="n">
        <v>20</v>
      </c>
      <c r="G254" s="296" t="n">
        <v>1</v>
      </c>
      <c r="H254" s="297" t="n">
        <v>1</v>
      </c>
      <c r="I254" s="133">
        <f>G254-H254</f>
        <v/>
      </c>
      <c r="J254" s="298" t="inlineStr">
        <is>
          <t>Системный и численный анализ в САПР ТП литья</t>
        </is>
      </c>
      <c r="K254" s="298" t="inlineStr">
        <is>
          <t>Консультация</t>
        </is>
      </c>
      <c r="L254" s="298" t="inlineStr">
        <is>
          <t>Т11О-102М-21</t>
        </is>
      </c>
      <c r="M254" s="297" t="n">
        <v>1</v>
      </c>
      <c r="N254" s="298" t="inlineStr">
        <is>
          <t>06201</t>
        </is>
      </c>
      <c r="O254" s="299" t="n"/>
      <c r="P254" s="298" t="inlineStr">
        <is>
          <t xml:space="preserve">82061     </t>
        </is>
      </c>
      <c r="Q254" s="298" t="inlineStr">
        <is>
          <t xml:space="preserve">Моисеев Виктор Сергеевич </t>
        </is>
      </c>
      <c r="R254" s="298" t="n"/>
      <c r="S254" s="298" t="inlineStr">
        <is>
          <t>Да</t>
        </is>
      </c>
      <c r="T254" s="298" t="n"/>
      <c r="U254" s="298" t="n"/>
    </row>
    <row r="255" ht="15.75" customHeight="1" s="2">
      <c r="E255" s="300" t="n">
        <v>15</v>
      </c>
      <c r="G255" s="296" t="n">
        <v>14</v>
      </c>
      <c r="H255" s="297" t="n">
        <v>14</v>
      </c>
      <c r="I255" s="133">
        <f>G255-H255</f>
        <v/>
      </c>
      <c r="J255" s="298" t="inlineStr">
        <is>
          <t>САПР технологических процессов в литейном производстве</t>
        </is>
      </c>
      <c r="K255" s="298" t="inlineStr">
        <is>
          <t>ЛК</t>
        </is>
      </c>
      <c r="L255" s="298" t="inlineStr">
        <is>
          <t>Т11О-202М-20</t>
        </is>
      </c>
      <c r="M255" s="297" t="n">
        <v>14</v>
      </c>
      <c r="N255" s="298" t="inlineStr">
        <is>
          <t>06201</t>
        </is>
      </c>
      <c r="O255" s="297" t="n">
        <v>14</v>
      </c>
      <c r="P255" s="298" t="inlineStr">
        <is>
          <t xml:space="preserve">82061     </t>
        </is>
      </c>
      <c r="Q255" s="298" t="inlineStr">
        <is>
          <t xml:space="preserve">Моисеев Виктор Сергеевич </t>
        </is>
      </c>
      <c r="R255" s="298" t="n"/>
      <c r="S255" s="298" t="inlineStr">
        <is>
          <t>Да</t>
        </is>
      </c>
      <c r="T255" s="298" t="n"/>
      <c r="U255" s="298" t="n"/>
    </row>
    <row r="256" ht="15.75" customHeight="1" s="2">
      <c r="E256" s="300" t="n">
        <v>2</v>
      </c>
      <c r="G256" s="296" t="n">
        <v>15</v>
      </c>
      <c r="H256" s="297" t="n">
        <v>15</v>
      </c>
      <c r="I256" s="133">
        <f>G256-H256</f>
        <v/>
      </c>
      <c r="J256" s="298" t="inlineStr">
        <is>
          <t>САПР технологических процессов в литейном производстве</t>
        </is>
      </c>
      <c r="K256" s="298" t="inlineStr">
        <is>
          <t>КР</t>
        </is>
      </c>
      <c r="L256" s="298" t="inlineStr">
        <is>
          <t>Т11О-202М-20</t>
        </is>
      </c>
      <c r="M256" s="297" t="n">
        <v>15</v>
      </c>
      <c r="N256" s="298" t="inlineStr">
        <is>
          <t>06201</t>
        </is>
      </c>
      <c r="O256" s="299" t="n"/>
      <c r="P256" s="298" t="inlineStr">
        <is>
          <t xml:space="preserve">82061     </t>
        </is>
      </c>
      <c r="Q256" s="298" t="inlineStr">
        <is>
          <t xml:space="preserve">Моисеев Виктор Сергеевич </t>
        </is>
      </c>
      <c r="R256" s="298" t="n"/>
      <c r="S256" s="298" t="inlineStr">
        <is>
          <t>Да</t>
        </is>
      </c>
      <c r="T256" s="298" t="n"/>
      <c r="U256" s="298" t="n"/>
    </row>
    <row r="257" ht="15.75" customHeight="1" s="2">
      <c r="E257" s="300" t="n">
        <v>12</v>
      </c>
      <c r="G257" s="296" t="n">
        <v>40</v>
      </c>
      <c r="H257" s="297" t="n">
        <v>40</v>
      </c>
      <c r="I257" s="133">
        <f>G257-H257</f>
        <v/>
      </c>
      <c r="J257" s="298" t="inlineStr">
        <is>
          <t>САПР технологических процессов в литейном производстве</t>
        </is>
      </c>
      <c r="K257" s="298" t="inlineStr">
        <is>
          <t>ПЗ</t>
        </is>
      </c>
      <c r="L257" s="298" t="inlineStr">
        <is>
          <t>Т11О-202М-20</t>
        </is>
      </c>
      <c r="M257" s="297" t="n">
        <v>40</v>
      </c>
      <c r="N257" s="298" t="inlineStr">
        <is>
          <t>06201</t>
        </is>
      </c>
      <c r="O257" s="297" t="n">
        <v>40</v>
      </c>
      <c r="P257" s="298" t="inlineStr">
        <is>
          <t xml:space="preserve">82061     </t>
        </is>
      </c>
      <c r="Q257" s="298" t="inlineStr">
        <is>
          <t xml:space="preserve">Моисеев Виктор Сергеевич </t>
        </is>
      </c>
      <c r="R257" s="298" t="n"/>
      <c r="S257" s="298" t="inlineStr">
        <is>
          <t>Да</t>
        </is>
      </c>
      <c r="T257" s="298" t="n"/>
      <c r="U257" s="298" t="n"/>
    </row>
    <row r="258" ht="15.75" customHeight="1" s="2">
      <c r="E258" s="300" t="n">
        <v>24</v>
      </c>
      <c r="G258" s="296" t="n">
        <v>3</v>
      </c>
      <c r="H258" s="297" t="n">
        <v>3</v>
      </c>
      <c r="I258" s="133">
        <f>G258-H258</f>
        <v/>
      </c>
      <c r="J258" s="298" t="inlineStr">
        <is>
          <t>САПР технологических процессов в литейном производстве</t>
        </is>
      </c>
      <c r="K258" s="298" t="inlineStr">
        <is>
          <t>Экзамен</t>
        </is>
      </c>
      <c r="L258" s="298" t="inlineStr">
        <is>
          <t>Т11О-202М-20</t>
        </is>
      </c>
      <c r="M258" s="297" t="n">
        <v>3</v>
      </c>
      <c r="N258" s="298" t="inlineStr">
        <is>
          <t>06201</t>
        </is>
      </c>
      <c r="O258" s="299" t="n"/>
      <c r="P258" s="298" t="inlineStr">
        <is>
          <t xml:space="preserve">82061     </t>
        </is>
      </c>
      <c r="Q258" s="298" t="inlineStr">
        <is>
          <t xml:space="preserve">Моисеев Виктор Сергеевич </t>
        </is>
      </c>
      <c r="R258" s="298" t="n"/>
      <c r="S258" s="298" t="inlineStr">
        <is>
          <t>Да</t>
        </is>
      </c>
      <c r="T258" s="298" t="n"/>
      <c r="U258" s="298" t="n"/>
    </row>
    <row r="259" ht="15.75" customHeight="1" s="2">
      <c r="E259" s="300" t="n">
        <v>1</v>
      </c>
      <c r="G259" s="296" t="n">
        <v>3</v>
      </c>
      <c r="H259" s="297" t="n">
        <v>3</v>
      </c>
      <c r="I259" s="133">
        <f>G259-H259</f>
        <v/>
      </c>
      <c r="J259" s="298" t="inlineStr">
        <is>
          <t>САПР технологических процессов в литейном производстве</t>
        </is>
      </c>
      <c r="K259" s="298" t="inlineStr">
        <is>
          <t>Консультация</t>
        </is>
      </c>
      <c r="L259" s="298" t="inlineStr">
        <is>
          <t>Т11О-202М-20</t>
        </is>
      </c>
      <c r="M259" s="297" t="n">
        <v>3</v>
      </c>
      <c r="N259" s="298" t="inlineStr">
        <is>
          <t>06201</t>
        </is>
      </c>
      <c r="O259" s="299" t="n"/>
      <c r="P259" s="298" t="inlineStr">
        <is>
          <t xml:space="preserve">82061     </t>
        </is>
      </c>
      <c r="Q259" s="298" t="inlineStr">
        <is>
          <t xml:space="preserve">Моисеев Виктор Сергеевич </t>
        </is>
      </c>
      <c r="R259" s="298" t="n"/>
      <c r="S259" s="298" t="inlineStr">
        <is>
          <t>Да</t>
        </is>
      </c>
      <c r="T259" s="298" t="n"/>
      <c r="U259" s="298" t="n"/>
    </row>
    <row r="260" ht="15.75" customHeight="1" s="2">
      <c r="E260" s="300" t="n">
        <v>10</v>
      </c>
      <c r="G260" s="296" t="n">
        <v>24</v>
      </c>
      <c r="H260" s="297" t="n">
        <v>24</v>
      </c>
      <c r="I260" s="133">
        <f>G260-H260</f>
        <v/>
      </c>
      <c r="J260" s="298" t="inlineStr">
        <is>
          <t>Специальные методы литья</t>
        </is>
      </c>
      <c r="K260" s="298" t="inlineStr">
        <is>
          <t>КП</t>
        </is>
      </c>
      <c r="L260" s="298" t="inlineStr">
        <is>
          <t>Т11О-102М-21</t>
        </is>
      </c>
      <c r="M260" s="297" t="n">
        <v>24</v>
      </c>
      <c r="N260" s="298" t="inlineStr">
        <is>
          <t>06201</t>
        </is>
      </c>
      <c r="O260" s="299" t="n"/>
      <c r="P260" s="298" t="inlineStr">
        <is>
          <t xml:space="preserve">82020     </t>
        </is>
      </c>
      <c r="Q260" s="298" t="inlineStr">
        <is>
          <t xml:space="preserve">Варфоломеев Максим Сергеевич </t>
        </is>
      </c>
      <c r="R260" s="298" t="n"/>
      <c r="S260" s="298" t="inlineStr">
        <is>
          <t>Нет</t>
        </is>
      </c>
      <c r="T260" s="298" t="inlineStr">
        <is>
          <t>Орш. А-327</t>
        </is>
      </c>
      <c r="U260" s="298" t="n"/>
    </row>
    <row r="261" ht="15.75" customHeight="1" s="2">
      <c r="E261" s="300" t="n">
        <v>18</v>
      </c>
      <c r="G261" s="296" t="n">
        <v>30</v>
      </c>
      <c r="H261" s="297" t="n">
        <v>30</v>
      </c>
      <c r="I261" s="133">
        <f>G261-H261</f>
        <v/>
      </c>
      <c r="J261" s="298" t="inlineStr">
        <is>
          <t>Специальные методы литья</t>
        </is>
      </c>
      <c r="K261" s="298" t="inlineStr">
        <is>
          <t>ЛК</t>
        </is>
      </c>
      <c r="L261" s="298" t="inlineStr">
        <is>
          <t>Т11О-102М-21</t>
        </is>
      </c>
      <c r="M261" s="297" t="n">
        <v>30</v>
      </c>
      <c r="N261" s="298" t="inlineStr">
        <is>
          <t>06201</t>
        </is>
      </c>
      <c r="O261" s="297" t="n">
        <v>30</v>
      </c>
      <c r="P261" s="298" t="inlineStr">
        <is>
          <t xml:space="preserve">82020     </t>
        </is>
      </c>
      <c r="Q261" s="298" t="inlineStr">
        <is>
          <t xml:space="preserve">Варфоломеев Максим Сергеевич </t>
        </is>
      </c>
      <c r="R261" s="298" t="n"/>
      <c r="S261" s="298" t="inlineStr">
        <is>
          <t>Нет</t>
        </is>
      </c>
      <c r="T261" s="298" t="inlineStr">
        <is>
          <t>Орш. А-327</t>
        </is>
      </c>
      <c r="U261" s="298" t="inlineStr">
        <is>
          <t>ЛК, ПЗ, ЛР - Понедедьник, среда</t>
        </is>
      </c>
    </row>
    <row r="262" ht="15.75" customHeight="1" s="2">
      <c r="E262" s="300" t="n">
        <v>2</v>
      </c>
      <c r="G262" s="296" t="n">
        <v>34</v>
      </c>
      <c r="H262" s="297" t="n">
        <v>34</v>
      </c>
      <c r="I262" s="133">
        <f>G262-H262</f>
        <v/>
      </c>
      <c r="J262" s="298" t="inlineStr">
        <is>
          <t>Специальные методы литья</t>
        </is>
      </c>
      <c r="K262" s="298" t="inlineStr">
        <is>
          <t>ПЗ</t>
        </is>
      </c>
      <c r="L262" s="298" t="inlineStr">
        <is>
          <t>Т11О-102М-21</t>
        </is>
      </c>
      <c r="M262" s="297" t="n">
        <v>34</v>
      </c>
      <c r="N262" s="298" t="inlineStr">
        <is>
          <t>06201</t>
        </is>
      </c>
      <c r="O262" s="297" t="n">
        <v>34</v>
      </c>
      <c r="P262" s="298" t="inlineStr">
        <is>
          <t xml:space="preserve">82020     </t>
        </is>
      </c>
      <c r="Q262" s="298" t="inlineStr">
        <is>
          <t xml:space="preserve">Варфоломеев Максим Сергеевич </t>
        </is>
      </c>
      <c r="R262" s="298" t="n"/>
      <c r="S262" s="298" t="inlineStr">
        <is>
          <t>Нет</t>
        </is>
      </c>
      <c r="T262" s="298" t="inlineStr">
        <is>
          <t>Орш. А-327</t>
        </is>
      </c>
      <c r="U262" s="298" t="inlineStr">
        <is>
          <t>ЛК, ПЗ, ЛР - Понедедьник, среда</t>
        </is>
      </c>
    </row>
    <row r="263" ht="15.75" customHeight="1" s="2">
      <c r="E263" s="300" t="n">
        <v>26</v>
      </c>
      <c r="G263" s="296" t="n">
        <v>16</v>
      </c>
      <c r="H263" s="297" t="n">
        <v>16</v>
      </c>
      <c r="I263" s="133">
        <f>G263-H263</f>
        <v/>
      </c>
      <c r="J263" s="298" t="inlineStr">
        <is>
          <t>Специальные методы литья</t>
        </is>
      </c>
      <c r="K263" s="298" t="inlineStr">
        <is>
          <t>ЛР</t>
        </is>
      </c>
      <c r="L263" s="298" t="inlineStr">
        <is>
          <t>Т11О-102М-21</t>
        </is>
      </c>
      <c r="M263" s="297" t="n">
        <v>16</v>
      </c>
      <c r="N263" s="298" t="inlineStr">
        <is>
          <t>06201</t>
        </is>
      </c>
      <c r="O263" s="297" t="n">
        <v>16</v>
      </c>
      <c r="P263" s="298" t="inlineStr">
        <is>
          <t xml:space="preserve">82020     </t>
        </is>
      </c>
      <c r="Q263" s="298" t="inlineStr">
        <is>
          <t xml:space="preserve">Варфоломеев Максим Сергеевич </t>
        </is>
      </c>
      <c r="R263" s="298" t="n"/>
      <c r="S263" s="298" t="inlineStr">
        <is>
          <t>Нет</t>
        </is>
      </c>
      <c r="T263" s="298" t="inlineStr">
        <is>
          <t>Орш. А-327</t>
        </is>
      </c>
      <c r="U263" s="298" t="inlineStr">
        <is>
          <t>ЛК, ПЗ, ЛР - Понедедьник, среда</t>
        </is>
      </c>
    </row>
    <row r="264" ht="15.75" customHeight="1" s="2">
      <c r="E264" s="300" t="n">
        <v>1</v>
      </c>
      <c r="G264" s="296" t="n">
        <v>3</v>
      </c>
      <c r="H264" s="297" t="n">
        <v>3</v>
      </c>
      <c r="I264" s="133">
        <f>G264-H264</f>
        <v/>
      </c>
      <c r="J264" s="298" t="inlineStr">
        <is>
          <t>Специальные методы литья</t>
        </is>
      </c>
      <c r="K264" s="298" t="inlineStr">
        <is>
          <t>Экзамен</t>
        </is>
      </c>
      <c r="L264" s="298" t="inlineStr">
        <is>
          <t>Т11О-102М-21</t>
        </is>
      </c>
      <c r="M264" s="297" t="n">
        <v>3</v>
      </c>
      <c r="N264" s="298" t="inlineStr">
        <is>
          <t>06201</t>
        </is>
      </c>
      <c r="O264" s="299" t="n"/>
      <c r="P264" s="298" t="inlineStr">
        <is>
          <t xml:space="preserve">82020     </t>
        </is>
      </c>
      <c r="Q264" s="298" t="inlineStr">
        <is>
          <t xml:space="preserve">Варфоломеев Максим Сергеевич </t>
        </is>
      </c>
      <c r="R264" s="298" t="n"/>
      <c r="S264" s="298" t="inlineStr">
        <is>
          <t>Нет</t>
        </is>
      </c>
      <c r="T264" s="298" t="n"/>
      <c r="U264" s="298" t="n"/>
    </row>
    <row r="265" ht="15.75" customHeight="1" s="2">
      <c r="E265" s="300" t="n">
        <v>14</v>
      </c>
      <c r="G265" s="296" t="n">
        <v>3</v>
      </c>
      <c r="H265" s="297" t="n">
        <v>3</v>
      </c>
      <c r="I265" s="133">
        <f>G265-H265</f>
        <v/>
      </c>
      <c r="J265" s="298" t="inlineStr">
        <is>
          <t>Специальные методы литья</t>
        </is>
      </c>
      <c r="K265" s="298" t="inlineStr">
        <is>
          <t>Консультация</t>
        </is>
      </c>
      <c r="L265" s="298" t="inlineStr">
        <is>
          <t>Т11О-102М-21</t>
        </is>
      </c>
      <c r="M265" s="297" t="n">
        <v>3</v>
      </c>
      <c r="N265" s="298" t="inlineStr">
        <is>
          <t>06201</t>
        </is>
      </c>
      <c r="O265" s="299" t="n"/>
      <c r="P265" s="298" t="inlineStr">
        <is>
          <t xml:space="preserve">82020     </t>
        </is>
      </c>
      <c r="Q265" s="298" t="inlineStr">
        <is>
          <t xml:space="preserve">Варфоломеев Максим Сергеевич </t>
        </is>
      </c>
      <c r="R265" s="298" t="n"/>
      <c r="S265" s="298" t="inlineStr">
        <is>
          <t>Нет</t>
        </is>
      </c>
      <c r="T265" s="298" t="n"/>
      <c r="U265" s="298" t="n"/>
    </row>
    <row r="266" ht="15.75" customHeight="1" s="2">
      <c r="E266" s="300" t="n">
        <v>15</v>
      </c>
      <c r="G266" s="296" t="n">
        <v>1</v>
      </c>
      <c r="H266" s="297" t="n">
        <v>1</v>
      </c>
      <c r="I266" s="133">
        <f>G266-H266</f>
        <v/>
      </c>
      <c r="J266" s="298" t="inlineStr">
        <is>
          <t>Специальные методы литья</t>
        </is>
      </c>
      <c r="K266" s="298" t="inlineStr">
        <is>
          <t>Консультация</t>
        </is>
      </c>
      <c r="L266" s="298" t="inlineStr">
        <is>
          <t>Т11О-102М-21</t>
        </is>
      </c>
      <c r="M266" s="297" t="n">
        <v>1</v>
      </c>
      <c r="N266" s="298" t="inlineStr">
        <is>
          <t>06201</t>
        </is>
      </c>
      <c r="O266" s="299" t="n"/>
      <c r="P266" s="298" t="inlineStr">
        <is>
          <t xml:space="preserve">93685     </t>
        </is>
      </c>
      <c r="Q266" s="298" t="inlineStr">
        <is>
          <t xml:space="preserve">Банишев Александр Федорович </t>
        </is>
      </c>
      <c r="R266" s="298" t="inlineStr">
        <is>
          <t>профессор</t>
        </is>
      </c>
      <c r="S266" s="298" t="inlineStr">
        <is>
          <t>Да</t>
        </is>
      </c>
      <c r="T266" s="298" t="n"/>
      <c r="U266" s="298" t="n"/>
    </row>
    <row r="267" ht="15.75" customHeight="1" s="2">
      <c r="E267" s="300" t="n">
        <v>40</v>
      </c>
      <c r="G267" s="296" t="n">
        <v>18</v>
      </c>
      <c r="H267" s="297" t="n">
        <v>18</v>
      </c>
      <c r="I267" s="133">
        <f>G267-H267</f>
        <v/>
      </c>
      <c r="J267" s="298" t="inlineStr">
        <is>
          <t>Методы планирования и обработки результатов эксперимента 2</t>
        </is>
      </c>
      <c r="K267" s="298" t="inlineStr">
        <is>
          <t>ЛК</t>
        </is>
      </c>
      <c r="L267" s="298" t="inlineStr">
        <is>
          <t>Т11О-204М-20</t>
        </is>
      </c>
      <c r="M267" s="297" t="n">
        <v>18</v>
      </c>
      <c r="N267" s="298" t="inlineStr">
        <is>
          <t>04595</t>
        </is>
      </c>
      <c r="O267" s="297" t="n">
        <v>18</v>
      </c>
      <c r="P267" s="298" t="inlineStr">
        <is>
          <t xml:space="preserve">82056     </t>
        </is>
      </c>
      <c r="Q267" s="298" t="inlineStr">
        <is>
          <t xml:space="preserve">Никитина Елена Владимировна </t>
        </is>
      </c>
      <c r="R267" s="298" t="n"/>
      <c r="S267" s="298" t="inlineStr">
        <is>
          <t>Да</t>
        </is>
      </c>
      <c r="T267" s="298" t="inlineStr">
        <is>
          <t>Орш. А-509</t>
        </is>
      </c>
      <c r="U267" s="298" t="inlineStr">
        <is>
          <t xml:space="preserve">пн-пт с 13:00 </t>
        </is>
      </c>
    </row>
    <row r="268" ht="15.75" customHeight="1" s="2">
      <c r="E268" s="300" t="n">
        <v>3</v>
      </c>
      <c r="G268" s="296" t="n">
        <v>18</v>
      </c>
      <c r="H268" s="297" t="n">
        <v>18</v>
      </c>
      <c r="I268" s="133">
        <f>G268-H268</f>
        <v/>
      </c>
      <c r="J268" s="298" t="inlineStr">
        <is>
          <t>Методы планирования и обработки результатов эксперимента 2</t>
        </is>
      </c>
      <c r="K268" s="298" t="inlineStr">
        <is>
          <t>КР</t>
        </is>
      </c>
      <c r="L268" s="298" t="inlineStr">
        <is>
          <t>Т11О-204М-20</t>
        </is>
      </c>
      <c r="M268" s="297" t="n">
        <v>18</v>
      </c>
      <c r="N268" s="298" t="inlineStr">
        <is>
          <t>04595</t>
        </is>
      </c>
      <c r="O268" s="299" t="n"/>
      <c r="P268" s="298" t="inlineStr">
        <is>
          <t xml:space="preserve">82056     </t>
        </is>
      </c>
      <c r="Q268" s="298" t="inlineStr">
        <is>
          <t xml:space="preserve">Никитина Елена Владимировна </t>
        </is>
      </c>
      <c r="R268" s="298" t="n"/>
      <c r="S268" s="298" t="inlineStr">
        <is>
          <t>Да</t>
        </is>
      </c>
      <c r="T268" s="298" t="inlineStr">
        <is>
          <t>Орш. А-509</t>
        </is>
      </c>
      <c r="U268" s="298" t="inlineStr">
        <is>
          <t xml:space="preserve">пн-пт с 13:00 </t>
        </is>
      </c>
    </row>
    <row r="269" ht="15.75" customHeight="1" s="2">
      <c r="E269" s="300" t="n">
        <v>3</v>
      </c>
      <c r="G269" s="296" t="n">
        <v>2</v>
      </c>
      <c r="H269" s="297" t="n">
        <v>2</v>
      </c>
      <c r="I269" s="133">
        <f>G269-H269</f>
        <v/>
      </c>
      <c r="J269" s="298" t="inlineStr">
        <is>
          <t>Методы планирования и обработки результатов эксперимента 2</t>
        </is>
      </c>
      <c r="K269" s="298" t="inlineStr">
        <is>
          <t>Зачет с оценкой</t>
        </is>
      </c>
      <c r="L269" s="298" t="inlineStr">
        <is>
          <t>Т11О-204М-20</t>
        </is>
      </c>
      <c r="M269" s="297" t="n">
        <v>2</v>
      </c>
      <c r="N269" s="298" t="inlineStr">
        <is>
          <t>04595</t>
        </is>
      </c>
      <c r="O269" s="299" t="n"/>
      <c r="P269" s="298" t="inlineStr">
        <is>
          <t xml:space="preserve">82056     </t>
        </is>
      </c>
      <c r="Q269" s="298" t="inlineStr">
        <is>
          <t xml:space="preserve">Никитина Елена Владимировна </t>
        </is>
      </c>
      <c r="R269" s="298" t="n"/>
      <c r="S269" s="298" t="inlineStr">
        <is>
          <t>Да</t>
        </is>
      </c>
      <c r="T269" s="298" t="inlineStr">
        <is>
          <t>Орш. А-509</t>
        </is>
      </c>
      <c r="U269" s="298" t="inlineStr">
        <is>
          <t xml:space="preserve">пн-пт с 13:00 </t>
        </is>
      </c>
    </row>
    <row r="270" ht="15.75" customHeight="1" s="2">
      <c r="E270" s="300" t="n">
        <v>24</v>
      </c>
      <c r="G270" s="296" t="n">
        <v>58</v>
      </c>
      <c r="H270" s="297" t="n">
        <v>58</v>
      </c>
      <c r="I270" s="133">
        <f>G270-H270</f>
        <v/>
      </c>
      <c r="J270" s="298" t="inlineStr">
        <is>
          <t>Методы планирования и обработки результатов эксперимента 2</t>
        </is>
      </c>
      <c r="K270" s="298" t="inlineStr">
        <is>
          <t>ПЗ</t>
        </is>
      </c>
      <c r="L270" s="298" t="inlineStr">
        <is>
          <t>Т11О-204М-20</t>
        </is>
      </c>
      <c r="M270" s="297" t="n">
        <v>58</v>
      </c>
      <c r="N270" s="298" t="inlineStr">
        <is>
          <t>04595</t>
        </is>
      </c>
      <c r="O270" s="297" t="n">
        <v>58</v>
      </c>
      <c r="P270" s="298" t="inlineStr">
        <is>
          <t xml:space="preserve">82056     </t>
        </is>
      </c>
      <c r="Q270" s="298" t="inlineStr">
        <is>
          <t xml:space="preserve">Никитина Елена Владимировна </t>
        </is>
      </c>
      <c r="R270" s="298" t="n"/>
      <c r="S270" s="298" t="inlineStr">
        <is>
          <t>Да</t>
        </is>
      </c>
      <c r="T270" s="298" t="inlineStr">
        <is>
          <t>Орш. А-509</t>
        </is>
      </c>
      <c r="U270" s="298" t="inlineStr">
        <is>
          <t xml:space="preserve">пн-пт с 13:00 </t>
        </is>
      </c>
    </row>
    <row r="271" ht="15.75" customHeight="1" s="2">
      <c r="E271" s="300" t="n">
        <v>30</v>
      </c>
      <c r="G271" s="296" t="n">
        <v>1</v>
      </c>
      <c r="H271" s="297" t="n">
        <v>1</v>
      </c>
      <c r="I271" s="133">
        <f>G271-H271</f>
        <v/>
      </c>
      <c r="J271" s="298" t="inlineStr">
        <is>
          <t>Методы планирования и обработки результатов эксперимента 2</t>
        </is>
      </c>
      <c r="K271" s="298" t="inlineStr">
        <is>
          <t>Консультация</t>
        </is>
      </c>
      <c r="L271" s="298" t="inlineStr">
        <is>
          <t>Т11О-204М-20</t>
        </is>
      </c>
      <c r="M271" s="297" t="n">
        <v>1</v>
      </c>
      <c r="N271" s="298" t="inlineStr">
        <is>
          <t>04595</t>
        </is>
      </c>
      <c r="O271" s="299" t="n"/>
      <c r="P271" s="298" t="inlineStr">
        <is>
          <t xml:space="preserve">82056     </t>
        </is>
      </c>
      <c r="Q271" s="298" t="inlineStr">
        <is>
          <t xml:space="preserve">Никитина Елена Владимировна </t>
        </is>
      </c>
      <c r="R271" s="298" t="n"/>
      <c r="S271" s="298" t="inlineStr">
        <is>
          <t>Да</t>
        </is>
      </c>
      <c r="T271" s="298" t="inlineStr">
        <is>
          <t>Орш. А-509</t>
        </is>
      </c>
      <c r="U271" s="298" t="inlineStr">
        <is>
          <t xml:space="preserve">пн-пт с 13:00 </t>
        </is>
      </c>
    </row>
    <row r="272" ht="15.75" customHeight="1" s="2">
      <c r="E272" s="300" t="n">
        <v>34</v>
      </c>
      <c r="G272" s="296" t="n">
        <v>8</v>
      </c>
      <c r="H272" s="297" t="n">
        <v>8</v>
      </c>
      <c r="I272" s="133">
        <f>G272-H272</f>
        <v/>
      </c>
      <c r="J272" s="298" t="inlineStr">
        <is>
          <t>Техника измерений</t>
        </is>
      </c>
      <c r="K272" s="298" t="inlineStr">
        <is>
          <t>ЛК</t>
        </is>
      </c>
      <c r="L272" s="298" t="inlineStr">
        <is>
          <t>Т11О-104М-21</t>
        </is>
      </c>
      <c r="M272" s="297" t="n">
        <v>8</v>
      </c>
      <c r="N272" s="298" t="inlineStr">
        <is>
          <t>04595</t>
        </is>
      </c>
      <c r="O272" s="297" t="n">
        <v>8</v>
      </c>
      <c r="P272" s="298" t="inlineStr">
        <is>
          <t xml:space="preserve">82023     </t>
        </is>
      </c>
      <c r="Q272" s="298" t="inlineStr">
        <is>
          <t xml:space="preserve">Федоров Сергей Александрович </t>
        </is>
      </c>
      <c r="R272" s="298" t="n"/>
      <c r="S272" s="298" t="inlineStr">
        <is>
          <t>Да</t>
        </is>
      </c>
      <c r="T272" s="298" t="inlineStr">
        <is>
          <t>Орш. А-509</t>
        </is>
      </c>
      <c r="U272" s="298" t="inlineStr">
        <is>
          <t>пн-пт по 2 пары с 14-45</t>
        </is>
      </c>
    </row>
    <row r="273" ht="15.75" customHeight="1" s="2">
      <c r="E273" s="300" t="n">
        <v>16</v>
      </c>
      <c r="G273" s="296" t="n">
        <v>28</v>
      </c>
      <c r="H273" s="297" t="n">
        <v>28</v>
      </c>
      <c r="I273" s="133">
        <f>G273-H273</f>
        <v/>
      </c>
      <c r="J273" s="298" t="inlineStr">
        <is>
          <t>Техника измерений</t>
        </is>
      </c>
      <c r="K273" s="298" t="inlineStr">
        <is>
          <t>ПЗ</t>
        </is>
      </c>
      <c r="L273" s="298" t="inlineStr">
        <is>
          <t>Т11О-104М-21</t>
        </is>
      </c>
      <c r="M273" s="297" t="n">
        <v>28</v>
      </c>
      <c r="N273" s="298" t="inlineStr">
        <is>
          <t>04595</t>
        </is>
      </c>
      <c r="O273" s="297" t="n">
        <v>28</v>
      </c>
      <c r="P273" s="298" t="inlineStr">
        <is>
          <t xml:space="preserve">82023     </t>
        </is>
      </c>
      <c r="Q273" s="298" t="inlineStr">
        <is>
          <t xml:space="preserve">Федоров Сергей Александрович </t>
        </is>
      </c>
      <c r="R273" s="298" t="n"/>
      <c r="S273" s="298" t="inlineStr">
        <is>
          <t>Да</t>
        </is>
      </c>
      <c r="T273" s="298" t="inlineStr">
        <is>
          <t>Орш. А-509</t>
        </is>
      </c>
      <c r="U273" s="298" t="inlineStr">
        <is>
          <t>пн-пт по 2 пары с 14-45</t>
        </is>
      </c>
    </row>
    <row r="274" ht="15.75" customHeight="1" s="2">
      <c r="E274" s="300" t="n">
        <v>3</v>
      </c>
      <c r="G274" s="296" t="n">
        <v>3</v>
      </c>
      <c r="H274" s="297" t="n">
        <v>3</v>
      </c>
      <c r="I274" s="133">
        <f>G274-H274</f>
        <v/>
      </c>
      <c r="J274" s="298" t="inlineStr">
        <is>
          <t>Техника измерений</t>
        </is>
      </c>
      <c r="K274" s="298" t="inlineStr">
        <is>
          <t>Экзамен</t>
        </is>
      </c>
      <c r="L274" s="298" t="inlineStr">
        <is>
          <t>Т11О-104М-21</t>
        </is>
      </c>
      <c r="M274" s="297" t="n">
        <v>3</v>
      </c>
      <c r="N274" s="298" t="inlineStr">
        <is>
          <t>04595</t>
        </is>
      </c>
      <c r="O274" s="299" t="n"/>
      <c r="P274" s="298" t="inlineStr">
        <is>
          <t xml:space="preserve">82023     </t>
        </is>
      </c>
      <c r="Q274" s="298" t="inlineStr">
        <is>
          <t xml:space="preserve">Федоров Сергей Александрович </t>
        </is>
      </c>
      <c r="R274" s="298" t="n"/>
      <c r="S274" s="298" t="inlineStr">
        <is>
          <t>Да</t>
        </is>
      </c>
      <c r="T274" s="298" t="n"/>
      <c r="U274" s="298" t="n"/>
    </row>
    <row r="275" ht="15.75" customHeight="1" s="2">
      <c r="E275" s="300" t="n">
        <v>3</v>
      </c>
      <c r="G275" s="296" t="n">
        <v>2</v>
      </c>
      <c r="H275" s="297" t="n">
        <v>2</v>
      </c>
      <c r="I275" s="133">
        <f>G275-H275</f>
        <v/>
      </c>
      <c r="J275" s="298" t="inlineStr">
        <is>
          <t>Техника измерений</t>
        </is>
      </c>
      <c r="K275" s="298" t="inlineStr">
        <is>
          <t>Консультация</t>
        </is>
      </c>
      <c r="L275" s="298" t="inlineStr">
        <is>
          <t>Т11О-104М-21</t>
        </is>
      </c>
      <c r="M275" s="297" t="n">
        <v>2</v>
      </c>
      <c r="N275" s="298" t="inlineStr">
        <is>
          <t>04595</t>
        </is>
      </c>
      <c r="O275" s="299" t="n"/>
      <c r="P275" s="298" t="inlineStr">
        <is>
          <t xml:space="preserve">82023     </t>
        </is>
      </c>
      <c r="Q275" s="298" t="inlineStr">
        <is>
          <t xml:space="preserve">Федоров Сергей Александрович </t>
        </is>
      </c>
      <c r="R275" s="298" t="n"/>
      <c r="S275" s="298" t="inlineStr">
        <is>
          <t>Да</t>
        </is>
      </c>
      <c r="T275" s="298" t="n"/>
      <c r="U275" s="298" t="n"/>
    </row>
    <row r="276" ht="15.75" customHeight="1" s="2">
      <c r="E276" s="300" t="n">
        <v>1</v>
      </c>
      <c r="G276" s="296" t="n">
        <v>12</v>
      </c>
      <c r="H276" s="297" t="n">
        <v>12</v>
      </c>
      <c r="I276" s="133">
        <f>G276-H276</f>
        <v/>
      </c>
      <c r="J276" s="298" t="inlineStr">
        <is>
          <t>Материалы сварных и паянных конструкций, проблемы свариваемости и паяемости</t>
        </is>
      </c>
      <c r="K276" s="298" t="inlineStr">
        <is>
          <t>ЛК</t>
        </is>
      </c>
      <c r="L276" s="298" t="inlineStr">
        <is>
          <t>Т11О-104М-21</t>
        </is>
      </c>
      <c r="M276" s="297" t="n">
        <v>12</v>
      </c>
      <c r="N276" s="298" t="inlineStr">
        <is>
          <t>04595</t>
        </is>
      </c>
      <c r="O276" s="297" t="n">
        <v>12</v>
      </c>
      <c r="P276" s="298" t="inlineStr">
        <is>
          <t xml:space="preserve">87438     </t>
        </is>
      </c>
      <c r="Q276" s="298" t="inlineStr">
        <is>
          <t xml:space="preserve">Конкевич Валентин Юрьевич </t>
        </is>
      </c>
      <c r="R276" s="298" t="n"/>
      <c r="S276" s="298" t="inlineStr">
        <is>
          <t>Да</t>
        </is>
      </c>
      <c r="T276" s="298" t="inlineStr">
        <is>
          <t>Орш. А-527</t>
        </is>
      </c>
      <c r="U276" s="298" t="inlineStr">
        <is>
          <t>вторник, среда с 9-00</t>
        </is>
      </c>
    </row>
    <row r="277" ht="15.75" customHeight="1" s="2">
      <c r="E277" s="300" t="n">
        <v>18</v>
      </c>
      <c r="G277" s="296" t="n">
        <v>44</v>
      </c>
      <c r="H277" s="297" t="n">
        <v>44</v>
      </c>
      <c r="I277" s="133">
        <f>G277-H277</f>
        <v/>
      </c>
      <c r="J277" s="298" t="inlineStr">
        <is>
          <t>Материалы сварных и паянных конструкций, проблемы свариваемости и паяемости</t>
        </is>
      </c>
      <c r="K277" s="298" t="inlineStr">
        <is>
          <t>ПЗ</t>
        </is>
      </c>
      <c r="L277" s="298" t="inlineStr">
        <is>
          <t>Т11О-104М-21</t>
        </is>
      </c>
      <c r="M277" s="297" t="n">
        <v>44</v>
      </c>
      <c r="N277" s="298" t="inlineStr">
        <is>
          <t>04595</t>
        </is>
      </c>
      <c r="O277" s="297" t="n">
        <v>44</v>
      </c>
      <c r="P277" s="298" t="inlineStr">
        <is>
          <t xml:space="preserve">87438     </t>
        </is>
      </c>
      <c r="Q277" s="298" t="inlineStr">
        <is>
          <t xml:space="preserve">Конкевич Валентин Юрьевич </t>
        </is>
      </c>
      <c r="R277" s="298" t="n"/>
      <c r="S277" s="298" t="inlineStr">
        <is>
          <t>Да</t>
        </is>
      </c>
      <c r="T277" s="298" t="inlineStr">
        <is>
          <t>Орш. А-527</t>
        </is>
      </c>
      <c r="U277" s="298" t="inlineStr">
        <is>
          <t>вторник, среда с 9-00</t>
        </is>
      </c>
    </row>
    <row r="278" ht="15.75" customHeight="1" s="2">
      <c r="E278" s="300" t="n">
        <v>18</v>
      </c>
      <c r="G278" s="296" t="n">
        <v>3</v>
      </c>
      <c r="H278" s="297" t="n">
        <v>3</v>
      </c>
      <c r="I278" s="133">
        <f>G278-H278</f>
        <v/>
      </c>
      <c r="J278" s="298" t="inlineStr">
        <is>
          <t>Материалы сварных и паянных конструкций, проблемы свариваемости и паяемости</t>
        </is>
      </c>
      <c r="K278" s="298" t="inlineStr">
        <is>
          <t>Экзамен</t>
        </is>
      </c>
      <c r="L278" s="298" t="inlineStr">
        <is>
          <t>Т11О-104М-21</t>
        </is>
      </c>
      <c r="M278" s="297" t="n">
        <v>3</v>
      </c>
      <c r="N278" s="298" t="inlineStr">
        <is>
          <t>04595</t>
        </is>
      </c>
      <c r="O278" s="299" t="n"/>
      <c r="P278" s="298" t="inlineStr">
        <is>
          <t xml:space="preserve">87438     </t>
        </is>
      </c>
      <c r="Q278" s="298" t="inlineStr">
        <is>
          <t xml:space="preserve">Конкевич Валентин Юрьевич </t>
        </is>
      </c>
      <c r="R278" s="298" t="n"/>
      <c r="S278" s="298" t="inlineStr">
        <is>
          <t>Да</t>
        </is>
      </c>
      <c r="T278" s="298" t="n"/>
      <c r="U278" s="298" t="inlineStr">
        <is>
          <t>вторник, среда с 9-00</t>
        </is>
      </c>
    </row>
    <row r="279" ht="15.75" customHeight="1" s="2">
      <c r="E279" s="300" t="n">
        <v>2</v>
      </c>
      <c r="G279" s="296" t="n">
        <v>3</v>
      </c>
      <c r="H279" s="297" t="n">
        <v>3</v>
      </c>
      <c r="I279" s="133">
        <f>G279-H279</f>
        <v/>
      </c>
      <c r="J279" s="298" t="inlineStr">
        <is>
          <t>Материалы сварных и паянных конструкций, проблемы свариваемости и паяемости</t>
        </is>
      </c>
      <c r="K279" s="298" t="inlineStr">
        <is>
          <t>Консультация</t>
        </is>
      </c>
      <c r="L279" s="298" t="inlineStr">
        <is>
          <t>Т11О-104М-21</t>
        </is>
      </c>
      <c r="M279" s="297" t="n">
        <v>3</v>
      </c>
      <c r="N279" s="298" t="inlineStr">
        <is>
          <t>04595</t>
        </is>
      </c>
      <c r="O279" s="299" t="n"/>
      <c r="P279" s="298" t="inlineStr">
        <is>
          <t xml:space="preserve">87438     </t>
        </is>
      </c>
      <c r="Q279" s="298" t="inlineStr">
        <is>
          <t xml:space="preserve">Конкевич Валентин Юрьевич </t>
        </is>
      </c>
      <c r="R279" s="298" t="n"/>
      <c r="S279" s="298" t="inlineStr">
        <is>
          <t>Да</t>
        </is>
      </c>
      <c r="T279" s="298" t="n"/>
      <c r="U279" s="298" t="n"/>
    </row>
    <row r="280" ht="15.75" customHeight="1" s="2">
      <c r="E280" s="300" t="n">
        <v>58</v>
      </c>
      <c r="G280" s="303" t="n">
        <v>18</v>
      </c>
      <c r="H280" s="297" t="n">
        <v>18</v>
      </c>
      <c r="I280" s="133">
        <f>G280-H280</f>
        <v/>
      </c>
      <c r="J280" s="298" t="inlineStr">
        <is>
          <t>Основы кристаллографии</t>
        </is>
      </c>
      <c r="K280" s="298" t="inlineStr">
        <is>
          <t>ЛК</t>
        </is>
      </c>
      <c r="L280" s="298" t="inlineStr">
        <is>
          <t>Т11О-103М-21</t>
        </is>
      </c>
      <c r="M280" s="297" t="n">
        <v>18</v>
      </c>
      <c r="N280" s="298" t="inlineStr">
        <is>
          <t>06203</t>
        </is>
      </c>
      <c r="O280" s="297" t="n">
        <v>18</v>
      </c>
      <c r="P280" s="298" t="inlineStr">
        <is>
          <t xml:space="preserve">82026     </t>
        </is>
      </c>
      <c r="Q280" s="298" t="inlineStr">
        <is>
          <t xml:space="preserve">Александрова Светлана Сергеевна </t>
        </is>
      </c>
      <c r="R280" s="298" t="n"/>
      <c r="S280" s="298" t="inlineStr">
        <is>
          <t>Нет</t>
        </is>
      </c>
      <c r="T280" s="298" t="inlineStr">
        <is>
          <t>Орш. А-509</t>
        </is>
      </c>
      <c r="U280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281" ht="15.75" customHeight="1" s="2">
      <c r="E281" s="300" t="n">
        <v>1</v>
      </c>
      <c r="G281" s="303" t="n">
        <v>32</v>
      </c>
      <c r="H281" s="297" t="n">
        <v>32</v>
      </c>
      <c r="I281" s="133">
        <f>G281-H281</f>
        <v/>
      </c>
      <c r="J281" s="298" t="inlineStr">
        <is>
          <t>Основы кристаллографии</t>
        </is>
      </c>
      <c r="K281" s="298" t="inlineStr">
        <is>
          <t>ПЗ</t>
        </is>
      </c>
      <c r="L281" s="298" t="inlineStr">
        <is>
          <t>Т11О-103М-21</t>
        </is>
      </c>
      <c r="M281" s="297" t="n">
        <v>32</v>
      </c>
      <c r="N281" s="298" t="inlineStr">
        <is>
          <t>06203</t>
        </is>
      </c>
      <c r="O281" s="297" t="n">
        <v>32</v>
      </c>
      <c r="P281" s="298" t="inlineStr">
        <is>
          <t xml:space="preserve">82026     </t>
        </is>
      </c>
      <c r="Q281" s="298" t="inlineStr">
        <is>
          <t xml:space="preserve">Александрова Светлана Сергеевна </t>
        </is>
      </c>
      <c r="R281" s="298" t="n"/>
      <c r="S281" s="298" t="inlineStr">
        <is>
          <t>Нет</t>
        </is>
      </c>
      <c r="T281" s="298" t="inlineStr">
        <is>
          <t>Орш. А-509</t>
        </is>
      </c>
      <c r="U281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282" ht="15.75" customHeight="1" s="2">
      <c r="E282" s="300" t="n">
        <v>8</v>
      </c>
      <c r="G282" s="303" t="n">
        <v>2</v>
      </c>
      <c r="H282" s="297" t="n">
        <v>2</v>
      </c>
      <c r="I282" s="133">
        <f>G282-H282</f>
        <v/>
      </c>
      <c r="J282" s="298" t="inlineStr">
        <is>
          <t>Основы кристаллографии</t>
        </is>
      </c>
      <c r="K282" s="298" t="inlineStr">
        <is>
          <t>Зачет</t>
        </is>
      </c>
      <c r="L282" s="298" t="inlineStr">
        <is>
          <t>Т11О-103М-21</t>
        </is>
      </c>
      <c r="M282" s="297" t="n">
        <v>2</v>
      </c>
      <c r="N282" s="298" t="inlineStr">
        <is>
          <t>06203</t>
        </is>
      </c>
      <c r="O282" s="299" t="n"/>
      <c r="P282" s="298" t="inlineStr">
        <is>
          <t xml:space="preserve">82026     </t>
        </is>
      </c>
      <c r="Q282" s="298" t="inlineStr">
        <is>
          <t xml:space="preserve">Александрова Светлана Сергеевна </t>
        </is>
      </c>
      <c r="R282" s="298" t="n"/>
      <c r="S282" s="298" t="inlineStr">
        <is>
          <t>Нет</t>
        </is>
      </c>
      <c r="T282" s="298" t="n"/>
      <c r="U282" s="298" t="n"/>
    </row>
    <row r="283" ht="15.75" customHeight="1" s="2">
      <c r="E283" s="300" t="n">
        <v>28</v>
      </c>
      <c r="G283" s="303" t="n">
        <v>1</v>
      </c>
      <c r="H283" s="297" t="n">
        <v>1</v>
      </c>
      <c r="I283" s="133">
        <f>G283-H283</f>
        <v/>
      </c>
      <c r="J283" s="298" t="inlineStr">
        <is>
          <t>Основы кристаллографии</t>
        </is>
      </c>
      <c r="K283" s="298" t="inlineStr">
        <is>
          <t>Консультация</t>
        </is>
      </c>
      <c r="L283" s="298" t="inlineStr">
        <is>
          <t>Т11О-103М-21</t>
        </is>
      </c>
      <c r="M283" s="297" t="n">
        <v>1</v>
      </c>
      <c r="N283" s="298" t="inlineStr">
        <is>
          <t>06203</t>
        </is>
      </c>
      <c r="O283" s="299" t="n"/>
      <c r="P283" s="298" t="inlineStr">
        <is>
          <t xml:space="preserve">82026     </t>
        </is>
      </c>
      <c r="Q283" s="298" t="inlineStr">
        <is>
          <t xml:space="preserve">Александрова Светлана Сергеевна </t>
        </is>
      </c>
      <c r="R283" s="298" t="n"/>
      <c r="S283" s="298" t="inlineStr">
        <is>
          <t>Нет</t>
        </is>
      </c>
      <c r="T283" s="298" t="n"/>
      <c r="U283" s="298" t="n"/>
    </row>
    <row r="284" ht="15.75" customHeight="1" s="2">
      <c r="E284" s="300" t="n">
        <v>3</v>
      </c>
      <c r="G284" s="296" t="n">
        <v>16</v>
      </c>
      <c r="H284" s="297" t="n">
        <v>16</v>
      </c>
      <c r="I284" s="133">
        <f>G284-H284</f>
        <v/>
      </c>
      <c r="J284" s="298" t="inlineStr">
        <is>
          <t>Моделирование процессов и объектов в порошковой металлургии и нанесении покрытий</t>
        </is>
      </c>
      <c r="K284" s="298" t="inlineStr">
        <is>
          <t>ЛК</t>
        </is>
      </c>
      <c r="L284" s="298" t="inlineStr">
        <is>
          <t>Т11О-103М-21</t>
        </is>
      </c>
      <c r="M284" s="297" t="n">
        <v>16</v>
      </c>
      <c r="N284" s="298" t="inlineStr">
        <is>
          <t>06203</t>
        </is>
      </c>
      <c r="O284" s="297" t="n">
        <v>16</v>
      </c>
      <c r="P284" s="298" t="inlineStr">
        <is>
          <t xml:space="preserve">82026     </t>
        </is>
      </c>
      <c r="Q284" s="298" t="inlineStr">
        <is>
          <t xml:space="preserve">Александрова Светлана Сергеевна </t>
        </is>
      </c>
      <c r="R284" s="298" t="n"/>
      <c r="S284" s="298" t="inlineStr">
        <is>
          <t>Нет</t>
        </is>
      </c>
      <c r="T284" s="298" t="inlineStr">
        <is>
          <t>Орш. А-509</t>
        </is>
      </c>
      <c r="U284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285" ht="15.75" customHeight="1" s="2">
      <c r="E285" s="300" t="n">
        <v>2</v>
      </c>
      <c r="G285" s="296" t="n">
        <v>18</v>
      </c>
      <c r="H285" s="297" t="n">
        <v>18</v>
      </c>
      <c r="I285" s="133">
        <f>G285-H285</f>
        <v/>
      </c>
      <c r="J285" s="298" t="inlineStr">
        <is>
          <t>Моделирование процессов и объектов в порошковой металлургии и нанесении покрытий</t>
        </is>
      </c>
      <c r="K285" s="298" t="inlineStr">
        <is>
          <t>КР</t>
        </is>
      </c>
      <c r="L285" s="298" t="inlineStr">
        <is>
          <t>Т11О-103М-21</t>
        </is>
      </c>
      <c r="M285" s="297" t="n">
        <v>18</v>
      </c>
      <c r="N285" s="298" t="inlineStr">
        <is>
          <t>06203</t>
        </is>
      </c>
      <c r="O285" s="299" t="n"/>
      <c r="P285" s="298" t="inlineStr">
        <is>
          <t xml:space="preserve">82026     </t>
        </is>
      </c>
      <c r="Q285" s="298" t="inlineStr">
        <is>
          <t xml:space="preserve">Александрова Светлана Сергеевна </t>
        </is>
      </c>
      <c r="R285" s="298" t="n"/>
      <c r="S285" s="298" t="inlineStr">
        <is>
          <t>Нет</t>
        </is>
      </c>
      <c r="T285" s="298" t="n"/>
      <c r="U285" s="298" t="n"/>
    </row>
    <row r="286" ht="15.75" customHeight="1" s="2">
      <c r="E286" s="300" t="n">
        <v>12</v>
      </c>
      <c r="G286" s="296" t="n">
        <v>2</v>
      </c>
      <c r="H286" s="297" t="n">
        <v>2</v>
      </c>
      <c r="I286" s="133">
        <f>G286-H286</f>
        <v/>
      </c>
      <c r="J286" s="298" t="inlineStr">
        <is>
          <t>Моделирование процессов и объектов в порошковой металлургии и нанесении покрытий</t>
        </is>
      </c>
      <c r="K286" s="298" t="inlineStr">
        <is>
          <t>Зачет с оценкой</t>
        </is>
      </c>
      <c r="L286" s="298" t="inlineStr">
        <is>
          <t>Т11О-103М-21</t>
        </is>
      </c>
      <c r="M286" s="297" t="n">
        <v>2</v>
      </c>
      <c r="N286" s="298" t="inlineStr">
        <is>
          <t>06203</t>
        </is>
      </c>
      <c r="O286" s="299" t="n"/>
      <c r="P286" s="298" t="inlineStr">
        <is>
          <t xml:space="preserve">82026     </t>
        </is>
      </c>
      <c r="Q286" s="298" t="inlineStr">
        <is>
          <t xml:space="preserve">Александрова Светлана Сергеевна </t>
        </is>
      </c>
      <c r="R286" s="298" t="n"/>
      <c r="S286" s="298" t="inlineStr">
        <is>
          <t>Нет</t>
        </is>
      </c>
      <c r="T286" s="298" t="n"/>
      <c r="U286" s="298" t="n"/>
    </row>
    <row r="287" ht="15.75" customHeight="1" s="2">
      <c r="E287" s="300" t="n">
        <v>44</v>
      </c>
      <c r="G287" s="296" t="n">
        <v>50</v>
      </c>
      <c r="H287" s="297" t="n">
        <v>50</v>
      </c>
      <c r="I287" s="133">
        <f>G287-H287</f>
        <v/>
      </c>
      <c r="J287" s="298" t="inlineStr">
        <is>
          <t>Моделирование процессов и объектов в порошковой металлургии и нанесении покрытий</t>
        </is>
      </c>
      <c r="K287" s="298" t="inlineStr">
        <is>
          <t>ПЗ</t>
        </is>
      </c>
      <c r="L287" s="298" t="inlineStr">
        <is>
          <t>Т11О-103М-21</t>
        </is>
      </c>
      <c r="M287" s="297" t="n">
        <v>50</v>
      </c>
      <c r="N287" s="298" t="inlineStr">
        <is>
          <t>06203</t>
        </is>
      </c>
      <c r="O287" s="297" t="n">
        <v>50</v>
      </c>
      <c r="P287" s="298" t="inlineStr">
        <is>
          <t xml:space="preserve">82026     </t>
        </is>
      </c>
      <c r="Q287" s="298" t="inlineStr">
        <is>
          <t xml:space="preserve">Александрова Светлана Сергеевна </t>
        </is>
      </c>
      <c r="R287" s="298" t="n"/>
      <c r="S287" s="298" t="inlineStr">
        <is>
          <t>Нет</t>
        </is>
      </c>
      <c r="T287" s="298" t="inlineStr">
        <is>
          <t>Орш. А-509</t>
        </is>
      </c>
      <c r="U287" s="298" t="n"/>
    </row>
    <row r="288" ht="15.75" customHeight="1" s="2">
      <c r="E288" s="300" t="n">
        <v>3</v>
      </c>
      <c r="G288" s="296" t="n">
        <v>1</v>
      </c>
      <c r="H288" s="297" t="n">
        <v>1</v>
      </c>
      <c r="I288" s="133">
        <f>G288-H288</f>
        <v/>
      </c>
      <c r="J288" s="298" t="inlineStr">
        <is>
          <t>Моделирование процессов и объектов в порошковой металлургии и нанесении покрытий</t>
        </is>
      </c>
      <c r="K288" s="298" t="inlineStr">
        <is>
          <t>Консультация</t>
        </is>
      </c>
      <c r="L288" s="298" t="inlineStr">
        <is>
          <t>Т11О-103М-21</t>
        </is>
      </c>
      <c r="M288" s="297" t="n">
        <v>1</v>
      </c>
      <c r="N288" s="298" t="inlineStr">
        <is>
          <t>06203</t>
        </is>
      </c>
      <c r="O288" s="299" t="n"/>
      <c r="P288" s="298" t="inlineStr">
        <is>
          <t xml:space="preserve">82026     </t>
        </is>
      </c>
      <c r="Q288" s="298" t="inlineStr">
        <is>
          <t xml:space="preserve">Александрова Светлана Сергеевна </t>
        </is>
      </c>
      <c r="R288" s="298" t="n"/>
      <c r="S288" s="298" t="inlineStr">
        <is>
          <t>Нет</t>
        </is>
      </c>
      <c r="T288" s="298" t="n"/>
      <c r="U288" s="298" t="n"/>
    </row>
    <row r="289" ht="15.75" customHeight="1" s="2">
      <c r="E289" s="300" t="n">
        <v>3</v>
      </c>
      <c r="G289" s="296" t="n">
        <v>18</v>
      </c>
      <c r="H289" s="297" t="n">
        <v>18</v>
      </c>
      <c r="I289" s="133">
        <f>G289-H289</f>
        <v/>
      </c>
      <c r="J289" s="298" t="inlineStr">
        <is>
          <t>Разработка технологических процессов производства материалов с микрокристаллической структурой</t>
        </is>
      </c>
      <c r="K289" s="298" t="inlineStr">
        <is>
          <t>ЛК</t>
        </is>
      </c>
      <c r="L289" s="298" t="inlineStr">
        <is>
          <t>Т11О-203М-20</t>
        </is>
      </c>
      <c r="M289" s="297" t="n">
        <v>18</v>
      </c>
      <c r="N289" s="298" t="inlineStr">
        <is>
          <t>06203</t>
        </is>
      </c>
      <c r="O289" s="297" t="n">
        <v>18</v>
      </c>
      <c r="P289" s="298" t="inlineStr">
        <is>
          <t xml:space="preserve">82066     </t>
        </is>
      </c>
      <c r="Q289" s="298" t="inlineStr">
        <is>
          <t xml:space="preserve">Серов Михаил Михайлович </t>
        </is>
      </c>
      <c r="R289" s="298" t="n"/>
      <c r="S289" s="298" t="inlineStr">
        <is>
          <t>Да</t>
        </is>
      </c>
      <c r="T289" s="298" t="n"/>
      <c r="U289" s="298" t="n"/>
    </row>
    <row r="290" ht="15.75" customHeight="1" s="2">
      <c r="E290" s="300" t="n">
        <v>18</v>
      </c>
      <c r="G290" s="296" t="n">
        <v>15</v>
      </c>
      <c r="H290" s="297" t="n">
        <v>15</v>
      </c>
      <c r="I290" s="133">
        <f>G290-H290</f>
        <v/>
      </c>
      <c r="J290" s="298" t="inlineStr">
        <is>
          <t>Разработка технологических процессов производства материалов с микрокристаллической структурой</t>
        </is>
      </c>
      <c r="K290" s="298" t="inlineStr">
        <is>
          <t>КР</t>
        </is>
      </c>
      <c r="L290" s="298" t="inlineStr">
        <is>
          <t>Т11О-203М-20</t>
        </is>
      </c>
      <c r="M290" s="297" t="n">
        <v>15</v>
      </c>
      <c r="N290" s="298" t="inlineStr">
        <is>
          <t>06203</t>
        </is>
      </c>
      <c r="O290" s="299" t="n"/>
      <c r="P290" s="298" t="inlineStr">
        <is>
          <t xml:space="preserve">82066     </t>
        </is>
      </c>
      <c r="Q290" s="298" t="inlineStr">
        <is>
          <t xml:space="preserve">Серов Михаил Михайлович </t>
        </is>
      </c>
      <c r="R290" s="298" t="n"/>
      <c r="S290" s="298" t="inlineStr">
        <is>
          <t>Да</t>
        </is>
      </c>
      <c r="T290" s="298" t="n"/>
      <c r="U290" s="298" t="n"/>
    </row>
    <row r="291" ht="15.75" customHeight="1" s="2">
      <c r="E291" s="300" t="n">
        <v>32</v>
      </c>
      <c r="G291" s="296" t="n">
        <v>44</v>
      </c>
      <c r="H291" s="297" t="n">
        <v>44</v>
      </c>
      <c r="I291" s="133">
        <f>G291-H291</f>
        <v/>
      </c>
      <c r="J291" s="298" t="inlineStr">
        <is>
          <t>Разработка технологических процессов производства материалов с микрокристаллической структурой</t>
        </is>
      </c>
      <c r="K291" s="298" t="inlineStr">
        <is>
          <t>ПЗ</t>
        </is>
      </c>
      <c r="L291" s="298" t="inlineStr">
        <is>
          <t>Т11О-203М-20</t>
        </is>
      </c>
      <c r="M291" s="297" t="n">
        <v>44</v>
      </c>
      <c r="N291" s="298" t="inlineStr">
        <is>
          <t>06203</t>
        </is>
      </c>
      <c r="O291" s="297" t="n">
        <v>44</v>
      </c>
      <c r="P291" s="298" t="inlineStr">
        <is>
          <t xml:space="preserve">82066     </t>
        </is>
      </c>
      <c r="Q291" s="298" t="inlineStr">
        <is>
          <t xml:space="preserve">Серов Михаил Михайлович </t>
        </is>
      </c>
      <c r="R291" s="298" t="n"/>
      <c r="S291" s="298" t="inlineStr">
        <is>
          <t>Да</t>
        </is>
      </c>
      <c r="T291" s="298" t="n"/>
      <c r="U291" s="298" t="n"/>
    </row>
    <row r="292" ht="15.75" customHeight="1" s="2">
      <c r="E292" s="300" t="n">
        <v>2</v>
      </c>
      <c r="G292" s="296" t="n">
        <v>4</v>
      </c>
      <c r="H292" s="297" t="n">
        <v>4</v>
      </c>
      <c r="I292" s="133">
        <f>G292-H292</f>
        <v/>
      </c>
      <c r="J292" s="298" t="inlineStr">
        <is>
          <t>Разработка технологических процессов производства материалов с микрокристаллической структурой</t>
        </is>
      </c>
      <c r="K292" s="298" t="inlineStr">
        <is>
          <t>ЛР</t>
        </is>
      </c>
      <c r="L292" s="298" t="inlineStr">
        <is>
          <t>Т11О-203М-20</t>
        </is>
      </c>
      <c r="M292" s="297" t="n">
        <v>4</v>
      </c>
      <c r="N292" s="298" t="inlineStr">
        <is>
          <t>06203</t>
        </is>
      </c>
      <c r="O292" s="297" t="n">
        <v>4</v>
      </c>
      <c r="P292" s="298" t="inlineStr">
        <is>
          <t xml:space="preserve">82066     </t>
        </is>
      </c>
      <c r="Q292" s="298" t="inlineStr">
        <is>
          <t xml:space="preserve">Серов Михаил Михайлович </t>
        </is>
      </c>
      <c r="R292" s="298" t="n"/>
      <c r="S292" s="298" t="inlineStr">
        <is>
          <t>Да</t>
        </is>
      </c>
      <c r="T292" s="298" t="n"/>
      <c r="U292" s="298" t="n"/>
    </row>
    <row r="293" ht="15.75" customHeight="1" s="2">
      <c r="E293" s="300" t="n">
        <v>1</v>
      </c>
      <c r="G293" s="296" t="n">
        <v>3</v>
      </c>
      <c r="H293" s="297" t="n">
        <v>3</v>
      </c>
      <c r="I293" s="133">
        <f>G293-H293</f>
        <v/>
      </c>
      <c r="J293" s="298" t="inlineStr">
        <is>
          <t>Разработка технологических процессов производства материалов с микрокристаллической структурой</t>
        </is>
      </c>
      <c r="K293" s="298" t="inlineStr">
        <is>
          <t>Экзамен</t>
        </is>
      </c>
      <c r="L293" s="298" t="inlineStr">
        <is>
          <t>Т11О-203М-20</t>
        </is>
      </c>
      <c r="M293" s="297" t="n">
        <v>3</v>
      </c>
      <c r="N293" s="298" t="inlineStr">
        <is>
          <t>06203</t>
        </is>
      </c>
      <c r="O293" s="299" t="n"/>
      <c r="P293" s="298" t="inlineStr">
        <is>
          <t xml:space="preserve">82066     </t>
        </is>
      </c>
      <c r="Q293" s="298" t="inlineStr">
        <is>
          <t xml:space="preserve">Серов Михаил Михайлович </t>
        </is>
      </c>
      <c r="R293" s="298" t="n"/>
      <c r="S293" s="298" t="inlineStr">
        <is>
          <t>Да</t>
        </is>
      </c>
      <c r="T293" s="298" t="n"/>
      <c r="U293" s="298" t="n"/>
    </row>
    <row r="294" ht="15.75" customHeight="1" s="2">
      <c r="E294" s="300" t="n">
        <v>16</v>
      </c>
      <c r="G294" s="296" t="n">
        <v>3</v>
      </c>
      <c r="H294" s="297" t="n">
        <v>3</v>
      </c>
      <c r="I294" s="133">
        <f>G294-H294</f>
        <v/>
      </c>
      <c r="J294" s="298" t="inlineStr">
        <is>
          <t>Разработка технологических процессов производства материалов с микрокристаллической структурой</t>
        </is>
      </c>
      <c r="K294" s="298" t="inlineStr">
        <is>
          <t>Консультация</t>
        </is>
      </c>
      <c r="L294" s="298" t="inlineStr">
        <is>
          <t>Т11О-203М-20</t>
        </is>
      </c>
      <c r="M294" s="297" t="n">
        <v>3</v>
      </c>
      <c r="N294" s="298" t="inlineStr">
        <is>
          <t>06203</t>
        </is>
      </c>
      <c r="O294" s="299" t="n"/>
      <c r="P294" s="298" t="inlineStr">
        <is>
          <t xml:space="preserve">82066     </t>
        </is>
      </c>
      <c r="Q294" s="298" t="inlineStr">
        <is>
          <t xml:space="preserve">Серов Михаил Михайлович </t>
        </is>
      </c>
      <c r="R294" s="298" t="n"/>
      <c r="S294" s="298" t="inlineStr">
        <is>
          <t>Да</t>
        </is>
      </c>
      <c r="T294" s="298" t="n"/>
      <c r="U294" s="298" t="n"/>
    </row>
    <row r="295" ht="15.75" customHeight="1" s="2">
      <c r="E295" s="300" t="n">
        <v>18</v>
      </c>
      <c r="G295" s="296" t="n">
        <v>18</v>
      </c>
      <c r="H295" s="297" t="n">
        <v>18</v>
      </c>
      <c r="I295" s="133">
        <f>G295-H295</f>
        <v/>
      </c>
      <c r="J295" s="298" t="inlineStr">
        <is>
          <t>Технологии создания наноструктурных материалов</t>
        </is>
      </c>
      <c r="K295" s="298" t="inlineStr">
        <is>
          <t>ЛК</t>
        </is>
      </c>
      <c r="L295" s="298" t="inlineStr">
        <is>
          <t>Т11О-203М-20</t>
        </is>
      </c>
      <c r="M295" s="297" t="n">
        <v>18</v>
      </c>
      <c r="N295" s="298" t="inlineStr">
        <is>
          <t>06203</t>
        </is>
      </c>
      <c r="O295" s="297" t="n">
        <v>18</v>
      </c>
      <c r="P295" s="298" t="inlineStr">
        <is>
          <t xml:space="preserve">82060     </t>
        </is>
      </c>
      <c r="Q295" s="298" t="inlineStr">
        <is>
          <t xml:space="preserve">Лозован Александр Александрович </t>
        </is>
      </c>
      <c r="R295" s="298" t="n"/>
      <c r="S295" s="298" t="inlineStr">
        <is>
          <t>Да</t>
        </is>
      </c>
      <c r="T295" s="298" t="inlineStr">
        <is>
          <t>Орш. А-117</t>
        </is>
      </c>
      <c r="U295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296" ht="15.75" customHeight="1" s="2">
      <c r="E296" s="300" t="n">
        <v>2</v>
      </c>
      <c r="G296" s="296" t="n">
        <v>15</v>
      </c>
      <c r="H296" s="297" t="n">
        <v>15</v>
      </c>
      <c r="I296" s="133">
        <f>G296-H296</f>
        <v/>
      </c>
      <c r="J296" s="298" t="inlineStr">
        <is>
          <t>Технологии создания наноструктурных материалов</t>
        </is>
      </c>
      <c r="K296" s="298" t="inlineStr">
        <is>
          <t>КР</t>
        </is>
      </c>
      <c r="L296" s="298" t="inlineStr">
        <is>
          <t>Т11О-203М-20</t>
        </is>
      </c>
      <c r="M296" s="297" t="n">
        <v>15</v>
      </c>
      <c r="N296" s="298" t="inlineStr">
        <is>
          <t>06203</t>
        </is>
      </c>
      <c r="O296" s="299" t="n"/>
      <c r="P296" s="298" t="inlineStr">
        <is>
          <t xml:space="preserve">82060     </t>
        </is>
      </c>
      <c r="Q296" s="298" t="inlineStr">
        <is>
          <t xml:space="preserve">Лозован Александр Александрович </t>
        </is>
      </c>
      <c r="R296" s="298" t="n"/>
      <c r="S296" s="298" t="inlineStr">
        <is>
          <t>Да</t>
        </is>
      </c>
      <c r="T296" s="298" t="inlineStr">
        <is>
          <t>Орш. А-117</t>
        </is>
      </c>
      <c r="U296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297" ht="15.75" customHeight="1" s="2">
      <c r="E297" s="300" t="n">
        <v>50</v>
      </c>
      <c r="G297" s="296" t="n">
        <v>32</v>
      </c>
      <c r="H297" s="297" t="n">
        <v>32</v>
      </c>
      <c r="I297" s="133">
        <f>G297-H297</f>
        <v/>
      </c>
      <c r="J297" s="298" t="inlineStr">
        <is>
          <t>Технологии создания наноструктурных материалов</t>
        </is>
      </c>
      <c r="K297" s="298" t="inlineStr">
        <is>
          <t>ПЗ</t>
        </is>
      </c>
      <c r="L297" s="298" t="inlineStr">
        <is>
          <t>Т11О-203М-20</t>
        </is>
      </c>
      <c r="M297" s="297" t="n">
        <v>32</v>
      </c>
      <c r="N297" s="298" t="inlineStr">
        <is>
          <t>06203</t>
        </is>
      </c>
      <c r="O297" s="297" t="n">
        <v>32</v>
      </c>
      <c r="P297" s="298" t="inlineStr">
        <is>
          <t xml:space="preserve">82060     </t>
        </is>
      </c>
      <c r="Q297" s="298" t="inlineStr">
        <is>
          <t xml:space="preserve">Лозован Александр Александрович </t>
        </is>
      </c>
      <c r="R297" s="298" t="n"/>
      <c r="S297" s="298" t="inlineStr">
        <is>
          <t>Да</t>
        </is>
      </c>
      <c r="T297" s="298" t="inlineStr">
        <is>
          <t>Орш. А-117</t>
        </is>
      </c>
      <c r="U297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298" ht="15.75" customHeight="1" s="2">
      <c r="E298" s="300" t="n">
        <v>1</v>
      </c>
      <c r="G298" s="296" t="n">
        <v>16</v>
      </c>
      <c r="H298" s="297" t="n">
        <v>16</v>
      </c>
      <c r="I298" s="133">
        <f>G298-H298</f>
        <v/>
      </c>
      <c r="J298" s="298" t="inlineStr">
        <is>
          <t>Технологии создания наноструктурных материалов</t>
        </is>
      </c>
      <c r="K298" s="298" t="inlineStr">
        <is>
          <t>ЛР</t>
        </is>
      </c>
      <c r="L298" s="298" t="inlineStr">
        <is>
          <t>Т11О-203М-20</t>
        </is>
      </c>
      <c r="M298" s="297" t="n">
        <v>16</v>
      </c>
      <c r="N298" s="298" t="inlineStr">
        <is>
          <t>06203</t>
        </is>
      </c>
      <c r="O298" s="297" t="n">
        <v>16</v>
      </c>
      <c r="P298" s="298" t="inlineStr">
        <is>
          <t xml:space="preserve">82060     </t>
        </is>
      </c>
      <c r="Q298" s="298" t="inlineStr">
        <is>
          <t xml:space="preserve">Лозован Александр Александрович </t>
        </is>
      </c>
      <c r="R298" s="298" t="n"/>
      <c r="S298" s="298" t="inlineStr">
        <is>
          <t>Да</t>
        </is>
      </c>
      <c r="T298" s="298" t="inlineStr">
        <is>
          <t>Орш. А-117</t>
        </is>
      </c>
      <c r="U298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299" ht="15.75" customHeight="1" s="2">
      <c r="E299" s="300" t="n">
        <v>18</v>
      </c>
      <c r="G299" s="296" t="n">
        <v>3</v>
      </c>
      <c r="H299" s="297" t="n">
        <v>3</v>
      </c>
      <c r="I299" s="133">
        <f>G299-H299</f>
        <v/>
      </c>
      <c r="J299" s="298" t="inlineStr">
        <is>
          <t>Технологии создания наноструктурных материалов</t>
        </is>
      </c>
      <c r="K299" s="298" t="inlineStr">
        <is>
          <t>Экзамен</t>
        </is>
      </c>
      <c r="L299" s="298" t="inlineStr">
        <is>
          <t>Т11О-203М-20</t>
        </is>
      </c>
      <c r="M299" s="297" t="n">
        <v>3</v>
      </c>
      <c r="N299" s="298" t="inlineStr">
        <is>
          <t>06203</t>
        </is>
      </c>
      <c r="O299" s="299" t="n"/>
      <c r="P299" s="298" t="inlineStr">
        <is>
          <t xml:space="preserve">82060     </t>
        </is>
      </c>
      <c r="Q299" s="298" t="inlineStr">
        <is>
          <t xml:space="preserve">Лозован Александр Александрович </t>
        </is>
      </c>
      <c r="R299" s="298" t="n"/>
      <c r="S299" s="298" t="inlineStr">
        <is>
          <t>Да</t>
        </is>
      </c>
      <c r="T299" s="298" t="inlineStr">
        <is>
          <t>Орш. А-117</t>
        </is>
      </c>
      <c r="U299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300" ht="15.75" customHeight="1" s="2">
      <c r="E300" s="300" t="n">
        <v>15</v>
      </c>
      <c r="G300" s="296" t="n">
        <v>3</v>
      </c>
      <c r="H300" s="297" t="n">
        <v>3</v>
      </c>
      <c r="I300" s="133">
        <f>G300-H300</f>
        <v/>
      </c>
      <c r="J300" s="298" t="inlineStr">
        <is>
          <t>Технологии создания наноструктурных материалов</t>
        </is>
      </c>
      <c r="K300" s="298" t="inlineStr">
        <is>
          <t>Консультация</t>
        </is>
      </c>
      <c r="L300" s="298" t="inlineStr">
        <is>
          <t>Т11О-203М-20</t>
        </is>
      </c>
      <c r="M300" s="297" t="n">
        <v>3</v>
      </c>
      <c r="N300" s="298" t="inlineStr">
        <is>
          <t>06203</t>
        </is>
      </c>
      <c r="O300" s="299" t="n"/>
      <c r="P300" s="298" t="inlineStr">
        <is>
          <t xml:space="preserve">82060     </t>
        </is>
      </c>
      <c r="Q300" s="298" t="inlineStr">
        <is>
          <t xml:space="preserve">Лозован Александр Александрович </t>
        </is>
      </c>
      <c r="R300" s="298" t="n"/>
      <c r="S300" s="298" t="inlineStr">
        <is>
          <t>Да</t>
        </is>
      </c>
      <c r="T300" s="298" t="inlineStr">
        <is>
          <t>Орш. А-117</t>
        </is>
      </c>
      <c r="U300" s="298" t="inlineStr">
        <is>
      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      </is>
      </c>
    </row>
    <row r="301" ht="15.75" customHeight="1" s="2">
      <c r="E301" s="300" t="n">
        <v>44</v>
      </c>
      <c r="G301" s="296" t="n">
        <v>12</v>
      </c>
      <c r="H301" s="297" t="n">
        <v>12</v>
      </c>
      <c r="I301" s="133">
        <f>G301-H301</f>
        <v/>
      </c>
      <c r="J301" s="298" t="inlineStr">
        <is>
          <t>Физические основы и методы аддитивных технологий</t>
        </is>
      </c>
      <c r="K301" s="298" t="inlineStr">
        <is>
          <t>ЛК</t>
        </is>
      </c>
      <c r="L301" s="298" t="inlineStr">
        <is>
          <t>Т11О-101М-21, Т11О-102М-21, Т11О-103М-21, Т11О-104М-21</t>
        </is>
      </c>
      <c r="M301" s="297" t="n">
        <v>12</v>
      </c>
      <c r="N301" s="298" t="inlineStr">
        <is>
          <t>07987</t>
        </is>
      </c>
      <c r="O301" s="297" t="n">
        <v>12</v>
      </c>
      <c r="P301" s="298" t="inlineStr">
        <is>
          <t xml:space="preserve">82020     </t>
        </is>
      </c>
      <c r="Q301" s="298" t="inlineStr">
        <is>
          <t xml:space="preserve">Варфоломеев Максим Сергеевич </t>
        </is>
      </c>
      <c r="R301" s="298" t="n"/>
      <c r="S301" s="298" t="inlineStr">
        <is>
          <t>Нет</t>
        </is>
      </c>
      <c r="T301" s="298" t="inlineStr">
        <is>
          <t>Орш. А-327</t>
        </is>
      </c>
      <c r="U301" s="298" t="inlineStr">
        <is>
          <t>ЛК, ПЗ, ЛР - Понедедьник, среда</t>
        </is>
      </c>
    </row>
    <row r="302" ht="15.75" customHeight="1" s="2">
      <c r="E302" s="300" t="n">
        <v>4</v>
      </c>
      <c r="G302" s="296" t="n">
        <v>2</v>
      </c>
      <c r="H302" s="297" t="n">
        <v>2</v>
      </c>
      <c r="I302" s="133">
        <f>G302-H302</f>
        <v/>
      </c>
      <c r="J302" s="298" t="inlineStr">
        <is>
          <t>Физические основы и методы аддитивных технологий</t>
        </is>
      </c>
      <c r="K302" s="298" t="inlineStr">
        <is>
          <t>Зачет с оценкой</t>
        </is>
      </c>
      <c r="L302" s="298" t="inlineStr">
        <is>
          <t>Т11О-101М-21</t>
        </is>
      </c>
      <c r="M302" s="297" t="n">
        <v>2</v>
      </c>
      <c r="N302" s="298" t="inlineStr">
        <is>
          <t>07987</t>
        </is>
      </c>
      <c r="O302" s="299" t="n"/>
      <c r="P302" s="298" t="inlineStr">
        <is>
          <t xml:space="preserve">82020     </t>
        </is>
      </c>
      <c r="Q302" s="298" t="inlineStr">
        <is>
          <t xml:space="preserve">Варфоломеев Максим Сергеевич </t>
        </is>
      </c>
      <c r="R302" s="298" t="n"/>
      <c r="S302" s="298" t="inlineStr">
        <is>
          <t>Нет</t>
        </is>
      </c>
      <c r="T302" s="298" t="n"/>
      <c r="U302" s="298" t="n"/>
    </row>
    <row r="303" ht="15.75" customHeight="1" s="2">
      <c r="E303" s="300" t="n">
        <v>3</v>
      </c>
      <c r="G303" s="296" t="n">
        <v>2</v>
      </c>
      <c r="H303" s="297" t="n">
        <v>2</v>
      </c>
      <c r="I303" s="133">
        <f>G303-H303</f>
        <v/>
      </c>
      <c r="J303" s="298" t="inlineStr">
        <is>
          <t>Физические основы и методы аддитивных технологий</t>
        </is>
      </c>
      <c r="K303" s="298" t="inlineStr">
        <is>
          <t>Зачет с оценкой</t>
        </is>
      </c>
      <c r="L303" s="298" t="inlineStr">
        <is>
          <t>Т11О-102М-21</t>
        </is>
      </c>
      <c r="M303" s="297" t="n">
        <v>2</v>
      </c>
      <c r="N303" s="298" t="inlineStr">
        <is>
          <t>07987</t>
        </is>
      </c>
      <c r="O303" s="299" t="n"/>
      <c r="P303" s="298" t="inlineStr">
        <is>
          <t xml:space="preserve">82020     </t>
        </is>
      </c>
      <c r="Q303" s="298" t="inlineStr">
        <is>
          <t xml:space="preserve">Варфоломеев Максим Сергеевич </t>
        </is>
      </c>
      <c r="R303" s="298" t="n"/>
      <c r="S303" s="298" t="inlineStr">
        <is>
          <t>Нет</t>
        </is>
      </c>
      <c r="T303" s="298" t="n"/>
      <c r="U303" s="298" t="n"/>
    </row>
    <row r="304" ht="15.75" customHeight="1" s="2">
      <c r="E304" s="300" t="n">
        <v>3</v>
      </c>
      <c r="G304" s="296" t="n">
        <v>2</v>
      </c>
      <c r="H304" s="297" t="n">
        <v>2</v>
      </c>
      <c r="I304" s="133">
        <f>G304-H304</f>
        <v/>
      </c>
      <c r="J304" s="298" t="inlineStr">
        <is>
          <t>Физические основы и методы аддитивных технологий</t>
        </is>
      </c>
      <c r="K304" s="298" t="inlineStr">
        <is>
          <t>Зачет с оценкой</t>
        </is>
      </c>
      <c r="L304" s="298" t="inlineStr">
        <is>
          <t>Т11О-103М-21</t>
        </is>
      </c>
      <c r="M304" s="297" t="n">
        <v>2</v>
      </c>
      <c r="N304" s="298" t="inlineStr">
        <is>
          <t>07987</t>
        </is>
      </c>
      <c r="O304" s="299" t="n"/>
      <c r="P304" s="298" t="inlineStr">
        <is>
          <t xml:space="preserve">82020     </t>
        </is>
      </c>
      <c r="Q304" s="298" t="inlineStr">
        <is>
          <t xml:space="preserve">Варфоломеев Максим Сергеевич </t>
        </is>
      </c>
      <c r="R304" s="298" t="n"/>
      <c r="S304" s="298" t="inlineStr">
        <is>
          <t>Нет</t>
        </is>
      </c>
      <c r="T304" s="298" t="n"/>
      <c r="U304" s="298" t="n"/>
    </row>
    <row r="305" ht="15.75" customHeight="1" s="2">
      <c r="E305" s="300" t="n">
        <v>18</v>
      </c>
      <c r="G305" s="296" t="n">
        <v>2</v>
      </c>
      <c r="H305" s="297" t="n">
        <v>2</v>
      </c>
      <c r="I305" s="133">
        <f>G305-H305</f>
        <v/>
      </c>
      <c r="J305" s="298" t="inlineStr">
        <is>
          <t>Физические основы и методы аддитивных технологий</t>
        </is>
      </c>
      <c r="K305" s="298" t="inlineStr">
        <is>
          <t>Зачет с оценкой</t>
        </is>
      </c>
      <c r="L305" s="298" t="inlineStr">
        <is>
          <t>Т11О-104М-21</t>
        </is>
      </c>
      <c r="M305" s="297" t="n">
        <v>2</v>
      </c>
      <c r="N305" s="298" t="inlineStr">
        <is>
          <t>07987</t>
        </is>
      </c>
      <c r="O305" s="299" t="n"/>
      <c r="P305" s="298" t="inlineStr">
        <is>
          <t xml:space="preserve">82020     </t>
        </is>
      </c>
      <c r="Q305" s="298" t="inlineStr">
        <is>
          <t xml:space="preserve">Варфоломеев Максим Сергеевич </t>
        </is>
      </c>
      <c r="R305" s="298" t="n"/>
      <c r="S305" s="298" t="inlineStr">
        <is>
          <t>Нет</t>
        </is>
      </c>
      <c r="T305" s="298" t="n"/>
      <c r="U305" s="298" t="n"/>
    </row>
    <row r="306" ht="15.75" customHeight="1" s="2">
      <c r="E306" s="300" t="n">
        <v>15</v>
      </c>
      <c r="G306" s="296" t="n">
        <v>40</v>
      </c>
      <c r="H306" s="297" t="n">
        <v>40</v>
      </c>
      <c r="I306" s="133">
        <f>G306-H306</f>
        <v/>
      </c>
      <c r="J306" s="298" t="inlineStr">
        <is>
          <t>Физические основы и методы аддитивных технологий</t>
        </is>
      </c>
      <c r="K306" s="298" t="inlineStr">
        <is>
          <t>ПЗ</t>
        </is>
      </c>
      <c r="L306" s="298" t="inlineStr">
        <is>
          <t>Т11О-101М-21</t>
        </is>
      </c>
      <c r="M306" s="297" t="n">
        <v>40</v>
      </c>
      <c r="N306" s="298" t="inlineStr">
        <is>
          <t>07987</t>
        </is>
      </c>
      <c r="O306" s="297" t="n">
        <v>40</v>
      </c>
      <c r="P306" s="298" t="inlineStr">
        <is>
          <t xml:space="preserve">89068     </t>
        </is>
      </c>
      <c r="Q306" s="298" t="inlineStr">
        <is>
          <t xml:space="preserve">Петров Игорь Алексеевич </t>
        </is>
      </c>
      <c r="R306" s="298" t="n"/>
      <c r="S306" s="298" t="inlineStr">
        <is>
          <t>Нет</t>
        </is>
      </c>
      <c r="T306" s="298" t="inlineStr">
        <is>
          <t>Орш. А-327</t>
        </is>
      </c>
      <c r="U306" s="298" t="inlineStr">
        <is>
          <t xml:space="preserve">Вторник ЛК - 532А (проектор) ; Понедельник, Вторник, Пятница  (ЛК,ПЗ,ЛР) - 327А (лабороторное оборудование и проектор) </t>
        </is>
      </c>
    </row>
    <row r="307" ht="15.75" customHeight="1" s="2">
      <c r="E307" s="300" t="n">
        <v>32</v>
      </c>
      <c r="G307" s="296" t="n">
        <v>40</v>
      </c>
      <c r="H307" s="297" t="n">
        <v>40</v>
      </c>
      <c r="I307" s="133">
        <f>G307-H307</f>
        <v/>
      </c>
      <c r="J307" s="298" t="inlineStr">
        <is>
          <t>Физические основы и методы аддитивных технологий</t>
        </is>
      </c>
      <c r="K307" s="298" t="inlineStr">
        <is>
          <t>ПЗ</t>
        </is>
      </c>
      <c r="L307" s="298" t="inlineStr">
        <is>
          <t>Т11О-102М-21</t>
        </is>
      </c>
      <c r="M307" s="297" t="n">
        <v>40</v>
      </c>
      <c r="N307" s="298" t="inlineStr">
        <is>
          <t>07987</t>
        </is>
      </c>
      <c r="O307" s="297" t="n">
        <v>40</v>
      </c>
      <c r="P307" s="298" t="inlineStr">
        <is>
          <t xml:space="preserve">89068     </t>
        </is>
      </c>
      <c r="Q307" s="298" t="inlineStr">
        <is>
          <t xml:space="preserve">Петров Игорь Алексеевич </t>
        </is>
      </c>
      <c r="R307" s="298" t="n"/>
      <c r="S307" s="298" t="inlineStr">
        <is>
          <t>Нет</t>
        </is>
      </c>
      <c r="T307" s="298" t="inlineStr">
        <is>
          <t>Орш. А-327</t>
        </is>
      </c>
      <c r="U307" s="298" t="inlineStr">
        <is>
          <t>Вторник ЛК - 532А (проектор) ; Понедельник, Вторник, Пятница  (ЛК,ПЗ,ЛР) - 327А (лабороторное оборудование и проектор)</t>
        </is>
      </c>
    </row>
    <row r="308" ht="15.75" customHeight="1" s="2">
      <c r="E308" s="300" t="n">
        <v>16</v>
      </c>
      <c r="G308" s="296" t="n">
        <v>40</v>
      </c>
      <c r="H308" s="297" t="n">
        <v>40</v>
      </c>
      <c r="I308" s="133">
        <f>G308-H308</f>
        <v/>
      </c>
      <c r="J308" s="298" t="inlineStr">
        <is>
          <t>Физические основы и методы аддитивных технологий</t>
        </is>
      </c>
      <c r="K308" s="298" t="inlineStr">
        <is>
          <t>ПЗ</t>
        </is>
      </c>
      <c r="L308" s="298" t="inlineStr">
        <is>
          <t>Т11О-103М-21</t>
        </is>
      </c>
      <c r="M308" s="297" t="n">
        <v>40</v>
      </c>
      <c r="N308" s="298" t="inlineStr">
        <is>
          <t>07987</t>
        </is>
      </c>
      <c r="O308" s="297" t="n">
        <v>40</v>
      </c>
      <c r="P308" s="298" t="inlineStr">
        <is>
          <t xml:space="preserve">89068     </t>
        </is>
      </c>
      <c r="Q308" s="298" t="inlineStr">
        <is>
          <t xml:space="preserve">Петров Игорь Алексеевич </t>
        </is>
      </c>
      <c r="R308" s="298" t="n"/>
      <c r="S308" s="298" t="inlineStr">
        <is>
          <t>Нет</t>
        </is>
      </c>
      <c r="T308" s="298" t="inlineStr">
        <is>
          <t>Орш. А-327</t>
        </is>
      </c>
      <c r="U308" s="298" t="inlineStr">
        <is>
          <t>Вторник ЛК - 532А (проектор) ; Понедельник, Вторник, Пятница  (ЛК,ПЗ,ЛР) - 327А (лабороторное оборудование и проектор)</t>
        </is>
      </c>
    </row>
    <row r="309" ht="15.75" customHeight="1" s="2">
      <c r="E309" s="300" t="n">
        <v>3</v>
      </c>
      <c r="G309" s="296" t="n">
        <v>40</v>
      </c>
      <c r="H309" s="297" t="n">
        <v>40</v>
      </c>
      <c r="I309" s="133">
        <f>G309-H309</f>
        <v/>
      </c>
      <c r="J309" s="298" t="inlineStr">
        <is>
          <t>Физические основы и методы аддитивных технологий</t>
        </is>
      </c>
      <c r="K309" s="298" t="inlineStr">
        <is>
          <t>ПЗ</t>
        </is>
      </c>
      <c r="L309" s="298" t="inlineStr">
        <is>
          <t>Т11О-104М-21</t>
        </is>
      </c>
      <c r="M309" s="297" t="n">
        <v>40</v>
      </c>
      <c r="N309" s="298" t="inlineStr">
        <is>
          <t>07987</t>
        </is>
      </c>
      <c r="O309" s="297" t="n">
        <v>40</v>
      </c>
      <c r="P309" s="298" t="inlineStr">
        <is>
          <t xml:space="preserve">89068     </t>
        </is>
      </c>
      <c r="Q309" s="298" t="inlineStr">
        <is>
          <t xml:space="preserve">Петров Игорь Алексеевич </t>
        </is>
      </c>
      <c r="R309" s="298" t="n"/>
      <c r="S309" s="298" t="inlineStr">
        <is>
          <t>Нет</t>
        </is>
      </c>
      <c r="T309" s="298" t="inlineStr">
        <is>
          <t>Орш. А-327</t>
        </is>
      </c>
      <c r="U309" s="298" t="inlineStr">
        <is>
          <t>Вторник ЛК - 532А (проектор) ; Понедельник, Вторник, Пятница  (ЛК,ПЗ,ЛР) - 327А (лабороторное оборудование и проектор)</t>
        </is>
      </c>
    </row>
    <row r="310" ht="15.75" customHeight="1" s="2">
      <c r="E310" s="300" t="n">
        <v>3</v>
      </c>
      <c r="G310" s="296" t="n">
        <v>1</v>
      </c>
      <c r="H310" s="297" t="n">
        <v>1</v>
      </c>
      <c r="I310" s="133">
        <f>G310-H310</f>
        <v/>
      </c>
      <c r="J310" s="298" t="inlineStr">
        <is>
          <t>Физические основы и методы аддитивных технологий</t>
        </is>
      </c>
      <c r="K310" s="298" t="inlineStr">
        <is>
          <t>Консультация</t>
        </is>
      </c>
      <c r="L310" s="298" t="inlineStr">
        <is>
          <t>Т11О-101М-21</t>
        </is>
      </c>
      <c r="M310" s="297" t="n">
        <v>1</v>
      </c>
      <c r="N310" s="298" t="inlineStr">
        <is>
          <t>07987</t>
        </is>
      </c>
      <c r="O310" s="299" t="n"/>
      <c r="P310" s="298" t="inlineStr">
        <is>
          <t xml:space="preserve">82020     </t>
        </is>
      </c>
      <c r="Q310" s="298" t="inlineStr">
        <is>
          <t xml:space="preserve">Варфоломеев Максим Сергеевич </t>
        </is>
      </c>
      <c r="R310" s="298" t="n"/>
      <c r="S310" s="298" t="inlineStr">
        <is>
          <t>Нет</t>
        </is>
      </c>
      <c r="T310" s="298" t="n"/>
      <c r="U310" s="298" t="n"/>
    </row>
    <row r="311" ht="15.75" customHeight="1" s="2">
      <c r="E311" s="300" t="n">
        <v>12</v>
      </c>
      <c r="G311" s="296" t="n">
        <v>1</v>
      </c>
      <c r="H311" s="297" t="n">
        <v>1</v>
      </c>
      <c r="I311" s="133">
        <f>G311-H311</f>
        <v/>
      </c>
      <c r="J311" s="298" t="inlineStr">
        <is>
          <t>Физические основы и методы аддитивных технологий</t>
        </is>
      </c>
      <c r="K311" s="298" t="inlineStr">
        <is>
          <t>Консультация</t>
        </is>
      </c>
      <c r="L311" s="298" t="inlineStr">
        <is>
          <t>Т11О-102М-21</t>
        </is>
      </c>
      <c r="M311" s="297" t="n">
        <v>1</v>
      </c>
      <c r="N311" s="298" t="inlineStr">
        <is>
          <t>07987</t>
        </is>
      </c>
      <c r="O311" s="299" t="n"/>
      <c r="P311" s="298" t="inlineStr">
        <is>
          <t xml:space="preserve">82020     </t>
        </is>
      </c>
      <c r="Q311" s="298" t="inlineStr">
        <is>
          <t xml:space="preserve">Варфоломеев Максим Сергеевич </t>
        </is>
      </c>
      <c r="R311" s="298" t="n"/>
      <c r="S311" s="298" t="inlineStr">
        <is>
          <t>Нет</t>
        </is>
      </c>
      <c r="T311" s="298" t="n"/>
      <c r="U311" s="298" t="n"/>
    </row>
    <row r="312" ht="15.75" customHeight="1" s="2">
      <c r="E312" s="300" t="n">
        <v>2</v>
      </c>
      <c r="G312" s="296" t="n">
        <v>1</v>
      </c>
      <c r="H312" s="297" t="n">
        <v>1</v>
      </c>
      <c r="I312" s="133">
        <f>G312-H312</f>
        <v/>
      </c>
      <c r="J312" s="298" t="inlineStr">
        <is>
          <t>Физические основы и методы аддитивных технологий</t>
        </is>
      </c>
      <c r="K312" s="298" t="inlineStr">
        <is>
          <t>Консультация</t>
        </is>
      </c>
      <c r="L312" s="298" t="inlineStr">
        <is>
          <t>Т11О-103М-21</t>
        </is>
      </c>
      <c r="M312" s="297" t="n">
        <v>1</v>
      </c>
      <c r="N312" s="298" t="inlineStr">
        <is>
          <t>07987</t>
        </is>
      </c>
      <c r="O312" s="299" t="n"/>
      <c r="P312" s="298" t="inlineStr">
        <is>
          <t xml:space="preserve">82020     </t>
        </is>
      </c>
      <c r="Q312" s="298" t="inlineStr">
        <is>
          <t xml:space="preserve">Варфоломеев Максим Сергеевич </t>
        </is>
      </c>
      <c r="R312" s="298" t="n"/>
      <c r="S312" s="298" t="inlineStr">
        <is>
          <t>Нет</t>
        </is>
      </c>
      <c r="T312" s="298" t="n"/>
      <c r="U312" s="298" t="n"/>
    </row>
    <row r="313" ht="15.75" customHeight="1" s="2">
      <c r="E313" s="300" t="n">
        <v>2</v>
      </c>
      <c r="G313" s="296" t="n">
        <v>1</v>
      </c>
      <c r="H313" s="297" t="n">
        <v>1</v>
      </c>
      <c r="I313" s="133">
        <f>G313-H313</f>
        <v/>
      </c>
      <c r="J313" s="298" t="inlineStr">
        <is>
          <t>Физические основы и методы аддитивных технологий</t>
        </is>
      </c>
      <c r="K313" s="298" t="inlineStr">
        <is>
          <t>Консультация</t>
        </is>
      </c>
      <c r="L313" s="298" t="inlineStr">
        <is>
          <t>Т11О-104М-21</t>
        </is>
      </c>
      <c r="M313" s="297" t="n">
        <v>1</v>
      </c>
      <c r="N313" s="298" t="inlineStr">
        <is>
          <t>07987</t>
        </is>
      </c>
      <c r="O313" s="299" t="n"/>
      <c r="P313" s="298" t="inlineStr">
        <is>
          <t xml:space="preserve">82020     </t>
        </is>
      </c>
      <c r="Q313" s="298" t="inlineStr">
        <is>
          <t xml:space="preserve">Варфоломеев Максим Сергеевич </t>
        </is>
      </c>
      <c r="R313" s="298" t="n"/>
      <c r="S313" s="298" t="inlineStr">
        <is>
          <t>Нет</t>
        </is>
      </c>
      <c r="T313" s="298" t="n"/>
      <c r="U313" s="298" t="n"/>
    </row>
    <row r="314" ht="15.75" customHeight="1" s="2">
      <c r="E314" s="300" t="n">
        <v>2</v>
      </c>
      <c r="G314" s="296" t="n">
        <v>34</v>
      </c>
      <c r="H314" s="297" t="n">
        <v>34</v>
      </c>
      <c r="I314" s="133">
        <f>G314-H314</f>
        <v/>
      </c>
      <c r="J314" s="298" t="inlineStr">
        <is>
          <t>Проектирование сварных и паяных конструкций</t>
        </is>
      </c>
      <c r="K314" s="298" t="inlineStr">
        <is>
          <t>ЛК</t>
        </is>
      </c>
      <c r="L314" s="298" t="inlineStr">
        <is>
          <t>Т11О-401Б-18</t>
        </is>
      </c>
      <c r="M314" s="297" t="n">
        <v>34</v>
      </c>
      <c r="N314" s="298" t="inlineStr">
        <is>
          <t>10858</t>
        </is>
      </c>
      <c r="O314" s="297" t="n">
        <v>34</v>
      </c>
      <c r="P314" s="298" t="inlineStr">
        <is>
          <t xml:space="preserve">82023     </t>
        </is>
      </c>
      <c r="Q314" s="298" t="inlineStr">
        <is>
          <t xml:space="preserve">Федоров Сергей Александрович </t>
        </is>
      </c>
      <c r="R314" s="298" t="n"/>
      <c r="S314" s="298" t="inlineStr">
        <is>
          <t>Да</t>
        </is>
      </c>
      <c r="T314" s="298" t="n"/>
      <c r="U314" s="298" t="inlineStr">
        <is>
          <t>пн-пт по 2 пары с 14-45</t>
        </is>
      </c>
    </row>
    <row r="315" ht="15.75" customHeight="1" s="2">
      <c r="E315" s="300" t="n">
        <v>2</v>
      </c>
      <c r="G315" s="296" t="n">
        <v>4</v>
      </c>
      <c r="H315" s="297" t="n">
        <v>4</v>
      </c>
      <c r="I315" s="133">
        <f>G315-H315</f>
        <v/>
      </c>
      <c r="J315" s="298" t="inlineStr">
        <is>
          <t>Проектирование сварных и паяных конструкций</t>
        </is>
      </c>
      <c r="K315" s="298" t="inlineStr">
        <is>
          <t>Зачет с оценкой</t>
        </is>
      </c>
      <c r="L315" s="298" t="inlineStr">
        <is>
          <t>Т11О-401Б-18</t>
        </is>
      </c>
      <c r="M315" s="297" t="n">
        <v>4</v>
      </c>
      <c r="N315" s="298" t="inlineStr">
        <is>
          <t>10858</t>
        </is>
      </c>
      <c r="O315" s="299" t="n"/>
      <c r="P315" s="298" t="inlineStr">
        <is>
          <t xml:space="preserve">82023     </t>
        </is>
      </c>
      <c r="Q315" s="298" t="inlineStr">
        <is>
          <t xml:space="preserve">Федоров Сергей Александрович </t>
        </is>
      </c>
      <c r="R315" s="298" t="n"/>
      <c r="S315" s="298" t="inlineStr">
        <is>
          <t>Да</t>
        </is>
      </c>
      <c r="T315" s="298" t="n"/>
      <c r="U315" s="298" t="n"/>
    </row>
    <row r="316" ht="15.75" customHeight="1" s="2">
      <c r="E316" s="300" t="n">
        <v>40</v>
      </c>
      <c r="G316" s="296" t="n">
        <v>1</v>
      </c>
      <c r="H316" s="297" t="n">
        <v>1</v>
      </c>
      <c r="I316" s="133">
        <f>G316-H316</f>
        <v/>
      </c>
      <c r="J316" s="298" t="inlineStr">
        <is>
          <t>Проектирование сварных и паяных конструкций</t>
        </is>
      </c>
      <c r="K316" s="298" t="inlineStr">
        <is>
          <t>Зачет с оценкой</t>
        </is>
      </c>
      <c r="L316" s="298" t="inlineStr">
        <is>
          <t>Т11О-401Б-18</t>
        </is>
      </c>
      <c r="M316" s="297" t="n">
        <v>1</v>
      </c>
      <c r="N316" s="298" t="inlineStr">
        <is>
          <t>10858</t>
        </is>
      </c>
      <c r="O316" s="299" t="n"/>
      <c r="P316" s="298" t="inlineStr">
        <is>
          <t xml:space="preserve">93685     </t>
        </is>
      </c>
      <c r="Q316" s="298" t="inlineStr">
        <is>
          <t xml:space="preserve">Банишев Александр Федорович </t>
        </is>
      </c>
      <c r="R316" s="298" t="inlineStr">
        <is>
          <t>профессор</t>
        </is>
      </c>
      <c r="S316" s="298" t="inlineStr">
        <is>
          <t>Да</t>
        </is>
      </c>
      <c r="T316" s="298" t="n"/>
      <c r="U316" s="298" t="n"/>
    </row>
    <row r="317" ht="15.75" customHeight="1" s="2">
      <c r="E317" s="300" t="n">
        <v>40</v>
      </c>
      <c r="G317" s="296" t="n">
        <v>40</v>
      </c>
      <c r="H317" s="297" t="n">
        <v>40</v>
      </c>
      <c r="I317" s="133">
        <f>G317-H317</f>
        <v/>
      </c>
      <c r="J317" s="298" t="inlineStr">
        <is>
          <t>Проектирование сварных и паяных конструкций</t>
        </is>
      </c>
      <c r="K317" s="298" t="inlineStr">
        <is>
          <t>ПЗ</t>
        </is>
      </c>
      <c r="L317" s="298" t="inlineStr">
        <is>
          <t>Т11О-401Б-18</t>
        </is>
      </c>
      <c r="M317" s="297" t="n">
        <v>40</v>
      </c>
      <c r="N317" s="298" t="inlineStr">
        <is>
          <t>10858</t>
        </is>
      </c>
      <c r="O317" s="297" t="n">
        <v>40</v>
      </c>
      <c r="P317" s="298" t="inlineStr">
        <is>
          <t xml:space="preserve">82023     </t>
        </is>
      </c>
      <c r="Q317" s="298" t="inlineStr">
        <is>
          <t xml:space="preserve">Федоров Сергей Александрович </t>
        </is>
      </c>
      <c r="R317" s="298" t="n"/>
      <c r="S317" s="298" t="inlineStr">
        <is>
          <t>Да</t>
        </is>
      </c>
      <c r="T317" s="298" t="inlineStr">
        <is>
          <t>Орш. А-509</t>
        </is>
      </c>
      <c r="U317" s="298" t="inlineStr">
        <is>
          <t>пн-пт по 2 пары с 14-45</t>
        </is>
      </c>
    </row>
    <row r="318" ht="15.75" customHeight="1" s="2">
      <c r="E318" s="300" t="n">
        <v>40</v>
      </c>
      <c r="G318" s="296" t="n">
        <v>16</v>
      </c>
      <c r="H318" s="297" t="n">
        <v>16</v>
      </c>
      <c r="I318" s="133">
        <f>G318-H318</f>
        <v/>
      </c>
      <c r="J318" s="298" t="inlineStr">
        <is>
          <t>Проектирование сварных и паяных конструкций</t>
        </is>
      </c>
      <c r="K318" s="298" t="inlineStr">
        <is>
          <t>ЛР</t>
        </is>
      </c>
      <c r="L318" s="298" t="inlineStr">
        <is>
          <t>Т11О-401Б-18</t>
        </is>
      </c>
      <c r="M318" s="297" t="n">
        <v>16</v>
      </c>
      <c r="N318" s="298" t="inlineStr">
        <is>
          <t>10858</t>
        </is>
      </c>
      <c r="O318" s="297" t="n">
        <v>16</v>
      </c>
      <c r="P318" s="298" t="inlineStr">
        <is>
          <t xml:space="preserve">82023     </t>
        </is>
      </c>
      <c r="Q318" s="298" t="inlineStr">
        <is>
          <t xml:space="preserve">Федоров Сергей Александрович </t>
        </is>
      </c>
      <c r="R318" s="298" t="n"/>
      <c r="S318" s="298" t="inlineStr">
        <is>
          <t>Да</t>
        </is>
      </c>
      <c r="T318" s="298" t="inlineStr">
        <is>
          <t>Орш. А-509</t>
        </is>
      </c>
      <c r="U318" s="298" t="inlineStr">
        <is>
          <t>пн-пт по 2 пары с 14-45</t>
        </is>
      </c>
    </row>
    <row r="319" ht="15.75" customHeight="1" s="2">
      <c r="E319" s="300" t="n">
        <v>40</v>
      </c>
      <c r="G319" s="296" t="n">
        <v>2</v>
      </c>
      <c r="H319" s="297" t="n">
        <v>2</v>
      </c>
      <c r="I319" s="133">
        <f>G319-H319</f>
        <v/>
      </c>
      <c r="J319" s="298" t="inlineStr">
        <is>
          <t>Проектирование сварных и паяных конструкций</t>
        </is>
      </c>
      <c r="K319" s="298" t="inlineStr">
        <is>
          <t>Консультация</t>
        </is>
      </c>
      <c r="L319" s="298" t="inlineStr">
        <is>
          <t>Т11О-401Б-18</t>
        </is>
      </c>
      <c r="M319" s="297" t="n">
        <v>2</v>
      </c>
      <c r="N319" s="298" t="inlineStr">
        <is>
          <t>10858</t>
        </is>
      </c>
      <c r="O319" s="299" t="n"/>
      <c r="P319" s="298" t="inlineStr">
        <is>
          <t xml:space="preserve">82023     </t>
        </is>
      </c>
      <c r="Q319" s="298" t="inlineStr">
        <is>
          <t xml:space="preserve">Федоров Сергей Александрович </t>
        </is>
      </c>
      <c r="R319" s="298" t="n"/>
      <c r="S319" s="298" t="inlineStr">
        <is>
          <t>Да</t>
        </is>
      </c>
      <c r="T319" s="298" t="n"/>
      <c r="U319" s="298" t="n"/>
    </row>
    <row r="320" ht="15.75" customHeight="1" s="2">
      <c r="E320" s="300" t="n">
        <v>1</v>
      </c>
      <c r="G320" s="296" t="n">
        <v>24</v>
      </c>
      <c r="H320" s="297" t="n">
        <v>24</v>
      </c>
      <c r="I320" s="133">
        <f>G320-H320</f>
        <v/>
      </c>
      <c r="J320" s="298" t="inlineStr">
        <is>
          <t>Информационные технологии  в металлургии</t>
        </is>
      </c>
      <c r="K320" s="298" t="inlineStr">
        <is>
          <t>ЛК</t>
        </is>
      </c>
      <c r="L320" s="298" t="inlineStr">
        <is>
          <t>Т1В-512Б-17</t>
        </is>
      </c>
      <c r="M320" s="297" t="n">
        <v>24</v>
      </c>
      <c r="N320" s="298" t="inlineStr">
        <is>
          <t>08769</t>
        </is>
      </c>
      <c r="O320" s="297" t="n">
        <v>24</v>
      </c>
      <c r="P320" s="298" t="inlineStr">
        <is>
          <t xml:space="preserve">81720     </t>
        </is>
      </c>
      <c r="Q320" s="298" t="inlineStr">
        <is>
          <t xml:space="preserve">Палтиевич Андрей Романович </t>
        </is>
      </c>
      <c r="R320" s="298" t="n"/>
      <c r="S320" s="298" t="inlineStr">
        <is>
          <t>Нет</t>
        </is>
      </c>
      <c r="T320" s="298" t="inlineStr">
        <is>
          <t>Орш. А-523</t>
        </is>
      </c>
      <c r="U320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321" ht="15.75" customHeight="1" s="2">
      <c r="E321" s="300" t="n">
        <v>1</v>
      </c>
      <c r="G321" s="296" t="n">
        <v>30</v>
      </c>
      <c r="H321" s="297" t="n">
        <v>30</v>
      </c>
      <c r="I321" s="133">
        <f>G321-H321</f>
        <v/>
      </c>
      <c r="J321" s="298" t="inlineStr">
        <is>
          <t>Информационные технологии  в металлургии</t>
        </is>
      </c>
      <c r="K321" s="298" t="inlineStr">
        <is>
          <t>КР</t>
        </is>
      </c>
      <c r="L321" s="298" t="inlineStr">
        <is>
          <t>Т1В-512Б-17</t>
        </is>
      </c>
      <c r="M321" s="297" t="n">
        <v>30</v>
      </c>
      <c r="N321" s="298" t="inlineStr">
        <is>
          <t>08769</t>
        </is>
      </c>
      <c r="O321" s="299" t="n"/>
      <c r="P321" s="298" t="inlineStr">
        <is>
          <t xml:space="preserve">81720     </t>
        </is>
      </c>
      <c r="Q321" s="298" t="inlineStr">
        <is>
          <t xml:space="preserve">Палтиевич Андрей Романович </t>
        </is>
      </c>
      <c r="R321" s="298" t="n"/>
      <c r="S321" s="298" t="inlineStr">
        <is>
          <t>Нет</t>
        </is>
      </c>
      <c r="T321" s="298" t="n"/>
      <c r="U321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322" ht="15.75" customHeight="1" s="2">
      <c r="E322" s="300" t="n">
        <v>1</v>
      </c>
      <c r="G322" s="296" t="n">
        <v>3</v>
      </c>
      <c r="H322" s="297" t="n">
        <v>3</v>
      </c>
      <c r="I322" s="133">
        <f>G322-H322</f>
        <v/>
      </c>
      <c r="J322" s="298" t="inlineStr">
        <is>
          <t>Информационные технологии  в металлургии</t>
        </is>
      </c>
      <c r="K322" s="298" t="inlineStr">
        <is>
          <t>Зачет с оценкой</t>
        </is>
      </c>
      <c r="L322" s="298" t="inlineStr">
        <is>
          <t>Т1В-512Б-17</t>
        </is>
      </c>
      <c r="M322" s="297" t="n">
        <v>3</v>
      </c>
      <c r="N322" s="298" t="inlineStr">
        <is>
          <t>08769</t>
        </is>
      </c>
      <c r="O322" s="299" t="n"/>
      <c r="P322" s="298" t="inlineStr">
        <is>
          <t xml:space="preserve">81720     </t>
        </is>
      </c>
      <c r="Q322" s="298" t="inlineStr">
        <is>
          <t xml:space="preserve">Палтиевич Андрей Романович </t>
        </is>
      </c>
      <c r="R322" s="298" t="n"/>
      <c r="S322" s="298" t="inlineStr">
        <is>
          <t>Нет</t>
        </is>
      </c>
      <c r="T322" s="298" t="n"/>
      <c r="U322" s="298" t="n"/>
    </row>
    <row r="323" ht="15.75" customHeight="1" s="2">
      <c r="E323" s="300" t="n">
        <v>1</v>
      </c>
      <c r="G323" s="296" t="n">
        <v>1</v>
      </c>
      <c r="H323" s="297" t="n">
        <v>1</v>
      </c>
      <c r="I323" s="133">
        <f>G323-H323</f>
        <v/>
      </c>
      <c r="J323" s="298" t="inlineStr">
        <is>
          <t>Информационные технологии  в металлургии</t>
        </is>
      </c>
      <c r="K323" s="298" t="inlineStr">
        <is>
          <t>Зачет с оценкой</t>
        </is>
      </c>
      <c r="L323" s="298" t="inlineStr">
        <is>
          <t>Т1В-512Б-17</t>
        </is>
      </c>
      <c r="M323" s="297" t="n">
        <v>1</v>
      </c>
      <c r="N323" s="298" t="inlineStr">
        <is>
          <t>08769</t>
        </is>
      </c>
      <c r="O323" s="299" t="n"/>
      <c r="P323" s="298" t="inlineStr">
        <is>
          <t xml:space="preserve">93685     </t>
        </is>
      </c>
      <c r="Q323" s="298" t="inlineStr">
        <is>
          <t xml:space="preserve">Банишев Александр Федорович </t>
        </is>
      </c>
      <c r="R323" s="298" t="inlineStr">
        <is>
          <t>профессор</t>
        </is>
      </c>
      <c r="S323" s="298" t="inlineStr">
        <is>
          <t>Да</t>
        </is>
      </c>
      <c r="T323" s="298" t="n"/>
      <c r="U323" s="298" t="n"/>
    </row>
    <row r="324" ht="15.75" customHeight="1" s="2">
      <c r="E324" s="300" t="n">
        <v>34</v>
      </c>
      <c r="G324" s="296" t="n">
        <v>30</v>
      </c>
      <c r="H324" s="297" t="n">
        <v>30</v>
      </c>
      <c r="I324" s="133">
        <f>G324-H324</f>
        <v/>
      </c>
      <c r="J324" s="298" t="inlineStr">
        <is>
          <t>Информационные технологии  в металлургии</t>
        </is>
      </c>
      <c r="K324" s="298" t="inlineStr">
        <is>
          <t>ПЗ</t>
        </is>
      </c>
      <c r="L324" s="298" t="inlineStr">
        <is>
          <t>Т1В-512Б-17</t>
        </is>
      </c>
      <c r="M324" s="297" t="n">
        <v>30</v>
      </c>
      <c r="N324" s="298" t="inlineStr">
        <is>
          <t>08769</t>
        </is>
      </c>
      <c r="O324" s="297" t="n">
        <v>30</v>
      </c>
      <c r="P324" s="298" t="inlineStr">
        <is>
          <t xml:space="preserve">81720     </t>
        </is>
      </c>
      <c r="Q324" s="298" t="inlineStr">
        <is>
          <t xml:space="preserve">Палтиевич Андрей Романович </t>
        </is>
      </c>
      <c r="R324" s="298" t="n"/>
      <c r="S324" s="298" t="inlineStr">
        <is>
          <t>Нет</t>
        </is>
      </c>
      <c r="T324" s="298" t="inlineStr">
        <is>
          <t>Орш. А-525</t>
        </is>
      </c>
      <c r="U324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325" ht="15.75" customHeight="1" s="2">
      <c r="E325" s="300" t="n">
        <v>4</v>
      </c>
      <c r="G325" s="296" t="n">
        <v>2</v>
      </c>
      <c r="H325" s="297" t="n">
        <v>2</v>
      </c>
      <c r="I325" s="133">
        <f>G325-H325</f>
        <v/>
      </c>
      <c r="J325" s="298" t="inlineStr">
        <is>
          <t>Информационные технологии  в металлургии</t>
        </is>
      </c>
      <c r="K325" s="298" t="inlineStr">
        <is>
          <t>Консультация</t>
        </is>
      </c>
      <c r="L325" s="298" t="inlineStr">
        <is>
          <t>Т1В-512Б-17</t>
        </is>
      </c>
      <c r="M325" s="297" t="n">
        <v>2</v>
      </c>
      <c r="N325" s="298" t="inlineStr">
        <is>
          <t>08769</t>
        </is>
      </c>
      <c r="O325" s="299" t="n"/>
      <c r="P325" s="298" t="inlineStr">
        <is>
          <t xml:space="preserve">95799     </t>
        </is>
      </c>
      <c r="Q325" s="298" t="inlineStr">
        <is>
          <t>Монастырский Алексей Валерьевич</t>
        </is>
      </c>
      <c r="R325" s="298" t="n"/>
      <c r="S325" s="298" t="inlineStr">
        <is>
          <t>Нет</t>
        </is>
      </c>
      <c r="T325" s="298" t="n"/>
      <c r="U325" s="298" t="n"/>
    </row>
    <row r="326" ht="15.75" customHeight="1" s="2">
      <c r="E326" s="300" t="n">
        <v>1</v>
      </c>
      <c r="G326" s="296" t="n">
        <v>24</v>
      </c>
      <c r="H326" s="297" t="n">
        <v>24</v>
      </c>
      <c r="I326" s="133">
        <f>G326-H326</f>
        <v/>
      </c>
      <c r="J326" s="298" t="inlineStr">
        <is>
          <t>Твердофазные методы получения композиционных материалов</t>
        </is>
      </c>
      <c r="K326" s="298" t="inlineStr">
        <is>
          <t>ЛК</t>
        </is>
      </c>
      <c r="L326" s="298" t="inlineStr">
        <is>
          <t>Т11О-402Б-18</t>
        </is>
      </c>
      <c r="M326" s="297" t="n">
        <v>24</v>
      </c>
      <c r="N326" s="298" t="inlineStr">
        <is>
          <t>10859</t>
        </is>
      </c>
      <c r="O326" s="297" t="n">
        <v>24</v>
      </c>
      <c r="P326" s="298" t="inlineStr">
        <is>
          <t xml:space="preserve">82090     </t>
        </is>
      </c>
      <c r="Q326" s="298" t="inlineStr">
        <is>
          <t xml:space="preserve">Барабанова Ольга Алексеевна </t>
        </is>
      </c>
      <c r="R326" s="298" t="n"/>
      <c r="S326" s="298" t="inlineStr">
        <is>
          <t>Да</t>
        </is>
      </c>
      <c r="T326" s="298" t="inlineStr">
        <is>
          <t>Орш. А-532</t>
        </is>
      </c>
      <c r="U326" s="298" t="inlineStr">
        <is>
          <t>вторник или среда и пятница с 13-00;</t>
        </is>
      </c>
    </row>
    <row r="327" ht="15.75" customHeight="1" s="2">
      <c r="E327" s="300" t="n">
        <v>40</v>
      </c>
      <c r="G327" s="296" t="n">
        <v>3</v>
      </c>
      <c r="H327" s="297" t="n">
        <v>3</v>
      </c>
      <c r="I327" s="133">
        <f>G327-H327</f>
        <v/>
      </c>
      <c r="J327" s="298" t="inlineStr">
        <is>
          <t>Твердофазные методы получения композиционных материалов</t>
        </is>
      </c>
      <c r="K327" s="298" t="inlineStr">
        <is>
          <t>Зачет с оценкой</t>
        </is>
      </c>
      <c r="L327" s="298" t="inlineStr">
        <is>
          <t>Т11О-402Б-18</t>
        </is>
      </c>
      <c r="M327" s="297" t="n">
        <v>3</v>
      </c>
      <c r="N327" s="298" t="inlineStr">
        <is>
          <t>10859</t>
        </is>
      </c>
      <c r="O327" s="299" t="n"/>
      <c r="P327" s="298" t="inlineStr">
        <is>
          <t xml:space="preserve">82090     </t>
        </is>
      </c>
      <c r="Q327" s="298" t="inlineStr">
        <is>
          <t xml:space="preserve">Барабанова Ольга Алексеевна </t>
        </is>
      </c>
      <c r="R327" s="298" t="n"/>
      <c r="S327" s="298" t="inlineStr">
        <is>
          <t>Да</t>
        </is>
      </c>
      <c r="T327" s="298" t="n"/>
      <c r="U327" s="298" t="n"/>
    </row>
    <row r="328" ht="15.75" customHeight="1" s="2">
      <c r="E328" s="300" t="n">
        <v>16</v>
      </c>
      <c r="G328" s="296" t="n">
        <v>1</v>
      </c>
      <c r="H328" s="297" t="n">
        <v>1</v>
      </c>
      <c r="I328" s="133">
        <f>G328-H328</f>
        <v/>
      </c>
      <c r="J328" s="298" t="inlineStr">
        <is>
          <t>Твердофазные методы получения композиционных материалов</t>
        </is>
      </c>
      <c r="K328" s="298" t="inlineStr">
        <is>
          <t>Зачет с оценкой</t>
        </is>
      </c>
      <c r="L328" s="298" t="inlineStr">
        <is>
          <t>Т11О-402Б-18</t>
        </is>
      </c>
      <c r="M328" s="297" t="n">
        <v>1</v>
      </c>
      <c r="N328" s="298" t="inlineStr">
        <is>
          <t>10859</t>
        </is>
      </c>
      <c r="O328" s="299" t="n"/>
      <c r="P328" s="298" t="inlineStr">
        <is>
          <t xml:space="preserve">93685     </t>
        </is>
      </c>
      <c r="Q328" s="298" t="inlineStr">
        <is>
          <t xml:space="preserve">Банишев Александр Федорович </t>
        </is>
      </c>
      <c r="R328" s="298" t="inlineStr">
        <is>
          <t>профессор</t>
        </is>
      </c>
      <c r="S328" s="298" t="inlineStr">
        <is>
          <t>Да</t>
        </is>
      </c>
      <c r="T328" s="298" t="n"/>
      <c r="U328" s="298" t="n"/>
    </row>
    <row r="329" ht="15.75" customHeight="1" s="2">
      <c r="E329" s="300" t="n">
        <v>2</v>
      </c>
      <c r="G329" s="296" t="n">
        <v>28</v>
      </c>
      <c r="H329" s="297" t="n">
        <v>28</v>
      </c>
      <c r="I329" s="133">
        <f>G329-H329</f>
        <v/>
      </c>
      <c r="J329" s="298" t="inlineStr">
        <is>
          <t>Твердофазные методы получения композиционных материалов</t>
        </is>
      </c>
      <c r="K329" s="298" t="inlineStr">
        <is>
          <t>ПЗ</t>
        </is>
      </c>
      <c r="L329" s="298" t="inlineStr">
        <is>
          <t>Т11О-402Б-18</t>
        </is>
      </c>
      <c r="M329" s="297" t="n">
        <v>28</v>
      </c>
      <c r="N329" s="298" t="inlineStr">
        <is>
          <t>10859</t>
        </is>
      </c>
      <c r="O329" s="297" t="n">
        <v>28</v>
      </c>
      <c r="P329" s="298" t="inlineStr">
        <is>
          <t xml:space="preserve">82090     </t>
        </is>
      </c>
      <c r="Q329" s="298" t="inlineStr">
        <is>
          <t xml:space="preserve">Барабанова Ольга Алексеевна </t>
        </is>
      </c>
      <c r="R329" s="298" t="n"/>
      <c r="S329" s="298" t="inlineStr">
        <is>
          <t>Да</t>
        </is>
      </c>
      <c r="T329" s="298" t="inlineStr">
        <is>
          <t>Орш. А-532</t>
        </is>
      </c>
      <c r="U329" s="298" t="inlineStr">
        <is>
          <t>вторник или среда и пятница с 13-00;</t>
        </is>
      </c>
    </row>
    <row r="330" ht="15.75" customHeight="1" s="2">
      <c r="E330" s="300" t="n">
        <v>24</v>
      </c>
      <c r="G330" s="296" t="n">
        <v>8</v>
      </c>
      <c r="H330" s="297" t="n">
        <v>8</v>
      </c>
      <c r="I330" s="133">
        <f>G330-H330</f>
        <v/>
      </c>
      <c r="J330" s="298" t="inlineStr">
        <is>
          <t>Твердофазные методы получения композиционных материалов</t>
        </is>
      </c>
      <c r="K330" s="298" t="inlineStr">
        <is>
          <t>ЛР</t>
        </is>
      </c>
      <c r="L330" s="298" t="inlineStr">
        <is>
          <t>Т11О-402Б-18</t>
        </is>
      </c>
      <c r="M330" s="297" t="n">
        <v>8</v>
      </c>
      <c r="N330" s="298" t="inlineStr">
        <is>
          <t>10859</t>
        </is>
      </c>
      <c r="O330" s="297" t="n">
        <v>8</v>
      </c>
      <c r="P330" s="298" t="inlineStr">
        <is>
          <t xml:space="preserve">82090     </t>
        </is>
      </c>
      <c r="Q330" s="298" t="inlineStr">
        <is>
          <t xml:space="preserve">Барабанова Ольга Алексеевна </t>
        </is>
      </c>
      <c r="R330" s="298" t="n"/>
      <c r="S330" s="298" t="inlineStr">
        <is>
          <t>Да</t>
        </is>
      </c>
      <c r="T330" s="298" t="inlineStr">
        <is>
          <t>Орш. А-532</t>
        </is>
      </c>
      <c r="U330" s="298" t="inlineStr">
        <is>
          <t>вторник или среда и пятница с 13-00;</t>
        </is>
      </c>
    </row>
    <row r="331" ht="15.75" customHeight="1" s="2">
      <c r="E331" s="295" t="n">
        <v>30</v>
      </c>
      <c r="G331" s="296" t="n">
        <v>1</v>
      </c>
      <c r="H331" s="297" t="n">
        <v>1</v>
      </c>
      <c r="I331" s="133">
        <f>G331-H331</f>
        <v/>
      </c>
      <c r="J331" s="298" t="inlineStr">
        <is>
          <t>Твердофазные методы получения композиционных материалов</t>
        </is>
      </c>
      <c r="K331" s="298" t="inlineStr">
        <is>
          <t>Консультация</t>
        </is>
      </c>
      <c r="L331" s="298" t="inlineStr">
        <is>
          <t>Т11О-402Б-18</t>
        </is>
      </c>
      <c r="M331" s="297" t="n">
        <v>1</v>
      </c>
      <c r="N331" s="298" t="inlineStr">
        <is>
          <t>10859</t>
        </is>
      </c>
      <c r="O331" s="299" t="n"/>
      <c r="P331" s="298" t="inlineStr">
        <is>
          <t xml:space="preserve">82090     </t>
        </is>
      </c>
      <c r="Q331" s="298" t="inlineStr">
        <is>
          <t xml:space="preserve">Барабанова Ольга Алексеевна </t>
        </is>
      </c>
      <c r="R331" s="298" t="n"/>
      <c r="S331" s="298" t="inlineStr">
        <is>
          <t>Да</t>
        </is>
      </c>
      <c r="T331" s="298" t="n"/>
      <c r="U331" s="298" t="n"/>
    </row>
    <row r="332" ht="15.75" customHeight="1" s="2">
      <c r="E332" s="300" t="n">
        <v>3</v>
      </c>
      <c r="G332" s="296" t="n">
        <v>24</v>
      </c>
      <c r="H332" s="297" t="n">
        <v>24</v>
      </c>
      <c r="I332" s="133">
        <f>G332-H332</f>
        <v/>
      </c>
      <c r="J332" s="298" t="inlineStr">
        <is>
          <t>Теория затвердевания отливки</t>
        </is>
      </c>
      <c r="K332" s="298" t="inlineStr">
        <is>
          <t>ЛК</t>
        </is>
      </c>
      <c r="L332" s="298" t="inlineStr">
        <is>
          <t>Т11О-402Б-18</t>
        </is>
      </c>
      <c r="M332" s="297" t="n">
        <v>24</v>
      </c>
      <c r="N332" s="298" t="inlineStr">
        <is>
          <t>10859</t>
        </is>
      </c>
      <c r="O332" s="297" t="n">
        <v>24</v>
      </c>
      <c r="P332" s="298" t="inlineStr">
        <is>
          <t xml:space="preserve">82086     </t>
        </is>
      </c>
      <c r="Q332" s="298" t="inlineStr">
        <is>
          <t xml:space="preserve">Смыков Андрей Федорович </t>
        </is>
      </c>
      <c r="R332" s="298" t="n"/>
      <c r="S332" s="298" t="inlineStr">
        <is>
          <t>Нет</t>
        </is>
      </c>
      <c r="T332" s="298" t="n"/>
      <c r="U332" s="298" t="n"/>
    </row>
    <row r="333" ht="15.75" customHeight="1" s="2">
      <c r="E333" s="300" t="n">
        <v>1</v>
      </c>
      <c r="G333" s="296" t="n">
        <v>3</v>
      </c>
      <c r="H333" s="297" t="n">
        <v>3</v>
      </c>
      <c r="I333" s="133">
        <f>G333-H333</f>
        <v/>
      </c>
      <c r="J333" s="298" t="inlineStr">
        <is>
          <t>Теория затвердевания отливки</t>
        </is>
      </c>
      <c r="K333" s="298" t="inlineStr">
        <is>
          <t>Зачет с оценкой</t>
        </is>
      </c>
      <c r="L333" s="298" t="inlineStr">
        <is>
          <t>Т11О-402Б-18</t>
        </is>
      </c>
      <c r="M333" s="297" t="n">
        <v>3</v>
      </c>
      <c r="N333" s="298" t="inlineStr">
        <is>
          <t>10859</t>
        </is>
      </c>
      <c r="O333" s="299" t="n"/>
      <c r="P333" s="298" t="inlineStr">
        <is>
          <t xml:space="preserve">82086     </t>
        </is>
      </c>
      <c r="Q333" s="298" t="inlineStr">
        <is>
          <t xml:space="preserve">Смыков Андрей Федорович </t>
        </is>
      </c>
      <c r="R333" s="298" t="n"/>
      <c r="S333" s="298" t="inlineStr">
        <is>
          <t>Нет</t>
        </is>
      </c>
      <c r="T333" s="298" t="n"/>
      <c r="U333" s="298" t="n"/>
    </row>
    <row r="334" ht="15.75" customHeight="1" s="2">
      <c r="E334" s="300" t="n">
        <v>30</v>
      </c>
      <c r="G334" s="296" t="n">
        <v>1</v>
      </c>
      <c r="H334" s="297" t="n">
        <v>1</v>
      </c>
      <c r="I334" s="133">
        <f>G334-H334</f>
        <v/>
      </c>
      <c r="J334" s="298" t="inlineStr">
        <is>
          <t>Теория затвердевания отливки</t>
        </is>
      </c>
      <c r="K334" s="298" t="inlineStr">
        <is>
          <t>Зачет с оценкой</t>
        </is>
      </c>
      <c r="L334" s="298" t="inlineStr">
        <is>
          <t>Т11О-402Б-18</t>
        </is>
      </c>
      <c r="M334" s="297" t="n">
        <v>1</v>
      </c>
      <c r="N334" s="298" t="inlineStr">
        <is>
          <t>10859</t>
        </is>
      </c>
      <c r="O334" s="299" t="n"/>
      <c r="P334" s="298" t="inlineStr">
        <is>
          <t xml:space="preserve">93685     </t>
        </is>
      </c>
      <c r="Q334" s="298" t="inlineStr">
        <is>
          <t xml:space="preserve">Банишев Александр Федорович </t>
        </is>
      </c>
      <c r="R334" s="298" t="inlineStr">
        <is>
          <t>профессор</t>
        </is>
      </c>
      <c r="S334" s="298" t="inlineStr">
        <is>
          <t>Да</t>
        </is>
      </c>
      <c r="T334" s="298" t="n"/>
      <c r="U334" s="298" t="n"/>
    </row>
    <row r="335" ht="15.75" customHeight="1" s="2">
      <c r="E335" s="300" t="n">
        <v>2</v>
      </c>
      <c r="G335" s="296" t="n">
        <v>12</v>
      </c>
      <c r="H335" s="297" t="n">
        <v>12</v>
      </c>
      <c r="I335" s="133">
        <f>G335-H335</f>
        <v/>
      </c>
      <c r="J335" s="298" t="inlineStr">
        <is>
          <t>Теория затвердевания отливки</t>
        </is>
      </c>
      <c r="K335" s="298" t="inlineStr">
        <is>
          <t>ПЗ</t>
        </is>
      </c>
      <c r="L335" s="298" t="inlineStr">
        <is>
          <t>Т11О-402Б-18</t>
        </is>
      </c>
      <c r="M335" s="297" t="n">
        <v>12</v>
      </c>
      <c r="N335" s="298" t="inlineStr">
        <is>
          <t>10859</t>
        </is>
      </c>
      <c r="O335" s="297" t="n">
        <v>12</v>
      </c>
      <c r="P335" s="298" t="inlineStr">
        <is>
          <t xml:space="preserve">82086     </t>
        </is>
      </c>
      <c r="Q335" s="298" t="inlineStr">
        <is>
          <t xml:space="preserve">Смыков Андрей Федорович </t>
        </is>
      </c>
      <c r="R335" s="298" t="n"/>
      <c r="S335" s="298" t="inlineStr">
        <is>
          <t>Нет</t>
        </is>
      </c>
      <c r="T335" s="298" t="n"/>
      <c r="U335" s="298" t="n"/>
    </row>
    <row r="336" ht="15.75" customHeight="1" s="2">
      <c r="E336" s="300" t="n">
        <v>24</v>
      </c>
      <c r="G336" s="296" t="n">
        <v>24</v>
      </c>
      <c r="H336" s="297" t="n">
        <v>24</v>
      </c>
      <c r="I336" s="133">
        <f>G336-H336</f>
        <v/>
      </c>
      <c r="J336" s="298" t="inlineStr">
        <is>
          <t>Теория затвердевания отливки</t>
        </is>
      </c>
      <c r="K336" s="298" t="inlineStr">
        <is>
          <t>ЛР</t>
        </is>
      </c>
      <c r="L336" s="298" t="inlineStr">
        <is>
          <t>Т11О-402Б-18</t>
        </is>
      </c>
      <c r="M336" s="297" t="n">
        <v>24</v>
      </c>
      <c r="N336" s="298" t="inlineStr">
        <is>
          <t>10859</t>
        </is>
      </c>
      <c r="O336" s="297" t="n">
        <v>24</v>
      </c>
      <c r="P336" s="298" t="inlineStr">
        <is>
          <t xml:space="preserve">82086     </t>
        </is>
      </c>
      <c r="Q336" s="298" t="inlineStr">
        <is>
          <t xml:space="preserve">Смыков Андрей Федорович </t>
        </is>
      </c>
      <c r="R336" s="298" t="n"/>
      <c r="S336" s="298" t="inlineStr">
        <is>
          <t>Нет</t>
        </is>
      </c>
      <c r="T336" s="298" t="n"/>
      <c r="U336" s="298" t="n"/>
    </row>
    <row r="337" ht="15.75" customHeight="1" s="2">
      <c r="E337" s="300" t="n">
        <v>3</v>
      </c>
      <c r="G337" s="296" t="n">
        <v>1</v>
      </c>
      <c r="H337" s="297" t="n">
        <v>1</v>
      </c>
      <c r="I337" s="133">
        <f>G337-H337</f>
        <v/>
      </c>
      <c r="J337" s="298" t="inlineStr">
        <is>
          <t>Теория затвердевания отливки</t>
        </is>
      </c>
      <c r="K337" s="298" t="inlineStr">
        <is>
          <t>Консультация</t>
        </is>
      </c>
      <c r="L337" s="298" t="inlineStr">
        <is>
          <t>Т11О-402Б-18</t>
        </is>
      </c>
      <c r="M337" s="297" t="n">
        <v>1</v>
      </c>
      <c r="N337" s="298" t="inlineStr">
        <is>
          <t>10859</t>
        </is>
      </c>
      <c r="O337" s="299" t="n"/>
      <c r="P337" s="298" t="inlineStr">
        <is>
          <t xml:space="preserve">82086     </t>
        </is>
      </c>
      <c r="Q337" s="298" t="inlineStr">
        <is>
          <t xml:space="preserve">Смыков Андрей Федорович </t>
        </is>
      </c>
      <c r="R337" s="298" t="n"/>
      <c r="S337" s="298" t="inlineStr">
        <is>
          <t>Нет</t>
        </is>
      </c>
      <c r="T337" s="298" t="n"/>
      <c r="U337" s="298" t="n"/>
    </row>
    <row r="338" ht="15.75" customHeight="1" s="2">
      <c r="E338" s="300" t="n">
        <v>1</v>
      </c>
      <c r="G338" s="296" t="n">
        <v>28</v>
      </c>
      <c r="H338" s="297" t="n">
        <v>28</v>
      </c>
      <c r="I338" s="133">
        <f>G338-H338</f>
        <v/>
      </c>
      <c r="J338" s="298" t="inlineStr">
        <is>
          <t>Оборудование и автоматизация литейных цехов</t>
        </is>
      </c>
      <c r="K338" s="298" t="inlineStr">
        <is>
          <t>ЛК</t>
        </is>
      </c>
      <c r="L338" s="298" t="inlineStr">
        <is>
          <t>Т11О-402Б-18</t>
        </is>
      </c>
      <c r="M338" s="297" t="n">
        <v>28</v>
      </c>
      <c r="N338" s="298" t="inlineStr">
        <is>
          <t>10859</t>
        </is>
      </c>
      <c r="O338" s="297" t="n">
        <v>28</v>
      </c>
      <c r="P338" s="298" t="inlineStr">
        <is>
          <t xml:space="preserve">82020     </t>
        </is>
      </c>
      <c r="Q338" s="298" t="inlineStr">
        <is>
          <t xml:space="preserve">Варфоломеев Максим Сергеевич </t>
        </is>
      </c>
      <c r="R338" s="298" t="n"/>
      <c r="S338" s="298" t="inlineStr">
        <is>
          <t>Нет</t>
        </is>
      </c>
      <c r="T338" s="298" t="inlineStr">
        <is>
          <t>Орш. А-327</t>
        </is>
      </c>
      <c r="U338" s="298" t="inlineStr">
        <is>
          <t>ЛК, ПЗ, ЛР - Понедедьник, среда</t>
        </is>
      </c>
    </row>
    <row r="339" ht="15.75" customHeight="1" s="2">
      <c r="E339" s="300" t="n">
        <v>28</v>
      </c>
      <c r="G339" s="296" t="n">
        <v>3</v>
      </c>
      <c r="H339" s="297" t="n">
        <v>3</v>
      </c>
      <c r="I339" s="133">
        <f>G339-H339</f>
        <v/>
      </c>
      <c r="J339" s="298" t="inlineStr">
        <is>
          <t>Оборудование и автоматизация литейных цехов</t>
        </is>
      </c>
      <c r="K339" s="298" t="inlineStr">
        <is>
          <t>Зачет с оценкой</t>
        </is>
      </c>
      <c r="L339" s="298" t="inlineStr">
        <is>
          <t>Т11О-402Б-18</t>
        </is>
      </c>
      <c r="M339" s="297" t="n">
        <v>3</v>
      </c>
      <c r="N339" s="298" t="inlineStr">
        <is>
          <t>10859</t>
        </is>
      </c>
      <c r="O339" s="299" t="n"/>
      <c r="P339" s="298" t="inlineStr">
        <is>
          <t xml:space="preserve">82020     </t>
        </is>
      </c>
      <c r="Q339" s="298" t="inlineStr">
        <is>
          <t xml:space="preserve">Варфоломеев Максим Сергеевич </t>
        </is>
      </c>
      <c r="R339" s="298" t="n"/>
      <c r="S339" s="298" t="inlineStr">
        <is>
          <t>Нет</t>
        </is>
      </c>
      <c r="T339" s="298" t="n"/>
      <c r="U339" s="298" t="n"/>
    </row>
    <row r="340" ht="15.75" customHeight="1" s="2">
      <c r="E340" s="300" t="n">
        <v>8</v>
      </c>
      <c r="G340" s="296" t="n">
        <v>1</v>
      </c>
      <c r="H340" s="297" t="n">
        <v>1</v>
      </c>
      <c r="I340" s="133">
        <f>G340-H340</f>
        <v/>
      </c>
      <c r="J340" s="298" t="inlineStr">
        <is>
          <t>Оборудование и автоматизация литейных цехов</t>
        </is>
      </c>
      <c r="K340" s="298" t="inlineStr">
        <is>
          <t>Зачет с оценкой</t>
        </is>
      </c>
      <c r="L340" s="298" t="inlineStr">
        <is>
          <t>Т11О-402Б-18</t>
        </is>
      </c>
      <c r="M340" s="297" t="n">
        <v>1</v>
      </c>
      <c r="N340" s="298" t="inlineStr">
        <is>
          <t>10859</t>
        </is>
      </c>
      <c r="O340" s="299" t="n"/>
      <c r="P340" s="298" t="inlineStr">
        <is>
          <t xml:space="preserve">93685     </t>
        </is>
      </c>
      <c r="Q340" s="298" t="inlineStr">
        <is>
          <t xml:space="preserve">Банишев Александр Федорович </t>
        </is>
      </c>
      <c r="R340" s="298" t="inlineStr">
        <is>
          <t>профессор</t>
        </is>
      </c>
      <c r="S340" s="298" t="inlineStr">
        <is>
          <t>Да</t>
        </is>
      </c>
      <c r="T340" s="298" t="n"/>
      <c r="U340" s="298" t="n"/>
    </row>
    <row r="341" ht="15.75" customHeight="1" s="2">
      <c r="E341" s="300" t="n">
        <v>1</v>
      </c>
      <c r="G341" s="296" t="n">
        <v>32</v>
      </c>
      <c r="H341" s="297" t="n">
        <v>32</v>
      </c>
      <c r="I341" s="133">
        <f>G341-H341</f>
        <v/>
      </c>
      <c r="J341" s="298" t="inlineStr">
        <is>
          <t>Оборудование и автоматизация литейных цехов</t>
        </is>
      </c>
      <c r="K341" s="298" t="inlineStr">
        <is>
          <t>ПЗ</t>
        </is>
      </c>
      <c r="L341" s="298" t="inlineStr">
        <is>
          <t>Т11О-402Б-18</t>
        </is>
      </c>
      <c r="M341" s="297" t="n">
        <v>32</v>
      </c>
      <c r="N341" s="298" t="inlineStr">
        <is>
          <t>10859</t>
        </is>
      </c>
      <c r="O341" s="297" t="n">
        <v>32</v>
      </c>
      <c r="P341" s="298" t="inlineStr">
        <is>
          <t xml:space="preserve">82020     </t>
        </is>
      </c>
      <c r="Q341" s="298" t="inlineStr">
        <is>
          <t xml:space="preserve">Варфоломеев Максим Сергеевич </t>
        </is>
      </c>
      <c r="R341" s="298" t="n"/>
      <c r="S341" s="298" t="inlineStr">
        <is>
          <t>Нет</t>
        </is>
      </c>
      <c r="T341" s="298" t="inlineStr">
        <is>
          <t>Орш. А-327</t>
        </is>
      </c>
      <c r="U341" s="298" t="inlineStr">
        <is>
          <t>ЛК, ПЗ, ЛР - Понедедьник, среда</t>
        </is>
      </c>
    </row>
    <row r="342" ht="15.75" customHeight="1" s="2">
      <c r="E342" s="300" t="n">
        <v>24</v>
      </c>
      <c r="G342" s="296" t="n">
        <v>1</v>
      </c>
      <c r="H342" s="297" t="n">
        <v>1</v>
      </c>
      <c r="I342" s="133">
        <f>G342-H342</f>
        <v/>
      </c>
      <c r="J342" s="298" t="inlineStr">
        <is>
          <t>Оборудование и автоматизация литейных цехов</t>
        </is>
      </c>
      <c r="K342" s="298" t="inlineStr">
        <is>
          <t>Консультация</t>
        </is>
      </c>
      <c r="L342" s="298" t="inlineStr">
        <is>
          <t>Т11О-402Б-18</t>
        </is>
      </c>
      <c r="M342" s="297" t="n">
        <v>1</v>
      </c>
      <c r="N342" s="298" t="inlineStr">
        <is>
          <t>10859</t>
        </is>
      </c>
      <c r="O342" s="299" t="n"/>
      <c r="P342" s="298" t="inlineStr">
        <is>
          <t xml:space="preserve">82020     </t>
        </is>
      </c>
      <c r="Q342" s="298" t="inlineStr">
        <is>
          <t xml:space="preserve">Варфоломеев Максим Сергеевич </t>
        </is>
      </c>
      <c r="R342" s="298" t="n"/>
      <c r="S342" s="298" t="inlineStr">
        <is>
          <t>Нет</t>
        </is>
      </c>
      <c r="T342" s="298" t="n"/>
      <c r="U342" s="298" t="n"/>
    </row>
    <row r="343" ht="15.75" customHeight="1" s="2">
      <c r="E343" s="300" t="n">
        <v>3</v>
      </c>
      <c r="G343" s="296" t="n">
        <v>14</v>
      </c>
      <c r="H343" s="297" t="n">
        <v>14</v>
      </c>
      <c r="I343" s="133">
        <f>G343-H343</f>
        <v/>
      </c>
      <c r="J343" s="298" t="inlineStr">
        <is>
          <t>Спецглавы теории литейных процессов</t>
        </is>
      </c>
      <c r="K343" s="298" t="inlineStr">
        <is>
          <t>ЛК</t>
        </is>
      </c>
      <c r="L343" s="298" t="inlineStr">
        <is>
          <t>Т11О-202М-20</t>
        </is>
      </c>
      <c r="M343" s="297" t="n">
        <v>14</v>
      </c>
      <c r="N343" s="298" t="inlineStr">
        <is>
          <t>06201</t>
        </is>
      </c>
      <c r="O343" s="297" t="n">
        <v>14</v>
      </c>
      <c r="P343" s="298" t="inlineStr">
        <is>
          <t xml:space="preserve">89067     </t>
        </is>
      </c>
      <c r="Q343" s="298" t="inlineStr">
        <is>
          <t xml:space="preserve">Ряховский Александр Павлович </t>
        </is>
      </c>
      <c r="R343" s="298" t="n"/>
      <c r="S343" s="298" t="inlineStr">
        <is>
          <t>Да</t>
        </is>
      </c>
      <c r="T343" s="298" t="inlineStr">
        <is>
          <t>Орш. А-327</t>
        </is>
      </c>
      <c r="U343" s="298" t="inlineStr">
        <is>
          <t>Понедельник, четверг с 10-45 и позже</t>
        </is>
      </c>
    </row>
    <row r="344" ht="15.75" customHeight="1" s="2">
      <c r="E344" s="300" t="n">
        <v>1</v>
      </c>
      <c r="G344" s="296" t="n">
        <v>2</v>
      </c>
      <c r="H344" s="297" t="n">
        <v>2</v>
      </c>
      <c r="I344" s="133">
        <f>G344-H344</f>
        <v/>
      </c>
      <c r="J344" s="298" t="inlineStr">
        <is>
          <t>Спецглавы теории литейных процессов</t>
        </is>
      </c>
      <c r="K344" s="298" t="inlineStr">
        <is>
          <t>Зачет с оценкой</t>
        </is>
      </c>
      <c r="L344" s="298" t="inlineStr">
        <is>
          <t>Т11О-202М-20</t>
        </is>
      </c>
      <c r="M344" s="297" t="n">
        <v>2</v>
      </c>
      <c r="N344" s="298" t="inlineStr">
        <is>
          <t>06201</t>
        </is>
      </c>
      <c r="O344" s="299" t="n"/>
      <c r="P344" s="298" t="inlineStr">
        <is>
          <t xml:space="preserve">89067     </t>
        </is>
      </c>
      <c r="Q344" s="298" t="inlineStr">
        <is>
          <t xml:space="preserve">Ряховский Александр Павлович </t>
        </is>
      </c>
      <c r="R344" s="298" t="n"/>
      <c r="S344" s="298" t="inlineStr">
        <is>
          <t>Да</t>
        </is>
      </c>
      <c r="T344" s="298" t="n"/>
      <c r="U344" s="298" t="n"/>
    </row>
    <row r="345" ht="15.75" customHeight="1" s="2">
      <c r="E345" s="300" t="n">
        <v>12</v>
      </c>
      <c r="G345" s="296" t="n">
        <v>36</v>
      </c>
      <c r="H345" s="297" t="n">
        <v>36</v>
      </c>
      <c r="I345" s="133">
        <f>G345-H345</f>
        <v/>
      </c>
      <c r="J345" s="298" t="inlineStr">
        <is>
          <t>Спецглавы теории литейных процессов</t>
        </is>
      </c>
      <c r="K345" s="298" t="inlineStr">
        <is>
          <t>ПЗ</t>
        </is>
      </c>
      <c r="L345" s="298" t="inlineStr">
        <is>
          <t>Т11О-202М-20</t>
        </is>
      </c>
      <c r="M345" s="297" t="n">
        <v>36</v>
      </c>
      <c r="N345" s="298" t="inlineStr">
        <is>
          <t>06201</t>
        </is>
      </c>
      <c r="O345" s="297" t="n">
        <v>36</v>
      </c>
      <c r="P345" s="298" t="inlineStr">
        <is>
          <t xml:space="preserve">89067     </t>
        </is>
      </c>
      <c r="Q345" s="298" t="inlineStr">
        <is>
          <t xml:space="preserve">Ряховский Александр Павлович </t>
        </is>
      </c>
      <c r="R345" s="298" t="n"/>
      <c r="S345" s="298" t="inlineStr">
        <is>
          <t>Да</t>
        </is>
      </c>
      <c r="T345" s="298" t="inlineStr">
        <is>
          <t>Орш. А-327</t>
        </is>
      </c>
      <c r="U345" s="298" t="inlineStr">
        <is>
          <t>Понедельник, четверг с 10-45 и позже</t>
        </is>
      </c>
    </row>
    <row r="346" ht="15.75" customHeight="1" s="2">
      <c r="E346" s="300" t="n">
        <v>24</v>
      </c>
      <c r="G346" s="296" t="n">
        <v>1</v>
      </c>
      <c r="H346" s="297" t="n">
        <v>1</v>
      </c>
      <c r="I346" s="133">
        <f>G346-H346</f>
        <v/>
      </c>
      <c r="J346" s="298" t="inlineStr">
        <is>
          <t>Спецглавы теории литейных процессов</t>
        </is>
      </c>
      <c r="K346" s="298" t="inlineStr">
        <is>
          <t>Консультация</t>
        </is>
      </c>
      <c r="L346" s="298" t="inlineStr">
        <is>
          <t>Т11О-202М-20</t>
        </is>
      </c>
      <c r="M346" s="297" t="n">
        <v>1</v>
      </c>
      <c r="N346" s="298" t="inlineStr">
        <is>
          <t>06201</t>
        </is>
      </c>
      <c r="O346" s="299" t="n"/>
      <c r="P346" s="298" t="inlineStr">
        <is>
          <t xml:space="preserve">89067     </t>
        </is>
      </c>
      <c r="Q346" s="298" t="inlineStr">
        <is>
          <t xml:space="preserve">Ряховский Александр Павлович </t>
        </is>
      </c>
      <c r="R346" s="298" t="n"/>
      <c r="S346" s="298" t="inlineStr">
        <is>
          <t>Да</t>
        </is>
      </c>
      <c r="T346" s="298" t="n"/>
      <c r="U346" s="298" t="n"/>
    </row>
    <row r="347" ht="15.75" customHeight="1" s="2">
      <c r="E347" s="300" t="n">
        <v>1</v>
      </c>
      <c r="G347" s="296" t="n">
        <v>60</v>
      </c>
      <c r="H347" s="297" t="n">
        <v>60</v>
      </c>
      <c r="I347" s="133">
        <f>G347-H347</f>
        <v/>
      </c>
      <c r="J347" s="298" t="inlineStr">
        <is>
          <t>Технология листовой штамповки</t>
        </is>
      </c>
      <c r="K347" s="298" t="inlineStr">
        <is>
          <t>КП</t>
        </is>
      </c>
      <c r="L347" s="298" t="inlineStr">
        <is>
          <t>Т11О-401Б-18</t>
        </is>
      </c>
      <c r="M347" s="297" t="n">
        <v>60</v>
      </c>
      <c r="N347" s="298" t="inlineStr">
        <is>
          <t>10858</t>
        </is>
      </c>
      <c r="O347" s="299" t="n"/>
      <c r="P347" s="298" t="inlineStr">
        <is>
          <t xml:space="preserve">81716     </t>
        </is>
      </c>
      <c r="Q347" s="298" t="inlineStr">
        <is>
          <t xml:space="preserve">Жаров Максим Владимирович </t>
        </is>
      </c>
      <c r="R347" s="298" t="n"/>
      <c r="S347" s="298" t="inlineStr">
        <is>
          <t>Нет</t>
        </is>
      </c>
      <c r="T347" s="298" t="n"/>
      <c r="U347" s="298" t="n"/>
    </row>
    <row r="348" ht="15.75" customHeight="1" s="2">
      <c r="E348" s="300" t="n">
        <v>28</v>
      </c>
      <c r="G348" s="296" t="n">
        <v>46</v>
      </c>
      <c r="H348" s="297" t="n">
        <v>46</v>
      </c>
      <c r="I348" s="133">
        <f>G348-H348</f>
        <v/>
      </c>
      <c r="J348" s="298" t="inlineStr">
        <is>
          <t>Технология листовой штамповки</t>
        </is>
      </c>
      <c r="K348" s="298" t="inlineStr">
        <is>
          <t>ЛК</t>
        </is>
      </c>
      <c r="L348" s="298" t="inlineStr">
        <is>
          <t>Т11О-401Б-18</t>
        </is>
      </c>
      <c r="M348" s="297" t="n">
        <v>46</v>
      </c>
      <c r="N348" s="298" t="inlineStr">
        <is>
          <t>10858</t>
        </is>
      </c>
      <c r="O348" s="297" t="n">
        <v>46</v>
      </c>
      <c r="P348" s="298" t="inlineStr">
        <is>
          <t xml:space="preserve">81716     </t>
        </is>
      </c>
      <c r="Q348" s="298" t="inlineStr">
        <is>
          <t xml:space="preserve">Жаров Максим Владимирович </t>
        </is>
      </c>
      <c r="R348" s="298" t="n"/>
      <c r="S348" s="298" t="inlineStr">
        <is>
          <t>Нет</t>
        </is>
      </c>
      <c r="T348" s="298" t="inlineStr">
        <is>
          <t>Орш. А-523</t>
        </is>
      </c>
      <c r="U348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349" ht="15.75" customHeight="1" s="2">
      <c r="E349" s="300" t="n">
        <v>3</v>
      </c>
      <c r="G349" s="296" t="n">
        <v>24</v>
      </c>
      <c r="H349" s="297" t="n">
        <v>24</v>
      </c>
      <c r="I349" s="133">
        <f>G349-H349</f>
        <v/>
      </c>
      <c r="J349" s="298" t="inlineStr">
        <is>
          <t>Технология листовой штамповки</t>
        </is>
      </c>
      <c r="K349" s="298" t="inlineStr">
        <is>
          <t>ЛК</t>
        </is>
      </c>
      <c r="L349" s="298" t="inlineStr">
        <is>
          <t>Т1В-512Б-17</t>
        </is>
      </c>
      <c r="M349" s="297" t="n">
        <v>24</v>
      </c>
      <c r="N349" s="298" t="inlineStr">
        <is>
          <t>08769</t>
        </is>
      </c>
      <c r="O349" s="297" t="n">
        <v>24</v>
      </c>
      <c r="P349" s="298" t="inlineStr">
        <is>
          <t xml:space="preserve">81716     </t>
        </is>
      </c>
      <c r="Q349" s="298" t="inlineStr">
        <is>
          <t xml:space="preserve">Жаров Максим Владимирович </t>
        </is>
      </c>
      <c r="R349" s="298" t="n"/>
      <c r="S349" s="298" t="inlineStr">
        <is>
          <t>Нет</t>
        </is>
      </c>
      <c r="T349" s="298" t="inlineStr">
        <is>
          <t>Орш. А-523</t>
        </is>
      </c>
      <c r="U349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350" ht="15.75" customHeight="1" s="2">
      <c r="E350" s="300" t="n">
        <v>1</v>
      </c>
      <c r="G350" s="296" t="n">
        <v>80</v>
      </c>
      <c r="H350" s="297" t="n">
        <v>80</v>
      </c>
      <c r="I350" s="133">
        <f>G350-H350</f>
        <v/>
      </c>
      <c r="J350" s="298" t="inlineStr">
        <is>
          <t>Технология листовой штамповки</t>
        </is>
      </c>
      <c r="K350" s="298" t="inlineStr">
        <is>
          <t>ПЗ</t>
        </is>
      </c>
      <c r="L350" s="298" t="inlineStr">
        <is>
          <t>Т11О-401Б-18</t>
        </is>
      </c>
      <c r="M350" s="297" t="n">
        <v>80</v>
      </c>
      <c r="N350" s="298" t="inlineStr">
        <is>
          <t>10858</t>
        </is>
      </c>
      <c r="O350" s="297" t="n">
        <v>80</v>
      </c>
      <c r="P350" s="298" t="inlineStr">
        <is>
          <t xml:space="preserve">81716     </t>
        </is>
      </c>
      <c r="Q350" s="298" t="inlineStr">
        <is>
          <t xml:space="preserve">Жаров Максим Владимирович </t>
        </is>
      </c>
      <c r="R350" s="298" t="n"/>
      <c r="S350" s="298" t="inlineStr">
        <is>
          <t>Нет</t>
        </is>
      </c>
      <c r="T350" s="298" t="inlineStr">
        <is>
          <t>Орш. А-521</t>
        </is>
      </c>
      <c r="U350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351" ht="15.75" customHeight="1" s="2">
      <c r="E351" s="300" t="n">
        <v>32</v>
      </c>
      <c r="G351" s="296" t="n">
        <v>38</v>
      </c>
      <c r="H351" s="297" t="n">
        <v>38</v>
      </c>
      <c r="I351" s="133">
        <f>G351-H351</f>
        <v/>
      </c>
      <c r="J351" s="298" t="inlineStr">
        <is>
          <t>Технология листовой штамповки</t>
        </is>
      </c>
      <c r="K351" s="298" t="inlineStr">
        <is>
          <t>ПЗ</t>
        </is>
      </c>
      <c r="L351" s="298" t="inlineStr">
        <is>
          <t>Т1В-512Б-17</t>
        </is>
      </c>
      <c r="M351" s="297" t="n">
        <v>38</v>
      </c>
      <c r="N351" s="298" t="inlineStr">
        <is>
          <t>08769</t>
        </is>
      </c>
      <c r="O351" s="297" t="n">
        <v>38</v>
      </c>
      <c r="P351" s="298" t="inlineStr">
        <is>
          <t xml:space="preserve">81716     </t>
        </is>
      </c>
      <c r="Q351" s="298" t="inlineStr">
        <is>
          <t xml:space="preserve">Жаров Максим Владимирович </t>
        </is>
      </c>
      <c r="R351" s="298" t="n"/>
      <c r="S351" s="298" t="inlineStr">
        <is>
          <t>Нет</t>
        </is>
      </c>
      <c r="T351" s="298" t="inlineStr">
        <is>
          <t>Орш. А-521</t>
        </is>
      </c>
      <c r="U351" s="298" t="inlineStr">
        <is>
      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      </is>
      </c>
    </row>
    <row r="352" ht="15.75" customHeight="1" s="2">
      <c r="E352" s="300" t="n">
        <v>1</v>
      </c>
      <c r="G352" s="296" t="n">
        <v>6</v>
      </c>
      <c r="H352" s="297" t="n">
        <v>6</v>
      </c>
      <c r="I352" s="133">
        <f>G352-H352</f>
        <v/>
      </c>
      <c r="J352" s="298" t="inlineStr">
        <is>
          <t>Технология листовой штамповки</t>
        </is>
      </c>
      <c r="K352" s="298" t="inlineStr">
        <is>
          <t>Экзамен</t>
        </is>
      </c>
      <c r="L352" s="298" t="inlineStr">
        <is>
          <t>Т11О-401Б-18</t>
        </is>
      </c>
      <c r="M352" s="297" t="n">
        <v>6</v>
      </c>
      <c r="N352" s="298" t="inlineStr">
        <is>
          <t>10858</t>
        </is>
      </c>
      <c r="O352" s="299" t="n"/>
      <c r="P352" s="298" t="inlineStr">
        <is>
          <t xml:space="preserve">81716     </t>
        </is>
      </c>
      <c r="Q352" s="298" t="inlineStr">
        <is>
          <t xml:space="preserve">Жаров Максим Владимирович </t>
        </is>
      </c>
      <c r="R352" s="298" t="n"/>
      <c r="S352" s="298" t="inlineStr">
        <is>
          <t>Нет</t>
        </is>
      </c>
      <c r="T352" s="298" t="n"/>
      <c r="U352" s="298" t="n"/>
    </row>
    <row r="353" ht="15.75" customHeight="1" s="2">
      <c r="E353" s="300" t="n">
        <v>14</v>
      </c>
      <c r="G353" s="296" t="n">
        <v>2</v>
      </c>
      <c r="H353" s="297" t="n">
        <v>2</v>
      </c>
      <c r="I353" s="133">
        <f>G353-H353</f>
        <v/>
      </c>
      <c r="J353" s="298" t="inlineStr">
        <is>
          <t>Технология листовой штамповки</t>
        </is>
      </c>
      <c r="K353" s="298" t="inlineStr">
        <is>
          <t>Экзамен</t>
        </is>
      </c>
      <c r="L353" s="298" t="inlineStr">
        <is>
          <t>Т11О-401Б-18</t>
        </is>
      </c>
      <c r="M353" s="297" t="n">
        <v>2</v>
      </c>
      <c r="N353" s="298" t="inlineStr">
        <is>
          <t>10858</t>
        </is>
      </c>
      <c r="O353" s="299" t="n"/>
      <c r="P353" s="298" t="inlineStr">
        <is>
          <t xml:space="preserve">93685     </t>
        </is>
      </c>
      <c r="Q353" s="298" t="inlineStr">
        <is>
          <t xml:space="preserve">Банишев Александр Федорович </t>
        </is>
      </c>
      <c r="R353" s="298" t="inlineStr">
        <is>
          <t>профессор</t>
        </is>
      </c>
      <c r="S353" s="298" t="inlineStr">
        <is>
          <t>Да</t>
        </is>
      </c>
      <c r="T353" s="298" t="n"/>
      <c r="U353" s="298" t="n"/>
    </row>
    <row r="354" ht="15.75" customHeight="1" s="2">
      <c r="E354" s="300" t="n">
        <v>2</v>
      </c>
      <c r="G354" s="296" t="n">
        <v>4.17</v>
      </c>
      <c r="H354" s="297" t="n">
        <v>4.17</v>
      </c>
      <c r="I354" s="133">
        <f>G354-H354</f>
        <v/>
      </c>
      <c r="J354" s="298" t="inlineStr">
        <is>
          <t>Технология листовой штамповки</t>
        </is>
      </c>
      <c r="K354" s="298" t="inlineStr">
        <is>
          <t>Экзамен</t>
        </is>
      </c>
      <c r="L354" s="298" t="inlineStr">
        <is>
          <t>Т1В-512Б-17</t>
        </is>
      </c>
      <c r="M354" s="297" t="n">
        <v>4.17</v>
      </c>
      <c r="N354" s="298" t="inlineStr">
        <is>
          <t>08769</t>
        </is>
      </c>
      <c r="O354" s="299" t="n"/>
      <c r="P354" s="298" t="inlineStr">
        <is>
          <t xml:space="preserve">81716     </t>
        </is>
      </c>
      <c r="Q354" s="298" t="inlineStr">
        <is>
          <t xml:space="preserve">Жаров Максим Владимирович </t>
        </is>
      </c>
      <c r="R354" s="298" t="n"/>
      <c r="S354" s="298" t="inlineStr">
        <is>
          <t>Нет</t>
        </is>
      </c>
      <c r="T354" s="298" t="n"/>
      <c r="U354" s="298" t="n"/>
    </row>
    <row r="355" ht="15.75" customHeight="1" s="2">
      <c r="E355" s="300" t="n">
        <v>36</v>
      </c>
      <c r="G355" s="296" t="n">
        <v>0.83</v>
      </c>
      <c r="H355" s="297" t="n">
        <v>0.83</v>
      </c>
      <c r="I355" s="133">
        <f>G355-H355</f>
        <v/>
      </c>
      <c r="J355" s="298" t="inlineStr">
        <is>
          <t>Технология листовой штамповки</t>
        </is>
      </c>
      <c r="K355" s="298" t="inlineStr">
        <is>
          <t>Экзамен</t>
        </is>
      </c>
      <c r="L355" s="298" t="inlineStr">
        <is>
          <t>Т1В-512Б-17</t>
        </is>
      </c>
      <c r="M355" s="297" t="n">
        <v>0.83</v>
      </c>
      <c r="N355" s="298" t="inlineStr">
        <is>
          <t>08769</t>
        </is>
      </c>
      <c r="O355" s="299" t="n"/>
      <c r="P355" s="298" t="inlineStr">
        <is>
          <t xml:space="preserve">93685     </t>
        </is>
      </c>
      <c r="Q355" s="298" t="inlineStr">
        <is>
          <t xml:space="preserve">Банишев Александр Федорович </t>
        </is>
      </c>
      <c r="R355" s="298" t="inlineStr">
        <is>
          <t>профессор</t>
        </is>
      </c>
      <c r="S355" s="298" t="inlineStr">
        <is>
          <t>Да</t>
        </is>
      </c>
      <c r="T355" s="298" t="n"/>
      <c r="U355" s="298" t="n"/>
    </row>
    <row r="356" ht="15.75" customHeight="1" s="2">
      <c r="E356" s="300" t="n">
        <v>1</v>
      </c>
      <c r="G356" s="296" t="n">
        <v>3</v>
      </c>
      <c r="H356" s="297" t="n">
        <v>3</v>
      </c>
      <c r="I356" s="133">
        <f>G356-H356</f>
        <v/>
      </c>
      <c r="J356" s="298" t="inlineStr">
        <is>
          <t>Технология листовой штамповки</t>
        </is>
      </c>
      <c r="K356" s="298" t="inlineStr">
        <is>
          <t>Консультация</t>
        </is>
      </c>
      <c r="L356" s="298" t="inlineStr">
        <is>
          <t>Т11О-401Б-18</t>
        </is>
      </c>
      <c r="M356" s="297" t="n">
        <v>3</v>
      </c>
      <c r="N356" s="298" t="inlineStr">
        <is>
          <t>10858</t>
        </is>
      </c>
      <c r="O356" s="299" t="n"/>
      <c r="P356" s="298" t="inlineStr">
        <is>
          <t xml:space="preserve">81716     </t>
        </is>
      </c>
      <c r="Q356" s="298" t="inlineStr">
        <is>
          <t xml:space="preserve">Жаров Максим Владимирович </t>
        </is>
      </c>
      <c r="R356" s="298" t="n"/>
      <c r="S356" s="298" t="inlineStr">
        <is>
          <t>Нет</t>
        </is>
      </c>
      <c r="T356" s="298" t="n"/>
      <c r="U356" s="298" t="n"/>
    </row>
    <row r="357" ht="15.75" customHeight="1" s="2">
      <c r="E357" s="300" t="n">
        <v>60</v>
      </c>
      <c r="G357" s="296" t="n">
        <v>1</v>
      </c>
      <c r="H357" s="297" t="n">
        <v>1</v>
      </c>
      <c r="I357" s="133">
        <f>G357-H357</f>
        <v/>
      </c>
      <c r="J357" s="298" t="inlineStr">
        <is>
          <t>Технология листовой штамповки</t>
        </is>
      </c>
      <c r="K357" s="298" t="inlineStr">
        <is>
          <t>Консультация</t>
        </is>
      </c>
      <c r="L357" s="298" t="inlineStr">
        <is>
          <t>Т11О-401Б-18</t>
        </is>
      </c>
      <c r="M357" s="297" t="n">
        <v>1</v>
      </c>
      <c r="N357" s="298" t="inlineStr">
        <is>
          <t>10858</t>
        </is>
      </c>
      <c r="O357" s="299" t="n"/>
      <c r="P357" s="298" t="inlineStr">
        <is>
          <t xml:space="preserve">93685     </t>
        </is>
      </c>
      <c r="Q357" s="298" t="inlineStr">
        <is>
          <t xml:space="preserve">Банишев Александр Федорович </t>
        </is>
      </c>
      <c r="R357" s="298" t="inlineStr">
        <is>
          <t>профессор</t>
        </is>
      </c>
      <c r="S357" s="298" t="inlineStr">
        <is>
          <t>Да</t>
        </is>
      </c>
      <c r="T357" s="298" t="n"/>
      <c r="U357" s="298" t="n"/>
    </row>
    <row r="358" ht="15.75" customHeight="1" s="2">
      <c r="E358" s="300" t="n">
        <v>46</v>
      </c>
      <c r="G358" s="296" t="n">
        <v>3</v>
      </c>
      <c r="H358" s="297" t="n">
        <v>3</v>
      </c>
      <c r="I358" s="133">
        <f>G358-H358</f>
        <v/>
      </c>
      <c r="J358" s="298" t="inlineStr">
        <is>
          <t>Технология листовой штамповки</t>
        </is>
      </c>
      <c r="K358" s="298" t="inlineStr">
        <is>
          <t>Консультация</t>
        </is>
      </c>
      <c r="L358" s="298" t="inlineStr">
        <is>
          <t>Т1В-512Б-17</t>
        </is>
      </c>
      <c r="M358" s="297" t="n">
        <v>3</v>
      </c>
      <c r="N358" s="298" t="inlineStr">
        <is>
          <t>08769</t>
        </is>
      </c>
      <c r="O358" s="299" t="n"/>
      <c r="P358" s="298" t="inlineStr">
        <is>
          <t xml:space="preserve">81716     </t>
        </is>
      </c>
      <c r="Q358" s="298" t="inlineStr">
        <is>
          <t xml:space="preserve">Жаров Максим Владимирович </t>
        </is>
      </c>
      <c r="R358" s="298" t="n"/>
      <c r="S358" s="298" t="inlineStr">
        <is>
          <t>Нет</t>
        </is>
      </c>
      <c r="T358" s="298" t="n"/>
      <c r="U358" s="298" t="n"/>
    </row>
    <row r="359" ht="15.75" customHeight="1" s="2">
      <c r="E359" s="300" t="n">
        <v>24</v>
      </c>
      <c r="G359" s="296" t="n">
        <v>1</v>
      </c>
      <c r="H359" s="297" t="n">
        <v>1</v>
      </c>
      <c r="I359" s="133">
        <f>G359-H359</f>
        <v/>
      </c>
      <c r="J359" s="298" t="inlineStr">
        <is>
          <t>Технология листовой штамповки</t>
        </is>
      </c>
      <c r="K359" s="298" t="inlineStr">
        <is>
          <t>Консультация</t>
        </is>
      </c>
      <c r="L359" s="298" t="inlineStr">
        <is>
          <t>Т1В-512Б-17</t>
        </is>
      </c>
      <c r="M359" s="297" t="n">
        <v>1</v>
      </c>
      <c r="N359" s="298" t="inlineStr">
        <is>
          <t>08769</t>
        </is>
      </c>
      <c r="O359" s="299" t="n"/>
      <c r="P359" s="298" t="inlineStr">
        <is>
          <t xml:space="preserve">93685     </t>
        </is>
      </c>
      <c r="Q359" s="298" t="inlineStr">
        <is>
          <t xml:space="preserve">Банишев Александр Федорович </t>
        </is>
      </c>
      <c r="R359" s="298" t="inlineStr">
        <is>
          <t>профессор</t>
        </is>
      </c>
      <c r="S359" s="298" t="inlineStr">
        <is>
          <t>Да</t>
        </is>
      </c>
      <c r="T359" s="298" t="n"/>
      <c r="U359" s="298" t="n"/>
    </row>
    <row r="360" ht="15.75" customHeight="1" s="2">
      <c r="E360" s="300" t="n">
        <v>80</v>
      </c>
      <c r="G360" s="296" t="n">
        <v>18</v>
      </c>
      <c r="H360" s="297" t="n">
        <v>18</v>
      </c>
      <c r="I360" s="133">
        <f>G360-H360</f>
        <v/>
      </c>
      <c r="J360" s="298" t="inlineStr">
        <is>
          <t>Нагревательные печи и устройства</t>
        </is>
      </c>
      <c r="K360" s="298" t="inlineStr">
        <is>
          <t>ЛК</t>
        </is>
      </c>
      <c r="L360" s="298" t="inlineStr">
        <is>
          <t>Т11О-401Б-18</t>
        </is>
      </c>
      <c r="M360" s="297" t="n">
        <v>18</v>
      </c>
      <c r="N360" s="298" t="inlineStr">
        <is>
          <t>10858</t>
        </is>
      </c>
      <c r="O360" s="297" t="n">
        <v>18</v>
      </c>
      <c r="P360" s="298" t="inlineStr">
        <is>
          <t xml:space="preserve">81729     </t>
        </is>
      </c>
      <c r="Q360" s="298" t="inlineStr">
        <is>
          <t xml:space="preserve">Соколов Алексей Викторович </t>
        </is>
      </c>
      <c r="R360" s="298" t="n"/>
      <c r="S360" s="298" t="inlineStr">
        <is>
          <t>Нет</t>
        </is>
      </c>
      <c r="T360" s="298" t="inlineStr">
        <is>
          <t>Орш. А-523</t>
        </is>
      </c>
      <c r="U360" s="298" t="inlineStr">
        <is>
          <t xml:space="preserve">Кроме пятницы. с 10-45 и позже </t>
        </is>
      </c>
    </row>
    <row r="361" ht="15.75" customHeight="1" s="2">
      <c r="E361" s="300" t="n">
        <v>38</v>
      </c>
      <c r="G361" s="296" t="n">
        <v>32</v>
      </c>
      <c r="H361" s="297" t="n">
        <v>32</v>
      </c>
      <c r="I361" s="133">
        <f>G361-H361</f>
        <v/>
      </c>
      <c r="J361" s="298" t="inlineStr">
        <is>
          <t>Нагревательные печи и устройства</t>
        </is>
      </c>
      <c r="K361" s="298" t="inlineStr">
        <is>
          <t>ПЗ</t>
        </is>
      </c>
      <c r="L361" s="298" t="inlineStr">
        <is>
          <t>Т11О-401Б-18</t>
        </is>
      </c>
      <c r="M361" s="297" t="n">
        <v>32</v>
      </c>
      <c r="N361" s="298" t="inlineStr">
        <is>
          <t>10858</t>
        </is>
      </c>
      <c r="O361" s="297" t="n">
        <v>32</v>
      </c>
      <c r="P361" s="298" t="inlineStr">
        <is>
          <t xml:space="preserve">81729     </t>
        </is>
      </c>
      <c r="Q361" s="298" t="inlineStr">
        <is>
          <t xml:space="preserve">Соколов Алексей Викторович </t>
        </is>
      </c>
      <c r="R361" s="298" t="n"/>
      <c r="S361" s="298" t="inlineStr">
        <is>
          <t>Нет</t>
        </is>
      </c>
      <c r="T361" s="298" t="inlineStr">
        <is>
          <t>Орш. А-521</t>
        </is>
      </c>
      <c r="U361" s="298" t="inlineStr">
        <is>
          <t>Кроме пятницы. с 10-45 и позже (521А, 522А)</t>
        </is>
      </c>
    </row>
    <row r="362" ht="15.75" customHeight="1" s="2">
      <c r="E362" s="300" t="n">
        <v>6</v>
      </c>
      <c r="G362" s="296" t="n">
        <v>4</v>
      </c>
      <c r="H362" s="297" t="n">
        <v>4</v>
      </c>
      <c r="I362" s="133">
        <f>G362-H362</f>
        <v/>
      </c>
      <c r="J362" s="298" t="inlineStr">
        <is>
          <t>Нагревательные печи и устройства</t>
        </is>
      </c>
      <c r="K362" s="298" t="inlineStr">
        <is>
          <t>Зачет</t>
        </is>
      </c>
      <c r="L362" s="298" t="inlineStr">
        <is>
          <t>Т11О-401Б-18</t>
        </is>
      </c>
      <c r="M362" s="297" t="n">
        <v>4</v>
      </c>
      <c r="N362" s="298" t="inlineStr">
        <is>
          <t>10858</t>
        </is>
      </c>
      <c r="O362" s="299" t="n"/>
      <c r="P362" s="298" t="inlineStr">
        <is>
          <t xml:space="preserve">81729     </t>
        </is>
      </c>
      <c r="Q362" s="298" t="inlineStr">
        <is>
          <t xml:space="preserve">Соколов Алексей Викторович </t>
        </is>
      </c>
      <c r="R362" s="298" t="n"/>
      <c r="S362" s="298" t="inlineStr">
        <is>
          <t>Нет</t>
        </is>
      </c>
      <c r="T362" s="298" t="n"/>
      <c r="U362" s="298" t="inlineStr">
        <is>
          <t xml:space="preserve">Кроме пятницы. с 10-45 и позже </t>
        </is>
      </c>
    </row>
    <row r="363" ht="15.75" customHeight="1" s="2">
      <c r="E363" s="300" t="n">
        <v>2</v>
      </c>
      <c r="G363" s="296" t="n">
        <v>1</v>
      </c>
      <c r="H363" s="297" t="n">
        <v>1</v>
      </c>
      <c r="I363" s="133">
        <f>G363-H363</f>
        <v/>
      </c>
      <c r="J363" s="298" t="inlineStr">
        <is>
          <t>Нагревательные печи и устройства</t>
        </is>
      </c>
      <c r="K363" s="298" t="inlineStr">
        <is>
          <t>Зачет</t>
        </is>
      </c>
      <c r="L363" s="298" t="inlineStr">
        <is>
          <t>Т11О-401Б-18</t>
        </is>
      </c>
      <c r="M363" s="297" t="n">
        <v>1</v>
      </c>
      <c r="N363" s="298" t="inlineStr">
        <is>
          <t>10858</t>
        </is>
      </c>
      <c r="O363" s="299" t="n"/>
      <c r="P363" s="298" t="inlineStr">
        <is>
          <t xml:space="preserve">93685     </t>
        </is>
      </c>
      <c r="Q363" s="298" t="inlineStr">
        <is>
          <t xml:space="preserve">Банишев Александр Федорович </t>
        </is>
      </c>
      <c r="R363" s="298" t="inlineStr">
        <is>
          <t>профессор</t>
        </is>
      </c>
      <c r="S363" s="298" t="inlineStr">
        <is>
          <t>Да</t>
        </is>
      </c>
      <c r="T363" s="298" t="n"/>
      <c r="U363" s="298" t="n"/>
    </row>
    <row r="364" ht="15.75" customHeight="1" s="2">
      <c r="E364" s="295" t="n">
        <v>4</v>
      </c>
      <c r="G364" s="296" t="n">
        <v>1</v>
      </c>
      <c r="H364" s="297" t="n">
        <v>1</v>
      </c>
      <c r="I364" s="133">
        <f>G364-H364</f>
        <v/>
      </c>
      <c r="J364" s="298" t="inlineStr">
        <is>
          <t>Нагревательные печи и устройства</t>
        </is>
      </c>
      <c r="K364" s="298" t="inlineStr">
        <is>
          <t>Консультация</t>
        </is>
      </c>
      <c r="L364" s="298" t="inlineStr">
        <is>
          <t>Т11О-401Б-18</t>
        </is>
      </c>
      <c r="M364" s="297" t="n">
        <v>1</v>
      </c>
      <c r="N364" s="298" t="inlineStr">
        <is>
          <t>10858</t>
        </is>
      </c>
      <c r="O364" s="299" t="n"/>
      <c r="P364" s="298" t="inlineStr">
        <is>
          <t xml:space="preserve">81729     </t>
        </is>
      </c>
      <c r="Q364" s="298" t="inlineStr">
        <is>
          <t xml:space="preserve">Соколов Алексей Викторович </t>
        </is>
      </c>
      <c r="R364" s="298" t="n"/>
      <c r="S364" s="298" t="inlineStr">
        <is>
          <t>Нет</t>
        </is>
      </c>
      <c r="T364" s="298" t="n"/>
      <c r="U364" s="298" t="inlineStr">
        <is>
          <t xml:space="preserve">Кроме пятницы. с 10-45 и позже </t>
        </is>
      </c>
    </row>
    <row r="365" ht="15.75" customHeight="1" s="2">
      <c r="E365" s="300" t="n">
        <v>1</v>
      </c>
      <c r="G365" s="296" t="n">
        <v>44</v>
      </c>
      <c r="H365" s="297" t="n">
        <v>44</v>
      </c>
      <c r="I365" s="133">
        <f>G365-H365</f>
        <v/>
      </c>
      <c r="J365" s="298" t="inlineStr">
        <is>
          <t>Процессы порошковой металлургии - 2</t>
        </is>
      </c>
      <c r="K365" s="298" t="inlineStr">
        <is>
          <t>ЛК</t>
        </is>
      </c>
      <c r="L365" s="298" t="inlineStr">
        <is>
          <t>Т11О-402Б-18</t>
        </is>
      </c>
      <c r="M365" s="297" t="n">
        <v>44</v>
      </c>
      <c r="N365" s="298" t="inlineStr">
        <is>
          <t>10859</t>
        </is>
      </c>
      <c r="O365" s="297" t="n">
        <v>44</v>
      </c>
      <c r="P365" s="298" t="inlineStr">
        <is>
          <t xml:space="preserve">82066     </t>
        </is>
      </c>
      <c r="Q365" s="298" t="inlineStr">
        <is>
          <t xml:space="preserve">Серов Михаил Михайлович </t>
        </is>
      </c>
      <c r="R365" s="298" t="n"/>
      <c r="S365" s="298" t="inlineStr">
        <is>
          <t>Да</t>
        </is>
      </c>
      <c r="T365" s="298" t="n"/>
      <c r="U365" s="298" t="n"/>
    </row>
    <row r="366" ht="15.75" customHeight="1" s="2">
      <c r="E366" s="300" t="n">
        <v>3</v>
      </c>
      <c r="G366" s="296" t="n">
        <v>30</v>
      </c>
      <c r="H366" s="297" t="n">
        <v>30</v>
      </c>
      <c r="I366" s="133">
        <f>G366-H366</f>
        <v/>
      </c>
      <c r="J366" s="298" t="inlineStr">
        <is>
          <t>Процессы порошковой металлургии - 2</t>
        </is>
      </c>
      <c r="K366" s="298" t="inlineStr">
        <is>
          <t>КР</t>
        </is>
      </c>
      <c r="L366" s="298" t="inlineStr">
        <is>
          <t>Т11О-402Б-18</t>
        </is>
      </c>
      <c r="M366" s="297" t="n">
        <v>30</v>
      </c>
      <c r="N366" s="298" t="inlineStr">
        <is>
          <t>10859</t>
        </is>
      </c>
      <c r="O366" s="299" t="n"/>
      <c r="P366" s="298" t="inlineStr">
        <is>
          <t xml:space="preserve">82066     </t>
        </is>
      </c>
      <c r="Q366" s="298" t="inlineStr">
        <is>
          <t xml:space="preserve">Серов Михаил Михайлович </t>
        </is>
      </c>
      <c r="R366" s="298" t="n"/>
      <c r="S366" s="298" t="inlineStr">
        <is>
          <t>Да</t>
        </is>
      </c>
      <c r="T366" s="298" t="n"/>
      <c r="U366" s="298" t="n"/>
    </row>
    <row r="367" ht="15.75" customHeight="1" s="2">
      <c r="E367" s="300" t="n">
        <v>1</v>
      </c>
      <c r="G367" s="296" t="n">
        <v>30</v>
      </c>
      <c r="H367" s="297" t="n">
        <v>30</v>
      </c>
      <c r="I367" s="133">
        <f>G367-H367</f>
        <v/>
      </c>
      <c r="J367" s="298" t="inlineStr">
        <is>
          <t>Процессы порошковой металлургии - 2</t>
        </is>
      </c>
      <c r="K367" s="298" t="inlineStr">
        <is>
          <t>ПЗ</t>
        </is>
      </c>
      <c r="L367" s="298" t="inlineStr">
        <is>
          <t>Т11О-402Б-18</t>
        </is>
      </c>
      <c r="M367" s="297" t="n">
        <v>30</v>
      </c>
      <c r="N367" s="298" t="inlineStr">
        <is>
          <t>10859</t>
        </is>
      </c>
      <c r="O367" s="297" t="n">
        <v>30</v>
      </c>
      <c r="P367" s="298" t="inlineStr">
        <is>
          <t xml:space="preserve">82066     </t>
        </is>
      </c>
      <c r="Q367" s="298" t="inlineStr">
        <is>
          <t xml:space="preserve">Серов Михаил Михайлович </t>
        </is>
      </c>
      <c r="R367" s="298" t="n"/>
      <c r="S367" s="298" t="inlineStr">
        <is>
          <t>Да</t>
        </is>
      </c>
      <c r="T367" s="298" t="n"/>
      <c r="U367" s="298" t="n"/>
    </row>
    <row r="368" ht="15.75" customHeight="1" s="2">
      <c r="E368" s="300" t="n">
        <v>3</v>
      </c>
      <c r="G368" s="296" t="n">
        <v>16</v>
      </c>
      <c r="H368" s="297" t="n">
        <v>16</v>
      </c>
      <c r="I368" s="133">
        <f>G368-H368</f>
        <v/>
      </c>
      <c r="J368" s="298" t="inlineStr">
        <is>
          <t>Процессы порошковой металлургии - 2</t>
        </is>
      </c>
      <c r="K368" s="298" t="inlineStr">
        <is>
          <t>ЛР</t>
        </is>
      </c>
      <c r="L368" s="298" t="inlineStr">
        <is>
          <t>Т11О-402Б-18</t>
        </is>
      </c>
      <c r="M368" s="297" t="n">
        <v>16</v>
      </c>
      <c r="N368" s="298" t="inlineStr">
        <is>
          <t>10859</t>
        </is>
      </c>
      <c r="O368" s="297" t="n">
        <v>16</v>
      </c>
      <c r="P368" s="298" t="inlineStr">
        <is>
          <t xml:space="preserve">82066     </t>
        </is>
      </c>
      <c r="Q368" s="298" t="inlineStr">
        <is>
          <t xml:space="preserve">Серов Михаил Михайлович </t>
        </is>
      </c>
      <c r="R368" s="298" t="n"/>
      <c r="S368" s="298" t="inlineStr">
        <is>
          <t>Да</t>
        </is>
      </c>
      <c r="T368" s="298" t="n"/>
      <c r="U368" s="298" t="n"/>
    </row>
    <row r="369" ht="15.75" customHeight="1" s="2">
      <c r="E369" s="300" t="n">
        <v>1</v>
      </c>
      <c r="G369" s="296" t="n">
        <v>3.33</v>
      </c>
      <c r="H369" s="297" t="n">
        <v>3.33</v>
      </c>
      <c r="I369" s="133">
        <f>G369-H369</f>
        <v/>
      </c>
      <c r="J369" s="298" t="inlineStr">
        <is>
          <t>Процессы порошковой металлургии - 2</t>
        </is>
      </c>
      <c r="K369" s="298" t="inlineStr">
        <is>
          <t>Экзамен</t>
        </is>
      </c>
      <c r="L369" s="298" t="inlineStr">
        <is>
          <t>Т11О-402Б-18</t>
        </is>
      </c>
      <c r="M369" s="297" t="n">
        <v>3.33</v>
      </c>
      <c r="N369" s="298" t="inlineStr">
        <is>
          <t>10859</t>
        </is>
      </c>
      <c r="O369" s="299" t="n"/>
      <c r="P369" s="298" t="inlineStr">
        <is>
          <t xml:space="preserve">82066     </t>
        </is>
      </c>
      <c r="Q369" s="298" t="inlineStr">
        <is>
          <t xml:space="preserve">Серов Михаил Михайлович </t>
        </is>
      </c>
      <c r="R369" s="298" t="n"/>
      <c r="S369" s="298" t="inlineStr">
        <is>
          <t>Да</t>
        </is>
      </c>
      <c r="T369" s="298" t="n"/>
      <c r="U369" s="298" t="n"/>
    </row>
    <row r="370" ht="15.75" customHeight="1" s="2">
      <c r="E370" s="300" t="n">
        <v>18</v>
      </c>
      <c r="G370" s="296" t="n">
        <v>1.67</v>
      </c>
      <c r="H370" s="297" t="n">
        <v>1.67</v>
      </c>
      <c r="I370" s="133">
        <f>G370-H370</f>
        <v/>
      </c>
      <c r="J370" s="298" t="inlineStr">
        <is>
          <t>Процессы порошковой металлургии - 2</t>
        </is>
      </c>
      <c r="K370" s="298" t="inlineStr">
        <is>
          <t>Экзамен</t>
        </is>
      </c>
      <c r="L370" s="298" t="inlineStr">
        <is>
          <t>Т11О-402Б-18</t>
        </is>
      </c>
      <c r="M370" s="297" t="n">
        <v>1.67</v>
      </c>
      <c r="N370" s="298" t="inlineStr">
        <is>
          <t>10859</t>
        </is>
      </c>
      <c r="O370" s="299" t="n"/>
      <c r="P370" s="298" t="inlineStr">
        <is>
          <t xml:space="preserve">93685     </t>
        </is>
      </c>
      <c r="Q370" s="298" t="inlineStr">
        <is>
          <t xml:space="preserve">Банишев Александр Федорович </t>
        </is>
      </c>
      <c r="R370" s="298" t="inlineStr">
        <is>
          <t>профессор</t>
        </is>
      </c>
      <c r="S370" s="298" t="inlineStr">
        <is>
          <t>Да</t>
        </is>
      </c>
      <c r="T370" s="298" t="n"/>
      <c r="U370" s="298" t="n"/>
    </row>
    <row r="371" ht="15.75" customHeight="1" s="2">
      <c r="E371" s="300" t="n">
        <v>32</v>
      </c>
      <c r="G371" s="296" t="n">
        <v>3</v>
      </c>
      <c r="H371" s="297" t="n">
        <v>3</v>
      </c>
      <c r="I371" s="133">
        <f>G371-H371</f>
        <v/>
      </c>
      <c r="J371" s="298" t="inlineStr">
        <is>
          <t>Процессы порошковой металлургии - 2</t>
        </is>
      </c>
      <c r="K371" s="298" t="inlineStr">
        <is>
          <t>Консультация</t>
        </is>
      </c>
      <c r="L371" s="298" t="inlineStr">
        <is>
          <t>Т11О-402Б-18</t>
        </is>
      </c>
      <c r="M371" s="297" t="n">
        <v>3</v>
      </c>
      <c r="N371" s="298" t="inlineStr">
        <is>
          <t>10859</t>
        </is>
      </c>
      <c r="O371" s="299" t="n"/>
      <c r="P371" s="298" t="inlineStr">
        <is>
          <t xml:space="preserve">82066     </t>
        </is>
      </c>
      <c r="Q371" s="298" t="inlineStr">
        <is>
          <t xml:space="preserve">Серов Михаил Михайлович </t>
        </is>
      </c>
      <c r="R371" s="298" t="n"/>
      <c r="S371" s="298" t="inlineStr">
        <is>
          <t>Да</t>
        </is>
      </c>
      <c r="T371" s="298" t="n"/>
      <c r="U371" s="298" t="n"/>
    </row>
    <row r="372" ht="15.75" customHeight="1" s="2">
      <c r="E372" s="300" t="n">
        <v>4</v>
      </c>
      <c r="G372" s="296" t="n">
        <v>1</v>
      </c>
      <c r="H372" s="297" t="n">
        <v>1</v>
      </c>
      <c r="I372" s="133">
        <f>G372-H372</f>
        <v/>
      </c>
      <c r="J372" s="298" t="inlineStr">
        <is>
          <t>Процессы порошковой металлургии - 2</t>
        </is>
      </c>
      <c r="K372" s="298" t="inlineStr">
        <is>
          <t>Консультация</t>
        </is>
      </c>
      <c r="L372" s="298" t="inlineStr">
        <is>
          <t>Т11О-402Б-18</t>
        </is>
      </c>
      <c r="M372" s="297" t="n">
        <v>1</v>
      </c>
      <c r="N372" s="298" t="inlineStr">
        <is>
          <t>10859</t>
        </is>
      </c>
      <c r="O372" s="299" t="n"/>
      <c r="P372" s="298" t="inlineStr">
        <is>
          <t xml:space="preserve">93685     </t>
        </is>
      </c>
      <c r="Q372" s="298" t="inlineStr">
        <is>
          <t xml:space="preserve">Банишев Александр Федорович </t>
        </is>
      </c>
      <c r="R372" s="298" t="inlineStr">
        <is>
          <t>профессор</t>
        </is>
      </c>
      <c r="S372" s="298" t="inlineStr">
        <is>
          <t>Да</t>
        </is>
      </c>
      <c r="T372" s="298" t="n"/>
      <c r="U372" s="298" t="n"/>
    </row>
    <row r="373" ht="15.75" customHeight="1" s="2">
      <c r="E373" s="300" t="n">
        <v>1</v>
      </c>
      <c r="G373" s="296" t="n">
        <v>36</v>
      </c>
      <c r="H373" s="297" t="n">
        <v>36</v>
      </c>
      <c r="I373" s="133">
        <f>G373-H373</f>
        <v/>
      </c>
      <c r="J373" s="298" t="inlineStr">
        <is>
          <t>Теория, технология и оборудование нанесения покрытий</t>
        </is>
      </c>
      <c r="K373" s="298" t="inlineStr">
        <is>
          <t>ЛК</t>
        </is>
      </c>
      <c r="L373" s="298" t="inlineStr">
        <is>
          <t>Т11О-402Б-18</t>
        </is>
      </c>
      <c r="M373" s="297" t="n">
        <v>36</v>
      </c>
      <c r="N373" s="298" t="inlineStr">
        <is>
          <t>10859</t>
        </is>
      </c>
      <c r="O373" s="297" t="n">
        <v>36</v>
      </c>
      <c r="P373" s="298" t="inlineStr">
        <is>
          <t xml:space="preserve">95460     </t>
        </is>
      </c>
      <c r="Q373" s="298" t="inlineStr">
        <is>
          <t>Кубатина Екатерина Павловна</t>
        </is>
      </c>
      <c r="R373" s="298" t="n"/>
      <c r="S373" s="298" t="inlineStr">
        <is>
          <t>Нет</t>
        </is>
      </c>
      <c r="T373" s="298" t="inlineStr">
        <is>
          <t>Орш. А-117</t>
        </is>
      </c>
      <c r="U373" s="298" t="inlineStr">
        <is>
          <t>Вторник, среда, пятница, с 10.45 и позже. ЛК(117а,509а)(компьютер, проектор), ПЗ(117а,509а,компьютер, проектор), ЛР(117а)</t>
        </is>
      </c>
    </row>
    <row r="374" ht="15.75" customHeight="1" s="2">
      <c r="E374" s="300" t="n">
        <v>1</v>
      </c>
      <c r="G374" s="296" t="n">
        <v>8</v>
      </c>
      <c r="H374" s="297" t="n">
        <v>8</v>
      </c>
      <c r="I374" s="133">
        <f>G374-H374</f>
        <v/>
      </c>
      <c r="J374" s="298" t="inlineStr">
        <is>
          <t>Теория, технология и оборудование нанесения покрытий</t>
        </is>
      </c>
      <c r="K374" s="298" t="inlineStr">
        <is>
          <t>ЛК</t>
        </is>
      </c>
      <c r="L374" s="298" t="inlineStr">
        <is>
          <t>Т11О-103М-21</t>
        </is>
      </c>
      <c r="M374" s="297" t="n">
        <v>8</v>
      </c>
      <c r="N374" s="298" t="inlineStr">
        <is>
          <t>06203</t>
        </is>
      </c>
      <c r="O374" s="297" t="n">
        <v>8</v>
      </c>
      <c r="P374" s="298" t="inlineStr">
        <is>
          <t xml:space="preserve">95460     </t>
        </is>
      </c>
      <c r="Q374" s="298" t="inlineStr">
        <is>
          <t>Кубатина Екатерина Павловна</t>
        </is>
      </c>
      <c r="R374" s="298" t="n"/>
      <c r="S374" s="298" t="inlineStr">
        <is>
          <t>Нет</t>
        </is>
      </c>
      <c r="T374" s="298" t="inlineStr">
        <is>
          <t>Орш. А-117</t>
        </is>
      </c>
      <c r="U374" s="298" t="inlineStr">
        <is>
          <t>Вторник, среда, пятница, с 10.45 и позже. ЛК(117а,509а)(компьютер, проектор), ПЗ(117а,509а,компьютер, проектор), ЛР(117а)</t>
        </is>
      </c>
    </row>
    <row r="375" ht="15.75" customHeight="1" s="2">
      <c r="E375" s="300" t="n">
        <v>44</v>
      </c>
      <c r="G375" s="296" t="n">
        <v>18</v>
      </c>
      <c r="H375" s="297" t="n">
        <v>18</v>
      </c>
      <c r="I375" s="133">
        <f>G375-H375</f>
        <v/>
      </c>
      <c r="J375" s="298" t="inlineStr">
        <is>
          <t>Теория, технология и оборудование нанесения покрытий</t>
        </is>
      </c>
      <c r="K375" s="298" t="inlineStr">
        <is>
          <t>КР</t>
        </is>
      </c>
      <c r="L375" s="298" t="inlineStr">
        <is>
          <t>Т11О-103М-21</t>
        </is>
      </c>
      <c r="M375" s="297" t="n">
        <v>18</v>
      </c>
      <c r="N375" s="298" t="inlineStr">
        <is>
          <t>06203</t>
        </is>
      </c>
      <c r="O375" s="299" t="n"/>
      <c r="P375" s="298" t="inlineStr">
        <is>
          <t xml:space="preserve">95460     </t>
        </is>
      </c>
      <c r="Q375" s="298" t="inlineStr">
        <is>
          <t>Кубатина Екатерина Павловна</t>
        </is>
      </c>
      <c r="R375" s="298" t="n"/>
      <c r="S375" s="298" t="inlineStr">
        <is>
          <t>Нет</t>
        </is>
      </c>
      <c r="T375" s="298" t="n"/>
      <c r="U375" s="298" t="n"/>
    </row>
    <row r="376" ht="15.75" customHeight="1" s="2">
      <c r="E376" s="295" t="n">
        <v>30</v>
      </c>
      <c r="G376" s="296" t="n">
        <v>4</v>
      </c>
      <c r="H376" s="297" t="n">
        <v>4</v>
      </c>
      <c r="I376" s="133">
        <f>G376-H376</f>
        <v/>
      </c>
      <c r="J376" s="298" t="inlineStr">
        <is>
          <t>Теория, технология и оборудование нанесения покрытий</t>
        </is>
      </c>
      <c r="K376" s="298" t="inlineStr">
        <is>
          <t>Зачет с оценкой</t>
        </is>
      </c>
      <c r="L376" s="298" t="inlineStr">
        <is>
          <t>Т11О-402Б-18</t>
        </is>
      </c>
      <c r="M376" s="297" t="n">
        <v>4</v>
      </c>
      <c r="N376" s="298" t="inlineStr">
        <is>
          <t>10859</t>
        </is>
      </c>
      <c r="O376" s="299" t="n"/>
      <c r="P376" s="298" t="inlineStr">
        <is>
          <t xml:space="preserve">95460     </t>
        </is>
      </c>
      <c r="Q376" s="298" t="inlineStr">
        <is>
          <t>Кубатина Екатерина Павловна</t>
        </is>
      </c>
      <c r="R376" s="298" t="n"/>
      <c r="S376" s="298" t="inlineStr">
        <is>
          <t>Нет</t>
        </is>
      </c>
      <c r="T376" s="298" t="n"/>
      <c r="U376" s="298" t="n"/>
    </row>
    <row r="377" ht="15.75" customHeight="1" s="2">
      <c r="E377" s="300" t="n">
        <v>30</v>
      </c>
      <c r="G377" s="296" t="n">
        <v>20</v>
      </c>
      <c r="H377" s="297" t="n">
        <v>20</v>
      </c>
      <c r="I377" s="133">
        <f>G377-H377</f>
        <v/>
      </c>
      <c r="J377" s="298" t="inlineStr">
        <is>
          <t>Теория, технология и оборудование нанесения покрытий</t>
        </is>
      </c>
      <c r="K377" s="298" t="inlineStr">
        <is>
          <t>ПЗ</t>
        </is>
      </c>
      <c r="L377" s="298" t="inlineStr">
        <is>
          <t>Т11О-402Б-18</t>
        </is>
      </c>
      <c r="M377" s="297" t="n">
        <v>20</v>
      </c>
      <c r="N377" s="298" t="inlineStr">
        <is>
          <t>10859</t>
        </is>
      </c>
      <c r="O377" s="297" t="n">
        <v>20</v>
      </c>
      <c r="P377" s="298" t="inlineStr">
        <is>
          <t xml:space="preserve">95460     </t>
        </is>
      </c>
      <c r="Q377" s="298" t="inlineStr">
        <is>
          <t>Кубатина Екатерина Павловна</t>
        </is>
      </c>
      <c r="R377" s="298" t="n"/>
      <c r="S377" s="298" t="inlineStr">
        <is>
          <t>Нет</t>
        </is>
      </c>
      <c r="T377" s="298" t="inlineStr">
        <is>
          <t>Орш. А-117</t>
        </is>
      </c>
      <c r="U377" s="298" t="inlineStr">
        <is>
          <t>Вторник, среда, пятница, с 10.45 и позже. ЛК(117а,509а)(компьютер, проектор), ПЗ(117а,509а,компьютер, проектор), ЛР(117а)</t>
        </is>
      </c>
    </row>
    <row r="378" ht="15.75" customHeight="1" s="2">
      <c r="E378" s="300" t="n">
        <v>16</v>
      </c>
      <c r="G378" s="296" t="n">
        <v>22</v>
      </c>
      <c r="H378" s="297" t="n">
        <v>22</v>
      </c>
      <c r="I378" s="133">
        <f>G378-H378</f>
        <v/>
      </c>
      <c r="J378" s="298" t="inlineStr">
        <is>
          <t>Теория, технология и оборудование нанесения покрытий</t>
        </is>
      </c>
      <c r="K378" s="298" t="inlineStr">
        <is>
          <t>ПЗ</t>
        </is>
      </c>
      <c r="L378" s="298" t="inlineStr">
        <is>
          <t>Т11О-103М-21</t>
        </is>
      </c>
      <c r="M378" s="297" t="n">
        <v>22</v>
      </c>
      <c r="N378" s="298" t="inlineStr">
        <is>
          <t>06203</t>
        </is>
      </c>
      <c r="O378" s="297" t="n">
        <v>22</v>
      </c>
      <c r="P378" s="298" t="inlineStr">
        <is>
          <t xml:space="preserve">95460     </t>
        </is>
      </c>
      <c r="Q378" s="298" t="inlineStr">
        <is>
          <t>Кубатина Екатерина Павловна</t>
        </is>
      </c>
      <c r="R378" s="298" t="n"/>
      <c r="S378" s="298" t="inlineStr">
        <is>
          <t>Нет</t>
        </is>
      </c>
      <c r="T378" s="298" t="inlineStr">
        <is>
          <t>Орш. А-117</t>
        </is>
      </c>
      <c r="U378" s="298" t="inlineStr">
        <is>
          <t>Вторник, среда, пятница, с 10.45 и позже. ЛК(117а,509а)(компьютер, проектор), ПЗ(117а,509а,компьютер, проектор), ЛР(117а)</t>
        </is>
      </c>
    </row>
    <row r="379" ht="15.75" customHeight="1" s="2">
      <c r="E379" s="300" t="n">
        <v>4</v>
      </c>
      <c r="G379" s="296" t="n">
        <v>16</v>
      </c>
      <c r="H379" s="297" t="n">
        <v>16</v>
      </c>
      <c r="I379" s="133">
        <f>G379-H379</f>
        <v/>
      </c>
      <c r="J379" s="298" t="inlineStr">
        <is>
          <t>Теория, технология и оборудование нанесения покрытий</t>
        </is>
      </c>
      <c r="K379" s="298" t="inlineStr">
        <is>
          <t>ЛР</t>
        </is>
      </c>
      <c r="L379" s="298" t="inlineStr">
        <is>
          <t>Т11О-402Б-18</t>
        </is>
      </c>
      <c r="M379" s="297" t="n">
        <v>16</v>
      </c>
      <c r="N379" s="298" t="inlineStr">
        <is>
          <t>10859</t>
        </is>
      </c>
      <c r="O379" s="297" t="n">
        <v>16</v>
      </c>
      <c r="P379" s="298" t="inlineStr">
        <is>
          <t xml:space="preserve">95460     </t>
        </is>
      </c>
      <c r="Q379" s="298" t="inlineStr">
        <is>
          <t>Кубатина Екатерина Павловна</t>
        </is>
      </c>
      <c r="R379" s="298" t="n"/>
      <c r="S379" s="298" t="inlineStr">
        <is>
          <t>Нет</t>
        </is>
      </c>
      <c r="T379" s="298" t="inlineStr">
        <is>
          <t>Орш. А-117</t>
        </is>
      </c>
      <c r="U379" s="298" t="inlineStr">
        <is>
          <t>Вторник, среда, пятница, с 10.45 и позже. ЛК(117а,509а)(компьютер, проектор), ПЗ(117а,509а,компьютер, проектор), ЛР(117а)</t>
        </is>
      </c>
    </row>
    <row r="380" ht="15.75" customHeight="1" s="2">
      <c r="E380" s="300" t="n">
        <v>2</v>
      </c>
      <c r="G380" s="296" t="n">
        <v>2</v>
      </c>
      <c r="H380" s="297" t="n">
        <v>2</v>
      </c>
      <c r="I380" s="133">
        <f>G380-H380</f>
        <v/>
      </c>
      <c r="J380" s="298" t="inlineStr">
        <is>
          <t>Теория, технология и оборудование нанесения покрытий</t>
        </is>
      </c>
      <c r="K380" s="298" t="inlineStr">
        <is>
          <t>Зачет</t>
        </is>
      </c>
      <c r="L380" s="298" t="inlineStr">
        <is>
          <t>Т11О-103М-21</t>
        </is>
      </c>
      <c r="M380" s="297" t="n">
        <v>2</v>
      </c>
      <c r="N380" s="298" t="inlineStr">
        <is>
          <t>06203</t>
        </is>
      </c>
      <c r="O380" s="299" t="n"/>
      <c r="P380" s="298" t="inlineStr">
        <is>
          <t xml:space="preserve">95460     </t>
        </is>
      </c>
      <c r="Q380" s="298" t="inlineStr">
        <is>
          <t>Кубатина Екатерина Павловна</t>
        </is>
      </c>
      <c r="R380" s="298" t="n"/>
      <c r="S380" s="298" t="inlineStr">
        <is>
          <t>Нет</t>
        </is>
      </c>
      <c r="T380" s="298" t="n"/>
      <c r="U380" s="298" t="n"/>
    </row>
    <row r="381" ht="15.75" customHeight="1" s="2">
      <c r="E381" s="295" t="n">
        <v>2</v>
      </c>
      <c r="G381" s="296" t="n">
        <v>2</v>
      </c>
      <c r="H381" s="297" t="n">
        <v>2</v>
      </c>
      <c r="I381" s="133">
        <f>G381-H381</f>
        <v/>
      </c>
      <c r="J381" s="298" t="inlineStr">
        <is>
          <t>Теория, технология и оборудование нанесения покрытий</t>
        </is>
      </c>
      <c r="K381" s="298" t="inlineStr">
        <is>
          <t>Консультация</t>
        </is>
      </c>
      <c r="L381" s="298" t="inlineStr">
        <is>
          <t>Т11О-402Б-18</t>
        </is>
      </c>
      <c r="M381" s="297" t="n">
        <v>2</v>
      </c>
      <c r="N381" s="298" t="inlineStr">
        <is>
          <t>10859</t>
        </is>
      </c>
      <c r="O381" s="299" t="n"/>
      <c r="P381" s="298" t="inlineStr">
        <is>
          <t xml:space="preserve">95460     </t>
        </is>
      </c>
      <c r="Q381" s="298" t="inlineStr">
        <is>
          <t>Кубатина Екатерина Павловна</t>
        </is>
      </c>
      <c r="R381" s="298" t="n"/>
      <c r="S381" s="298" t="inlineStr">
        <is>
          <t>Нет</t>
        </is>
      </c>
      <c r="T381" s="298" t="n"/>
      <c r="U381" s="298" t="n"/>
    </row>
    <row r="382" ht="15.75" customHeight="1" s="2">
      <c r="E382" s="300" t="n">
        <v>1</v>
      </c>
      <c r="G382" s="296" t="n">
        <v>18</v>
      </c>
      <c r="H382" s="297" t="n">
        <v>18</v>
      </c>
      <c r="I382" s="133">
        <f>G382-H382</f>
        <v/>
      </c>
      <c r="J382" s="298" t="inlineStr">
        <is>
          <t>Композиционные материалы в авиастроении</t>
        </is>
      </c>
      <c r="K382" s="298" t="inlineStr">
        <is>
          <t>ЛК</t>
        </is>
      </c>
      <c r="L382" s="298" t="inlineStr">
        <is>
          <t>М9О-204М-20</t>
        </is>
      </c>
      <c r="M382" s="297" t="n">
        <v>18</v>
      </c>
      <c r="N382" s="298" t="inlineStr">
        <is>
          <t>12598</t>
        </is>
      </c>
      <c r="O382" s="297" t="n">
        <v>18</v>
      </c>
      <c r="P382" s="298" t="inlineStr">
        <is>
          <t xml:space="preserve">81724     </t>
        </is>
      </c>
      <c r="Q382" s="298" t="inlineStr">
        <is>
          <t xml:space="preserve">Галкин Евгений Владимирович </t>
        </is>
      </c>
      <c r="R382" s="298" t="n"/>
      <c r="S382" s="298" t="inlineStr">
        <is>
          <t>Нет</t>
        </is>
      </c>
      <c r="T382" s="298" t="inlineStr">
        <is>
          <t>Орш. А-525</t>
        </is>
      </c>
      <c r="U382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383" ht="15.75" customHeight="1" s="2">
      <c r="E383" s="300" t="n">
        <v>36</v>
      </c>
      <c r="G383" s="296" t="n">
        <v>36</v>
      </c>
      <c r="H383" s="297" t="n">
        <v>36</v>
      </c>
      <c r="I383" s="133">
        <f>G383-H383</f>
        <v/>
      </c>
      <c r="J383" s="298" t="inlineStr">
        <is>
          <t>Композиционные материалы в авиастроении</t>
        </is>
      </c>
      <c r="K383" s="298" t="inlineStr">
        <is>
          <t>ПЗ</t>
        </is>
      </c>
      <c r="L383" s="298" t="inlineStr">
        <is>
          <t>М9О-204М-20</t>
        </is>
      </c>
      <c r="M383" s="297" t="n">
        <v>36</v>
      </c>
      <c r="N383" s="298" t="inlineStr">
        <is>
          <t>12598</t>
        </is>
      </c>
      <c r="O383" s="297" t="n">
        <v>36</v>
      </c>
      <c r="P383" s="298" t="inlineStr">
        <is>
          <t xml:space="preserve">81724     </t>
        </is>
      </c>
      <c r="Q383" s="298" t="inlineStr">
        <is>
          <t xml:space="preserve">Галкин Евгений Владимирович </t>
        </is>
      </c>
      <c r="R383" s="298" t="n"/>
      <c r="S383" s="298" t="inlineStr">
        <is>
          <t>Нет</t>
        </is>
      </c>
      <c r="T383" s="298" t="inlineStr">
        <is>
          <t>Орш. А-525</t>
        </is>
      </c>
      <c r="U383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384" ht="15.75" customHeight="1" s="2">
      <c r="E384" s="300" t="n">
        <v>8</v>
      </c>
      <c r="G384" s="296" t="n">
        <v>3</v>
      </c>
      <c r="H384" s="297" t="n">
        <v>3</v>
      </c>
      <c r="I384" s="133">
        <f>G384-H384</f>
        <v/>
      </c>
      <c r="J384" s="298" t="inlineStr">
        <is>
          <t>Композиционные материалы в авиастроении</t>
        </is>
      </c>
      <c r="K384" s="298" t="inlineStr">
        <is>
          <t>Экзамен</t>
        </is>
      </c>
      <c r="L384" s="298" t="inlineStr">
        <is>
          <t>М9О-204М-20</t>
        </is>
      </c>
      <c r="M384" s="297" t="n">
        <v>3</v>
      </c>
      <c r="N384" s="298" t="inlineStr">
        <is>
          <t>12598</t>
        </is>
      </c>
      <c r="O384" s="299" t="n"/>
      <c r="P384" s="298" t="inlineStr">
        <is>
          <t xml:space="preserve">81724     </t>
        </is>
      </c>
      <c r="Q384" s="298" t="inlineStr">
        <is>
          <t xml:space="preserve">Галкин Евгений Владимирович </t>
        </is>
      </c>
      <c r="R384" s="298" t="n"/>
      <c r="S384" s="298" t="inlineStr">
        <is>
          <t>Нет</t>
        </is>
      </c>
      <c r="T384" s="298" t="n"/>
      <c r="U384" s="298" t="n"/>
    </row>
    <row r="385" ht="15.75" customHeight="1" s="2">
      <c r="E385" s="300" t="n">
        <v>18</v>
      </c>
      <c r="G385" s="296" t="n">
        <v>3</v>
      </c>
      <c r="H385" s="297" t="n">
        <v>3</v>
      </c>
      <c r="I385" s="133">
        <f>G385-H385</f>
        <v/>
      </c>
      <c r="J385" s="298" t="inlineStr">
        <is>
          <t>Композиционные материалы в авиастроении</t>
        </is>
      </c>
      <c r="K385" s="298" t="inlineStr">
        <is>
          <t>Консультация</t>
        </is>
      </c>
      <c r="L385" s="298" t="inlineStr">
        <is>
          <t>М9О-204М-20</t>
        </is>
      </c>
      <c r="M385" s="297" t="n">
        <v>3</v>
      </c>
      <c r="N385" s="298" t="inlineStr">
        <is>
          <t>12598</t>
        </is>
      </c>
      <c r="O385" s="299" t="n"/>
      <c r="P385" s="298" t="inlineStr">
        <is>
          <t xml:space="preserve">81724     </t>
        </is>
      </c>
      <c r="Q385" s="298" t="inlineStr">
        <is>
          <t xml:space="preserve">Галкин Евгений Владимирович </t>
        </is>
      </c>
      <c r="R385" s="298" t="n"/>
      <c r="S385" s="298" t="inlineStr">
        <is>
          <t>Нет</t>
        </is>
      </c>
      <c r="T385" s="298" t="n"/>
      <c r="U385" s="298" t="n"/>
    </row>
    <row r="386" ht="15.75" customHeight="1" s="2">
      <c r="E386" s="300" t="n">
        <v>4</v>
      </c>
      <c r="G386" s="296" t="n">
        <v>34</v>
      </c>
      <c r="H386" s="297" t="n">
        <v>34</v>
      </c>
      <c r="I386" s="133">
        <f>G386-H386</f>
        <v/>
      </c>
      <c r="J386" s="298" t="inlineStr">
        <is>
          <t>Сварка, родственные процессы и технологии</t>
        </is>
      </c>
      <c r="K386" s="298" t="inlineStr">
        <is>
          <t>ЛК</t>
        </is>
      </c>
      <c r="L386" s="298" t="inlineStr">
        <is>
          <t>Т11О-302А-19</t>
        </is>
      </c>
      <c r="M386" s="297" t="n">
        <v>34</v>
      </c>
      <c r="N386" s="298" t="inlineStr">
        <is>
          <t>10740</t>
        </is>
      </c>
      <c r="O386" s="297" t="n">
        <v>68</v>
      </c>
      <c r="P386" s="298" t="inlineStr">
        <is>
          <t xml:space="preserve">82075     </t>
        </is>
      </c>
      <c r="Q386" s="298" t="inlineStr">
        <is>
          <t>Сидякин Виталий Александрович</t>
        </is>
      </c>
      <c r="R386" s="298" t="n"/>
      <c r="S386" s="298" t="inlineStr">
        <is>
          <t>Да</t>
        </is>
      </c>
      <c r="T386" s="298" t="n"/>
      <c r="U386" s="298" t="inlineStr">
        <is>
          <t>Степанов Максим Александрович</t>
        </is>
      </c>
    </row>
    <row r="387" ht="15.75" customHeight="1" s="2">
      <c r="E387" s="300" t="n">
        <v>20</v>
      </c>
      <c r="G387" s="296" t="n">
        <v>34</v>
      </c>
      <c r="H387" s="297" t="n">
        <v>34</v>
      </c>
      <c r="I387" s="133">
        <f>G387-H387</f>
        <v/>
      </c>
      <c r="J387" s="298" t="inlineStr">
        <is>
          <t>Сварка, родственные процессы и технологии</t>
        </is>
      </c>
      <c r="K387" s="298" t="inlineStr">
        <is>
          <t>ЛК</t>
        </is>
      </c>
      <c r="L387" s="298" t="inlineStr">
        <is>
          <t>Т11О-302А-19</t>
        </is>
      </c>
      <c r="M387" s="297" t="n">
        <v>34</v>
      </c>
      <c r="N387" s="298" t="inlineStr">
        <is>
          <t>10740</t>
        </is>
      </c>
      <c r="O387" s="297" t="n">
        <v>68</v>
      </c>
      <c r="P387" s="298" t="inlineStr">
        <is>
          <t xml:space="preserve">87438     </t>
        </is>
      </c>
      <c r="Q387" s="298" t="inlineStr">
        <is>
          <t xml:space="preserve">Конкевич Валентин Юрьевич </t>
        </is>
      </c>
      <c r="R387" s="298" t="n"/>
      <c r="S387" s="298" t="inlineStr">
        <is>
          <t>Да</t>
        </is>
      </c>
      <c r="T387" s="298" t="n"/>
      <c r="U387" s="298" t="inlineStr">
        <is>
          <t>Степанов Максим Александрович</t>
        </is>
      </c>
    </row>
    <row r="388" ht="15.75" customHeight="1" s="2">
      <c r="E388" s="300" t="n">
        <v>22</v>
      </c>
      <c r="G388" s="296" t="n">
        <v>10</v>
      </c>
      <c r="H388" s="297" t="n">
        <v>10</v>
      </c>
      <c r="I388" s="133">
        <f>G388-H388</f>
        <v/>
      </c>
      <c r="J388" s="298" t="inlineStr">
        <is>
          <t>Сварка, родственные процессы и технологии</t>
        </is>
      </c>
      <c r="K388" s="298" t="inlineStr">
        <is>
          <t>ПЗ</t>
        </is>
      </c>
      <c r="L388" s="298" t="inlineStr">
        <is>
          <t>Т11О-302А-19</t>
        </is>
      </c>
      <c r="M388" s="297" t="n">
        <v>10</v>
      </c>
      <c r="N388" s="298" t="inlineStr">
        <is>
          <t>10740</t>
        </is>
      </c>
      <c r="O388" s="297" t="n">
        <v>20</v>
      </c>
      <c r="P388" s="298" t="inlineStr">
        <is>
          <t xml:space="preserve">82075     </t>
        </is>
      </c>
      <c r="Q388" s="298" t="inlineStr">
        <is>
          <t>Сидякин Виталий Александрович</t>
        </is>
      </c>
      <c r="R388" s="298" t="n"/>
      <c r="S388" s="298" t="inlineStr">
        <is>
          <t>Да</t>
        </is>
      </c>
      <c r="T388" s="298" t="n"/>
      <c r="U388" s="298" t="inlineStr">
        <is>
          <t>Степанов Максим Александрович</t>
        </is>
      </c>
    </row>
    <row r="389" ht="15.75" customHeight="1" s="2">
      <c r="E389" s="300" t="n">
        <v>16</v>
      </c>
      <c r="G389" s="296" t="n">
        <v>10</v>
      </c>
      <c r="H389" s="297" t="n">
        <v>10</v>
      </c>
      <c r="I389" s="133">
        <f>G389-H389</f>
        <v/>
      </c>
      <c r="J389" s="298" t="inlineStr">
        <is>
          <t>Сварка, родственные процессы и технологии</t>
        </is>
      </c>
      <c r="K389" s="298" t="inlineStr">
        <is>
          <t>ПЗ</t>
        </is>
      </c>
      <c r="L389" s="298" t="inlineStr">
        <is>
          <t>Т11О-302А-19</t>
        </is>
      </c>
      <c r="M389" s="297" t="n">
        <v>10</v>
      </c>
      <c r="N389" s="298" t="inlineStr">
        <is>
          <t>10740</t>
        </is>
      </c>
      <c r="O389" s="297" t="n">
        <v>20</v>
      </c>
      <c r="P389" s="298" t="inlineStr">
        <is>
          <t xml:space="preserve">87438     </t>
        </is>
      </c>
      <c r="Q389" s="298" t="inlineStr">
        <is>
          <t xml:space="preserve">Конкевич Валентин Юрьевич </t>
        </is>
      </c>
      <c r="R389" s="298" t="n"/>
      <c r="S389" s="298" t="inlineStr">
        <is>
          <t>Да</t>
        </is>
      </c>
      <c r="T389" s="298" t="n"/>
      <c r="U389" s="298" t="inlineStr">
        <is>
          <t>Степанов Максим Александрович</t>
        </is>
      </c>
    </row>
    <row r="390" ht="15.75" customHeight="1" s="2">
      <c r="E390" s="300" t="n">
        <v>2</v>
      </c>
      <c r="G390" s="296" t="n">
        <v>1</v>
      </c>
      <c r="H390" s="297" t="n">
        <v>1</v>
      </c>
      <c r="I390" s="133">
        <f>G390-H390</f>
        <v/>
      </c>
      <c r="J390" s="298" t="inlineStr">
        <is>
          <t>Сварка, родственные процессы и технологии</t>
        </is>
      </c>
      <c r="K390" s="298" t="inlineStr">
        <is>
          <t>Экзамен</t>
        </is>
      </c>
      <c r="L390" s="298" t="inlineStr">
        <is>
          <t>Т11О-302А-19</t>
        </is>
      </c>
      <c r="M390" s="297" t="n">
        <v>1</v>
      </c>
      <c r="N390" s="298" t="inlineStr">
        <is>
          <t>10740</t>
        </is>
      </c>
      <c r="O390" s="299" t="n"/>
      <c r="P390" s="298" t="inlineStr">
        <is>
          <t xml:space="preserve">87438     </t>
        </is>
      </c>
      <c r="Q390" s="298" t="inlineStr">
        <is>
          <t xml:space="preserve">Конкевич Валентин Юрьевич </t>
        </is>
      </c>
      <c r="R390" s="298" t="n"/>
      <c r="S390" s="298" t="inlineStr">
        <is>
          <t>Да</t>
        </is>
      </c>
      <c r="T390" s="298" t="n"/>
      <c r="U390" s="298" t="inlineStr">
        <is>
          <t>Степанов Максим Александрович</t>
        </is>
      </c>
    </row>
    <row r="391" ht="15.75" customHeight="1" s="2">
      <c r="E391" s="300" t="n">
        <v>2</v>
      </c>
      <c r="G391" s="296" t="n">
        <v>4</v>
      </c>
      <c r="H391" s="297" t="n">
        <v>4</v>
      </c>
      <c r="I391" s="133">
        <f>G391-H391</f>
        <v/>
      </c>
      <c r="J391" s="298" t="inlineStr">
        <is>
          <t>Сварка, родственные процессы и технологии</t>
        </is>
      </c>
      <c r="K391" s="298" t="inlineStr">
        <is>
          <t>Консультация</t>
        </is>
      </c>
      <c r="L391" s="298" t="inlineStr">
        <is>
          <t>Т11О-302А-19</t>
        </is>
      </c>
      <c r="M391" s="297" t="n">
        <v>4</v>
      </c>
      <c r="N391" s="298" t="inlineStr">
        <is>
          <t>10740</t>
        </is>
      </c>
      <c r="O391" s="299" t="n"/>
      <c r="P391" s="298" t="inlineStr">
        <is>
          <t xml:space="preserve">87438     </t>
        </is>
      </c>
      <c r="Q391" s="298" t="inlineStr">
        <is>
          <t xml:space="preserve">Конкевич Валентин Юрьевич </t>
        </is>
      </c>
      <c r="R391" s="298" t="n"/>
      <c r="S391" s="298" t="inlineStr">
        <is>
          <t>Да</t>
        </is>
      </c>
      <c r="T391" s="298" t="n"/>
      <c r="U391" s="298" t="inlineStr">
        <is>
          <t>Степанов Максим Александрович</t>
        </is>
      </c>
    </row>
    <row r="392" ht="15.75" customHeight="1" s="2">
      <c r="E392" s="300" t="n">
        <v>18</v>
      </c>
      <c r="G392" s="296" t="n">
        <v>1</v>
      </c>
      <c r="H392" s="297" t="n">
        <v>1</v>
      </c>
      <c r="I392" s="133">
        <f>G392-H392</f>
        <v/>
      </c>
      <c r="J392" s="298" t="inlineStr">
        <is>
          <t>Сварка, родственные процессы и технологии</t>
        </is>
      </c>
      <c r="K392" s="298" t="inlineStr">
        <is>
          <t>Консультация</t>
        </is>
      </c>
      <c r="L392" s="298" t="inlineStr">
        <is>
          <t>Т11О-302А-19</t>
        </is>
      </c>
      <c r="M392" s="297" t="n">
        <v>1</v>
      </c>
      <c r="N392" s="298" t="inlineStr">
        <is>
          <t>10740</t>
        </is>
      </c>
      <c r="O392" s="299" t="n"/>
      <c r="P392" s="298" t="inlineStr">
        <is>
          <t xml:space="preserve">93685     </t>
        </is>
      </c>
      <c r="Q392" s="298" t="inlineStr">
        <is>
          <t xml:space="preserve">Банишев Александр Федорович </t>
        </is>
      </c>
      <c r="R392" s="298" t="inlineStr">
        <is>
          <t>профессор</t>
        </is>
      </c>
      <c r="S392" s="298" t="inlineStr">
        <is>
          <t>Да</t>
        </is>
      </c>
      <c r="T392" s="298" t="n"/>
      <c r="U392" s="298" t="inlineStr">
        <is>
          <t>Степанов Максим Александрович</t>
        </is>
      </c>
    </row>
    <row r="393" ht="15.75" customHeight="1" s="2">
      <c r="E393" s="300" t="n">
        <v>36</v>
      </c>
      <c r="G393" s="296" t="n">
        <v>30</v>
      </c>
      <c r="H393" s="297" t="n">
        <v>30</v>
      </c>
      <c r="I393" s="133">
        <f>G393-H393</f>
        <v/>
      </c>
      <c r="J393" s="298" t="inlineStr">
        <is>
          <t>Вакуумные технологии в металлургии</t>
        </is>
      </c>
      <c r="K393" s="298" t="inlineStr">
        <is>
          <t>ЛК</t>
        </is>
      </c>
      <c r="L393" s="298" t="inlineStr">
        <is>
          <t>Т11О-402Б-18</t>
        </is>
      </c>
      <c r="M393" s="297" t="n">
        <v>30</v>
      </c>
      <c r="N393" s="298" t="inlineStr">
        <is>
          <t>10859</t>
        </is>
      </c>
      <c r="O393" s="297" t="n">
        <v>30</v>
      </c>
      <c r="P393" s="298" t="inlineStr">
        <is>
          <t xml:space="preserve">95460     </t>
        </is>
      </c>
      <c r="Q393" s="298" t="inlineStr">
        <is>
          <t>Кубатина Екатерина Павловна</t>
        </is>
      </c>
      <c r="R393" s="298" t="n"/>
      <c r="S393" s="298" t="inlineStr">
        <is>
          <t>Нет</t>
        </is>
      </c>
      <c r="T393" s="298" t="inlineStr">
        <is>
          <t>Орш. А-117</t>
        </is>
      </c>
      <c r="U393" s="298" t="inlineStr">
        <is>
          <t>Вторник, среда, пятница, с 10.45 и позже.</t>
        </is>
      </c>
    </row>
    <row r="394" ht="15.75" customHeight="1" s="2">
      <c r="E394" s="300" t="n">
        <v>3</v>
      </c>
      <c r="G394" s="296" t="n">
        <v>3</v>
      </c>
      <c r="H394" s="297" t="n">
        <v>3</v>
      </c>
      <c r="I394" s="133">
        <f>G394-H394</f>
        <v/>
      </c>
      <c r="J394" s="298" t="inlineStr">
        <is>
          <t>Вакуумные технологии в металлургии</t>
        </is>
      </c>
      <c r="K394" s="298" t="inlineStr">
        <is>
          <t>Зачет с оценкой</t>
        </is>
      </c>
      <c r="L394" s="298" t="inlineStr">
        <is>
          <t>Т11О-402Б-18</t>
        </is>
      </c>
      <c r="M394" s="297" t="n">
        <v>3</v>
      </c>
      <c r="N394" s="298" t="inlineStr">
        <is>
          <t>10859</t>
        </is>
      </c>
      <c r="O394" s="299" t="n"/>
      <c r="P394" s="298" t="inlineStr">
        <is>
          <t xml:space="preserve">95460     </t>
        </is>
      </c>
      <c r="Q394" s="298" t="inlineStr">
        <is>
          <t>Кубатина Екатерина Павловна</t>
        </is>
      </c>
      <c r="R394" s="298" t="n"/>
      <c r="S394" s="298" t="inlineStr">
        <is>
          <t>Нет</t>
        </is>
      </c>
      <c r="T394" s="298" t="n"/>
      <c r="U394" s="298" t="n"/>
    </row>
    <row r="395" ht="15.75" customHeight="1" s="2">
      <c r="E395" s="300" t="n">
        <v>3</v>
      </c>
      <c r="G395" s="296" t="n">
        <v>1</v>
      </c>
      <c r="H395" s="297" t="n">
        <v>1</v>
      </c>
      <c r="I395" s="133">
        <f>G395-H395</f>
        <v/>
      </c>
      <c r="J395" s="298" t="inlineStr">
        <is>
          <t>Вакуумные технологии в металлургии</t>
        </is>
      </c>
      <c r="K395" s="298" t="inlineStr">
        <is>
          <t>Зачет с оценкой</t>
        </is>
      </c>
      <c r="L395" s="298" t="inlineStr">
        <is>
          <t>Т11О-402Б-18</t>
        </is>
      </c>
      <c r="M395" s="297" t="n">
        <v>1</v>
      </c>
      <c r="N395" s="298" t="inlineStr">
        <is>
          <t>10859</t>
        </is>
      </c>
      <c r="O395" s="299" t="n"/>
      <c r="P395" s="298" t="inlineStr">
        <is>
          <t xml:space="preserve">93685     </t>
        </is>
      </c>
      <c r="Q395" s="298" t="inlineStr">
        <is>
          <t xml:space="preserve">Банишев Александр Федорович </t>
        </is>
      </c>
      <c r="R395" s="298" t="inlineStr">
        <is>
          <t>профессор</t>
        </is>
      </c>
      <c r="S395" s="298" t="inlineStr">
        <is>
          <t>Да</t>
        </is>
      </c>
      <c r="T395" s="298" t="n"/>
      <c r="U395" s="298" t="n"/>
    </row>
    <row r="396" ht="15.75" customHeight="1" s="2">
      <c r="E396" s="300" t="n">
        <v>34</v>
      </c>
      <c r="G396" s="296" t="n">
        <v>18</v>
      </c>
      <c r="H396" s="297" t="n">
        <v>18</v>
      </c>
      <c r="I396" s="133">
        <f>G396-H396</f>
        <v/>
      </c>
      <c r="J396" s="298" t="inlineStr">
        <is>
          <t>Вакуумные технологии в металлургии</t>
        </is>
      </c>
      <c r="K396" s="298" t="inlineStr">
        <is>
          <t>ПЗ</t>
        </is>
      </c>
      <c r="L396" s="298" t="inlineStr">
        <is>
          <t>Т11О-402Б-18</t>
        </is>
      </c>
      <c r="M396" s="297" t="n">
        <v>18</v>
      </c>
      <c r="N396" s="298" t="inlineStr">
        <is>
          <t>10859</t>
        </is>
      </c>
      <c r="O396" s="297" t="n">
        <v>18</v>
      </c>
      <c r="P396" s="298" t="inlineStr">
        <is>
          <t xml:space="preserve">95460     </t>
        </is>
      </c>
      <c r="Q396" s="298" t="inlineStr">
        <is>
          <t>Кубатина Екатерина Павловна</t>
        </is>
      </c>
      <c r="R396" s="298" t="n"/>
      <c r="S396" s="298" t="inlineStr">
        <is>
          <t>Нет</t>
        </is>
      </c>
      <c r="T396" s="298" t="inlineStr">
        <is>
          <t>Орш. А-117</t>
        </is>
      </c>
      <c r="U396" s="298" t="inlineStr">
        <is>
          <t>Вторник, среда, пятница, с 10.45 и позже.</t>
        </is>
      </c>
    </row>
    <row r="397" ht="15.75" customHeight="1" s="2">
      <c r="E397" s="300" t="n">
        <v>34</v>
      </c>
      <c r="G397" s="296" t="n">
        <v>12</v>
      </c>
      <c r="H397" s="297" t="n">
        <v>12</v>
      </c>
      <c r="I397" s="133">
        <f>G397-H397</f>
        <v/>
      </c>
      <c r="J397" s="298" t="inlineStr">
        <is>
          <t>Вакуумные технологии в металлургии</t>
        </is>
      </c>
      <c r="K397" s="298" t="inlineStr">
        <is>
          <t>ЛР</t>
        </is>
      </c>
      <c r="L397" s="298" t="inlineStr">
        <is>
          <t>Т11О-402Б-18</t>
        </is>
      </c>
      <c r="M397" s="297" t="n">
        <v>12</v>
      </c>
      <c r="N397" s="298" t="inlineStr">
        <is>
          <t>10859</t>
        </is>
      </c>
      <c r="O397" s="297" t="n">
        <v>12</v>
      </c>
      <c r="P397" s="298" t="inlineStr">
        <is>
          <t xml:space="preserve">82060     </t>
        </is>
      </c>
      <c r="Q397" s="298" t="inlineStr">
        <is>
          <t xml:space="preserve">Лозован Александр Александрович </t>
        </is>
      </c>
      <c r="R397" s="298" t="n"/>
      <c r="S397" s="298" t="inlineStr">
        <is>
          <t>Да</t>
        </is>
      </c>
      <c r="T397" s="298" t="inlineStr">
        <is>
          <t>Орш. А-117</t>
        </is>
      </c>
      <c r="U397" s="298" t="inlineStr">
        <is>
          <t>(Т11О-04А-20) Лиджиев Арсланг Алексеевич+ Нейман Алёна Владимировна (Т11О-07А-20)Жуковский Павел Леонидович + Митрофанов Андрей Леонидович</t>
        </is>
      </c>
    </row>
    <row r="398" ht="15.75" customHeight="1" s="2">
      <c r="E398" s="300" t="n">
        <v>10</v>
      </c>
      <c r="G398" s="296" t="n">
        <v>2</v>
      </c>
      <c r="H398" s="297" t="n">
        <v>2</v>
      </c>
      <c r="I398" s="133">
        <f>G398-H398</f>
        <v/>
      </c>
      <c r="J398" s="298" t="inlineStr">
        <is>
          <t>Вакуумные технологии в металлургии</t>
        </is>
      </c>
      <c r="K398" s="298" t="inlineStr">
        <is>
          <t>Консультация</t>
        </is>
      </c>
      <c r="L398" s="298" t="inlineStr">
        <is>
          <t>Т11О-402Б-18</t>
        </is>
      </c>
      <c r="M398" s="297" t="n">
        <v>2</v>
      </c>
      <c r="N398" s="298" t="inlineStr">
        <is>
          <t>10859</t>
        </is>
      </c>
      <c r="O398" s="299" t="n"/>
      <c r="P398" s="298" t="inlineStr">
        <is>
          <t xml:space="preserve">95460     </t>
        </is>
      </c>
      <c r="Q398" s="298" t="inlineStr">
        <is>
          <t>Кубатина Екатерина Павловна</t>
        </is>
      </c>
      <c r="R398" s="298" t="n"/>
      <c r="S398" s="298" t="inlineStr">
        <is>
          <t>Нет</t>
        </is>
      </c>
      <c r="T398" s="298" t="n"/>
      <c r="U398" s="298" t="n"/>
    </row>
    <row r="399" ht="15.75" customHeight="1" s="2">
      <c r="E399" s="300" t="n">
        <v>10</v>
      </c>
      <c r="G399" s="296" t="n">
        <v>10</v>
      </c>
      <c r="H399" s="297" t="n">
        <v>10</v>
      </c>
      <c r="I399" s="133">
        <f>G399-H399</f>
        <v/>
      </c>
      <c r="J399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399" s="298" t="inlineStr">
        <is>
          <t>ЛК</t>
        </is>
      </c>
      <c r="L399" s="298" t="inlineStr">
        <is>
          <t>М9О-204М-20, Т11О-201М-20, Т11О-202М-20, Т11О-203М-20, Т11О-204М-20</t>
        </is>
      </c>
      <c r="M399" s="297" t="n">
        <v>10</v>
      </c>
      <c r="N399" s="298" t="inlineStr">
        <is>
          <t>12597</t>
        </is>
      </c>
      <c r="O399" s="297" t="n">
        <v>10</v>
      </c>
      <c r="P399" s="298" t="inlineStr">
        <is>
          <t xml:space="preserve">81730     </t>
        </is>
      </c>
      <c r="Q399" s="298" t="inlineStr">
        <is>
          <t>Федоров Анатолий Александрович</t>
        </is>
      </c>
      <c r="R399" s="298" t="n"/>
      <c r="S399" s="298" t="inlineStr">
        <is>
          <t>Да</t>
        </is>
      </c>
      <c r="T399" s="298" t="n"/>
      <c r="U399" s="298" t="n"/>
    </row>
    <row r="400" ht="15.75" customHeight="1" s="2">
      <c r="E400" s="300" t="n">
        <v>1</v>
      </c>
      <c r="G400" s="296" t="n">
        <v>44</v>
      </c>
      <c r="H400" s="297" t="n">
        <v>44</v>
      </c>
      <c r="I400" s="133">
        <f>G400-H400</f>
        <v/>
      </c>
      <c r="J400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0" s="298" t="inlineStr">
        <is>
          <t>ПЗ</t>
        </is>
      </c>
      <c r="L400" s="298" t="inlineStr">
        <is>
          <t>Т11О-201М-20</t>
        </is>
      </c>
      <c r="M400" s="297" t="n">
        <v>44</v>
      </c>
      <c r="N400" s="298" t="inlineStr">
        <is>
          <t>12597</t>
        </is>
      </c>
      <c r="O400" s="297" t="n">
        <v>44</v>
      </c>
      <c r="P400" s="298" t="inlineStr">
        <is>
          <t xml:space="preserve">93584     </t>
        </is>
      </c>
      <c r="Q400" s="298" t="inlineStr">
        <is>
          <t xml:space="preserve">Комаров Роман Сергеевич </t>
        </is>
      </c>
      <c r="R400" s="298" t="n"/>
      <c r="S400" s="298" t="inlineStr">
        <is>
          <t>Нет</t>
        </is>
      </c>
      <c r="T400" s="298" t="inlineStr">
        <is>
          <t>Орш. А-525</t>
        </is>
      </c>
      <c r="U400" s="298" t="inlineStr">
        <is>
          <t>ПЗ - 521,522,525А (осенний и весенний семестр) - с 18:15 (по будням), в субботу (с 9:00)</t>
        </is>
      </c>
    </row>
    <row r="401" ht="15.75" customHeight="1" s="2">
      <c r="E401" s="300" t="n">
        <v>4</v>
      </c>
      <c r="G401" s="296" t="n">
        <v>44</v>
      </c>
      <c r="H401" s="297" t="n">
        <v>44</v>
      </c>
      <c r="I401" s="133">
        <f>G401-H401</f>
        <v/>
      </c>
      <c r="J401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1" s="298" t="inlineStr">
        <is>
          <t>ПЗ</t>
        </is>
      </c>
      <c r="L401" s="298" t="inlineStr">
        <is>
          <t>Т11О-202М-20</t>
        </is>
      </c>
      <c r="M401" s="297" t="n">
        <v>44</v>
      </c>
      <c r="N401" s="298" t="inlineStr">
        <is>
          <t>12597</t>
        </is>
      </c>
      <c r="O401" s="297" t="n">
        <v>44</v>
      </c>
      <c r="P401" s="298" t="inlineStr">
        <is>
          <t xml:space="preserve">93584     </t>
        </is>
      </c>
      <c r="Q401" s="298" t="inlineStr">
        <is>
          <t xml:space="preserve">Комаров Роман Сергеевич </t>
        </is>
      </c>
      <c r="R401" s="298" t="n"/>
      <c r="S401" s="298" t="inlineStr">
        <is>
          <t>Нет</t>
        </is>
      </c>
      <c r="T401" s="298" t="inlineStr">
        <is>
          <t>Орш. А-525</t>
        </is>
      </c>
      <c r="U401" s="298" t="inlineStr">
        <is>
          <t>ПЗ - 521,522,525А (осенний и весенний семестр) - с 18:15 (по будням), в субботу (с 9:00)</t>
        </is>
      </c>
    </row>
    <row r="402" ht="15.75" customHeight="1" s="2">
      <c r="E402" s="300" t="n">
        <v>1</v>
      </c>
      <c r="G402" s="296" t="n">
        <v>44</v>
      </c>
      <c r="H402" s="297" t="n">
        <v>44</v>
      </c>
      <c r="I402" s="133">
        <f>G402-H402</f>
        <v/>
      </c>
      <c r="J402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2" s="298" t="inlineStr">
        <is>
          <t>ПЗ</t>
        </is>
      </c>
      <c r="L402" s="298" t="inlineStr">
        <is>
          <t>Т11О-203М-20</t>
        </is>
      </c>
      <c r="M402" s="297" t="n">
        <v>44</v>
      </c>
      <c r="N402" s="298" t="inlineStr">
        <is>
          <t>12597</t>
        </is>
      </c>
      <c r="O402" s="297" t="n">
        <v>44</v>
      </c>
      <c r="P402" s="298" t="inlineStr">
        <is>
          <t xml:space="preserve">81730     </t>
        </is>
      </c>
      <c r="Q402" s="298" t="inlineStr">
        <is>
          <t>Федоров Анатолий Александрович</t>
        </is>
      </c>
      <c r="R402" s="298" t="n"/>
      <c r="S402" s="298" t="inlineStr">
        <is>
          <t>Да</t>
        </is>
      </c>
      <c r="T402" s="298" t="n"/>
      <c r="U402" s="298" t="n"/>
    </row>
    <row r="403" ht="15.75" customHeight="1" s="2">
      <c r="E403" s="302" t="n">
        <v>30</v>
      </c>
      <c r="G403" s="296" t="n">
        <v>44</v>
      </c>
      <c r="H403" s="297" t="n">
        <v>44</v>
      </c>
      <c r="I403" s="133">
        <f>G403-H403</f>
        <v/>
      </c>
      <c r="J403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3" s="298" t="inlineStr">
        <is>
          <t>ПЗ</t>
        </is>
      </c>
      <c r="L403" s="298" t="inlineStr">
        <is>
          <t>Т11О-204М-20</t>
        </is>
      </c>
      <c r="M403" s="297" t="n">
        <v>44</v>
      </c>
      <c r="N403" s="298" t="inlineStr">
        <is>
          <t>12597</t>
        </is>
      </c>
      <c r="O403" s="297" t="n">
        <v>44</v>
      </c>
      <c r="P403" s="298" t="inlineStr">
        <is>
          <t xml:space="preserve">81730     </t>
        </is>
      </c>
      <c r="Q403" s="298" t="inlineStr">
        <is>
          <t>Федоров Анатолий Александрович</t>
        </is>
      </c>
      <c r="R403" s="298" t="n"/>
      <c r="S403" s="298" t="inlineStr">
        <is>
          <t>Да</t>
        </is>
      </c>
      <c r="T403" s="298" t="n"/>
      <c r="U403" s="298" t="n"/>
    </row>
    <row r="404" ht="15.75" customHeight="1" s="2">
      <c r="E404" s="302" t="n">
        <v>3</v>
      </c>
      <c r="G404" s="296" t="n">
        <v>44</v>
      </c>
      <c r="H404" s="297" t="n">
        <v>44</v>
      </c>
      <c r="I404" s="133">
        <f>G404-H404</f>
        <v/>
      </c>
      <c r="J404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4" s="298" t="inlineStr">
        <is>
          <t>ПЗ</t>
        </is>
      </c>
      <c r="L404" s="298" t="inlineStr">
        <is>
          <t>М9О-204М-20</t>
        </is>
      </c>
      <c r="M404" s="297" t="n">
        <v>44</v>
      </c>
      <c r="N404" s="298" t="inlineStr">
        <is>
          <t>12597</t>
        </is>
      </c>
      <c r="O404" s="297" t="n">
        <v>44</v>
      </c>
      <c r="P404" s="298" t="inlineStr">
        <is>
          <t xml:space="preserve">81730     </t>
        </is>
      </c>
      <c r="Q404" s="298" t="inlineStr">
        <is>
          <t>Федоров Анатолий Александрович</t>
        </is>
      </c>
      <c r="R404" s="298" t="n"/>
      <c r="S404" s="298" t="inlineStr">
        <is>
          <t>Да</t>
        </is>
      </c>
      <c r="T404" s="298" t="n"/>
      <c r="U404" s="298" t="n"/>
    </row>
    <row r="405" ht="15.75" customHeight="1" s="2">
      <c r="E405" s="302" t="n">
        <v>1</v>
      </c>
      <c r="G405" s="296" t="n">
        <v>2.25</v>
      </c>
      <c r="H405" s="297" t="n">
        <v>2.25</v>
      </c>
      <c r="I405" s="133">
        <f>G405-H405</f>
        <v/>
      </c>
      <c r="J405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5" s="298" t="inlineStr">
        <is>
          <t>Экзамен</t>
        </is>
      </c>
      <c r="L405" s="298" t="inlineStr">
        <is>
          <t>Т11О-201М-20</t>
        </is>
      </c>
      <c r="M405" s="297" t="n">
        <v>2.25</v>
      </c>
      <c r="N405" s="298" t="inlineStr">
        <is>
          <t>12597</t>
        </is>
      </c>
      <c r="O405" s="299" t="n"/>
      <c r="P405" s="298" t="inlineStr">
        <is>
          <t xml:space="preserve">81730     </t>
        </is>
      </c>
      <c r="Q405" s="298" t="inlineStr">
        <is>
          <t>Федоров Анатолий Александрович</t>
        </is>
      </c>
      <c r="R405" s="298" t="n"/>
      <c r="S405" s="298" t="inlineStr">
        <is>
          <t>Да</t>
        </is>
      </c>
      <c r="T405" s="298" t="n"/>
      <c r="U405" s="298" t="n"/>
    </row>
    <row r="406" ht="15.75" customHeight="1" s="2">
      <c r="E406" s="302" t="n">
        <v>18</v>
      </c>
      <c r="G406" s="296" t="n">
        <v>0.75</v>
      </c>
      <c r="H406" s="297" t="n">
        <v>0.75</v>
      </c>
      <c r="I406" s="133">
        <f>G406-H406</f>
        <v/>
      </c>
      <c r="J406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6" s="298" t="inlineStr">
        <is>
          <t>Экзамен</t>
        </is>
      </c>
      <c r="L406" s="298" t="inlineStr">
        <is>
          <t>Т11О-201М-20</t>
        </is>
      </c>
      <c r="M406" s="297" t="n">
        <v>0.75</v>
      </c>
      <c r="N406" s="298" t="inlineStr">
        <is>
          <t>12597</t>
        </is>
      </c>
      <c r="O406" s="299" t="n"/>
      <c r="P406" s="298" t="inlineStr">
        <is>
          <t xml:space="preserve">93685     </t>
        </is>
      </c>
      <c r="Q406" s="298" t="inlineStr">
        <is>
          <t xml:space="preserve">Банишев Александр Федорович </t>
        </is>
      </c>
      <c r="R406" s="298" t="inlineStr">
        <is>
          <t>профессор</t>
        </is>
      </c>
      <c r="S406" s="298" t="inlineStr">
        <is>
          <t>Да</t>
        </is>
      </c>
      <c r="T406" s="298" t="n"/>
      <c r="U406" s="298" t="n"/>
    </row>
    <row r="407" ht="15.75" customHeight="1" s="2">
      <c r="E407" s="302" t="n">
        <v>12</v>
      </c>
      <c r="G407" s="296" t="n">
        <v>3</v>
      </c>
      <c r="H407" s="297" t="n">
        <v>3</v>
      </c>
      <c r="I407" s="133">
        <f>G407-H407</f>
        <v/>
      </c>
      <c r="J407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7" s="298" t="inlineStr">
        <is>
          <t>Экзамен</t>
        </is>
      </c>
      <c r="L407" s="298" t="inlineStr">
        <is>
          <t>Т11О-202М-20</t>
        </is>
      </c>
      <c r="M407" s="297" t="n">
        <v>3</v>
      </c>
      <c r="N407" s="298" t="inlineStr">
        <is>
          <t>12597</t>
        </is>
      </c>
      <c r="O407" s="299" t="n"/>
      <c r="P407" s="298" t="inlineStr">
        <is>
          <t xml:space="preserve">81730     </t>
        </is>
      </c>
      <c r="Q407" s="298" t="inlineStr">
        <is>
          <t>Федоров Анатолий Александрович</t>
        </is>
      </c>
      <c r="R407" s="298" t="n"/>
      <c r="S407" s="298" t="inlineStr">
        <is>
          <t>Да</t>
        </is>
      </c>
      <c r="T407" s="298" t="n"/>
      <c r="U407" s="298" t="n"/>
    </row>
    <row r="408" ht="15.75" customHeight="1" s="2">
      <c r="E408" s="302" t="n">
        <v>2</v>
      </c>
      <c r="G408" s="296" t="n">
        <v>3</v>
      </c>
      <c r="H408" s="297" t="n">
        <v>3</v>
      </c>
      <c r="I408" s="133">
        <f>G408-H408</f>
        <v/>
      </c>
      <c r="J408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8" s="298" t="inlineStr">
        <is>
          <t>Экзамен</t>
        </is>
      </c>
      <c r="L408" s="298" t="inlineStr">
        <is>
          <t>Т11О-203М-20</t>
        </is>
      </c>
      <c r="M408" s="297" t="n">
        <v>3</v>
      </c>
      <c r="N408" s="298" t="inlineStr">
        <is>
          <t>12597</t>
        </is>
      </c>
      <c r="O408" s="299" t="n"/>
      <c r="P408" s="298" t="inlineStr">
        <is>
          <t xml:space="preserve">81730     </t>
        </is>
      </c>
      <c r="Q408" s="298" t="inlineStr">
        <is>
          <t>Федоров Анатолий Александрович</t>
        </is>
      </c>
      <c r="R408" s="298" t="n"/>
      <c r="S408" s="298" t="inlineStr">
        <is>
          <t>Да</t>
        </is>
      </c>
      <c r="T408" s="298" t="n"/>
      <c r="U408" s="298" t="n"/>
    </row>
    <row r="409" ht="15.75" customHeight="1" s="2">
      <c r="E409" s="300" t="n">
        <v>10</v>
      </c>
      <c r="G409" s="296" t="n">
        <v>3</v>
      </c>
      <c r="H409" s="297" t="n">
        <v>3</v>
      </c>
      <c r="I409" s="133">
        <f>G409-H409</f>
        <v/>
      </c>
      <c r="J409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09" s="298" t="inlineStr">
        <is>
          <t>Экзамен</t>
        </is>
      </c>
      <c r="L409" s="298" t="inlineStr">
        <is>
          <t>Т11О-204М-20</t>
        </is>
      </c>
      <c r="M409" s="297" t="n">
        <v>3</v>
      </c>
      <c r="N409" s="298" t="inlineStr">
        <is>
          <t>12597</t>
        </is>
      </c>
      <c r="O409" s="299" t="n"/>
      <c r="P409" s="298" t="inlineStr">
        <is>
          <t xml:space="preserve">81730     </t>
        </is>
      </c>
      <c r="Q409" s="298" t="inlineStr">
        <is>
          <t>Федоров Анатолий Александрович</t>
        </is>
      </c>
      <c r="R409" s="298" t="n"/>
      <c r="S409" s="298" t="inlineStr">
        <is>
          <t>Да</t>
        </is>
      </c>
      <c r="T409" s="298" t="n"/>
      <c r="U409" s="298" t="n"/>
    </row>
    <row r="410" ht="15.75" customHeight="1" s="2">
      <c r="E410" s="300" t="n">
        <v>44</v>
      </c>
      <c r="G410" s="296" t="n">
        <v>3</v>
      </c>
      <c r="H410" s="297" t="n">
        <v>3</v>
      </c>
      <c r="I410" s="133">
        <f>G410-H410</f>
        <v/>
      </c>
      <c r="J410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0" s="298" t="inlineStr">
        <is>
          <t>Экзамен</t>
        </is>
      </c>
      <c r="L410" s="298" t="inlineStr">
        <is>
          <t>М9О-204М-20</t>
        </is>
      </c>
      <c r="M410" s="297" t="n">
        <v>3</v>
      </c>
      <c r="N410" s="298" t="inlineStr">
        <is>
          <t>12597</t>
        </is>
      </c>
      <c r="O410" s="299" t="n"/>
      <c r="P410" s="298" t="inlineStr">
        <is>
          <t xml:space="preserve">81730     </t>
        </is>
      </c>
      <c r="Q410" s="298" t="inlineStr">
        <is>
          <t>Федоров Анатолий Александрович</t>
        </is>
      </c>
      <c r="R410" s="298" t="n"/>
      <c r="S410" s="298" t="inlineStr">
        <is>
          <t>Да</t>
        </is>
      </c>
      <c r="T410" s="298" t="n"/>
      <c r="U410" s="298" t="n"/>
    </row>
    <row r="411" ht="15.75" customHeight="1" s="2">
      <c r="E411" s="307" t="n">
        <v>44</v>
      </c>
      <c r="G411" s="296" t="n">
        <v>3</v>
      </c>
      <c r="H411" s="297" t="n">
        <v>3</v>
      </c>
      <c r="I411" s="133">
        <f>G411-H411</f>
        <v/>
      </c>
      <c r="J411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1" s="298" t="inlineStr">
        <is>
          <t>Консультация</t>
        </is>
      </c>
      <c r="L411" s="298" t="inlineStr">
        <is>
          <t>Т11О-201М-20</t>
        </is>
      </c>
      <c r="M411" s="297" t="n">
        <v>3</v>
      </c>
      <c r="N411" s="298" t="inlineStr">
        <is>
          <t>12597</t>
        </is>
      </c>
      <c r="O411" s="299" t="n"/>
      <c r="P411" s="298" t="inlineStr">
        <is>
          <t xml:space="preserve">93584     </t>
        </is>
      </c>
      <c r="Q411" s="298" t="inlineStr">
        <is>
          <t xml:space="preserve">Комаров Роман Сергеевич </t>
        </is>
      </c>
      <c r="R411" s="298" t="n"/>
      <c r="S411" s="298" t="inlineStr">
        <is>
          <t>Нет</t>
        </is>
      </c>
      <c r="T411" s="298" t="n"/>
      <c r="U411" s="298" t="n"/>
    </row>
    <row r="412" ht="15.75" customHeight="1" s="2">
      <c r="E412" s="300" t="n">
        <v>44</v>
      </c>
      <c r="G412" s="296" t="n">
        <v>3</v>
      </c>
      <c r="H412" s="297" t="n">
        <v>3</v>
      </c>
      <c r="I412" s="133">
        <f>G412-H412</f>
        <v/>
      </c>
      <c r="J412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2" s="298" t="inlineStr">
        <is>
          <t>Консультация</t>
        </is>
      </c>
      <c r="L412" s="298" t="inlineStr">
        <is>
          <t>Т11О-202М-20</t>
        </is>
      </c>
      <c r="M412" s="297" t="n">
        <v>3</v>
      </c>
      <c r="N412" s="298" t="inlineStr">
        <is>
          <t>12597</t>
        </is>
      </c>
      <c r="O412" s="299" t="n"/>
      <c r="P412" s="298" t="inlineStr">
        <is>
          <t xml:space="preserve">93584     </t>
        </is>
      </c>
      <c r="Q412" s="298" t="inlineStr">
        <is>
          <t xml:space="preserve">Комаров Роман Сергеевич </t>
        </is>
      </c>
      <c r="R412" s="298" t="n"/>
      <c r="S412" s="298" t="inlineStr">
        <is>
          <t>Нет</t>
        </is>
      </c>
      <c r="T412" s="298" t="n"/>
      <c r="U412" s="298" t="n"/>
    </row>
    <row r="413" ht="15.75" customHeight="1" s="2">
      <c r="E413" s="300" t="n">
        <v>44</v>
      </c>
      <c r="G413" s="296" t="n">
        <v>3</v>
      </c>
      <c r="H413" s="297" t="n">
        <v>3</v>
      </c>
      <c r="I413" s="133">
        <f>G413-H413</f>
        <v/>
      </c>
      <c r="J413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3" s="298" t="inlineStr">
        <is>
          <t>Консультация</t>
        </is>
      </c>
      <c r="L413" s="298" t="inlineStr">
        <is>
          <t>Т11О-203М-20</t>
        </is>
      </c>
      <c r="M413" s="297" t="n">
        <v>3</v>
      </c>
      <c r="N413" s="298" t="inlineStr">
        <is>
          <t>12597</t>
        </is>
      </c>
      <c r="O413" s="299" t="n"/>
      <c r="P413" s="298" t="inlineStr">
        <is>
          <t xml:space="preserve">93584     </t>
        </is>
      </c>
      <c r="Q413" s="298" t="inlineStr">
        <is>
          <t xml:space="preserve">Комаров Роман Сергеевич </t>
        </is>
      </c>
      <c r="R413" s="298" t="n"/>
      <c r="S413" s="298" t="inlineStr">
        <is>
          <t>Нет</t>
        </is>
      </c>
      <c r="T413" s="298" t="n"/>
      <c r="U413" s="298" t="n"/>
    </row>
    <row r="414" ht="15.75" customHeight="1" s="2">
      <c r="E414" s="300" t="n">
        <v>44</v>
      </c>
      <c r="G414" s="296" t="n">
        <v>3</v>
      </c>
      <c r="H414" s="297" t="n">
        <v>3</v>
      </c>
      <c r="I414" s="133">
        <f>G414-H414</f>
        <v/>
      </c>
      <c r="J414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4" s="298" t="inlineStr">
        <is>
          <t>Консультация</t>
        </is>
      </c>
      <c r="L414" s="298" t="inlineStr">
        <is>
          <t>Т11О-204М-20</t>
        </is>
      </c>
      <c r="M414" s="297" t="n">
        <v>3</v>
      </c>
      <c r="N414" s="298" t="inlineStr">
        <is>
          <t>12597</t>
        </is>
      </c>
      <c r="O414" s="299" t="n"/>
      <c r="P414" s="298" t="inlineStr">
        <is>
          <t xml:space="preserve">93584     </t>
        </is>
      </c>
      <c r="Q414" s="298" t="inlineStr">
        <is>
          <t xml:space="preserve">Комаров Роман Сергеевич </t>
        </is>
      </c>
      <c r="R414" s="298" t="n"/>
      <c r="S414" s="298" t="inlineStr">
        <is>
          <t>Нет</t>
        </is>
      </c>
      <c r="T414" s="298" t="n"/>
      <c r="U414" s="298" t="n"/>
    </row>
    <row r="415" ht="15.75" customHeight="1" s="2">
      <c r="E415" s="300" t="n">
        <v>3</v>
      </c>
      <c r="G415" s="296" t="n">
        <v>3</v>
      </c>
      <c r="H415" s="297" t="n">
        <v>3</v>
      </c>
      <c r="I415" s="133">
        <f>G415-H415</f>
        <v/>
      </c>
      <c r="J415" s="2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K415" s="298" t="inlineStr">
        <is>
          <t>Консультация</t>
        </is>
      </c>
      <c r="L415" s="298" t="inlineStr">
        <is>
          <t>М9О-204М-20</t>
        </is>
      </c>
      <c r="M415" s="297" t="n">
        <v>3</v>
      </c>
      <c r="N415" s="298" t="inlineStr">
        <is>
          <t>12597</t>
        </is>
      </c>
      <c r="O415" s="299" t="n"/>
      <c r="P415" s="298" t="inlineStr">
        <is>
          <t xml:space="preserve">93584     </t>
        </is>
      </c>
      <c r="Q415" s="298" t="inlineStr">
        <is>
          <t xml:space="preserve">Комаров Роман Сергеевич </t>
        </is>
      </c>
      <c r="R415" s="298" t="n"/>
      <c r="S415" s="298" t="inlineStr">
        <is>
          <t>Нет</t>
        </is>
      </c>
      <c r="T415" s="298" t="n"/>
      <c r="U415" s="298" t="n"/>
    </row>
    <row r="416" ht="15.75" customHeight="1" s="2">
      <c r="E416" s="300" t="n">
        <v>3</v>
      </c>
      <c r="G416" s="296" t="n">
        <v>8</v>
      </c>
      <c r="H416" s="297" t="n">
        <v>8</v>
      </c>
      <c r="I416" s="133">
        <f>G416-H416</f>
        <v/>
      </c>
      <c r="J416" s="298" t="inlineStr">
        <is>
          <t>Современное состояние, перспективы и тенденции развития металлургии</t>
        </is>
      </c>
      <c r="K416" s="298" t="inlineStr">
        <is>
          <t>ЛК</t>
        </is>
      </c>
      <c r="L416" s="298" t="inlineStr">
        <is>
          <t>М9О-204М-20, Т11О-201М-20, Т11О-202М-20, Т11О-203М-20, Т11О-204М-20</t>
        </is>
      </c>
      <c r="M416" s="297" t="n">
        <v>8</v>
      </c>
      <c r="N416" s="298" t="inlineStr">
        <is>
          <t>12597</t>
        </is>
      </c>
      <c r="O416" s="297" t="n">
        <v>8</v>
      </c>
      <c r="P416" s="298" t="inlineStr">
        <is>
          <t xml:space="preserve">81732     </t>
        </is>
      </c>
      <c r="Q416" s="298" t="inlineStr">
        <is>
          <t xml:space="preserve">Петров Анатолий Павлович </t>
        </is>
      </c>
      <c r="R416" s="298" t="inlineStr">
        <is>
          <t>профессор</t>
        </is>
      </c>
      <c r="S416" s="298" t="inlineStr">
        <is>
          <t>Да</t>
        </is>
      </c>
      <c r="T416" s="298" t="inlineStr">
        <is>
          <t>Орш. А-523</t>
        </is>
      </c>
      <c r="U416" s="298" t="inlineStr">
        <is>
          <t xml:space="preserve">кроме понедельника, желательно все занятия в один день </t>
        </is>
      </c>
    </row>
    <row r="417" ht="15.75" customHeight="1" s="2">
      <c r="E417" s="300" t="n">
        <v>3</v>
      </c>
      <c r="G417" s="296" t="n">
        <v>28</v>
      </c>
      <c r="H417" s="297" t="n">
        <v>28</v>
      </c>
      <c r="I417" s="133">
        <f>G417-H417</f>
        <v/>
      </c>
      <c r="J417" s="298" t="inlineStr">
        <is>
          <t>Современное состояние, перспективы и тенденции развития металлургии</t>
        </is>
      </c>
      <c r="K417" s="298" t="inlineStr">
        <is>
          <t>ПЗ</t>
        </is>
      </c>
      <c r="L417" s="298" t="inlineStr">
        <is>
          <t>Т11О-201М-20</t>
        </is>
      </c>
      <c r="M417" s="297" t="n">
        <v>28</v>
      </c>
      <c r="N417" s="298" t="inlineStr">
        <is>
          <t>12597</t>
        </is>
      </c>
      <c r="O417" s="297" t="n">
        <v>28</v>
      </c>
      <c r="P417" s="298" t="inlineStr">
        <is>
          <t xml:space="preserve">81732     </t>
        </is>
      </c>
      <c r="Q417" s="298" t="inlineStr">
        <is>
          <t xml:space="preserve">Петров Анатолий Павлович </t>
        </is>
      </c>
      <c r="R417" s="298" t="inlineStr">
        <is>
          <t>профессор</t>
        </is>
      </c>
      <c r="S417" s="298" t="inlineStr">
        <is>
          <t>Да</t>
        </is>
      </c>
      <c r="T417" s="298" t="inlineStr">
        <is>
          <t>Орш. А-523</t>
        </is>
      </c>
      <c r="U417" s="298" t="inlineStr">
        <is>
          <t xml:space="preserve">кроме понедельника, желательно все занятия в один день </t>
        </is>
      </c>
    </row>
    <row r="418" ht="15.75" customHeight="1" s="2">
      <c r="E418" s="300" t="n">
        <v>3</v>
      </c>
      <c r="G418" s="296" t="n">
        <v>28</v>
      </c>
      <c r="H418" s="297" t="n">
        <v>28</v>
      </c>
      <c r="I418" s="133">
        <f>G418-H418</f>
        <v/>
      </c>
      <c r="J418" s="298" t="inlineStr">
        <is>
          <t>Современное состояние, перспективы и тенденции развития металлургии</t>
        </is>
      </c>
      <c r="K418" s="298" t="inlineStr">
        <is>
          <t>ПЗ</t>
        </is>
      </c>
      <c r="L418" s="298" t="inlineStr">
        <is>
          <t>Т11О-202М-20</t>
        </is>
      </c>
      <c r="M418" s="297" t="n">
        <v>28</v>
      </c>
      <c r="N418" s="298" t="inlineStr">
        <is>
          <t>12597</t>
        </is>
      </c>
      <c r="O418" s="297" t="n">
        <v>28</v>
      </c>
      <c r="P418" s="298" t="inlineStr">
        <is>
          <t xml:space="preserve">81732     </t>
        </is>
      </c>
      <c r="Q418" s="298" t="inlineStr">
        <is>
          <t xml:space="preserve">Петров Анатолий Павлович </t>
        </is>
      </c>
      <c r="R418" s="298" t="inlineStr">
        <is>
          <t>профессор</t>
        </is>
      </c>
      <c r="S418" s="298" t="inlineStr">
        <is>
          <t>Да</t>
        </is>
      </c>
      <c r="T418" s="298" t="inlineStr">
        <is>
          <t>Орш. А-523</t>
        </is>
      </c>
      <c r="U418" s="298" t="inlineStr">
        <is>
          <t xml:space="preserve">кроме понедельника, желательно все занятия в один день </t>
        </is>
      </c>
    </row>
    <row r="419" ht="15.75" customHeight="1" s="2">
      <c r="E419" s="300" t="n">
        <v>3</v>
      </c>
      <c r="G419" s="296" t="n">
        <v>28</v>
      </c>
      <c r="H419" s="297" t="n">
        <v>28</v>
      </c>
      <c r="I419" s="133">
        <f>G419-H419</f>
        <v/>
      </c>
      <c r="J419" s="298" t="inlineStr">
        <is>
          <t>Современное состояние, перспективы и тенденции развития металлургии</t>
        </is>
      </c>
      <c r="K419" s="298" t="inlineStr">
        <is>
          <t>ПЗ</t>
        </is>
      </c>
      <c r="L419" s="298" t="inlineStr">
        <is>
          <t>Т11О-203М-20</t>
        </is>
      </c>
      <c r="M419" s="297" t="n">
        <v>28</v>
      </c>
      <c r="N419" s="298" t="inlineStr">
        <is>
          <t>12597</t>
        </is>
      </c>
      <c r="O419" s="297" t="n">
        <v>28</v>
      </c>
      <c r="P419" s="298" t="inlineStr">
        <is>
          <t xml:space="preserve">81732     </t>
        </is>
      </c>
      <c r="Q419" s="298" t="inlineStr">
        <is>
          <t xml:space="preserve">Петров Анатолий Павлович </t>
        </is>
      </c>
      <c r="R419" s="298" t="inlineStr">
        <is>
          <t>профессор</t>
        </is>
      </c>
      <c r="S419" s="298" t="inlineStr">
        <is>
          <t>Да</t>
        </is>
      </c>
      <c r="T419" s="298" t="inlineStr">
        <is>
          <t>Орш. А-523</t>
        </is>
      </c>
      <c r="U419" s="298" t="inlineStr">
        <is>
          <t xml:space="preserve">кроме понедельника, желательно все занятия в один день </t>
        </is>
      </c>
    </row>
    <row r="420" ht="15.75" customHeight="1" s="2">
      <c r="E420" s="300" t="n">
        <v>3</v>
      </c>
      <c r="G420" s="296" t="n">
        <v>28</v>
      </c>
      <c r="H420" s="297" t="n">
        <v>28</v>
      </c>
      <c r="I420" s="133">
        <f>G420-H420</f>
        <v/>
      </c>
      <c r="J420" s="298" t="inlineStr">
        <is>
          <t>Современное состояние, перспективы и тенденции развития металлургии</t>
        </is>
      </c>
      <c r="K420" s="298" t="inlineStr">
        <is>
          <t>ПЗ</t>
        </is>
      </c>
      <c r="L420" s="298" t="inlineStr">
        <is>
          <t>Т11О-204М-20</t>
        </is>
      </c>
      <c r="M420" s="297" t="n">
        <v>28</v>
      </c>
      <c r="N420" s="298" t="inlineStr">
        <is>
          <t>12597</t>
        </is>
      </c>
      <c r="O420" s="297" t="n">
        <v>28</v>
      </c>
      <c r="P420" s="298" t="inlineStr">
        <is>
          <t xml:space="preserve">81732     </t>
        </is>
      </c>
      <c r="Q420" s="298" t="inlineStr">
        <is>
          <t xml:space="preserve">Петров Анатолий Павлович </t>
        </is>
      </c>
      <c r="R420" s="298" t="inlineStr">
        <is>
          <t>профессор</t>
        </is>
      </c>
      <c r="S420" s="298" t="inlineStr">
        <is>
          <t>Да</t>
        </is>
      </c>
      <c r="T420" s="298" t="inlineStr">
        <is>
          <t>Орш. А-523</t>
        </is>
      </c>
      <c r="U420" s="298" t="inlineStr">
        <is>
          <t xml:space="preserve">кроме понедельника, желательно все занятия в один день </t>
        </is>
      </c>
    </row>
    <row r="421" ht="15.75" customHeight="1" s="2">
      <c r="E421" s="300" t="n">
        <v>3</v>
      </c>
      <c r="G421" s="296" t="n">
        <v>28</v>
      </c>
      <c r="H421" s="297" t="n">
        <v>28</v>
      </c>
      <c r="I421" s="133">
        <f>G421-H421</f>
        <v/>
      </c>
      <c r="J421" s="298" t="inlineStr">
        <is>
          <t>Современное состояние, перспективы и тенденции развития металлургии</t>
        </is>
      </c>
      <c r="K421" s="298" t="inlineStr">
        <is>
          <t>ПЗ</t>
        </is>
      </c>
      <c r="L421" s="298" t="inlineStr">
        <is>
          <t>М9О-204М-20</t>
        </is>
      </c>
      <c r="M421" s="297" t="n">
        <v>28</v>
      </c>
      <c r="N421" s="298" t="inlineStr">
        <is>
          <t>12597</t>
        </is>
      </c>
      <c r="O421" s="297" t="n">
        <v>28</v>
      </c>
      <c r="P421" s="298" t="inlineStr">
        <is>
          <t xml:space="preserve">81732     </t>
        </is>
      </c>
      <c r="Q421" s="298" t="inlineStr">
        <is>
          <t xml:space="preserve">Петров Анатолий Павлович </t>
        </is>
      </c>
      <c r="R421" s="298" t="inlineStr">
        <is>
          <t>профессор</t>
        </is>
      </c>
      <c r="S421" s="298" t="inlineStr">
        <is>
          <t>Да</t>
        </is>
      </c>
      <c r="T421" s="298" t="inlineStr">
        <is>
          <t>Орш. А-523</t>
        </is>
      </c>
      <c r="U421" s="298" t="inlineStr">
        <is>
          <t xml:space="preserve">кроме понедельника, желательно все занятия в один день </t>
        </is>
      </c>
    </row>
    <row r="422" ht="15.75" customHeight="1" s="2">
      <c r="E422" s="300" t="n">
        <v>3</v>
      </c>
      <c r="G422" s="296" t="n">
        <v>2</v>
      </c>
      <c r="H422" s="297" t="n">
        <v>2</v>
      </c>
      <c r="I422" s="133">
        <f>G422-H422</f>
        <v/>
      </c>
      <c r="J422" s="298" t="inlineStr">
        <is>
          <t>Современное состояние, перспективы и тенденции развития металлургии</t>
        </is>
      </c>
      <c r="K422" s="298" t="inlineStr">
        <is>
          <t>Зачет</t>
        </is>
      </c>
      <c r="L422" s="298" t="inlineStr">
        <is>
          <t>Т11О-201М-20</t>
        </is>
      </c>
      <c r="M422" s="297" t="n">
        <v>2</v>
      </c>
      <c r="N422" s="298" t="inlineStr">
        <is>
          <t>12597</t>
        </is>
      </c>
      <c r="O422" s="299" t="n"/>
      <c r="P422" s="298" t="inlineStr">
        <is>
          <t xml:space="preserve">81732     </t>
        </is>
      </c>
      <c r="Q422" s="298" t="inlineStr">
        <is>
          <t xml:space="preserve">Петров Анатолий Павлович </t>
        </is>
      </c>
      <c r="R422" s="298" t="inlineStr">
        <is>
          <t>профессор</t>
        </is>
      </c>
      <c r="S422" s="298" t="inlineStr">
        <is>
          <t>Да</t>
        </is>
      </c>
      <c r="T422" s="298" t="inlineStr">
        <is>
          <t>Орш. А-523</t>
        </is>
      </c>
      <c r="U422" s="298" t="inlineStr">
        <is>
          <t xml:space="preserve">кроме понедельника, желательно все занятия в один день </t>
        </is>
      </c>
    </row>
    <row r="423" ht="15.75" customHeight="1" s="2">
      <c r="E423" s="300" t="n">
        <v>3</v>
      </c>
      <c r="G423" s="296" t="n">
        <v>2</v>
      </c>
      <c r="H423" s="297" t="n">
        <v>2</v>
      </c>
      <c r="I423" s="133">
        <f>G423-H423</f>
        <v/>
      </c>
      <c r="J423" s="298" t="inlineStr">
        <is>
          <t>Современное состояние, перспективы и тенденции развития металлургии</t>
        </is>
      </c>
      <c r="K423" s="298" t="inlineStr">
        <is>
          <t>Зачет</t>
        </is>
      </c>
      <c r="L423" s="298" t="inlineStr">
        <is>
          <t>Т11О-202М-20</t>
        </is>
      </c>
      <c r="M423" s="297" t="n">
        <v>2</v>
      </c>
      <c r="N423" s="298" t="inlineStr">
        <is>
          <t>12597</t>
        </is>
      </c>
      <c r="O423" s="299" t="n"/>
      <c r="P423" s="298" t="inlineStr">
        <is>
          <t xml:space="preserve">81732     </t>
        </is>
      </c>
      <c r="Q423" s="298" t="inlineStr">
        <is>
          <t xml:space="preserve">Петров Анатолий Павлович </t>
        </is>
      </c>
      <c r="R423" s="298" t="inlineStr">
        <is>
          <t>профессор</t>
        </is>
      </c>
      <c r="S423" s="298" t="inlineStr">
        <is>
          <t>Да</t>
        </is>
      </c>
      <c r="T423" s="298" t="inlineStr">
        <is>
          <t>Орш. А-523</t>
        </is>
      </c>
      <c r="U423" s="298" t="inlineStr">
        <is>
          <t xml:space="preserve">кроме понедельника, желательно все занятия в один день </t>
        </is>
      </c>
    </row>
    <row r="424" ht="15.75" customHeight="1" s="2">
      <c r="E424" s="300" t="n">
        <v>3</v>
      </c>
      <c r="G424" s="296" t="n">
        <v>2</v>
      </c>
      <c r="H424" s="297" t="n">
        <v>2</v>
      </c>
      <c r="I424" s="133">
        <f>G424-H424</f>
        <v/>
      </c>
      <c r="J424" s="298" t="inlineStr">
        <is>
          <t>Современное состояние, перспективы и тенденции развития металлургии</t>
        </is>
      </c>
      <c r="K424" s="298" t="inlineStr">
        <is>
          <t>Зачет</t>
        </is>
      </c>
      <c r="L424" s="298" t="inlineStr">
        <is>
          <t>Т11О-203М-20</t>
        </is>
      </c>
      <c r="M424" s="297" t="n">
        <v>2</v>
      </c>
      <c r="N424" s="298" t="inlineStr">
        <is>
          <t>12597</t>
        </is>
      </c>
      <c r="O424" s="299" t="n"/>
      <c r="P424" s="298" t="inlineStr">
        <is>
          <t xml:space="preserve">81732     </t>
        </is>
      </c>
      <c r="Q424" s="298" t="inlineStr">
        <is>
          <t xml:space="preserve">Петров Анатолий Павлович </t>
        </is>
      </c>
      <c r="R424" s="298" t="inlineStr">
        <is>
          <t>профессор</t>
        </is>
      </c>
      <c r="S424" s="298" t="inlineStr">
        <is>
          <t>Да</t>
        </is>
      </c>
      <c r="T424" s="298" t="inlineStr">
        <is>
          <t>Орш. А-523</t>
        </is>
      </c>
      <c r="U424" s="298" t="inlineStr">
        <is>
          <t xml:space="preserve">кроме понедельника, желательно все занятия в один день </t>
        </is>
      </c>
    </row>
    <row r="425" ht="15.75" customHeight="1" s="2">
      <c r="E425" s="300" t="n">
        <v>8</v>
      </c>
      <c r="G425" s="296" t="n">
        <v>2</v>
      </c>
      <c r="H425" s="297" t="n">
        <v>2</v>
      </c>
      <c r="I425" s="133">
        <f>G425-H425</f>
        <v/>
      </c>
      <c r="J425" s="298" t="inlineStr">
        <is>
          <t>Современное состояние, перспективы и тенденции развития металлургии</t>
        </is>
      </c>
      <c r="K425" s="298" t="inlineStr">
        <is>
          <t>Зачет</t>
        </is>
      </c>
      <c r="L425" s="298" t="inlineStr">
        <is>
          <t>Т11О-204М-20</t>
        </is>
      </c>
      <c r="M425" s="297" t="n">
        <v>2</v>
      </c>
      <c r="N425" s="298" t="inlineStr">
        <is>
          <t>12597</t>
        </is>
      </c>
      <c r="O425" s="299" t="n"/>
      <c r="P425" s="298" t="inlineStr">
        <is>
          <t xml:space="preserve">81732     </t>
        </is>
      </c>
      <c r="Q425" s="298" t="inlineStr">
        <is>
          <t xml:space="preserve">Петров Анатолий Павлович </t>
        </is>
      </c>
      <c r="R425" s="298" t="inlineStr">
        <is>
          <t>профессор</t>
        </is>
      </c>
      <c r="S425" s="298" t="inlineStr">
        <is>
          <t>Да</t>
        </is>
      </c>
      <c r="T425" s="298" t="inlineStr">
        <is>
          <t>Орш. А-523</t>
        </is>
      </c>
      <c r="U425" s="298" t="inlineStr">
        <is>
          <t xml:space="preserve">кроме понедельника, желательно все занятия в один день </t>
        </is>
      </c>
    </row>
    <row r="426" ht="15.75" customHeight="1" s="2">
      <c r="E426" s="300" t="n">
        <v>28</v>
      </c>
      <c r="G426" s="296" t="n">
        <v>2</v>
      </c>
      <c r="H426" s="297" t="n">
        <v>2</v>
      </c>
      <c r="I426" s="133">
        <f>G426-H426</f>
        <v/>
      </c>
      <c r="J426" s="298" t="inlineStr">
        <is>
          <t>Современное состояние, перспективы и тенденции развития металлургии</t>
        </is>
      </c>
      <c r="K426" s="298" t="inlineStr">
        <is>
          <t>Зачет</t>
        </is>
      </c>
      <c r="L426" s="298" t="inlineStr">
        <is>
          <t>М9О-204М-20</t>
        </is>
      </c>
      <c r="M426" s="297" t="n">
        <v>2</v>
      </c>
      <c r="N426" s="298" t="inlineStr">
        <is>
          <t>12597</t>
        </is>
      </c>
      <c r="O426" s="299" t="n"/>
      <c r="P426" s="298" t="inlineStr">
        <is>
          <t xml:space="preserve">81732     </t>
        </is>
      </c>
      <c r="Q426" s="298" t="inlineStr">
        <is>
          <t xml:space="preserve">Петров Анатолий Павлович </t>
        </is>
      </c>
      <c r="R426" s="298" t="inlineStr">
        <is>
          <t>профессор</t>
        </is>
      </c>
      <c r="S426" s="298" t="inlineStr">
        <is>
          <t>Да</t>
        </is>
      </c>
      <c r="T426" s="298" t="inlineStr">
        <is>
          <t>Орш. А-523</t>
        </is>
      </c>
      <c r="U426" s="298" t="inlineStr">
        <is>
          <t xml:space="preserve">кроме понедельника, желательно все занятия в один день </t>
        </is>
      </c>
    </row>
    <row r="427" ht="15.75" customHeight="1" s="2">
      <c r="E427" s="300" t="n">
        <v>28</v>
      </c>
      <c r="G427" s="296" t="n">
        <v>12</v>
      </c>
      <c r="H427" s="297" t="n">
        <v>12</v>
      </c>
      <c r="I427" s="133">
        <f>G427-H427</f>
        <v/>
      </c>
      <c r="J427" s="298" t="inlineStr">
        <is>
          <t>Основы вакуумной металлургии</t>
        </is>
      </c>
      <c r="K427" s="298" t="inlineStr">
        <is>
          <t>ЛК</t>
        </is>
      </c>
      <c r="L427" s="298" t="inlineStr">
        <is>
          <t>Т11О-201М-20, Т11О-202М-20, Т11О-203М-20, Т11О-204М-20</t>
        </is>
      </c>
      <c r="M427" s="297" t="n">
        <v>12</v>
      </c>
      <c r="N427" s="298" t="inlineStr">
        <is>
          <t>07987</t>
        </is>
      </c>
      <c r="O427" s="297" t="n">
        <v>12</v>
      </c>
      <c r="P427" s="298" t="inlineStr">
        <is>
          <t xml:space="preserve">82026     </t>
        </is>
      </c>
      <c r="Q427" s="298" t="inlineStr">
        <is>
          <t xml:space="preserve">Александрова Светлана Сергеевна </t>
        </is>
      </c>
      <c r="R427" s="298" t="n"/>
      <c r="S427" s="298" t="inlineStr">
        <is>
          <t>Нет</t>
        </is>
      </c>
      <c r="T427" s="298" t="inlineStr">
        <is>
          <t>Орш. А-509</t>
        </is>
      </c>
      <c r="U427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428" ht="15.75" customHeight="1" s="2">
      <c r="E428" s="300" t="n">
        <v>28</v>
      </c>
      <c r="G428" s="296" t="n">
        <v>24</v>
      </c>
      <c r="H428" s="297" t="n">
        <v>24</v>
      </c>
      <c r="I428" s="133">
        <f>G428-H428</f>
        <v/>
      </c>
      <c r="J428" s="298" t="inlineStr">
        <is>
          <t>Основы вакуумной металлургии</t>
        </is>
      </c>
      <c r="K428" s="298" t="inlineStr">
        <is>
          <t>ПЗ</t>
        </is>
      </c>
      <c r="L428" s="298" t="inlineStr">
        <is>
          <t>Т11О-201М-20</t>
        </is>
      </c>
      <c r="M428" s="297" t="n">
        <v>24</v>
      </c>
      <c r="N428" s="298" t="inlineStr">
        <is>
          <t>07987</t>
        </is>
      </c>
      <c r="O428" s="297" t="n">
        <v>24</v>
      </c>
      <c r="P428" s="298" t="inlineStr">
        <is>
          <t xml:space="preserve">82026     </t>
        </is>
      </c>
      <c r="Q428" s="298" t="inlineStr">
        <is>
          <t xml:space="preserve">Александрова Светлана Сергеевна </t>
        </is>
      </c>
      <c r="R428" s="298" t="n"/>
      <c r="S428" s="298" t="inlineStr">
        <is>
          <t>Нет</t>
        </is>
      </c>
      <c r="T428" s="298" t="inlineStr">
        <is>
          <t>Орш. А-509</t>
        </is>
      </c>
      <c r="U428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429" ht="15.75" customHeight="1" s="2">
      <c r="E429" s="300" t="n">
        <v>28</v>
      </c>
      <c r="G429" s="296" t="n">
        <v>24</v>
      </c>
      <c r="H429" s="297" t="n">
        <v>24</v>
      </c>
      <c r="I429" s="133">
        <f>G429-H429</f>
        <v/>
      </c>
      <c r="J429" s="298" t="inlineStr">
        <is>
          <t>Основы вакуумной металлургии</t>
        </is>
      </c>
      <c r="K429" s="298" t="inlineStr">
        <is>
          <t>ПЗ</t>
        </is>
      </c>
      <c r="L429" s="298" t="inlineStr">
        <is>
          <t>Т11О-202М-20</t>
        </is>
      </c>
      <c r="M429" s="297" t="n">
        <v>24</v>
      </c>
      <c r="N429" s="298" t="inlineStr">
        <is>
          <t>07987</t>
        </is>
      </c>
      <c r="O429" s="297" t="n">
        <v>24</v>
      </c>
      <c r="P429" s="298" t="inlineStr">
        <is>
          <t xml:space="preserve">82026     </t>
        </is>
      </c>
      <c r="Q429" s="298" t="inlineStr">
        <is>
          <t xml:space="preserve">Александрова Светлана Сергеевна </t>
        </is>
      </c>
      <c r="R429" s="298" t="n"/>
      <c r="S429" s="298" t="inlineStr">
        <is>
          <t>Нет</t>
        </is>
      </c>
      <c r="T429" s="298" t="inlineStr">
        <is>
          <t>Орш. А-509</t>
        </is>
      </c>
      <c r="U429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430" ht="15.75" customHeight="1" s="2">
      <c r="E430" s="300" t="n">
        <v>28</v>
      </c>
      <c r="G430" s="296" t="n">
        <v>24</v>
      </c>
      <c r="H430" s="297" t="n">
        <v>24</v>
      </c>
      <c r="I430" s="133">
        <f>G430-H430</f>
        <v/>
      </c>
      <c r="J430" s="298" t="inlineStr">
        <is>
          <t>Основы вакуумной металлургии</t>
        </is>
      </c>
      <c r="K430" s="298" t="inlineStr">
        <is>
          <t>ПЗ</t>
        </is>
      </c>
      <c r="L430" s="298" t="inlineStr">
        <is>
          <t>Т11О-203М-20</t>
        </is>
      </c>
      <c r="M430" s="297" t="n">
        <v>24</v>
      </c>
      <c r="N430" s="298" t="inlineStr">
        <is>
          <t>07987</t>
        </is>
      </c>
      <c r="O430" s="297" t="n">
        <v>24</v>
      </c>
      <c r="P430" s="298" t="inlineStr">
        <is>
          <t xml:space="preserve">82026     </t>
        </is>
      </c>
      <c r="Q430" s="298" t="inlineStr">
        <is>
          <t xml:space="preserve">Александрова Светлана Сергеевна </t>
        </is>
      </c>
      <c r="R430" s="298" t="n"/>
      <c r="S430" s="298" t="inlineStr">
        <is>
          <t>Нет</t>
        </is>
      </c>
      <c r="T430" s="298" t="inlineStr">
        <is>
          <t>Орш. А-509</t>
        </is>
      </c>
      <c r="U430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431" ht="15.75" customHeight="1" s="2">
      <c r="E431" s="300" t="n">
        <v>2</v>
      </c>
      <c r="G431" s="296" t="n">
        <v>24</v>
      </c>
      <c r="H431" s="297" t="n">
        <v>24</v>
      </c>
      <c r="I431" s="133">
        <f>G431-H431</f>
        <v/>
      </c>
      <c r="J431" s="298" t="inlineStr">
        <is>
          <t>Основы вакуумной металлургии</t>
        </is>
      </c>
      <c r="K431" s="298" t="inlineStr">
        <is>
          <t>ПЗ</t>
        </is>
      </c>
      <c r="L431" s="298" t="inlineStr">
        <is>
          <t>Т11О-204М-20</t>
        </is>
      </c>
      <c r="M431" s="297" t="n">
        <v>24</v>
      </c>
      <c r="N431" s="298" t="inlineStr">
        <is>
          <t>07987</t>
        </is>
      </c>
      <c r="O431" s="297" t="n">
        <v>24</v>
      </c>
      <c r="P431" s="298" t="inlineStr">
        <is>
          <t xml:space="preserve">82026     </t>
        </is>
      </c>
      <c r="Q431" s="298" t="inlineStr">
        <is>
          <t xml:space="preserve">Александрова Светлана Сергеевна </t>
        </is>
      </c>
      <c r="R431" s="298" t="n"/>
      <c r="S431" s="298" t="inlineStr">
        <is>
          <t>Нет</t>
        </is>
      </c>
      <c r="T431" s="298" t="inlineStr">
        <is>
          <t>Орш. А-509</t>
        </is>
      </c>
      <c r="U431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432" ht="15.75" customHeight="1" s="2">
      <c r="E432" s="300" t="n">
        <v>2</v>
      </c>
      <c r="G432" s="296" t="n">
        <v>2</v>
      </c>
      <c r="H432" s="297" t="n">
        <v>2</v>
      </c>
      <c r="I432" s="133">
        <f>G432-H432</f>
        <v/>
      </c>
      <c r="J432" s="298" t="inlineStr">
        <is>
          <t>Основы вакуумной металлургии</t>
        </is>
      </c>
      <c r="K432" s="298" t="inlineStr">
        <is>
          <t>Зачет</t>
        </is>
      </c>
      <c r="L432" s="298" t="inlineStr">
        <is>
          <t>Т11О-201М-20</t>
        </is>
      </c>
      <c r="M432" s="297" t="n">
        <v>2</v>
      </c>
      <c r="N432" s="298" t="inlineStr">
        <is>
          <t>07987</t>
        </is>
      </c>
      <c r="O432" s="299" t="n"/>
      <c r="P432" s="298" t="inlineStr">
        <is>
          <t xml:space="preserve">82026     </t>
        </is>
      </c>
      <c r="Q432" s="298" t="inlineStr">
        <is>
          <t xml:space="preserve">Александрова Светлана Сергеевна </t>
        </is>
      </c>
      <c r="R432" s="298" t="n"/>
      <c r="S432" s="298" t="inlineStr">
        <is>
          <t>Нет</t>
        </is>
      </c>
      <c r="T432" s="298" t="n"/>
      <c r="U432" s="298" t="n"/>
    </row>
    <row r="433" ht="15.75" customHeight="1" s="2">
      <c r="E433" s="300" t="n">
        <v>2</v>
      </c>
      <c r="G433" s="296" t="n">
        <v>2</v>
      </c>
      <c r="H433" s="297" t="n">
        <v>2</v>
      </c>
      <c r="I433" s="133">
        <f>G433-H433</f>
        <v/>
      </c>
      <c r="J433" s="298" t="inlineStr">
        <is>
          <t>Основы вакуумной металлургии</t>
        </is>
      </c>
      <c r="K433" s="298" t="inlineStr">
        <is>
          <t>Зачет</t>
        </is>
      </c>
      <c r="L433" s="298" t="inlineStr">
        <is>
          <t>Т11О-202М-20</t>
        </is>
      </c>
      <c r="M433" s="297" t="n">
        <v>2</v>
      </c>
      <c r="N433" s="298" t="inlineStr">
        <is>
          <t>07987</t>
        </is>
      </c>
      <c r="O433" s="299" t="n"/>
      <c r="P433" s="298" t="inlineStr">
        <is>
          <t xml:space="preserve">82026     </t>
        </is>
      </c>
      <c r="Q433" s="298" t="inlineStr">
        <is>
          <t xml:space="preserve">Александрова Светлана Сергеевна </t>
        </is>
      </c>
      <c r="R433" s="298" t="n"/>
      <c r="S433" s="298" t="inlineStr">
        <is>
          <t>Нет</t>
        </is>
      </c>
      <c r="T433" s="298" t="n"/>
      <c r="U433" s="298" t="n"/>
    </row>
    <row r="434" ht="15.75" customHeight="1" s="2">
      <c r="E434" s="300" t="n">
        <v>2</v>
      </c>
      <c r="G434" s="296" t="n">
        <v>2</v>
      </c>
      <c r="H434" s="297" t="n">
        <v>2</v>
      </c>
      <c r="I434" s="133">
        <f>G434-H434</f>
        <v/>
      </c>
      <c r="J434" s="298" t="inlineStr">
        <is>
          <t>Основы вакуумной металлургии</t>
        </is>
      </c>
      <c r="K434" s="298" t="inlineStr">
        <is>
          <t>Зачет</t>
        </is>
      </c>
      <c r="L434" s="298" t="inlineStr">
        <is>
          <t>Т11О-203М-20</t>
        </is>
      </c>
      <c r="M434" s="297" t="n">
        <v>2</v>
      </c>
      <c r="N434" s="298" t="inlineStr">
        <is>
          <t>07987</t>
        </is>
      </c>
      <c r="O434" s="299" t="n"/>
      <c r="P434" s="298" t="inlineStr">
        <is>
          <t xml:space="preserve">82026     </t>
        </is>
      </c>
      <c r="Q434" s="298" t="inlineStr">
        <is>
          <t xml:space="preserve">Александрова Светлана Сергеевна </t>
        </is>
      </c>
      <c r="R434" s="298" t="n"/>
      <c r="S434" s="298" t="inlineStr">
        <is>
          <t>Нет</t>
        </is>
      </c>
      <c r="T434" s="298" t="n"/>
      <c r="U434" s="298" t="n"/>
    </row>
    <row r="435" ht="15.75" customHeight="1" s="2">
      <c r="E435" s="300" t="n">
        <v>2</v>
      </c>
      <c r="G435" s="296" t="n">
        <v>2</v>
      </c>
      <c r="H435" s="297" t="n">
        <v>2</v>
      </c>
      <c r="I435" s="133">
        <f>G435-H435</f>
        <v/>
      </c>
      <c r="J435" s="298" t="inlineStr">
        <is>
          <t>Основы вакуумной металлургии</t>
        </is>
      </c>
      <c r="K435" s="298" t="inlineStr">
        <is>
          <t>Зачет</t>
        </is>
      </c>
      <c r="L435" s="298" t="inlineStr">
        <is>
          <t>Т11О-204М-20</t>
        </is>
      </c>
      <c r="M435" s="297" t="n">
        <v>2</v>
      </c>
      <c r="N435" s="298" t="inlineStr">
        <is>
          <t>07987</t>
        </is>
      </c>
      <c r="O435" s="299" t="n"/>
      <c r="P435" s="298" t="inlineStr">
        <is>
          <t xml:space="preserve">82026     </t>
        </is>
      </c>
      <c r="Q435" s="298" t="inlineStr">
        <is>
          <t xml:space="preserve">Александрова Светлана Сергеевна </t>
        </is>
      </c>
      <c r="R435" s="298" t="n"/>
      <c r="S435" s="298" t="inlineStr">
        <is>
          <t>Нет</t>
        </is>
      </c>
      <c r="T435" s="298" t="n"/>
      <c r="U435" s="298" t="n"/>
    </row>
    <row r="436" ht="15.75" customHeight="1" s="2">
      <c r="E436" s="300" t="n">
        <v>12</v>
      </c>
      <c r="G436" s="296" t="n">
        <v>1</v>
      </c>
      <c r="H436" s="297" t="n">
        <v>1</v>
      </c>
      <c r="I436" s="133">
        <f>G436-H436</f>
        <v/>
      </c>
      <c r="J436" s="298" t="inlineStr">
        <is>
          <t>Основы вакуумной металлургии</t>
        </is>
      </c>
      <c r="K436" s="298" t="inlineStr">
        <is>
          <t>Консультация</t>
        </is>
      </c>
      <c r="L436" s="298" t="inlineStr">
        <is>
          <t>Т11О-201М-20</t>
        </is>
      </c>
      <c r="M436" s="297" t="n">
        <v>1</v>
      </c>
      <c r="N436" s="298" t="inlineStr">
        <is>
          <t>07987</t>
        </is>
      </c>
      <c r="O436" s="299" t="n"/>
      <c r="P436" s="298" t="inlineStr">
        <is>
          <t xml:space="preserve">82026     </t>
        </is>
      </c>
      <c r="Q436" s="298" t="inlineStr">
        <is>
          <t xml:space="preserve">Александрова Светлана Сергеевна </t>
        </is>
      </c>
      <c r="R436" s="298" t="n"/>
      <c r="S436" s="298" t="inlineStr">
        <is>
          <t>Нет</t>
        </is>
      </c>
      <c r="T436" s="298" t="n"/>
      <c r="U436" s="298" t="n"/>
    </row>
    <row r="437" ht="15.75" customHeight="1" s="2">
      <c r="E437" s="300" t="n">
        <v>24</v>
      </c>
      <c r="G437" s="296" t="n">
        <v>1</v>
      </c>
      <c r="H437" s="297" t="n">
        <v>1</v>
      </c>
      <c r="I437" s="133">
        <f>G437-H437</f>
        <v/>
      </c>
      <c r="J437" s="298" t="inlineStr">
        <is>
          <t>Основы вакуумной металлургии</t>
        </is>
      </c>
      <c r="K437" s="298" t="inlineStr">
        <is>
          <t>Консультация</t>
        </is>
      </c>
      <c r="L437" s="298" t="inlineStr">
        <is>
          <t>Т11О-202М-20</t>
        </is>
      </c>
      <c r="M437" s="297" t="n">
        <v>1</v>
      </c>
      <c r="N437" s="298" t="inlineStr">
        <is>
          <t>07987</t>
        </is>
      </c>
      <c r="O437" s="299" t="n"/>
      <c r="P437" s="298" t="inlineStr">
        <is>
          <t xml:space="preserve">82026     </t>
        </is>
      </c>
      <c r="Q437" s="298" t="inlineStr">
        <is>
          <t xml:space="preserve">Александрова Светлана Сергеевна </t>
        </is>
      </c>
      <c r="R437" s="298" t="n"/>
      <c r="S437" s="298" t="inlineStr">
        <is>
          <t>Нет</t>
        </is>
      </c>
      <c r="T437" s="298" t="n"/>
      <c r="U437" s="298" t="n"/>
    </row>
    <row r="438" ht="15.75" customHeight="1" s="2">
      <c r="E438" s="300" t="n">
        <v>24</v>
      </c>
      <c r="G438" s="296" t="n">
        <v>1</v>
      </c>
      <c r="H438" s="297" t="n">
        <v>1</v>
      </c>
      <c r="I438" s="133">
        <f>G438-H438</f>
        <v/>
      </c>
      <c r="J438" s="298" t="inlineStr">
        <is>
          <t>Основы вакуумной металлургии</t>
        </is>
      </c>
      <c r="K438" s="298" t="inlineStr">
        <is>
          <t>Консультация</t>
        </is>
      </c>
      <c r="L438" s="298" t="inlineStr">
        <is>
          <t>Т11О-203М-20</t>
        </is>
      </c>
      <c r="M438" s="297" t="n">
        <v>1</v>
      </c>
      <c r="N438" s="298" t="inlineStr">
        <is>
          <t>07987</t>
        </is>
      </c>
      <c r="O438" s="299" t="n"/>
      <c r="P438" s="298" t="inlineStr">
        <is>
          <t xml:space="preserve">82026     </t>
        </is>
      </c>
      <c r="Q438" s="298" t="inlineStr">
        <is>
          <t xml:space="preserve">Александрова Светлана Сергеевна </t>
        </is>
      </c>
      <c r="R438" s="298" t="n"/>
      <c r="S438" s="298" t="inlineStr">
        <is>
          <t>Нет</t>
        </is>
      </c>
      <c r="T438" s="298" t="n"/>
      <c r="U438" s="298" t="n"/>
    </row>
    <row r="439" ht="15.75" customHeight="1" s="2">
      <c r="E439" s="300" t="n">
        <v>24</v>
      </c>
      <c r="G439" s="296" t="n">
        <v>1</v>
      </c>
      <c r="H439" s="297" t="n">
        <v>1</v>
      </c>
      <c r="I439" s="133">
        <f>G439-H439</f>
        <v/>
      </c>
      <c r="J439" s="298" t="inlineStr">
        <is>
          <t>Основы вакуумной металлургии</t>
        </is>
      </c>
      <c r="K439" s="298" t="inlineStr">
        <is>
          <t>Консультация</t>
        </is>
      </c>
      <c r="L439" s="298" t="inlineStr">
        <is>
          <t>Т11О-204М-20</t>
        </is>
      </c>
      <c r="M439" s="297" t="n">
        <v>1</v>
      </c>
      <c r="N439" s="298" t="inlineStr">
        <is>
          <t>07987</t>
        </is>
      </c>
      <c r="O439" s="299" t="n"/>
      <c r="P439" s="298" t="inlineStr">
        <is>
          <t xml:space="preserve">82026     </t>
        </is>
      </c>
      <c r="Q439" s="298" t="inlineStr">
        <is>
          <t xml:space="preserve">Александрова Светлана Сергеевна </t>
        </is>
      </c>
      <c r="R439" s="298" t="n"/>
      <c r="S439" s="298" t="inlineStr">
        <is>
          <t>Нет</t>
        </is>
      </c>
      <c r="T439" s="298" t="n"/>
      <c r="U439" s="298" t="n"/>
    </row>
    <row r="440" ht="15.75" customHeight="1" s="2">
      <c r="E440" s="300" t="n">
        <v>24</v>
      </c>
      <c r="G440" s="296" t="n">
        <v>16</v>
      </c>
      <c r="H440" s="297" t="n">
        <v>16</v>
      </c>
      <c r="I440" s="133">
        <f>G440-H440</f>
        <v/>
      </c>
      <c r="J440" s="298" t="inlineStr">
        <is>
          <t>Автоматизированные системы технологической подготовки производства</t>
        </is>
      </c>
      <c r="K440" s="298" t="inlineStr">
        <is>
          <t>ЛК</t>
        </is>
      </c>
      <c r="L440" s="298" t="inlineStr">
        <is>
          <t>Т11О-101М-21</t>
        </is>
      </c>
      <c r="M440" s="297" t="n">
        <v>16</v>
      </c>
      <c r="N440" s="298" t="inlineStr">
        <is>
          <t>04489</t>
        </is>
      </c>
      <c r="O440" s="297" t="n">
        <v>16</v>
      </c>
      <c r="P440" s="298" t="inlineStr">
        <is>
          <t xml:space="preserve">81721     </t>
        </is>
      </c>
      <c r="Q440" s="298" t="inlineStr">
        <is>
          <t xml:space="preserve">Преображенский Евгений Владимирович </t>
        </is>
      </c>
      <c r="R440" s="298" t="n"/>
      <c r="S440" s="298" t="inlineStr">
        <is>
          <t>Нет</t>
        </is>
      </c>
      <c r="T440" s="298" t="inlineStr">
        <is>
          <t>Орш. А-525</t>
        </is>
      </c>
      <c r="U440" s="298" t="n"/>
    </row>
    <row r="441" ht="15.75" customHeight="1" s="2">
      <c r="E441" s="300" t="n">
        <v>2</v>
      </c>
      <c r="G441" s="296" t="n">
        <v>15</v>
      </c>
      <c r="H441" s="297" t="n">
        <v>15</v>
      </c>
      <c r="I441" s="133">
        <f>G441-H441</f>
        <v/>
      </c>
      <c r="J441" s="298" t="inlineStr">
        <is>
          <t>Автоматизированные системы технологической подготовки производства</t>
        </is>
      </c>
      <c r="K441" s="298" t="inlineStr">
        <is>
          <t>КР</t>
        </is>
      </c>
      <c r="L441" s="298" t="inlineStr">
        <is>
          <t>Т11О-101М-21</t>
        </is>
      </c>
      <c r="M441" s="297" t="n">
        <v>15</v>
      </c>
      <c r="N441" s="298" t="inlineStr">
        <is>
          <t>04489</t>
        </is>
      </c>
      <c r="O441" s="299" t="n"/>
      <c r="P441" s="298" t="inlineStr">
        <is>
          <t xml:space="preserve">81721     </t>
        </is>
      </c>
      <c r="Q441" s="298" t="inlineStr">
        <is>
          <t xml:space="preserve">Преображенский Евгений Владимирович </t>
        </is>
      </c>
      <c r="R441" s="298" t="n"/>
      <c r="S441" s="298" t="inlineStr">
        <is>
          <t>Нет</t>
        </is>
      </c>
      <c r="T441" s="298" t="inlineStr">
        <is>
          <t>Орш. А-525</t>
        </is>
      </c>
      <c r="U441" s="298" t="n"/>
    </row>
    <row r="442" ht="15.75" customHeight="1" s="2">
      <c r="E442" s="300" t="n">
        <v>2</v>
      </c>
      <c r="G442" s="296" t="n">
        <v>28</v>
      </c>
      <c r="H442" s="297" t="n">
        <v>28</v>
      </c>
      <c r="I442" s="133">
        <f>G442-H442</f>
        <v/>
      </c>
      <c r="J442" s="298" t="inlineStr">
        <is>
          <t>Автоматизированные системы технологической подготовки производства</t>
        </is>
      </c>
      <c r="K442" s="298" t="inlineStr">
        <is>
          <t>ПЗ</t>
        </is>
      </c>
      <c r="L442" s="298" t="inlineStr">
        <is>
          <t>Т11О-101М-21</t>
        </is>
      </c>
      <c r="M442" s="297" t="n">
        <v>28</v>
      </c>
      <c r="N442" s="298" t="inlineStr">
        <is>
          <t>04489</t>
        </is>
      </c>
      <c r="O442" s="297" t="n">
        <v>28</v>
      </c>
      <c r="P442" s="298" t="inlineStr">
        <is>
          <t xml:space="preserve">81721     </t>
        </is>
      </c>
      <c r="Q442" s="298" t="inlineStr">
        <is>
          <t xml:space="preserve">Преображенский Евгений Владимирович </t>
        </is>
      </c>
      <c r="R442" s="298" t="n"/>
      <c r="S442" s="298" t="inlineStr">
        <is>
          <t>Нет</t>
        </is>
      </c>
      <c r="T442" s="298" t="inlineStr">
        <is>
          <t>Орш. А-525</t>
        </is>
      </c>
      <c r="U442" s="298" t="n"/>
    </row>
    <row r="443" ht="15.75" customHeight="1" s="2">
      <c r="E443" s="300" t="n">
        <v>2</v>
      </c>
      <c r="G443" s="296" t="n">
        <v>3</v>
      </c>
      <c r="H443" s="297" t="n">
        <v>3</v>
      </c>
      <c r="I443" s="133">
        <f>G443-H443</f>
        <v/>
      </c>
      <c r="J443" s="298" t="inlineStr">
        <is>
          <t>Автоматизированные системы технологической подготовки производства</t>
        </is>
      </c>
      <c r="K443" s="298" t="inlineStr">
        <is>
          <t>Экзамен</t>
        </is>
      </c>
      <c r="L443" s="298" t="inlineStr">
        <is>
          <t>Т11О-101М-21</t>
        </is>
      </c>
      <c r="M443" s="297" t="n">
        <v>3</v>
      </c>
      <c r="N443" s="298" t="inlineStr">
        <is>
          <t>04489</t>
        </is>
      </c>
      <c r="O443" s="299" t="n"/>
      <c r="P443" s="298" t="inlineStr">
        <is>
          <t xml:space="preserve">81721     </t>
        </is>
      </c>
      <c r="Q443" s="298" t="inlineStr">
        <is>
          <t xml:space="preserve">Преображенский Евгений Владимирович </t>
        </is>
      </c>
      <c r="R443" s="298" t="n"/>
      <c r="S443" s="298" t="inlineStr">
        <is>
          <t>Нет</t>
        </is>
      </c>
      <c r="T443" s="298" t="inlineStr">
        <is>
          <t>Орш. А-525</t>
        </is>
      </c>
      <c r="U443" s="298" t="n"/>
    </row>
    <row r="444" ht="15.75" customHeight="1" s="2">
      <c r="E444" s="300" t="n">
        <v>2</v>
      </c>
      <c r="G444" s="296" t="n">
        <v>3</v>
      </c>
      <c r="H444" s="297" t="n">
        <v>3</v>
      </c>
      <c r="I444" s="133">
        <f>G444-H444</f>
        <v/>
      </c>
      <c r="J444" s="298" t="inlineStr">
        <is>
          <t>Автоматизированные системы технологической подготовки производства</t>
        </is>
      </c>
      <c r="K444" s="298" t="inlineStr">
        <is>
          <t>Консультация</t>
        </is>
      </c>
      <c r="L444" s="298" t="inlineStr">
        <is>
          <t>Т11О-101М-21</t>
        </is>
      </c>
      <c r="M444" s="297" t="n">
        <v>3</v>
      </c>
      <c r="N444" s="298" t="inlineStr">
        <is>
          <t>04489</t>
        </is>
      </c>
      <c r="O444" s="299" t="n"/>
      <c r="P444" s="298" t="inlineStr">
        <is>
          <t xml:space="preserve">81721     </t>
        </is>
      </c>
      <c r="Q444" s="298" t="inlineStr">
        <is>
          <t xml:space="preserve">Преображенский Евгений Владимирович </t>
        </is>
      </c>
      <c r="R444" s="298" t="n"/>
      <c r="S444" s="298" t="inlineStr">
        <is>
          <t>Нет</t>
        </is>
      </c>
      <c r="T444" s="298" t="inlineStr">
        <is>
          <t>Орш. А-525</t>
        </is>
      </c>
      <c r="U444" s="298" t="n"/>
    </row>
    <row r="445" ht="15.75" customHeight="1" s="2">
      <c r="E445" s="300" t="n">
        <v>1</v>
      </c>
      <c r="G445" s="296" t="n">
        <v>24</v>
      </c>
      <c r="H445" s="297" t="n">
        <v>24</v>
      </c>
      <c r="I445" s="133">
        <f>G445-H445</f>
        <v/>
      </c>
      <c r="J445" s="298" t="inlineStr">
        <is>
          <t>Основы САПР в металлургии</t>
        </is>
      </c>
      <c r="K445" s="298" t="inlineStr">
        <is>
          <t>ЛК</t>
        </is>
      </c>
      <c r="L445" s="298" t="inlineStr">
        <is>
          <t>Т11О-301Б-19, Т11О-302Б-19</t>
        </is>
      </c>
      <c r="M445" s="297" t="n">
        <v>24</v>
      </c>
      <c r="N445" s="298" t="inlineStr">
        <is>
          <t>08947</t>
        </is>
      </c>
      <c r="O445" s="297" t="n">
        <v>24</v>
      </c>
      <c r="P445" s="298" t="inlineStr">
        <is>
          <t xml:space="preserve">82018     </t>
        </is>
      </c>
      <c r="Q445" s="298" t="inlineStr">
        <is>
          <t>Бережной Дмитрий Васильевич</t>
        </is>
      </c>
      <c r="R445" s="298" t="n"/>
      <c r="S445" s="298" t="inlineStr">
        <is>
          <t>Нет</t>
        </is>
      </c>
      <c r="T445" s="298" t="inlineStr">
        <is>
          <t>Орш. А-325</t>
        </is>
      </c>
      <c r="U445" s="298" t="inlineStr">
        <is>
          <t>По будням и плюс один свободный день на неделе</t>
        </is>
      </c>
    </row>
    <row r="446" ht="15.75" customHeight="1" s="2">
      <c r="E446" s="300" t="n">
        <v>1</v>
      </c>
      <c r="G446" s="296" t="n">
        <v>4.17</v>
      </c>
      <c r="H446" s="297" t="n">
        <v>4.17</v>
      </c>
      <c r="I446" s="133">
        <f>G446-H446</f>
        <v/>
      </c>
      <c r="J446" s="298" t="inlineStr">
        <is>
          <t>Основы САПР в металлургии</t>
        </is>
      </c>
      <c r="K446" s="298" t="inlineStr">
        <is>
          <t>Зачет с оценкой</t>
        </is>
      </c>
      <c r="L446" s="298" t="inlineStr">
        <is>
          <t>Т11О-301Б-19</t>
        </is>
      </c>
      <c r="M446" s="297" t="n">
        <v>4.17</v>
      </c>
      <c r="N446" s="298" t="inlineStr">
        <is>
          <t>08947</t>
        </is>
      </c>
      <c r="O446" s="299" t="n"/>
      <c r="P446" s="298" t="inlineStr">
        <is>
          <t xml:space="preserve">82018     </t>
        </is>
      </c>
      <c r="Q446" s="298" t="inlineStr">
        <is>
          <t>Бережной Дмитрий Васильевич</t>
        </is>
      </c>
      <c r="R446" s="298" t="n"/>
      <c r="S446" s="298" t="inlineStr">
        <is>
          <t>Нет</t>
        </is>
      </c>
      <c r="T446" s="298" t="n"/>
      <c r="U446" s="298" t="inlineStr">
        <is>
          <t>По будням и плюс один свободный день на неделе</t>
        </is>
      </c>
    </row>
    <row r="447" ht="15.75" customHeight="1" s="2">
      <c r="E447" s="300" t="n">
        <v>1</v>
      </c>
      <c r="G447" s="296" t="n">
        <v>0.83</v>
      </c>
      <c r="H447" s="297" t="n">
        <v>0.83</v>
      </c>
      <c r="I447" s="133">
        <f>G447-H447</f>
        <v/>
      </c>
      <c r="J447" s="298" t="inlineStr">
        <is>
          <t>Основы САПР в металлургии</t>
        </is>
      </c>
      <c r="K447" s="298" t="inlineStr">
        <is>
          <t>Зачет с оценкой</t>
        </is>
      </c>
      <c r="L447" s="298" t="inlineStr">
        <is>
          <t>Т11О-301Б-19</t>
        </is>
      </c>
      <c r="M447" s="297" t="n">
        <v>0.83</v>
      </c>
      <c r="N447" s="298" t="inlineStr">
        <is>
          <t>08947</t>
        </is>
      </c>
      <c r="O447" s="299" t="n"/>
      <c r="P447" s="298" t="inlineStr">
        <is>
          <t xml:space="preserve">93685     </t>
        </is>
      </c>
      <c r="Q447" s="298" t="inlineStr">
        <is>
          <t xml:space="preserve">Банишев Александр Федорович </t>
        </is>
      </c>
      <c r="R447" s="298" t="inlineStr">
        <is>
          <t>профессор</t>
        </is>
      </c>
      <c r="S447" s="298" t="inlineStr">
        <is>
          <t>Да</t>
        </is>
      </c>
      <c r="T447" s="298" t="n"/>
      <c r="U447" s="298" t="n"/>
    </row>
    <row r="448" ht="15.75" customHeight="1" s="2">
      <c r="E448" s="300" t="n">
        <v>1</v>
      </c>
      <c r="G448" s="296" t="n">
        <v>8</v>
      </c>
      <c r="H448" s="297" t="n">
        <v>8</v>
      </c>
      <c r="I448" s="133">
        <f>G448-H448</f>
        <v/>
      </c>
      <c r="J448" s="298" t="inlineStr">
        <is>
          <t>Основы САПР в металлургии</t>
        </is>
      </c>
      <c r="K448" s="298" t="inlineStr">
        <is>
          <t>Зачет с оценкой</t>
        </is>
      </c>
      <c r="L448" s="298" t="inlineStr">
        <is>
          <t>Т11О-302Б-19</t>
        </is>
      </c>
      <c r="M448" s="297" t="n">
        <v>8</v>
      </c>
      <c r="N448" s="298" t="inlineStr">
        <is>
          <t>08947</t>
        </is>
      </c>
      <c r="O448" s="299" t="n"/>
      <c r="P448" s="298" t="inlineStr">
        <is>
          <t xml:space="preserve">82018     </t>
        </is>
      </c>
      <c r="Q448" s="298" t="inlineStr">
        <is>
          <t>Бережной Дмитрий Васильевич</t>
        </is>
      </c>
      <c r="R448" s="298" t="n"/>
      <c r="S448" s="298" t="inlineStr">
        <is>
          <t>Нет</t>
        </is>
      </c>
      <c r="T448" s="298" t="n"/>
      <c r="U448" s="298" t="inlineStr">
        <is>
          <t>По будням и плюс один свободный день на неделе</t>
        </is>
      </c>
    </row>
    <row r="449" ht="15.75" customHeight="1" s="2">
      <c r="E449" s="302" t="n">
        <v>16</v>
      </c>
      <c r="G449" s="296" t="n">
        <v>30</v>
      </c>
      <c r="H449" s="297" t="n">
        <v>30</v>
      </c>
      <c r="I449" s="133">
        <f>G449-H449</f>
        <v/>
      </c>
      <c r="J449" s="298" t="inlineStr">
        <is>
          <t>Основы САПР в металлургии</t>
        </is>
      </c>
      <c r="K449" s="298" t="inlineStr">
        <is>
          <t>ПЗ</t>
        </is>
      </c>
      <c r="L449" s="298" t="inlineStr">
        <is>
          <t>Т11О-301Б-19</t>
        </is>
      </c>
      <c r="M449" s="297" t="n">
        <v>30</v>
      </c>
      <c r="N449" s="298" t="inlineStr">
        <is>
          <t>08947</t>
        </is>
      </c>
      <c r="O449" s="297" t="n">
        <v>30</v>
      </c>
      <c r="P449" s="298" t="inlineStr">
        <is>
          <t xml:space="preserve">82018     </t>
        </is>
      </c>
      <c r="Q449" s="298" t="inlineStr">
        <is>
          <t>Бережной Дмитрий Васильевич</t>
        </is>
      </c>
      <c r="R449" s="298" t="n"/>
      <c r="S449" s="298" t="inlineStr">
        <is>
          <t>Нет</t>
        </is>
      </c>
      <c r="T449" s="298" t="inlineStr">
        <is>
          <t>Орш. А-325</t>
        </is>
      </c>
      <c r="U449" s="298" t="inlineStr">
        <is>
          <t>По будням и плюс один свободный день на неделе</t>
        </is>
      </c>
    </row>
    <row r="450" ht="15.75" customHeight="1" s="2">
      <c r="E450" s="302" t="n">
        <v>15</v>
      </c>
      <c r="G450" s="296" t="n">
        <v>30</v>
      </c>
      <c r="H450" s="297" t="n">
        <v>30</v>
      </c>
      <c r="I450" s="133">
        <f>G450-H450</f>
        <v/>
      </c>
      <c r="J450" s="298" t="inlineStr">
        <is>
          <t>Основы САПР в металлургии</t>
        </is>
      </c>
      <c r="K450" s="298" t="inlineStr">
        <is>
          <t>ПЗ</t>
        </is>
      </c>
      <c r="L450" s="298" t="inlineStr">
        <is>
          <t>Т11О-302Б-19</t>
        </is>
      </c>
      <c r="M450" s="297" t="n">
        <v>30</v>
      </c>
      <c r="N450" s="298" t="inlineStr">
        <is>
          <t>08947</t>
        </is>
      </c>
      <c r="O450" s="297" t="n">
        <v>30</v>
      </c>
      <c r="P450" s="298" t="inlineStr">
        <is>
          <t xml:space="preserve">82018     </t>
        </is>
      </c>
      <c r="Q450" s="298" t="inlineStr">
        <is>
          <t>Бережной Дмитрий Васильевич</t>
        </is>
      </c>
      <c r="R450" s="298" t="n"/>
      <c r="S450" s="298" t="inlineStr">
        <is>
          <t>Нет</t>
        </is>
      </c>
      <c r="T450" s="298" t="inlineStr">
        <is>
          <t>Орш. А-325</t>
        </is>
      </c>
      <c r="U450" s="298" t="inlineStr">
        <is>
          <t>По будням и плюс один свободный день на неделе</t>
        </is>
      </c>
    </row>
    <row r="451" ht="15.75" customHeight="1" s="2">
      <c r="E451" s="302" t="n">
        <v>28</v>
      </c>
      <c r="G451" s="296" t="n">
        <v>1</v>
      </c>
      <c r="H451" s="297" t="n">
        <v>1</v>
      </c>
      <c r="I451" s="133">
        <f>G451-H451</f>
        <v/>
      </c>
      <c r="J451" s="298" t="inlineStr">
        <is>
          <t>Основы САПР в металлургии</t>
        </is>
      </c>
      <c r="K451" s="298" t="inlineStr">
        <is>
          <t>Консультация</t>
        </is>
      </c>
      <c r="L451" s="298" t="inlineStr">
        <is>
          <t>Т11О-301Б-19</t>
        </is>
      </c>
      <c r="M451" s="297" t="n">
        <v>1</v>
      </c>
      <c r="N451" s="298" t="inlineStr">
        <is>
          <t>08947</t>
        </is>
      </c>
      <c r="O451" s="299" t="n"/>
      <c r="P451" s="298" t="inlineStr">
        <is>
          <t xml:space="preserve">82018     </t>
        </is>
      </c>
      <c r="Q451" s="298" t="inlineStr">
        <is>
          <t>Бережной Дмитрий Васильевич</t>
        </is>
      </c>
      <c r="R451" s="298" t="n"/>
      <c r="S451" s="298" t="inlineStr">
        <is>
          <t>Нет</t>
        </is>
      </c>
      <c r="T451" s="298" t="n"/>
      <c r="U451" s="298" t="inlineStr">
        <is>
          <t>По будням и плюс один свободный день на неделе</t>
        </is>
      </c>
    </row>
    <row r="452" ht="15.75" customHeight="1" s="2">
      <c r="E452" s="302" t="n">
        <v>3</v>
      </c>
      <c r="G452" s="296" t="n">
        <v>1</v>
      </c>
      <c r="H452" s="297" t="n">
        <v>1</v>
      </c>
      <c r="I452" s="133">
        <f>G452-H452</f>
        <v/>
      </c>
      <c r="J452" s="298" t="inlineStr">
        <is>
          <t>Основы САПР в металлургии</t>
        </is>
      </c>
      <c r="K452" s="298" t="inlineStr">
        <is>
          <t>Консультация</t>
        </is>
      </c>
      <c r="L452" s="298" t="inlineStr">
        <is>
          <t>Т11О-302Б-19</t>
        </is>
      </c>
      <c r="M452" s="297" t="n">
        <v>1</v>
      </c>
      <c r="N452" s="298" t="inlineStr">
        <is>
          <t>08947</t>
        </is>
      </c>
      <c r="O452" s="299" t="n"/>
      <c r="P452" s="298" t="inlineStr">
        <is>
          <t xml:space="preserve">82018     </t>
        </is>
      </c>
      <c r="Q452" s="298" t="inlineStr">
        <is>
          <t>Бережной Дмитрий Васильевич</t>
        </is>
      </c>
      <c r="R452" s="298" t="n"/>
      <c r="S452" s="298" t="inlineStr">
        <is>
          <t>Нет</t>
        </is>
      </c>
      <c r="T452" s="298" t="n"/>
      <c r="U452" s="298" t="inlineStr">
        <is>
          <t>По будням и плюс один свободный день на неделе</t>
        </is>
      </c>
    </row>
    <row r="453" ht="15.75" customHeight="1" s="2">
      <c r="E453" s="302" t="n">
        <v>3</v>
      </c>
      <c r="G453" s="296" t="n">
        <v>24</v>
      </c>
      <c r="H453" s="297" t="n">
        <v>24</v>
      </c>
      <c r="I453" s="133">
        <f>G453-H453</f>
        <v/>
      </c>
      <c r="J453" s="298" t="inlineStr">
        <is>
          <t>Теплотехника и основы теплопередачи</t>
        </is>
      </c>
      <c r="K453" s="298" t="inlineStr">
        <is>
          <t>ЛК</t>
        </is>
      </c>
      <c r="L453" s="298" t="inlineStr">
        <is>
          <t>Т11О-301Б-19, Т11О-302Б-19, Т11О-304Б-19, Т11О-305Б-19, Т11О-307Б-19, Т11О-308Б-19, Т11О-309Б-19</t>
        </is>
      </c>
      <c r="M453" s="297" t="n">
        <v>24</v>
      </c>
      <c r="N453" s="298" t="inlineStr">
        <is>
          <t>14429</t>
        </is>
      </c>
      <c r="O453" s="297" t="n">
        <v>24</v>
      </c>
      <c r="P453" s="298" t="inlineStr">
        <is>
          <t xml:space="preserve">82086     </t>
        </is>
      </c>
      <c r="Q453" s="298" t="inlineStr">
        <is>
          <t xml:space="preserve">Смыков Андрей Федорович </t>
        </is>
      </c>
      <c r="R453" s="298" t="n"/>
      <c r="S453" s="298" t="inlineStr">
        <is>
          <t>Нет</t>
        </is>
      </c>
      <c r="T453" s="298" t="n"/>
      <c r="U453" s="298" t="n"/>
    </row>
    <row r="454" ht="15.75" customHeight="1" s="2">
      <c r="E454" s="300" t="n">
        <v>24</v>
      </c>
      <c r="G454" s="296" t="n">
        <v>16</v>
      </c>
      <c r="H454" s="297" t="n">
        <v>16</v>
      </c>
      <c r="I454" s="133">
        <f>G454-H454</f>
        <v/>
      </c>
      <c r="J454" s="298" t="inlineStr">
        <is>
          <t>Теплотехника и основы теплопередачи</t>
        </is>
      </c>
      <c r="K454" s="298" t="inlineStr">
        <is>
          <t>ПЗ</t>
        </is>
      </c>
      <c r="L454" s="298" t="inlineStr">
        <is>
          <t>Т11О-304Б-19</t>
        </is>
      </c>
      <c r="M454" s="297" t="n">
        <v>16</v>
      </c>
      <c r="N454" s="298" t="inlineStr">
        <is>
          <t>14429</t>
        </is>
      </c>
      <c r="O454" s="297" t="n">
        <v>16</v>
      </c>
      <c r="P454" s="298" t="inlineStr">
        <is>
          <t xml:space="preserve">82086     </t>
        </is>
      </c>
      <c r="Q454" s="298" t="inlineStr">
        <is>
          <t xml:space="preserve">Смыков Андрей Федорович </t>
        </is>
      </c>
      <c r="R454" s="298" t="n"/>
      <c r="S454" s="298" t="inlineStr">
        <is>
          <t>Нет</t>
        </is>
      </c>
      <c r="T454" s="298" t="n"/>
      <c r="U454" s="298" t="n"/>
    </row>
    <row r="455" ht="15.75" customHeight="1" s="2">
      <c r="E455" s="300" t="n">
        <v>5</v>
      </c>
      <c r="G455" s="296" t="n">
        <v>16</v>
      </c>
      <c r="H455" s="297" t="n">
        <v>16</v>
      </c>
      <c r="I455" s="133">
        <f>G455-H455</f>
        <v/>
      </c>
      <c r="J455" s="298" t="inlineStr">
        <is>
          <t>Теплотехника и основы теплопередачи</t>
        </is>
      </c>
      <c r="K455" s="298" t="inlineStr">
        <is>
          <t>ПЗ</t>
        </is>
      </c>
      <c r="L455" s="298" t="inlineStr">
        <is>
          <t>Т11О-301Б-19</t>
        </is>
      </c>
      <c r="M455" s="297" t="n">
        <v>16</v>
      </c>
      <c r="N455" s="298" t="inlineStr">
        <is>
          <t>14429</t>
        </is>
      </c>
      <c r="O455" s="297" t="n">
        <v>16</v>
      </c>
      <c r="P455" s="298" t="inlineStr">
        <is>
          <t xml:space="preserve">82086     </t>
        </is>
      </c>
      <c r="Q455" s="298" t="inlineStr">
        <is>
          <t xml:space="preserve">Смыков Андрей Федорович </t>
        </is>
      </c>
      <c r="R455" s="298" t="n"/>
      <c r="S455" s="298" t="inlineStr">
        <is>
          <t>Нет</t>
        </is>
      </c>
      <c r="T455" s="298" t="n"/>
      <c r="U455" s="298" t="n"/>
    </row>
    <row r="456" ht="15.75" customHeight="1" s="2">
      <c r="E456" s="300" t="n">
        <v>1</v>
      </c>
      <c r="G456" s="296" t="n">
        <v>16</v>
      </c>
      <c r="H456" s="297" t="n">
        <v>16</v>
      </c>
      <c r="I456" s="133">
        <f>G456-H456</f>
        <v/>
      </c>
      <c r="J456" s="298" t="inlineStr">
        <is>
          <t>Теплотехника и основы теплопередачи</t>
        </is>
      </c>
      <c r="K456" s="298" t="inlineStr">
        <is>
          <t>ПЗ</t>
        </is>
      </c>
      <c r="L456" s="298" t="inlineStr">
        <is>
          <t>Т11О-302Б-19</t>
        </is>
      </c>
      <c r="M456" s="297" t="n">
        <v>16</v>
      </c>
      <c r="N456" s="298" t="inlineStr">
        <is>
          <t>14429</t>
        </is>
      </c>
      <c r="O456" s="297" t="n">
        <v>16</v>
      </c>
      <c r="P456" s="298" t="inlineStr">
        <is>
          <t xml:space="preserve">82086     </t>
        </is>
      </c>
      <c r="Q456" s="298" t="inlineStr">
        <is>
          <t xml:space="preserve">Смыков Андрей Федорович </t>
        </is>
      </c>
      <c r="R456" s="298" t="n"/>
      <c r="S456" s="298" t="inlineStr">
        <is>
          <t>Нет</t>
        </is>
      </c>
      <c r="T456" s="298" t="n"/>
      <c r="U456" s="298" t="n"/>
    </row>
    <row r="457" ht="15.75" customHeight="1" s="2">
      <c r="E457" s="301" t="n">
        <v>7</v>
      </c>
      <c r="G457" s="296" t="n">
        <v>16</v>
      </c>
      <c r="H457" s="297" t="n">
        <v>16</v>
      </c>
      <c r="I457" s="133">
        <f>G457-H457</f>
        <v/>
      </c>
      <c r="J457" s="298" t="inlineStr">
        <is>
          <t>Теплотехника и основы теплопередачи</t>
        </is>
      </c>
      <c r="K457" s="298" t="inlineStr">
        <is>
          <t>ПЗ</t>
        </is>
      </c>
      <c r="L457" s="298" t="inlineStr">
        <is>
          <t>Т11О-305Б-19</t>
        </is>
      </c>
      <c r="M457" s="297" t="n">
        <v>16</v>
      </c>
      <c r="N457" s="298" t="inlineStr">
        <is>
          <t>14429</t>
        </is>
      </c>
      <c r="O457" s="297" t="n">
        <v>16</v>
      </c>
      <c r="P457" s="298" t="inlineStr">
        <is>
          <t xml:space="preserve">82086     </t>
        </is>
      </c>
      <c r="Q457" s="298" t="inlineStr">
        <is>
          <t xml:space="preserve">Смыков Андрей Федорович </t>
        </is>
      </c>
      <c r="R457" s="298" t="n"/>
      <c r="S457" s="298" t="inlineStr">
        <is>
          <t>Нет</t>
        </is>
      </c>
      <c r="T457" s="298" t="n"/>
      <c r="U457" s="298" t="n"/>
    </row>
    <row r="458" ht="15.75" customHeight="1" s="2">
      <c r="E458" s="300" t="n">
        <v>30</v>
      </c>
      <c r="G458" s="296" t="n">
        <v>16</v>
      </c>
      <c r="H458" s="297" t="n">
        <v>16</v>
      </c>
      <c r="I458" s="133">
        <f>G458-H458</f>
        <v/>
      </c>
      <c r="J458" s="298" t="inlineStr">
        <is>
          <t>Теплотехника и основы теплопередачи</t>
        </is>
      </c>
      <c r="K458" s="298" t="inlineStr">
        <is>
          <t>ПЗ</t>
        </is>
      </c>
      <c r="L458" s="298" t="inlineStr">
        <is>
          <t>Т11О-307Б-19</t>
        </is>
      </c>
      <c r="M458" s="297" t="n">
        <v>16</v>
      </c>
      <c r="N458" s="298" t="inlineStr">
        <is>
          <t>14429</t>
        </is>
      </c>
      <c r="O458" s="297" t="n">
        <v>16</v>
      </c>
      <c r="P458" s="298" t="inlineStr">
        <is>
          <t xml:space="preserve">82086     </t>
        </is>
      </c>
      <c r="Q458" s="298" t="inlineStr">
        <is>
          <t xml:space="preserve">Смыков Андрей Федорович </t>
        </is>
      </c>
      <c r="R458" s="298" t="n"/>
      <c r="S458" s="298" t="inlineStr">
        <is>
          <t>Нет</t>
        </is>
      </c>
      <c r="T458" s="298" t="n"/>
      <c r="U458" s="298" t="n"/>
    </row>
    <row r="459" ht="15.75" customHeight="1" s="2">
      <c r="E459" s="300" t="n">
        <v>30</v>
      </c>
      <c r="G459" s="296" t="n">
        <v>16</v>
      </c>
      <c r="H459" s="297" t="n">
        <v>16</v>
      </c>
      <c r="I459" s="133">
        <f>G459-H459</f>
        <v/>
      </c>
      <c r="J459" s="298" t="inlineStr">
        <is>
          <t>Теплотехника и основы теплопередачи</t>
        </is>
      </c>
      <c r="K459" s="298" t="inlineStr">
        <is>
          <t>ПЗ</t>
        </is>
      </c>
      <c r="L459" s="298" t="inlineStr">
        <is>
          <t>Т11О-308Б-19</t>
        </is>
      </c>
      <c r="M459" s="297" t="n">
        <v>16</v>
      </c>
      <c r="N459" s="298" t="inlineStr">
        <is>
          <t>14429</t>
        </is>
      </c>
      <c r="O459" s="297" t="n">
        <v>16</v>
      </c>
      <c r="P459" s="298" t="inlineStr">
        <is>
          <t xml:space="preserve">82086     </t>
        </is>
      </c>
      <c r="Q459" s="298" t="inlineStr">
        <is>
          <t xml:space="preserve">Смыков Андрей Федорович </t>
        </is>
      </c>
      <c r="R459" s="298" t="n"/>
      <c r="S459" s="298" t="inlineStr">
        <is>
          <t>Нет</t>
        </is>
      </c>
      <c r="T459" s="298" t="n"/>
      <c r="U459" s="298" t="n"/>
    </row>
    <row r="460" ht="15.75" customHeight="1" s="2">
      <c r="E460" s="300" t="n">
        <v>1</v>
      </c>
      <c r="G460" s="296" t="n">
        <v>16</v>
      </c>
      <c r="H460" s="297" t="n">
        <v>16</v>
      </c>
      <c r="I460" s="133">
        <f>G460-H460</f>
        <v/>
      </c>
      <c r="J460" s="298" t="inlineStr">
        <is>
          <t>Теплотехника и основы теплопередачи</t>
        </is>
      </c>
      <c r="K460" s="298" t="inlineStr">
        <is>
          <t>ПЗ</t>
        </is>
      </c>
      <c r="L460" s="298" t="inlineStr">
        <is>
          <t>Т11О-309Б-19</t>
        </is>
      </c>
      <c r="M460" s="297" t="n">
        <v>16</v>
      </c>
      <c r="N460" s="298" t="inlineStr">
        <is>
          <t>14429</t>
        </is>
      </c>
      <c r="O460" s="297" t="n">
        <v>16</v>
      </c>
      <c r="P460" s="298" t="inlineStr">
        <is>
          <t xml:space="preserve">82086     </t>
        </is>
      </c>
      <c r="Q460" s="298" t="inlineStr">
        <is>
          <t xml:space="preserve">Смыков Андрей Федорович </t>
        </is>
      </c>
      <c r="R460" s="298" t="n"/>
      <c r="S460" s="298" t="inlineStr">
        <is>
          <t>Нет</t>
        </is>
      </c>
      <c r="T460" s="298" t="n"/>
      <c r="U460" s="298" t="n"/>
    </row>
    <row r="461" ht="15.75" customHeight="1" s="2">
      <c r="E461" s="300" t="n">
        <v>1</v>
      </c>
      <c r="G461" s="296" t="n">
        <v>24</v>
      </c>
      <c r="H461" s="297" t="n">
        <v>24</v>
      </c>
      <c r="I461" s="133">
        <f>G461-H461</f>
        <v/>
      </c>
      <c r="J461" s="298" t="inlineStr">
        <is>
          <t>Теплотехника и основы теплопередачи</t>
        </is>
      </c>
      <c r="K461" s="298" t="inlineStr">
        <is>
          <t>ЛР</t>
        </is>
      </c>
      <c r="L461" s="298" t="inlineStr">
        <is>
          <t>Т11О-304Б-19</t>
        </is>
      </c>
      <c r="M461" s="297" t="n">
        <v>24</v>
      </c>
      <c r="N461" s="298" t="inlineStr">
        <is>
          <t>14429</t>
        </is>
      </c>
      <c r="O461" s="297" t="n">
        <v>24</v>
      </c>
      <c r="P461" s="298" t="inlineStr">
        <is>
          <t xml:space="preserve">82086     </t>
        </is>
      </c>
      <c r="Q461" s="298" t="inlineStr">
        <is>
          <t xml:space="preserve">Смыков Андрей Федорович </t>
        </is>
      </c>
      <c r="R461" s="298" t="n"/>
      <c r="S461" s="298" t="inlineStr">
        <is>
          <t>Нет</t>
        </is>
      </c>
      <c r="T461" s="298" t="n"/>
      <c r="U461" s="298" t="n"/>
    </row>
    <row r="462" ht="15.75" customHeight="1" s="2">
      <c r="E462" s="300" t="n">
        <v>24</v>
      </c>
      <c r="G462" s="296" t="n">
        <v>24</v>
      </c>
      <c r="H462" s="297" t="n">
        <v>24</v>
      </c>
      <c r="I462" s="133">
        <f>G462-H462</f>
        <v/>
      </c>
      <c r="J462" s="298" t="inlineStr">
        <is>
          <t>Теплотехника и основы теплопередачи</t>
        </is>
      </c>
      <c r="K462" s="298" t="inlineStr">
        <is>
          <t>ЛР</t>
        </is>
      </c>
      <c r="L462" s="298" t="inlineStr">
        <is>
          <t>Т11О-301Б-19</t>
        </is>
      </c>
      <c r="M462" s="297" t="n">
        <v>24</v>
      </c>
      <c r="N462" s="298" t="inlineStr">
        <is>
          <t>14429</t>
        </is>
      </c>
      <c r="O462" s="297" t="n">
        <v>24</v>
      </c>
      <c r="P462" s="298" t="inlineStr">
        <is>
          <t xml:space="preserve">82086     </t>
        </is>
      </c>
      <c r="Q462" s="298" t="inlineStr">
        <is>
          <t xml:space="preserve">Смыков Андрей Федорович </t>
        </is>
      </c>
      <c r="R462" s="298" t="n"/>
      <c r="S462" s="298" t="inlineStr">
        <is>
          <t>Нет</t>
        </is>
      </c>
      <c r="T462" s="298" t="n"/>
      <c r="U462" s="298" t="n"/>
    </row>
    <row r="463" ht="15.75" customHeight="1" s="2">
      <c r="E463" s="300" t="n">
        <v>16</v>
      </c>
      <c r="G463" s="296" t="n">
        <v>48</v>
      </c>
      <c r="H463" s="297" t="n">
        <v>48</v>
      </c>
      <c r="I463" s="133">
        <f>G463-H463</f>
        <v/>
      </c>
      <c r="J463" s="298" t="inlineStr">
        <is>
          <t>Теплотехника и основы теплопередачи</t>
        </is>
      </c>
      <c r="K463" s="298" t="inlineStr">
        <is>
          <t>ЛР</t>
        </is>
      </c>
      <c r="L463" s="298" t="inlineStr">
        <is>
          <t>Т11О-302Б-19</t>
        </is>
      </c>
      <c r="M463" s="297" t="n">
        <v>48</v>
      </c>
      <c r="N463" s="298" t="inlineStr">
        <is>
          <t>14429</t>
        </is>
      </c>
      <c r="O463" s="297" t="n">
        <v>24</v>
      </c>
      <c r="P463" s="298" t="inlineStr">
        <is>
          <t xml:space="preserve">82086     </t>
        </is>
      </c>
      <c r="Q463" s="298" t="inlineStr">
        <is>
          <t xml:space="preserve">Смыков Андрей Федорович </t>
        </is>
      </c>
      <c r="R463" s="298" t="n"/>
      <c r="S463" s="298" t="inlineStr">
        <is>
          <t>Нет</t>
        </is>
      </c>
      <c r="T463" s="298" t="n"/>
      <c r="U463" s="298" t="n"/>
    </row>
    <row r="464" ht="15.75" customHeight="1" s="2">
      <c r="E464" s="300" t="n">
        <v>16</v>
      </c>
      <c r="G464" s="310" t="n">
        <v>24</v>
      </c>
      <c r="H464" s="311" t="n">
        <v>48</v>
      </c>
      <c r="I464" s="312">
        <f>G464-H464</f>
        <v/>
      </c>
      <c r="J464" s="298" t="inlineStr">
        <is>
          <t>Теплотехника и основы теплопередачи</t>
        </is>
      </c>
      <c r="K464" s="298" t="inlineStr">
        <is>
          <t>ЛР</t>
        </is>
      </c>
      <c r="L464" s="298" t="inlineStr">
        <is>
          <t>Т11О-305Б-19</t>
        </is>
      </c>
      <c r="M464" s="297" t="n">
        <v>48</v>
      </c>
      <c r="N464" s="298" t="inlineStr">
        <is>
          <t>14429</t>
        </is>
      </c>
      <c r="O464" s="297" t="n">
        <v>24</v>
      </c>
      <c r="P464" s="298" t="inlineStr">
        <is>
          <t xml:space="preserve">82086     </t>
        </is>
      </c>
      <c r="Q464" s="298" t="inlineStr">
        <is>
          <t xml:space="preserve">Смыков Андрей Федорович </t>
        </is>
      </c>
      <c r="R464" s="298" t="n"/>
      <c r="S464" s="298" t="inlineStr">
        <is>
          <t>Нет</t>
        </is>
      </c>
      <c r="T464" s="298" t="n"/>
      <c r="U464" s="298" t="n"/>
    </row>
    <row r="465" ht="15.75" customHeight="1" s="2">
      <c r="E465" s="300" t="n">
        <v>16</v>
      </c>
      <c r="G465" s="296" t="n">
        <v>24</v>
      </c>
      <c r="H465" s="297" t="n">
        <v>24</v>
      </c>
      <c r="I465" s="133">
        <f>G465-H465</f>
        <v/>
      </c>
      <c r="J465" s="298" t="inlineStr">
        <is>
          <t>Теплотехника и основы теплопередачи</t>
        </is>
      </c>
      <c r="K465" s="298" t="inlineStr">
        <is>
          <t>ЛР</t>
        </is>
      </c>
      <c r="L465" s="298" t="inlineStr">
        <is>
          <t>Т11О-307Б-19</t>
        </is>
      </c>
      <c r="M465" s="297" t="n">
        <v>24</v>
      </c>
      <c r="N465" s="298" t="inlineStr">
        <is>
          <t>14429</t>
        </is>
      </c>
      <c r="O465" s="297" t="n">
        <v>24</v>
      </c>
      <c r="P465" s="298" t="inlineStr">
        <is>
          <t xml:space="preserve">82086     </t>
        </is>
      </c>
      <c r="Q465" s="298" t="inlineStr">
        <is>
          <t xml:space="preserve">Смыков Андрей Федорович </t>
        </is>
      </c>
      <c r="R465" s="298" t="n"/>
      <c r="S465" s="298" t="inlineStr">
        <is>
          <t>Нет</t>
        </is>
      </c>
      <c r="T465" s="298" t="n"/>
      <c r="U465" s="298" t="n"/>
    </row>
    <row r="466" ht="15.75" customHeight="1" s="2">
      <c r="E466" s="300" t="n">
        <v>16</v>
      </c>
      <c r="G466" s="296" t="n">
        <v>48</v>
      </c>
      <c r="H466" s="297" t="n">
        <v>48</v>
      </c>
      <c r="I466" s="133">
        <f>G466-H466</f>
        <v/>
      </c>
      <c r="J466" s="298" t="inlineStr">
        <is>
          <t>Теплотехника и основы теплопередачи</t>
        </is>
      </c>
      <c r="K466" s="298" t="inlineStr">
        <is>
          <t>ЛР</t>
        </is>
      </c>
      <c r="L466" s="298" t="inlineStr">
        <is>
          <t>Т11О-308Б-19</t>
        </is>
      </c>
      <c r="M466" s="297" t="n">
        <v>48</v>
      </c>
      <c r="N466" s="298" t="inlineStr">
        <is>
          <t>14429</t>
        </is>
      </c>
      <c r="O466" s="297" t="n">
        <v>24</v>
      </c>
      <c r="P466" s="298" t="inlineStr">
        <is>
          <t xml:space="preserve">82086     </t>
        </is>
      </c>
      <c r="Q466" s="298" t="inlineStr">
        <is>
          <t xml:space="preserve">Смыков Андрей Федорович </t>
        </is>
      </c>
      <c r="R466" s="298" t="n"/>
      <c r="S466" s="298" t="inlineStr">
        <is>
          <t>Нет</t>
        </is>
      </c>
      <c r="T466" s="298" t="n"/>
      <c r="U466" s="298" t="n"/>
    </row>
    <row r="467" ht="15.75" customHeight="1" s="2">
      <c r="E467" s="300" t="n">
        <v>16</v>
      </c>
      <c r="G467" s="296" t="n">
        <v>48</v>
      </c>
      <c r="H467" s="297" t="n">
        <v>48</v>
      </c>
      <c r="I467" s="133">
        <f>G467-H467</f>
        <v/>
      </c>
      <c r="J467" s="298" t="inlineStr">
        <is>
          <t>Теплотехника и основы теплопередачи</t>
        </is>
      </c>
      <c r="K467" s="298" t="inlineStr">
        <is>
          <t>ЛР</t>
        </is>
      </c>
      <c r="L467" s="298" t="inlineStr">
        <is>
          <t>Т11О-309Б-19</t>
        </is>
      </c>
      <c r="M467" s="297" t="n">
        <v>48</v>
      </c>
      <c r="N467" s="298" t="inlineStr">
        <is>
          <t>14429</t>
        </is>
      </c>
      <c r="O467" s="297" t="n">
        <v>24</v>
      </c>
      <c r="P467" s="298" t="inlineStr">
        <is>
          <t xml:space="preserve">82086     </t>
        </is>
      </c>
      <c r="Q467" s="298" t="inlineStr">
        <is>
          <t xml:space="preserve">Смыков Андрей Федорович </t>
        </is>
      </c>
      <c r="R467" s="298" t="n"/>
      <c r="S467" s="298" t="inlineStr">
        <is>
          <t>Нет</t>
        </is>
      </c>
      <c r="T467" s="298" t="n"/>
      <c r="U467" s="298" t="n"/>
    </row>
    <row r="468" ht="15.75" customHeight="1" s="2">
      <c r="E468" s="300" t="n">
        <v>16</v>
      </c>
      <c r="G468" s="296" t="n">
        <v>8</v>
      </c>
      <c r="H468" s="297" t="n">
        <v>8</v>
      </c>
      <c r="I468" s="133">
        <f>G468-H468</f>
        <v/>
      </c>
      <c r="J468" s="298" t="inlineStr">
        <is>
          <t>Теплотехника и основы теплопередачи</t>
        </is>
      </c>
      <c r="K468" s="298" t="inlineStr">
        <is>
          <t>Экзамен</t>
        </is>
      </c>
      <c r="L468" s="298" t="inlineStr">
        <is>
          <t>Т11О-304Б-19</t>
        </is>
      </c>
      <c r="M468" s="297" t="n">
        <v>8</v>
      </c>
      <c r="N468" s="298" t="inlineStr">
        <is>
          <t>14429</t>
        </is>
      </c>
      <c r="O468" s="299" t="n"/>
      <c r="P468" s="298" t="inlineStr">
        <is>
          <t xml:space="preserve">82086     </t>
        </is>
      </c>
      <c r="Q468" s="298" t="inlineStr">
        <is>
          <t xml:space="preserve">Смыков Андрей Федорович </t>
        </is>
      </c>
      <c r="R468" s="298" t="n"/>
      <c r="S468" s="298" t="inlineStr">
        <is>
          <t>Нет</t>
        </is>
      </c>
      <c r="T468" s="298" t="n"/>
      <c r="U468" s="298" t="n"/>
    </row>
    <row r="469" ht="15.75" customHeight="1" s="2">
      <c r="E469" s="300" t="n">
        <v>16</v>
      </c>
      <c r="G469" s="296" t="n">
        <v>8</v>
      </c>
      <c r="H469" s="297" t="n">
        <v>8</v>
      </c>
      <c r="I469" s="133">
        <f>G469-H469</f>
        <v/>
      </c>
      <c r="J469" s="298" t="inlineStr">
        <is>
          <t>Теплотехника и основы теплопередачи</t>
        </is>
      </c>
      <c r="K469" s="298" t="inlineStr">
        <is>
          <t>Экзамен</t>
        </is>
      </c>
      <c r="L469" s="298" t="inlineStr">
        <is>
          <t>Т11О-301Б-19</t>
        </is>
      </c>
      <c r="M469" s="297" t="n">
        <v>8</v>
      </c>
      <c r="N469" s="298" t="inlineStr">
        <is>
          <t>14429</t>
        </is>
      </c>
      <c r="O469" s="299" t="n"/>
      <c r="P469" s="298" t="inlineStr">
        <is>
          <t xml:space="preserve">82086     </t>
        </is>
      </c>
      <c r="Q469" s="298" t="inlineStr">
        <is>
          <t xml:space="preserve">Смыков Андрей Федорович </t>
        </is>
      </c>
      <c r="R469" s="298" t="n"/>
      <c r="S469" s="298" t="inlineStr">
        <is>
          <t>Нет</t>
        </is>
      </c>
      <c r="T469" s="298" t="n"/>
      <c r="U469" s="298" t="n"/>
    </row>
    <row r="470" ht="15.75" customHeight="1" s="2">
      <c r="E470" s="295" t="n">
        <v>24</v>
      </c>
      <c r="G470" s="296" t="n">
        <v>12</v>
      </c>
      <c r="H470" s="297" t="n">
        <v>12</v>
      </c>
      <c r="I470" s="133">
        <f>G470-H470</f>
        <v/>
      </c>
      <c r="J470" s="298" t="inlineStr">
        <is>
          <t>Теплотехника и основы теплопередачи</t>
        </is>
      </c>
      <c r="K470" s="298" t="inlineStr">
        <is>
          <t>Экзамен</t>
        </is>
      </c>
      <c r="L470" s="298" t="inlineStr">
        <is>
          <t>Т11О-302Б-19</t>
        </is>
      </c>
      <c r="M470" s="297" t="n">
        <v>12</v>
      </c>
      <c r="N470" s="298" t="inlineStr">
        <is>
          <t>14429</t>
        </is>
      </c>
      <c r="O470" s="299" t="n"/>
      <c r="P470" s="298" t="inlineStr">
        <is>
          <t xml:space="preserve">82086     </t>
        </is>
      </c>
      <c r="Q470" s="298" t="inlineStr">
        <is>
          <t xml:space="preserve">Смыков Андрей Федорович </t>
        </is>
      </c>
      <c r="R470" s="298" t="n"/>
      <c r="S470" s="298" t="inlineStr">
        <is>
          <t>Нет</t>
        </is>
      </c>
      <c r="T470" s="298" t="n"/>
      <c r="U470" s="298" t="n"/>
    </row>
    <row r="471" ht="15.75" customHeight="1" s="2">
      <c r="E471" s="295" t="n">
        <v>24</v>
      </c>
      <c r="G471" s="296" t="n">
        <v>8</v>
      </c>
      <c r="H471" s="297" t="n">
        <v>8</v>
      </c>
      <c r="I471" s="133">
        <f>G471-H471</f>
        <v/>
      </c>
      <c r="J471" s="298" t="inlineStr">
        <is>
          <t>Теплотехника и основы теплопередачи</t>
        </is>
      </c>
      <c r="K471" s="298" t="inlineStr">
        <is>
          <t>Экзамен</t>
        </is>
      </c>
      <c r="L471" s="298" t="inlineStr">
        <is>
          <t>Т11О-305Б-19</t>
        </is>
      </c>
      <c r="M471" s="297" t="n">
        <v>8</v>
      </c>
      <c r="N471" s="298" t="inlineStr">
        <is>
          <t>14429</t>
        </is>
      </c>
      <c r="O471" s="299" t="n"/>
      <c r="P471" s="298" t="inlineStr">
        <is>
          <t xml:space="preserve">82086     </t>
        </is>
      </c>
      <c r="Q471" s="298" t="inlineStr">
        <is>
          <t xml:space="preserve">Смыков Андрей Федорович </t>
        </is>
      </c>
      <c r="R471" s="298" t="n"/>
      <c r="S471" s="298" t="inlineStr">
        <is>
          <t>Нет</t>
        </is>
      </c>
      <c r="T471" s="298" t="n"/>
      <c r="U471" s="298" t="n"/>
    </row>
    <row r="472" ht="15.75" customHeight="1" s="2">
      <c r="E472" s="300" t="n">
        <v>48</v>
      </c>
      <c r="G472" s="296" t="n">
        <v>8</v>
      </c>
      <c r="H472" s="297" t="n">
        <v>8</v>
      </c>
      <c r="I472" s="133">
        <f>G472-H472</f>
        <v/>
      </c>
      <c r="J472" s="298" t="inlineStr">
        <is>
          <t>Теплотехника и основы теплопередачи</t>
        </is>
      </c>
      <c r="K472" s="298" t="inlineStr">
        <is>
          <t>Экзамен</t>
        </is>
      </c>
      <c r="L472" s="298" t="inlineStr">
        <is>
          <t>Т11О-307Б-19</t>
        </is>
      </c>
      <c r="M472" s="297" t="n">
        <v>8</v>
      </c>
      <c r="N472" s="298" t="inlineStr">
        <is>
          <t>14429</t>
        </is>
      </c>
      <c r="O472" s="299" t="n"/>
      <c r="P472" s="298" t="inlineStr">
        <is>
          <t xml:space="preserve">82086     </t>
        </is>
      </c>
      <c r="Q472" s="298" t="inlineStr">
        <is>
          <t xml:space="preserve">Смыков Андрей Федорович </t>
        </is>
      </c>
      <c r="R472" s="298" t="n"/>
      <c r="S472" s="298" t="inlineStr">
        <is>
          <t>Нет</t>
        </is>
      </c>
      <c r="T472" s="298" t="n"/>
      <c r="U472" s="298" t="n"/>
    </row>
    <row r="473" ht="15.75" customHeight="1" s="2">
      <c r="E473" s="295" t="n">
        <v>24</v>
      </c>
      <c r="G473" s="296" t="n">
        <v>9</v>
      </c>
      <c r="H473" s="297" t="n">
        <v>9</v>
      </c>
      <c r="I473" s="133">
        <f>G473-H473</f>
        <v/>
      </c>
      <c r="J473" s="298" t="inlineStr">
        <is>
          <t>Теплотехника и основы теплопередачи</t>
        </is>
      </c>
      <c r="K473" s="298" t="inlineStr">
        <is>
          <t>Экзамен</t>
        </is>
      </c>
      <c r="L473" s="298" t="inlineStr">
        <is>
          <t>Т11О-308Б-19</t>
        </is>
      </c>
      <c r="M473" s="297" t="n">
        <v>9</v>
      </c>
      <c r="N473" s="298" t="inlineStr">
        <is>
          <t>14429</t>
        </is>
      </c>
      <c r="O473" s="299" t="n"/>
      <c r="P473" s="298" t="inlineStr">
        <is>
          <t xml:space="preserve">82086     </t>
        </is>
      </c>
      <c r="Q473" s="298" t="inlineStr">
        <is>
          <t xml:space="preserve">Смыков Андрей Федорович </t>
        </is>
      </c>
      <c r="R473" s="298" t="n"/>
      <c r="S473" s="298" t="inlineStr">
        <is>
          <t>Нет</t>
        </is>
      </c>
      <c r="T473" s="298" t="n"/>
      <c r="U473" s="298" t="n"/>
    </row>
    <row r="474" ht="15.75" customHeight="1" s="2">
      <c r="E474" s="300" t="n">
        <v>24</v>
      </c>
      <c r="G474" s="296" t="n">
        <v>8</v>
      </c>
      <c r="H474" s="297" t="n">
        <v>8</v>
      </c>
      <c r="I474" s="133">
        <f>G474-H474</f>
        <v/>
      </c>
      <c r="J474" s="298" t="inlineStr">
        <is>
          <t>Теплотехника и основы теплопередачи</t>
        </is>
      </c>
      <c r="K474" s="298" t="inlineStr">
        <is>
          <t>Экзамен</t>
        </is>
      </c>
      <c r="L474" s="298" t="inlineStr">
        <is>
          <t>Т11О-309Б-19</t>
        </is>
      </c>
      <c r="M474" s="297" t="n">
        <v>8</v>
      </c>
      <c r="N474" s="298" t="inlineStr">
        <is>
          <t>14429</t>
        </is>
      </c>
      <c r="O474" s="299" t="n"/>
      <c r="P474" s="298" t="inlineStr">
        <is>
          <t xml:space="preserve">82086     </t>
        </is>
      </c>
      <c r="Q474" s="298" t="inlineStr">
        <is>
          <t xml:space="preserve">Смыков Андрей Федорович </t>
        </is>
      </c>
      <c r="R474" s="298" t="n"/>
      <c r="S474" s="298" t="inlineStr">
        <is>
          <t>Нет</t>
        </is>
      </c>
      <c r="T474" s="298" t="n"/>
      <c r="U474" s="298" t="n"/>
    </row>
    <row r="475" ht="15.75" customHeight="1" s="2">
      <c r="E475" s="300" t="n">
        <v>48</v>
      </c>
      <c r="G475" s="296" t="n">
        <v>3</v>
      </c>
      <c r="H475" s="297" t="n">
        <v>3</v>
      </c>
      <c r="I475" s="133">
        <f>G475-H475</f>
        <v/>
      </c>
      <c r="J475" s="298" t="inlineStr">
        <is>
          <t>Теплотехника и основы теплопередачи</t>
        </is>
      </c>
      <c r="K475" s="298" t="inlineStr">
        <is>
          <t>Консультация</t>
        </is>
      </c>
      <c r="L475" s="298" t="inlineStr">
        <is>
          <t>Т11О-304Б-19</t>
        </is>
      </c>
      <c r="M475" s="297" t="n">
        <v>3</v>
      </c>
      <c r="N475" s="298" t="inlineStr">
        <is>
          <t>14429</t>
        </is>
      </c>
      <c r="O475" s="299" t="n"/>
      <c r="P475" s="298" t="inlineStr">
        <is>
          <t xml:space="preserve">82086     </t>
        </is>
      </c>
      <c r="Q475" s="298" t="inlineStr">
        <is>
          <t xml:space="preserve">Смыков Андрей Федорович </t>
        </is>
      </c>
      <c r="R475" s="298" t="n"/>
      <c r="S475" s="298" t="inlineStr">
        <is>
          <t>Нет</t>
        </is>
      </c>
      <c r="T475" s="298" t="n"/>
      <c r="U475" s="298" t="n"/>
    </row>
    <row r="476" ht="15.75" customHeight="1" s="2">
      <c r="E476" s="300" t="n">
        <v>48</v>
      </c>
      <c r="G476" s="296" t="n">
        <v>3</v>
      </c>
      <c r="H476" s="297" t="n">
        <v>3</v>
      </c>
      <c r="I476" s="133">
        <f>G476-H476</f>
        <v/>
      </c>
      <c r="J476" s="298" t="inlineStr">
        <is>
          <t>Теплотехника и основы теплопередачи</t>
        </is>
      </c>
      <c r="K476" s="298" t="inlineStr">
        <is>
          <t>Консультация</t>
        </is>
      </c>
      <c r="L476" s="298" t="inlineStr">
        <is>
          <t>Т11О-301Б-19</t>
        </is>
      </c>
      <c r="M476" s="297" t="n">
        <v>3</v>
      </c>
      <c r="N476" s="298" t="inlineStr">
        <is>
          <t>14429</t>
        </is>
      </c>
      <c r="O476" s="299" t="n"/>
      <c r="P476" s="298" t="inlineStr">
        <is>
          <t xml:space="preserve">82086     </t>
        </is>
      </c>
      <c r="Q476" s="298" t="inlineStr">
        <is>
          <t xml:space="preserve">Смыков Андрей Федорович </t>
        </is>
      </c>
      <c r="R476" s="298" t="n"/>
      <c r="S476" s="298" t="inlineStr">
        <is>
          <t>Нет</t>
        </is>
      </c>
      <c r="T476" s="298" t="n"/>
      <c r="U476" s="298" t="n"/>
    </row>
    <row r="477" ht="15.75" customHeight="1" s="2">
      <c r="E477" s="300" t="n">
        <v>8</v>
      </c>
      <c r="G477" s="296" t="n">
        <v>3</v>
      </c>
      <c r="H477" s="297" t="n">
        <v>3</v>
      </c>
      <c r="I477" s="133">
        <f>G477-H477</f>
        <v/>
      </c>
      <c r="J477" s="298" t="inlineStr">
        <is>
          <t>Теплотехника и основы теплопередачи</t>
        </is>
      </c>
      <c r="K477" s="298" t="inlineStr">
        <is>
          <t>Консультация</t>
        </is>
      </c>
      <c r="L477" s="298" t="inlineStr">
        <is>
          <t>Т11О-302Б-19</t>
        </is>
      </c>
      <c r="M477" s="297" t="n">
        <v>3</v>
      </c>
      <c r="N477" s="298" t="inlineStr">
        <is>
          <t>14429</t>
        </is>
      </c>
      <c r="O477" s="299" t="n"/>
      <c r="P477" s="298" t="inlineStr">
        <is>
          <t xml:space="preserve">82086     </t>
        </is>
      </c>
      <c r="Q477" s="298" t="inlineStr">
        <is>
          <t xml:space="preserve">Смыков Андрей Федорович </t>
        </is>
      </c>
      <c r="R477" s="298" t="n"/>
      <c r="S477" s="298" t="inlineStr">
        <is>
          <t>Нет</t>
        </is>
      </c>
      <c r="T477" s="298" t="n"/>
      <c r="U477" s="298" t="n"/>
    </row>
    <row r="478" ht="15.75" customHeight="1" s="2">
      <c r="E478" s="300" t="n">
        <v>8</v>
      </c>
      <c r="G478" s="296" t="n">
        <v>3</v>
      </c>
      <c r="H478" s="297" t="n">
        <v>3</v>
      </c>
      <c r="I478" s="133">
        <f>G478-H478</f>
        <v/>
      </c>
      <c r="J478" s="298" t="inlineStr">
        <is>
          <t>Теплотехника и основы теплопередачи</t>
        </is>
      </c>
      <c r="K478" s="298" t="inlineStr">
        <is>
          <t>Консультация</t>
        </is>
      </c>
      <c r="L478" s="298" t="inlineStr">
        <is>
          <t>Т11О-305Б-19</t>
        </is>
      </c>
      <c r="M478" s="297" t="n">
        <v>3</v>
      </c>
      <c r="N478" s="298" t="inlineStr">
        <is>
          <t>14429</t>
        </is>
      </c>
      <c r="O478" s="299" t="n"/>
      <c r="P478" s="298" t="inlineStr">
        <is>
          <t xml:space="preserve">82086     </t>
        </is>
      </c>
      <c r="Q478" s="298" t="inlineStr">
        <is>
          <t xml:space="preserve">Смыков Андрей Федорович </t>
        </is>
      </c>
      <c r="R478" s="298" t="n"/>
      <c r="S478" s="298" t="inlineStr">
        <is>
          <t>Нет</t>
        </is>
      </c>
      <c r="T478" s="298" t="n"/>
      <c r="U478" s="298" t="n"/>
    </row>
    <row r="479" ht="15.75" customHeight="1" s="2">
      <c r="E479" s="300" t="n">
        <v>12</v>
      </c>
      <c r="G479" s="296" t="n">
        <v>3</v>
      </c>
      <c r="H479" s="297" t="n">
        <v>3</v>
      </c>
      <c r="I479" s="133">
        <f>G479-H479</f>
        <v/>
      </c>
      <c r="J479" s="298" t="inlineStr">
        <is>
          <t>Теплотехника и основы теплопередачи</t>
        </is>
      </c>
      <c r="K479" s="298" t="inlineStr">
        <is>
          <t>Консультация</t>
        </is>
      </c>
      <c r="L479" s="298" t="inlineStr">
        <is>
          <t>Т11О-307Б-19</t>
        </is>
      </c>
      <c r="M479" s="297" t="n">
        <v>3</v>
      </c>
      <c r="N479" s="298" t="inlineStr">
        <is>
          <t>14429</t>
        </is>
      </c>
      <c r="O479" s="299" t="n"/>
      <c r="P479" s="298" t="inlineStr">
        <is>
          <t xml:space="preserve">82086     </t>
        </is>
      </c>
      <c r="Q479" s="298" t="inlineStr">
        <is>
          <t xml:space="preserve">Смыков Андрей Федорович </t>
        </is>
      </c>
      <c r="R479" s="298" t="n"/>
      <c r="S479" s="298" t="inlineStr">
        <is>
          <t>Нет</t>
        </is>
      </c>
      <c r="T479" s="298" t="n"/>
      <c r="U479" s="298" t="n"/>
    </row>
    <row r="480" ht="15.75" customHeight="1" s="2">
      <c r="E480" s="300" t="n">
        <v>8</v>
      </c>
      <c r="G480" s="296" t="n">
        <v>3</v>
      </c>
      <c r="H480" s="297" t="n">
        <v>3</v>
      </c>
      <c r="I480" s="133">
        <f>G480-H480</f>
        <v/>
      </c>
      <c r="J480" s="298" t="inlineStr">
        <is>
          <t>Теплотехника и основы теплопередачи</t>
        </is>
      </c>
      <c r="K480" s="298" t="inlineStr">
        <is>
          <t>Консультация</t>
        </is>
      </c>
      <c r="L480" s="298" t="inlineStr">
        <is>
          <t>Т11О-308Б-19</t>
        </is>
      </c>
      <c r="M480" s="297" t="n">
        <v>3</v>
      </c>
      <c r="N480" s="298" t="inlineStr">
        <is>
          <t>14429</t>
        </is>
      </c>
      <c r="O480" s="299" t="n"/>
      <c r="P480" s="298" t="inlineStr">
        <is>
          <t xml:space="preserve">82086     </t>
        </is>
      </c>
      <c r="Q480" s="298" t="inlineStr">
        <is>
          <t xml:space="preserve">Смыков Андрей Федорович </t>
        </is>
      </c>
      <c r="R480" s="298" t="n"/>
      <c r="S480" s="298" t="inlineStr">
        <is>
          <t>Нет</t>
        </is>
      </c>
      <c r="T480" s="298" t="n"/>
      <c r="U480" s="298" t="n"/>
    </row>
    <row r="481" ht="15.75" customHeight="1" s="2">
      <c r="E481" s="300" t="n">
        <v>8</v>
      </c>
      <c r="G481" s="296" t="n">
        <v>3</v>
      </c>
      <c r="H481" s="297" t="n">
        <v>3</v>
      </c>
      <c r="I481" s="133">
        <f>G481-H481</f>
        <v/>
      </c>
      <c r="J481" s="298" t="inlineStr">
        <is>
          <t>Теплотехника и основы теплопередачи</t>
        </is>
      </c>
      <c r="K481" s="298" t="inlineStr">
        <is>
          <t>Консультация</t>
        </is>
      </c>
      <c r="L481" s="298" t="inlineStr">
        <is>
          <t>Т11О-309Б-19</t>
        </is>
      </c>
      <c r="M481" s="297" t="n">
        <v>3</v>
      </c>
      <c r="N481" s="298" t="inlineStr">
        <is>
          <t>14429</t>
        </is>
      </c>
      <c r="O481" s="299" t="n"/>
      <c r="P481" s="298" t="inlineStr">
        <is>
          <t xml:space="preserve">82086     </t>
        </is>
      </c>
      <c r="Q481" s="298" t="inlineStr">
        <is>
          <t xml:space="preserve">Смыков Андрей Федорович </t>
        </is>
      </c>
      <c r="R481" s="298" t="n"/>
      <c r="S481" s="298" t="inlineStr">
        <is>
          <t>Нет</t>
        </is>
      </c>
      <c r="T481" s="298" t="n"/>
      <c r="U481" s="298" t="n"/>
    </row>
    <row r="482" ht="15.75" customHeight="1" s="2">
      <c r="E482" s="295" t="n">
        <v>9</v>
      </c>
      <c r="G482" s="296" t="n">
        <v>24</v>
      </c>
      <c r="H482" s="297" t="n">
        <v>24</v>
      </c>
      <c r="I482" s="133">
        <f>G482-H482</f>
        <v/>
      </c>
      <c r="J482" s="298" t="inlineStr">
        <is>
          <t>Теория процессов создания современных материалов и покрытий</t>
        </is>
      </c>
      <c r="K482" s="298" t="inlineStr">
        <is>
          <t>ЛК</t>
        </is>
      </c>
      <c r="L482" s="298" t="inlineStr">
        <is>
          <t>Т11О-204А-20, Т11О-207А-20</t>
        </is>
      </c>
      <c r="M482" s="297" t="n">
        <v>24</v>
      </c>
      <c r="N482" s="298" t="inlineStr">
        <is>
          <t>14417</t>
        </is>
      </c>
      <c r="O482" s="297" t="n">
        <v>24</v>
      </c>
      <c r="P482" s="298" t="inlineStr">
        <is>
          <t xml:space="preserve">82060     </t>
        </is>
      </c>
      <c r="Q482" s="298" t="inlineStr">
        <is>
          <t xml:space="preserve">Лозован Александр Александрович </t>
        </is>
      </c>
      <c r="R482" s="298" t="n"/>
      <c r="S482" s="298" t="inlineStr">
        <is>
          <t>Да</t>
        </is>
      </c>
      <c r="T482" s="298" t="inlineStr">
        <is>
          <t>Орш. А-117</t>
        </is>
      </c>
      <c r="U482" s="298" t="inlineStr">
        <is>
          <t>(Т11О-04А-20) Лиджиев Арсланг Алексеевич+ Нейман Алёна Владимировна (Т11О-07А-20)Жуковский Павел Леонидович + Митрофанов Андрей Леонидович</t>
        </is>
      </c>
    </row>
    <row r="483" ht="15.75" customHeight="1" s="2">
      <c r="E483" s="295" t="n">
        <v>8</v>
      </c>
      <c r="G483" s="296" t="n">
        <v>1</v>
      </c>
      <c r="H483" s="297" t="n">
        <v>1</v>
      </c>
      <c r="I483" s="133">
        <f>G483-H483</f>
        <v/>
      </c>
      <c r="J483" s="298" t="inlineStr">
        <is>
          <t>Теория процессов создания современных материалов и покрытий</t>
        </is>
      </c>
      <c r="K483" s="298" t="inlineStr">
        <is>
          <t>Зачет с оценкой</t>
        </is>
      </c>
      <c r="L483" s="298" t="inlineStr">
        <is>
          <t>Т11О-207А-20</t>
        </is>
      </c>
      <c r="M483" s="297" t="n">
        <v>1</v>
      </c>
      <c r="N483" s="298" t="inlineStr">
        <is>
          <t>14417</t>
        </is>
      </c>
      <c r="O483" s="299" t="n"/>
      <c r="P483" s="298" t="inlineStr">
        <is>
          <t xml:space="preserve">82060     </t>
        </is>
      </c>
      <c r="Q483" s="298" t="inlineStr">
        <is>
          <t xml:space="preserve">Лозован Александр Александрович </t>
        </is>
      </c>
      <c r="R483" s="298" t="n"/>
      <c r="S483" s="298" t="inlineStr">
        <is>
          <t>Да</t>
        </is>
      </c>
      <c r="T483" s="298" t="inlineStr">
        <is>
          <t>Орш. А-117</t>
        </is>
      </c>
      <c r="U483" s="298" t="inlineStr">
        <is>
          <t xml:space="preserve"> (Т11О-07А-20)Жуковский Павел Леонидович + Митрофанов Андрей Леонидович</t>
        </is>
      </c>
    </row>
    <row r="484" ht="15.75" customHeight="1" s="2">
      <c r="E484" s="300" t="n">
        <v>3</v>
      </c>
      <c r="G484" s="296" t="n">
        <v>1</v>
      </c>
      <c r="H484" s="297" t="n">
        <v>1</v>
      </c>
      <c r="I484" s="133">
        <f>G484-H484</f>
        <v/>
      </c>
      <c r="J484" s="298" t="inlineStr">
        <is>
          <t>Теория процессов создания современных материалов и покрытий</t>
        </is>
      </c>
      <c r="K484" s="298" t="inlineStr">
        <is>
          <t>Зачет с оценкой</t>
        </is>
      </c>
      <c r="L484" s="298" t="inlineStr">
        <is>
          <t>Т11О-204А-20</t>
        </is>
      </c>
      <c r="M484" s="297" t="n">
        <v>1</v>
      </c>
      <c r="N484" s="298" t="inlineStr">
        <is>
          <t>14417</t>
        </is>
      </c>
      <c r="O484" s="299" t="n"/>
      <c r="P484" s="298" t="inlineStr">
        <is>
          <t xml:space="preserve">82060     </t>
        </is>
      </c>
      <c r="Q484" s="298" t="inlineStr">
        <is>
          <t xml:space="preserve">Лозован Александр Александрович </t>
        </is>
      </c>
      <c r="R484" s="298" t="n"/>
      <c r="S484" s="298" t="inlineStr">
        <is>
          <t>Да</t>
        </is>
      </c>
      <c r="T484" s="298" t="n"/>
      <c r="U484" s="298" t="inlineStr">
        <is>
          <t>Т11О-204А-20 Лиджиев Арсланг Алексеевич+ Нейман Алёна Владимировна</t>
        </is>
      </c>
    </row>
    <row r="485" ht="15.75" customHeight="1" s="2">
      <c r="E485" s="300" t="n">
        <v>3</v>
      </c>
      <c r="G485" s="296" t="n">
        <v>8</v>
      </c>
      <c r="H485" s="297" t="n">
        <v>8</v>
      </c>
      <c r="I485" s="133">
        <f>G485-H485</f>
        <v/>
      </c>
      <c r="J485" s="298" t="inlineStr">
        <is>
          <t>Теория процессов создания современных материалов и покрытий</t>
        </is>
      </c>
      <c r="K485" s="298" t="inlineStr">
        <is>
          <t>ПЗ</t>
        </is>
      </c>
      <c r="L485" s="298" t="inlineStr">
        <is>
          <t>Т11О-204А-20, Т11О-207А-20</t>
        </is>
      </c>
      <c r="M485" s="297" t="n">
        <v>8</v>
      </c>
      <c r="N485" s="298" t="inlineStr">
        <is>
          <t>14417</t>
        </is>
      </c>
      <c r="O485" s="297" t="n">
        <v>8</v>
      </c>
      <c r="P485" s="298" t="inlineStr">
        <is>
          <t xml:space="preserve">82060     </t>
        </is>
      </c>
      <c r="Q485" s="298" t="inlineStr">
        <is>
          <t xml:space="preserve">Лозован Александр Александрович </t>
        </is>
      </c>
      <c r="R485" s="298" t="n"/>
      <c r="S485" s="298" t="inlineStr">
        <is>
          <t>Да</t>
        </is>
      </c>
      <c r="T485" s="298" t="inlineStr">
        <is>
          <t>Орш. А-509</t>
        </is>
      </c>
      <c r="U485" s="298" t="inlineStr">
        <is>
          <t>(Т11О-04А-20) Лиджиев Арсланг Алексеевич+ Нейман Алёна Владимировна (Т11О-07А-20)Жуковский Павел Леонидович + Митрофанов Андрей Леонидович</t>
        </is>
      </c>
    </row>
    <row r="486" ht="15.75" customHeight="1" s="2">
      <c r="E486" s="300" t="n">
        <v>3</v>
      </c>
      <c r="G486" s="296" t="n">
        <v>1</v>
      </c>
      <c r="H486" s="297" t="n">
        <v>1</v>
      </c>
      <c r="I486" s="133">
        <f>G486-H486</f>
        <v/>
      </c>
      <c r="J486" s="298" t="inlineStr">
        <is>
          <t>Теория процессов создания современных материалов и покрытий</t>
        </is>
      </c>
      <c r="K486" s="298" t="inlineStr">
        <is>
          <t>Консультация</t>
        </is>
      </c>
      <c r="L486" s="298" t="inlineStr">
        <is>
          <t>Т11О-207А-20</t>
        </is>
      </c>
      <c r="M486" s="297" t="n">
        <v>1</v>
      </c>
      <c r="N486" s="298" t="inlineStr">
        <is>
          <t>14417</t>
        </is>
      </c>
      <c r="O486" s="299" t="n"/>
      <c r="P486" s="298" t="inlineStr">
        <is>
          <t xml:space="preserve">82060     </t>
        </is>
      </c>
      <c r="Q486" s="298" t="inlineStr">
        <is>
          <t xml:space="preserve">Лозован Александр Александрович </t>
        </is>
      </c>
      <c r="R486" s="298" t="n"/>
      <c r="S486" s="298" t="inlineStr">
        <is>
          <t>Да</t>
        </is>
      </c>
      <c r="T486" s="298" t="n"/>
      <c r="U486" s="298" t="inlineStr">
        <is>
          <t xml:space="preserve"> (Т11О-07А-20)Жуковский Павел Леонидович + Митрофанов Андрей Леонидович</t>
        </is>
      </c>
    </row>
    <row r="487" ht="15.75" customHeight="1" s="2">
      <c r="E487" s="300" t="n">
        <v>3</v>
      </c>
      <c r="G487" s="296" t="n">
        <v>1</v>
      </c>
      <c r="H487" s="297" t="n">
        <v>1</v>
      </c>
      <c r="I487" s="133">
        <f>G487-H487</f>
        <v/>
      </c>
      <c r="J487" s="298" t="inlineStr">
        <is>
          <t>Теория процессов создания современных материалов и покрытий</t>
        </is>
      </c>
      <c r="K487" s="298" t="inlineStr">
        <is>
          <t>Консультация</t>
        </is>
      </c>
      <c r="L487" s="298" t="inlineStr">
        <is>
          <t>Т11О-204А-20</t>
        </is>
      </c>
      <c r="M487" s="297" t="n">
        <v>1</v>
      </c>
      <c r="N487" s="298" t="inlineStr">
        <is>
          <t>14417</t>
        </is>
      </c>
      <c r="O487" s="299" t="n"/>
      <c r="P487" s="298" t="inlineStr">
        <is>
          <t xml:space="preserve">82060     </t>
        </is>
      </c>
      <c r="Q487" s="298" t="inlineStr">
        <is>
          <t xml:space="preserve">Лозован Александр Александрович </t>
        </is>
      </c>
      <c r="R487" s="298" t="n"/>
      <c r="S487" s="298" t="inlineStr">
        <is>
          <t>Да</t>
        </is>
      </c>
      <c r="T487" s="298" t="n"/>
      <c r="U487" s="298" t="inlineStr">
        <is>
          <t>Т11О-204А-20 Лиджиев Арсланг Алексеевич+ Нейман Алёна Владимировна</t>
        </is>
      </c>
    </row>
    <row r="488" ht="15.75" customHeight="1" s="2">
      <c r="E488" s="300" t="n">
        <v>3</v>
      </c>
      <c r="G488" s="310" t="n">
        <v>68</v>
      </c>
      <c r="H488" s="297" t="n">
        <v>68</v>
      </c>
      <c r="I488" s="133">
        <f>G488-H488</f>
        <v/>
      </c>
      <c r="J488" s="298" t="inlineStr">
        <is>
          <t>Порошковая металлургия и композиционные материалы</t>
        </is>
      </c>
      <c r="K488" s="298" t="inlineStr">
        <is>
          <t>ЛК</t>
        </is>
      </c>
      <c r="L488" s="298" t="inlineStr">
        <is>
          <t>Т11О-307А-19</t>
        </is>
      </c>
      <c r="M488" s="297" t="n">
        <v>68</v>
      </c>
      <c r="N488" s="298" t="inlineStr">
        <is>
          <t>11292</t>
        </is>
      </c>
      <c r="O488" s="297" t="n">
        <v>68</v>
      </c>
      <c r="P488" s="298" t="inlineStr">
        <is>
          <t xml:space="preserve">82066     </t>
        </is>
      </c>
      <c r="Q488" s="298" t="inlineStr">
        <is>
          <t xml:space="preserve">Серов Михаил Михайлович </t>
        </is>
      </c>
      <c r="R488" s="298" t="n"/>
      <c r="S488" s="298" t="inlineStr">
        <is>
          <t>Да</t>
        </is>
      </c>
      <c r="T488" s="298" t="n"/>
      <c r="U488" s="298" t="inlineStr">
        <is>
          <t>Т11О-307А-19 Патрушев Александр Юрьевич Ярошенко Александр Сергеевич Козлов Павел Павлович</t>
        </is>
      </c>
    </row>
    <row r="489" ht="15.75" customHeight="1" s="2">
      <c r="E489" s="300" t="n">
        <v>3</v>
      </c>
      <c r="G489" s="310" t="n">
        <v>20</v>
      </c>
      <c r="H489" s="297" t="n">
        <v>20</v>
      </c>
      <c r="I489" s="133">
        <f>G489-H489</f>
        <v/>
      </c>
      <c r="J489" s="298" t="inlineStr">
        <is>
          <t>Порошковая металлургия и композиционные материалы</t>
        </is>
      </c>
      <c r="K489" s="298" t="inlineStr">
        <is>
          <t>ПЗ</t>
        </is>
      </c>
      <c r="L489" s="298" t="inlineStr">
        <is>
          <t>Т11О-307А-19</t>
        </is>
      </c>
      <c r="M489" s="297" t="n">
        <v>20</v>
      </c>
      <c r="N489" s="298" t="inlineStr">
        <is>
          <t>11292</t>
        </is>
      </c>
      <c r="O489" s="297" t="n">
        <v>20</v>
      </c>
      <c r="P489" s="298" t="inlineStr">
        <is>
          <t xml:space="preserve">82066     </t>
        </is>
      </c>
      <c r="Q489" s="298" t="inlineStr">
        <is>
          <t xml:space="preserve">Серов Михаил Михайлович </t>
        </is>
      </c>
      <c r="R489" s="298" t="n"/>
      <c r="S489" s="298" t="inlineStr">
        <is>
          <t>Да</t>
        </is>
      </c>
      <c r="T489" s="298" t="n"/>
      <c r="U489" s="298" t="inlineStr">
        <is>
          <t>Т11О-307А-19 Патрушев Александр Юрьевич Ярошенко Александр Сергеевич Козлов Павел Павлович</t>
        </is>
      </c>
    </row>
    <row r="490" ht="15.75" customHeight="1" s="2">
      <c r="E490" s="300" t="n">
        <v>3</v>
      </c>
      <c r="G490" s="310" t="n">
        <v>2</v>
      </c>
      <c r="H490" s="297" t="n">
        <v>2</v>
      </c>
      <c r="I490" s="133">
        <f>G490-H490</f>
        <v/>
      </c>
      <c r="J490" s="298" t="inlineStr">
        <is>
          <t>Порошковая металлургия и композиционные материалы</t>
        </is>
      </c>
      <c r="K490" s="298" t="inlineStr">
        <is>
          <t>Экзамен</t>
        </is>
      </c>
      <c r="L490" s="298" t="inlineStr">
        <is>
          <t>Т11О-307А-19</t>
        </is>
      </c>
      <c r="M490" s="297" t="n">
        <v>2</v>
      </c>
      <c r="N490" s="298" t="inlineStr">
        <is>
          <t>11292</t>
        </is>
      </c>
      <c r="O490" s="299" t="n"/>
      <c r="P490" s="298" t="inlineStr">
        <is>
          <t xml:space="preserve">82066     </t>
        </is>
      </c>
      <c r="Q490" s="298" t="inlineStr">
        <is>
          <t xml:space="preserve">Серов Михаил Михайлович </t>
        </is>
      </c>
      <c r="R490" s="298" t="n"/>
      <c r="S490" s="298" t="inlineStr">
        <is>
          <t>Да</t>
        </is>
      </c>
      <c r="T490" s="298" t="n"/>
      <c r="U490" s="298" t="inlineStr">
        <is>
          <t>Т11О-307А-19 Патрушев Александр Юрьевич Ярошенко Александр Сергеевич Козлов Павел Павлович</t>
        </is>
      </c>
    </row>
    <row r="491" ht="15.75" customHeight="1" s="2">
      <c r="E491" s="300" t="n">
        <v>24</v>
      </c>
      <c r="G491" s="310" t="n">
        <v>5</v>
      </c>
      <c r="H491" s="297" t="n">
        <v>5</v>
      </c>
      <c r="I491" s="133">
        <f>G491-H491</f>
        <v/>
      </c>
      <c r="J491" s="298" t="inlineStr">
        <is>
          <t>Порошковая металлургия и композиционные материалы</t>
        </is>
      </c>
      <c r="K491" s="298" t="inlineStr">
        <is>
          <t>Консультация</t>
        </is>
      </c>
      <c r="L491" s="298" t="inlineStr">
        <is>
          <t>Т11О-307А-19</t>
        </is>
      </c>
      <c r="M491" s="297" t="n">
        <v>5</v>
      </c>
      <c r="N491" s="298" t="inlineStr">
        <is>
          <t>11292</t>
        </is>
      </c>
      <c r="O491" s="299" t="n"/>
      <c r="P491" s="298" t="inlineStr">
        <is>
          <t xml:space="preserve">82066     </t>
        </is>
      </c>
      <c r="Q491" s="298" t="inlineStr">
        <is>
          <t xml:space="preserve">Серов Михаил Михайлович </t>
        </is>
      </c>
      <c r="R491" s="298" t="n"/>
      <c r="S491" s="298" t="inlineStr">
        <is>
          <t>Да</t>
        </is>
      </c>
      <c r="T491" s="298" t="n"/>
      <c r="U491" s="298" t="inlineStr">
        <is>
          <t>Т11О-307А-19 Патрушев Александр Юрьевич Ярошенко Александр Сергеевич Козлов Павел Павлович</t>
        </is>
      </c>
    </row>
    <row r="492" ht="15.75" customHeight="1" s="2">
      <c r="E492" s="300" t="n">
        <v>1</v>
      </c>
      <c r="G492" s="303" t="n">
        <v>16</v>
      </c>
      <c r="H492" s="297" t="n">
        <v>16</v>
      </c>
      <c r="I492" s="133">
        <f>G492-H492</f>
        <v/>
      </c>
      <c r="J492" s="298" t="inlineStr">
        <is>
          <t>Информатика</t>
        </is>
      </c>
      <c r="K492" s="298" t="inlineStr">
        <is>
          <t>ЛК</t>
        </is>
      </c>
      <c r="L492" s="298" t="inlineStr">
        <is>
          <t>Т11О-101Б-21</t>
        </is>
      </c>
      <c r="M492" s="297" t="n">
        <v>16</v>
      </c>
      <c r="N492" s="298" t="inlineStr">
        <is>
          <t>14668</t>
        </is>
      </c>
      <c r="O492" s="297" t="n">
        <v>16</v>
      </c>
      <c r="P492" s="298" t="inlineStr">
        <is>
          <t xml:space="preserve">82022     </t>
        </is>
      </c>
      <c r="Q492" s="298" t="inlineStr">
        <is>
          <t xml:space="preserve">Телицына Ольга Валентиновна </t>
        </is>
      </c>
      <c r="R492" s="298" t="n"/>
      <c r="S492" s="298" t="inlineStr">
        <is>
          <t>Нет</t>
        </is>
      </c>
      <c r="T492" s="298" t="inlineStr">
        <is>
          <t>Орш. А-523</t>
        </is>
      </c>
      <c r="U492" s="298" t="inlineStr">
        <is>
          <t>Время - до 13:00, тех.обеспечение - проектор.</t>
        </is>
      </c>
    </row>
    <row r="493" ht="15.75" customHeight="1" s="2">
      <c r="E493" s="300" t="n">
        <v>1</v>
      </c>
      <c r="G493" s="296" t="n">
        <v>32</v>
      </c>
      <c r="H493" s="297" t="n">
        <v>32</v>
      </c>
      <c r="I493" s="133">
        <f>G493-H493</f>
        <v/>
      </c>
      <c r="J493" s="298" t="inlineStr">
        <is>
          <t>Информатика</t>
        </is>
      </c>
      <c r="K493" s="298" t="inlineStr">
        <is>
          <t>ЛК</t>
        </is>
      </c>
      <c r="L493" s="298" t="inlineStr">
        <is>
          <t>Т11О-102Б-21</t>
        </is>
      </c>
      <c r="M493" s="297" t="n">
        <v>32</v>
      </c>
      <c r="N493" s="298" t="inlineStr">
        <is>
          <t>14861</t>
        </is>
      </c>
      <c r="O493" s="297" t="n">
        <v>32</v>
      </c>
      <c r="P493" s="298" t="inlineStr">
        <is>
          <t xml:space="preserve">81720     </t>
        </is>
      </c>
      <c r="Q493" s="298" t="inlineStr">
        <is>
          <t xml:space="preserve">Палтиевич Андрей Романович </t>
        </is>
      </c>
      <c r="R493" s="298" t="n"/>
      <c r="S493" s="298" t="inlineStr">
        <is>
          <t>Нет</t>
        </is>
      </c>
      <c r="T493" s="298" t="inlineStr">
        <is>
          <t>Орш. А-523</t>
        </is>
      </c>
      <c r="U493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494" ht="15.75" customHeight="1" s="2">
      <c r="E494" s="300" t="n">
        <v>8</v>
      </c>
      <c r="G494" s="303" t="n">
        <v>6</v>
      </c>
      <c r="H494" s="297" t="n">
        <v>6</v>
      </c>
      <c r="I494" s="133">
        <f>G494-H494</f>
        <v/>
      </c>
      <c r="J494" s="298" t="inlineStr">
        <is>
          <t>Информатика</t>
        </is>
      </c>
      <c r="K494" s="298" t="inlineStr">
        <is>
          <t>Зачет с оценкой</t>
        </is>
      </c>
      <c r="L494" s="298" t="inlineStr">
        <is>
          <t>Т11О-101Б-21</t>
        </is>
      </c>
      <c r="M494" s="297" t="n">
        <v>6</v>
      </c>
      <c r="N494" s="298" t="inlineStr">
        <is>
          <t>14668</t>
        </is>
      </c>
      <c r="O494" s="299" t="n"/>
      <c r="P494" s="298" t="inlineStr">
        <is>
          <t xml:space="preserve">82022     </t>
        </is>
      </c>
      <c r="Q494" s="298" t="inlineStr">
        <is>
          <t xml:space="preserve">Телицына Ольга Валентиновна </t>
        </is>
      </c>
      <c r="R494" s="298" t="n"/>
      <c r="S494" s="298" t="inlineStr">
        <is>
          <t>Нет</t>
        </is>
      </c>
      <c r="T494" s="298" t="inlineStr">
        <is>
          <t>Орш. А-325</t>
        </is>
      </c>
      <c r="U494" s="298" t="inlineStr">
        <is>
          <t>Время - до 13:00, тех.обеспечение - проектор.</t>
        </is>
      </c>
    </row>
    <row r="495" ht="15.75" customHeight="1" s="2">
      <c r="E495" s="300" t="n">
        <v>1</v>
      </c>
      <c r="G495" s="303" t="n">
        <v>2</v>
      </c>
      <c r="H495" s="297" t="n">
        <v>2</v>
      </c>
      <c r="I495" s="133">
        <f>G495-H495</f>
        <v/>
      </c>
      <c r="J495" s="298" t="inlineStr">
        <is>
          <t>Информатика</t>
        </is>
      </c>
      <c r="K495" s="298" t="inlineStr">
        <is>
          <t>Зачет с оценкой</t>
        </is>
      </c>
      <c r="L495" s="298" t="inlineStr">
        <is>
          <t>Т11О-101Б-21</t>
        </is>
      </c>
      <c r="M495" s="297" t="n">
        <v>2</v>
      </c>
      <c r="N495" s="298" t="inlineStr">
        <is>
          <t>14668</t>
        </is>
      </c>
      <c r="O495" s="299" t="n"/>
      <c r="P495" s="298" t="n"/>
      <c r="Q495" s="298" t="n"/>
      <c r="R495" s="298" t="n"/>
      <c r="S495" s="298" t="inlineStr">
        <is>
          <t>Нет</t>
        </is>
      </c>
      <c r="T495" s="298" t="n"/>
      <c r="U495" s="298" t="n"/>
    </row>
    <row r="496" ht="15.75" customHeight="1" s="2">
      <c r="E496" s="300" t="n">
        <v>1</v>
      </c>
      <c r="G496" s="296" t="n">
        <v>5</v>
      </c>
      <c r="H496" s="297" t="n">
        <v>5</v>
      </c>
      <c r="I496" s="133">
        <f>G496-H496</f>
        <v/>
      </c>
      <c r="J496" s="298" t="inlineStr">
        <is>
          <t>Информатика</t>
        </is>
      </c>
      <c r="K496" s="298" t="inlineStr">
        <is>
          <t>Зачет с оценкой</t>
        </is>
      </c>
      <c r="L496" s="298" t="inlineStr">
        <is>
          <t>Т11О-102Б-21</t>
        </is>
      </c>
      <c r="M496" s="297" t="n">
        <v>5</v>
      </c>
      <c r="N496" s="298" t="inlineStr">
        <is>
          <t>14861</t>
        </is>
      </c>
      <c r="O496" s="299" t="n"/>
      <c r="P496" s="298" t="inlineStr">
        <is>
          <t xml:space="preserve">81720     </t>
        </is>
      </c>
      <c r="Q496" s="298" t="inlineStr">
        <is>
          <t xml:space="preserve">Палтиевич Андрей Романович </t>
        </is>
      </c>
      <c r="R496" s="298" t="n"/>
      <c r="S496" s="298" t="inlineStr">
        <is>
          <t>Нет</t>
        </is>
      </c>
      <c r="T496" s="298" t="n"/>
      <c r="U496" s="298" t="n"/>
    </row>
    <row r="497" ht="15.75" customHeight="1" s="2">
      <c r="E497" s="300" t="n">
        <v>68</v>
      </c>
      <c r="G497" s="296" t="n">
        <v>2</v>
      </c>
      <c r="H497" s="297" t="n">
        <v>2</v>
      </c>
      <c r="I497" s="133">
        <f>G497-H497</f>
        <v/>
      </c>
      <c r="J497" s="298" t="inlineStr">
        <is>
          <t>Информатика</t>
        </is>
      </c>
      <c r="K497" s="298" t="inlineStr">
        <is>
          <t>Зачет с оценкой</t>
        </is>
      </c>
      <c r="L497" s="298" t="inlineStr">
        <is>
          <t>Т11О-102Б-21</t>
        </is>
      </c>
      <c r="M497" s="297" t="n">
        <v>2</v>
      </c>
      <c r="N497" s="298" t="inlineStr">
        <is>
          <t>14861</t>
        </is>
      </c>
      <c r="O497" s="299" t="n"/>
      <c r="P497" s="298" t="n"/>
      <c r="Q497" s="298" t="n"/>
      <c r="R497" s="298" t="n"/>
      <c r="S497" s="298" t="inlineStr">
        <is>
          <t>Нет</t>
        </is>
      </c>
      <c r="T497" s="298" t="n"/>
      <c r="U497" s="298" t="n"/>
    </row>
    <row r="498" ht="15.75" customHeight="1" s="2">
      <c r="E498" s="300" t="n">
        <v>20</v>
      </c>
      <c r="G498" s="303" t="n">
        <v>38</v>
      </c>
      <c r="H498" s="297" t="n">
        <v>38</v>
      </c>
      <c r="I498" s="133">
        <f>G498-H498</f>
        <v/>
      </c>
      <c r="J498" s="298" t="inlineStr">
        <is>
          <t>Информатика</t>
        </is>
      </c>
      <c r="K498" s="298" t="inlineStr">
        <is>
          <t>ПЗ</t>
        </is>
      </c>
      <c r="L498" s="298" t="inlineStr">
        <is>
          <t>Т11О-101Б-21</t>
        </is>
      </c>
      <c r="M498" s="297" t="n">
        <v>38</v>
      </c>
      <c r="N498" s="298" t="inlineStr">
        <is>
          <t>14668</t>
        </is>
      </c>
      <c r="O498" s="297" t="n">
        <v>38</v>
      </c>
      <c r="P498" s="298" t="inlineStr">
        <is>
          <t xml:space="preserve">82022     </t>
        </is>
      </c>
      <c r="Q498" s="298" t="inlineStr">
        <is>
          <t xml:space="preserve">Телицына Ольга Валентиновна </t>
        </is>
      </c>
      <c r="R498" s="298" t="n"/>
      <c r="S498" s="298" t="inlineStr">
        <is>
          <t>Нет</t>
        </is>
      </c>
      <c r="T498" s="298" t="inlineStr">
        <is>
          <t>Орш. А-325</t>
        </is>
      </c>
      <c r="U498" s="298" t="inlineStr">
        <is>
          <t>Время - до 13:00, тех.обеспечение - проектор.</t>
        </is>
      </c>
    </row>
    <row r="499" ht="15.75" customHeight="1" s="2">
      <c r="E499" s="300" t="n">
        <v>2</v>
      </c>
      <c r="G499" s="296" t="n">
        <v>22</v>
      </c>
      <c r="H499" s="297" t="n">
        <v>22</v>
      </c>
      <c r="I499" s="133">
        <f>G499-H499</f>
        <v/>
      </c>
      <c r="J499" s="298" t="inlineStr">
        <is>
          <t>Информатика</t>
        </is>
      </c>
      <c r="K499" s="298" t="inlineStr">
        <is>
          <t>ПЗ</t>
        </is>
      </c>
      <c r="L499" s="298" t="inlineStr">
        <is>
          <t>Т11О-102Б-21</t>
        </is>
      </c>
      <c r="M499" s="297" t="n">
        <v>22</v>
      </c>
      <c r="N499" s="298" t="inlineStr">
        <is>
          <t>14861</t>
        </is>
      </c>
      <c r="O499" s="297" t="n">
        <v>22</v>
      </c>
      <c r="P499" s="298" t="inlineStr">
        <is>
          <t xml:space="preserve">81720     </t>
        </is>
      </c>
      <c r="Q499" s="298" t="inlineStr">
        <is>
          <t xml:space="preserve">Палтиевич Андрей Романович </t>
        </is>
      </c>
      <c r="R499" s="298" t="n"/>
      <c r="S499" s="298" t="inlineStr">
        <is>
          <t>Нет</t>
        </is>
      </c>
      <c r="T499" s="298" t="inlineStr">
        <is>
          <t>Орш. А-525</t>
        </is>
      </c>
      <c r="U499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500" ht="15.75" customHeight="1" s="2">
      <c r="E500" s="300" t="n">
        <v>5</v>
      </c>
      <c r="G500" s="296" t="n">
        <v>48</v>
      </c>
      <c r="H500" s="297" t="n">
        <v>48</v>
      </c>
      <c r="I500" s="133">
        <f>G500-H500</f>
        <v/>
      </c>
      <c r="J500" s="298" t="inlineStr">
        <is>
          <t>Информатика</t>
        </is>
      </c>
      <c r="K500" s="298" t="inlineStr">
        <is>
          <t>ЛР</t>
        </is>
      </c>
      <c r="L500" s="298" t="inlineStr">
        <is>
          <t>Т11О-102Б-21</t>
        </is>
      </c>
      <c r="M500" s="297" t="n">
        <v>48</v>
      </c>
      <c r="N500" s="298" t="inlineStr">
        <is>
          <t>14861</t>
        </is>
      </c>
      <c r="O500" s="297" t="n">
        <v>24</v>
      </c>
      <c r="P500" s="298" t="inlineStr">
        <is>
          <t xml:space="preserve">81720     </t>
        </is>
      </c>
      <c r="Q500" s="298" t="inlineStr">
        <is>
          <t xml:space="preserve">Палтиевич Андрей Романович </t>
        </is>
      </c>
      <c r="R500" s="298" t="n"/>
      <c r="S500" s="298" t="inlineStr">
        <is>
          <t>Нет</t>
        </is>
      </c>
      <c r="T500" s="298" t="inlineStr">
        <is>
          <t>Орш. А-525</t>
        </is>
      </c>
      <c r="U500" s="298" t="inlineStr">
        <is>
          <t>Все кроме вторника и субботы. Предпочтительно начинать занятия чем раньше, тем лучше - с 1-ой пары, и только в понедельник - можно со 2-ой.</t>
        </is>
      </c>
    </row>
    <row r="501" ht="15.75" customHeight="1" s="2">
      <c r="E501" s="307" t="n">
        <v>16</v>
      </c>
      <c r="G501" s="303" t="n">
        <v>1</v>
      </c>
      <c r="H501" s="297" t="n">
        <v>1</v>
      </c>
      <c r="I501" s="133">
        <f>G501-H501</f>
        <v/>
      </c>
      <c r="J501" s="298" t="inlineStr">
        <is>
          <t>Информатика</t>
        </is>
      </c>
      <c r="K501" s="298" t="inlineStr">
        <is>
          <t>Консультация</t>
        </is>
      </c>
      <c r="L501" s="298" t="inlineStr">
        <is>
          <t>Т11О-101Б-21</t>
        </is>
      </c>
      <c r="M501" s="297" t="n">
        <v>1</v>
      </c>
      <c r="N501" s="298" t="inlineStr">
        <is>
          <t>14668</t>
        </is>
      </c>
      <c r="O501" s="299" t="n"/>
      <c r="P501" s="298" t="inlineStr">
        <is>
          <t xml:space="preserve">82022     </t>
        </is>
      </c>
      <c r="Q501" s="298" t="inlineStr">
        <is>
          <t xml:space="preserve">Телицына Ольга Валентиновна </t>
        </is>
      </c>
      <c r="R501" s="298" t="n"/>
      <c r="S501" s="298" t="inlineStr">
        <is>
          <t>Нет</t>
        </is>
      </c>
      <c r="T501" s="298" t="n"/>
      <c r="U501" s="298" t="inlineStr">
        <is>
          <t>Время - до 13:00, тех.обеспечение - проектор.</t>
        </is>
      </c>
    </row>
    <row r="502" ht="15.75" customHeight="1" s="2">
      <c r="E502" s="307" t="n">
        <v>32</v>
      </c>
      <c r="G502" s="296" t="n">
        <v>2</v>
      </c>
      <c r="H502" s="297" t="n">
        <v>2</v>
      </c>
      <c r="I502" s="133">
        <f>G502-H502</f>
        <v/>
      </c>
      <c r="J502" s="298" t="inlineStr">
        <is>
          <t>Информатика</t>
        </is>
      </c>
      <c r="K502" s="298" t="inlineStr">
        <is>
          <t>Консультация</t>
        </is>
      </c>
      <c r="L502" s="298" t="inlineStr">
        <is>
          <t>Т11О-102Б-21</t>
        </is>
      </c>
      <c r="M502" s="297" t="n">
        <v>2</v>
      </c>
      <c r="N502" s="298" t="inlineStr">
        <is>
          <t>14861</t>
        </is>
      </c>
      <c r="O502" s="299" t="n"/>
      <c r="P502" s="298" t="inlineStr">
        <is>
          <t xml:space="preserve">81720     </t>
        </is>
      </c>
      <c r="Q502" s="298" t="inlineStr">
        <is>
          <t xml:space="preserve">Палтиевич Андрей Романович </t>
        </is>
      </c>
      <c r="R502" s="298" t="n"/>
      <c r="S502" s="298" t="inlineStr">
        <is>
          <t>Нет</t>
        </is>
      </c>
      <c r="T502" s="298" t="n"/>
      <c r="U502" s="298" t="n"/>
    </row>
    <row r="503" ht="15.75" customHeight="1" s="2">
      <c r="E503" s="307" t="n">
        <v>6</v>
      </c>
      <c r="G503" s="296" t="n">
        <v>12</v>
      </c>
      <c r="H503" s="297" t="n">
        <v>12</v>
      </c>
      <c r="I503" s="133">
        <f>G503-H503</f>
        <v/>
      </c>
      <c r="J503" s="298" t="inlineStr">
        <is>
          <t>Изготовление форм и моделей методами аддитивных технологий</t>
        </is>
      </c>
      <c r="K503" s="298" t="inlineStr">
        <is>
          <t>ЛК</t>
        </is>
      </c>
      <c r="L503" s="298" t="inlineStr">
        <is>
          <t>М9О-204М-20</t>
        </is>
      </c>
      <c r="M503" s="297" t="n">
        <v>12</v>
      </c>
      <c r="N503" s="298" t="inlineStr">
        <is>
          <t>12598</t>
        </is>
      </c>
      <c r="O503" s="297" t="n">
        <v>12</v>
      </c>
      <c r="P503" s="298" t="inlineStr">
        <is>
          <t xml:space="preserve">82020     </t>
        </is>
      </c>
      <c r="Q503" s="298" t="inlineStr">
        <is>
          <t xml:space="preserve">Варфоломеев Максим Сергеевич </t>
        </is>
      </c>
      <c r="R503" s="298" t="n"/>
      <c r="S503" s="298" t="inlineStr">
        <is>
          <t>Нет</t>
        </is>
      </c>
      <c r="T503" s="298" t="inlineStr">
        <is>
          <t>Орш. А-327</t>
        </is>
      </c>
      <c r="U503" s="298" t="inlineStr">
        <is>
          <t>ЛК, ПЗ, ЛР - Понедедьник, среда</t>
        </is>
      </c>
    </row>
    <row r="504" ht="15.75" customHeight="1" s="2">
      <c r="E504" s="307" t="n">
        <v>2</v>
      </c>
      <c r="G504" s="296" t="n">
        <v>2</v>
      </c>
      <c r="H504" s="297" t="n">
        <v>2</v>
      </c>
      <c r="I504" s="133">
        <f>G504-H504</f>
        <v/>
      </c>
      <c r="J504" s="298" t="inlineStr">
        <is>
          <t>Изготовление форм и моделей методами аддитивных технологий</t>
        </is>
      </c>
      <c r="K504" s="298" t="inlineStr">
        <is>
          <t>Зачет с оценкой</t>
        </is>
      </c>
      <c r="L504" s="298" t="inlineStr">
        <is>
          <t>М9О-204М-20</t>
        </is>
      </c>
      <c r="M504" s="297" t="n">
        <v>2</v>
      </c>
      <c r="N504" s="298" t="inlineStr">
        <is>
          <t>12598</t>
        </is>
      </c>
      <c r="O504" s="299" t="n"/>
      <c r="P504" s="298" t="inlineStr">
        <is>
          <t xml:space="preserve">82020     </t>
        </is>
      </c>
      <c r="Q504" s="298" t="inlineStr">
        <is>
          <t xml:space="preserve">Варфоломеев Максим Сергеевич </t>
        </is>
      </c>
      <c r="R504" s="298" t="n"/>
      <c r="S504" s="298" t="inlineStr">
        <is>
          <t>Нет</t>
        </is>
      </c>
      <c r="T504" s="298" t="n"/>
      <c r="U504" s="298" t="n"/>
    </row>
    <row r="505" ht="15.75" customHeight="1" s="2">
      <c r="E505" s="307" t="n">
        <v>5</v>
      </c>
      <c r="G505" s="296" t="n">
        <v>42</v>
      </c>
      <c r="H505" s="297" t="n">
        <v>42</v>
      </c>
      <c r="I505" s="133">
        <f>G505-H505</f>
        <v/>
      </c>
      <c r="J505" s="298" t="inlineStr">
        <is>
          <t>Изготовление форм и моделей методами аддитивных технологий</t>
        </is>
      </c>
      <c r="K505" s="298" t="inlineStr">
        <is>
          <t>ПЗ</t>
        </is>
      </c>
      <c r="L505" s="298" t="inlineStr">
        <is>
          <t>М9О-204М-20</t>
        </is>
      </c>
      <c r="M505" s="297" t="n">
        <v>42</v>
      </c>
      <c r="N505" s="298" t="inlineStr">
        <is>
          <t>12598</t>
        </is>
      </c>
      <c r="O505" s="297" t="n">
        <v>42</v>
      </c>
      <c r="P505" s="298" t="inlineStr">
        <is>
          <t xml:space="preserve">82020     </t>
        </is>
      </c>
      <c r="Q505" s="298" t="inlineStr">
        <is>
          <t xml:space="preserve">Варфоломеев Максим Сергеевич </t>
        </is>
      </c>
      <c r="R505" s="298" t="n"/>
      <c r="S505" s="298" t="inlineStr">
        <is>
          <t>Нет</t>
        </is>
      </c>
      <c r="T505" s="298" t="inlineStr">
        <is>
          <t>Орш. А-327</t>
        </is>
      </c>
      <c r="U505" s="298" t="inlineStr">
        <is>
          <t>ЛК, ПЗ, ЛР - Понедедьник, среда</t>
        </is>
      </c>
    </row>
    <row r="506" ht="15.75" customHeight="1" s="2">
      <c r="E506" s="307" t="n">
        <v>2</v>
      </c>
      <c r="G506" s="296" t="n">
        <v>1</v>
      </c>
      <c r="H506" s="297" t="n">
        <v>1</v>
      </c>
      <c r="I506" s="133">
        <f>G506-H506</f>
        <v/>
      </c>
      <c r="J506" s="298" t="inlineStr">
        <is>
          <t>Изготовление форм и моделей методами аддитивных технологий</t>
        </is>
      </c>
      <c r="K506" s="298" t="inlineStr">
        <is>
          <t>Консультация</t>
        </is>
      </c>
      <c r="L506" s="298" t="inlineStr">
        <is>
          <t>М9О-204М-20</t>
        </is>
      </c>
      <c r="M506" s="297" t="n">
        <v>1</v>
      </c>
      <c r="N506" s="298" t="inlineStr">
        <is>
          <t>12598</t>
        </is>
      </c>
      <c r="O506" s="299" t="n"/>
      <c r="P506" s="298" t="inlineStr">
        <is>
          <t xml:space="preserve">82020     </t>
        </is>
      </c>
      <c r="Q506" s="298" t="inlineStr">
        <is>
          <t xml:space="preserve">Варфоломеев Максим Сергеевич </t>
        </is>
      </c>
      <c r="R506" s="298" t="n"/>
      <c r="S506" s="298" t="inlineStr">
        <is>
          <t>Нет</t>
        </is>
      </c>
      <c r="T506" s="298" t="n"/>
      <c r="U506" s="298" t="n"/>
    </row>
    <row r="507" ht="15.75" customHeight="1" s="2">
      <c r="E507" s="307" t="n">
        <v>38</v>
      </c>
      <c r="G507" s="296" t="n">
        <v>14</v>
      </c>
      <c r="H507" s="297" t="n">
        <v>14</v>
      </c>
      <c r="I507" s="133">
        <f>G507-H507</f>
        <v/>
      </c>
      <c r="J507" s="298" t="inlineStr">
        <is>
          <t>Системы автоматизированного проектирования технологических процессов</t>
        </is>
      </c>
      <c r="K507" s="298" t="inlineStr">
        <is>
          <t>ЛК</t>
        </is>
      </c>
      <c r="L507" s="298" t="inlineStr">
        <is>
          <t>М9О-104М-21</t>
        </is>
      </c>
      <c r="M507" s="297" t="n">
        <v>14</v>
      </c>
      <c r="N507" s="298" t="inlineStr">
        <is>
          <t>12598</t>
        </is>
      </c>
      <c r="O507" s="297" t="n">
        <v>14</v>
      </c>
      <c r="P507" s="298" t="inlineStr">
        <is>
          <t xml:space="preserve">81724     </t>
        </is>
      </c>
      <c r="Q507" s="298" t="inlineStr">
        <is>
          <t xml:space="preserve">Галкин Евгений Владимирович </t>
        </is>
      </c>
      <c r="R507" s="298" t="n"/>
      <c r="S507" s="298" t="inlineStr">
        <is>
          <t>Нет</t>
        </is>
      </c>
      <c r="T507" s="298" t="inlineStr">
        <is>
          <t>Орш. А-525</t>
        </is>
      </c>
      <c r="U507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508" ht="15.75" customHeight="1" s="2">
      <c r="E508" s="307" t="n">
        <v>22</v>
      </c>
      <c r="G508" s="296" t="n">
        <v>24</v>
      </c>
      <c r="H508" s="297" t="n">
        <v>24</v>
      </c>
      <c r="I508" s="133">
        <f>G508-H508</f>
        <v/>
      </c>
      <c r="J508" s="298" t="inlineStr">
        <is>
          <t>Системы автоматизированного проектирования технологических процессов</t>
        </is>
      </c>
      <c r="K508" s="298" t="inlineStr">
        <is>
          <t>ПЗ</t>
        </is>
      </c>
      <c r="L508" s="298" t="inlineStr">
        <is>
          <t>М9О-104М-21</t>
        </is>
      </c>
      <c r="M508" s="297" t="n">
        <v>24</v>
      </c>
      <c r="N508" s="298" t="inlineStr">
        <is>
          <t>12598</t>
        </is>
      </c>
      <c r="O508" s="297" t="n">
        <v>24</v>
      </c>
      <c r="P508" s="298" t="inlineStr">
        <is>
          <t xml:space="preserve">81724     </t>
        </is>
      </c>
      <c r="Q508" s="298" t="inlineStr">
        <is>
          <t xml:space="preserve">Галкин Евгений Владимирович </t>
        </is>
      </c>
      <c r="R508" s="298" t="n"/>
      <c r="S508" s="298" t="inlineStr">
        <is>
          <t>Нет</t>
        </is>
      </c>
      <c r="T508" s="298" t="inlineStr">
        <is>
          <t>Орш. А-525</t>
        </is>
      </c>
      <c r="U508" s="298" t="inlineStr">
        <is>
          <t>По возможности начало занятий понедельник-вторник с 13:00(14:45), среда-четверг (как можно раньше). Желательно пятницу оставить свободной от занятий.</t>
        </is>
      </c>
    </row>
    <row r="509" ht="15.75" customHeight="1" s="2">
      <c r="E509" s="307" t="n">
        <v>48</v>
      </c>
      <c r="G509" s="296" t="n">
        <v>2</v>
      </c>
      <c r="H509" s="297" t="n">
        <v>2</v>
      </c>
      <c r="I509" s="133">
        <f>G509-H509</f>
        <v/>
      </c>
      <c r="J509" s="298" t="inlineStr">
        <is>
          <t>Системы автоматизированного проектирования технологических процессов</t>
        </is>
      </c>
      <c r="K509" s="298" t="inlineStr">
        <is>
          <t>Зачет</t>
        </is>
      </c>
      <c r="L509" s="298" t="inlineStr">
        <is>
          <t>М9О-104М-21</t>
        </is>
      </c>
      <c r="M509" s="297" t="n">
        <v>2</v>
      </c>
      <c r="N509" s="298" t="inlineStr">
        <is>
          <t>12598</t>
        </is>
      </c>
      <c r="O509" s="299" t="n"/>
      <c r="P509" s="298" t="inlineStr">
        <is>
          <t xml:space="preserve">81724     </t>
        </is>
      </c>
      <c r="Q509" s="298" t="inlineStr">
        <is>
          <t xml:space="preserve">Галкин Евгений Владимирович </t>
        </is>
      </c>
      <c r="R509" s="298" t="n"/>
      <c r="S509" s="298" t="inlineStr">
        <is>
          <t>Нет</t>
        </is>
      </c>
      <c r="T509" s="298" t="n"/>
      <c r="U509" s="298" t="n"/>
    </row>
    <row r="510" ht="15.75" customHeight="1" s="2">
      <c r="E510" s="307" t="n">
        <v>1</v>
      </c>
      <c r="G510" s="296" t="n">
        <v>1</v>
      </c>
      <c r="H510" s="297" t="n">
        <v>1</v>
      </c>
      <c r="I510" s="133">
        <f>G510-H510</f>
        <v/>
      </c>
      <c r="J510" s="298" t="inlineStr">
        <is>
          <t>Системы автоматизированного проектирования технологических процессов</t>
        </is>
      </c>
      <c r="K510" s="298" t="inlineStr">
        <is>
          <t>Консультация</t>
        </is>
      </c>
      <c r="L510" s="298" t="inlineStr">
        <is>
          <t>М9О-104М-21</t>
        </is>
      </c>
      <c r="M510" s="297" t="n">
        <v>1</v>
      </c>
      <c r="N510" s="298" t="inlineStr">
        <is>
          <t>12598</t>
        </is>
      </c>
      <c r="O510" s="299" t="n"/>
      <c r="P510" s="298" t="inlineStr">
        <is>
          <t xml:space="preserve">81724     </t>
        </is>
      </c>
      <c r="Q510" s="298" t="inlineStr">
        <is>
          <t xml:space="preserve">Галкин Евгений Владимирович </t>
        </is>
      </c>
      <c r="R510" s="298" t="n"/>
      <c r="S510" s="298" t="inlineStr">
        <is>
          <t>Нет</t>
        </is>
      </c>
      <c r="T510" s="298" t="n"/>
      <c r="U510" s="298" t="n"/>
    </row>
    <row r="511" ht="15.75" customHeight="1" s="2">
      <c r="E511" s="300" t="n">
        <v>2</v>
      </c>
      <c r="G511" s="303" t="n">
        <v>12</v>
      </c>
      <c r="H511" s="297" t="n">
        <v>12</v>
      </c>
      <c r="I511" s="133">
        <f>G511-H511</f>
        <v/>
      </c>
      <c r="J511" s="298" t="inlineStr">
        <is>
          <t>Методология научных исследований</t>
        </is>
      </c>
      <c r="K511" s="298" t="inlineStr">
        <is>
          <t>ЛК</t>
        </is>
      </c>
      <c r="L511" s="298" t="inlineStr">
        <is>
          <t>М9О-204М-20, Т11О-201М-20, Т11О-202М-20, Т11О-203М-20, Т11О-204М-20</t>
        </is>
      </c>
      <c r="M511" s="297" t="n">
        <v>12</v>
      </c>
      <c r="N511" s="298" t="inlineStr">
        <is>
          <t>12597</t>
        </is>
      </c>
      <c r="O511" s="297" t="n">
        <v>12</v>
      </c>
      <c r="P511" s="298" t="inlineStr">
        <is>
          <t xml:space="preserve">82026     </t>
        </is>
      </c>
      <c r="Q511" s="298" t="inlineStr">
        <is>
          <t xml:space="preserve">Александрова Светлана Сергеевна </t>
        </is>
      </c>
      <c r="R511" s="298" t="n"/>
      <c r="S511" s="298" t="inlineStr">
        <is>
          <t>Нет</t>
        </is>
      </c>
      <c r="T511" s="298" t="inlineStr">
        <is>
          <t>Орш. А-509</t>
        </is>
      </c>
      <c r="U511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2" ht="15.75" customHeight="1" s="2">
      <c r="E512" s="300" t="n">
        <v>12</v>
      </c>
      <c r="G512" s="303" t="n">
        <v>24</v>
      </c>
      <c r="H512" s="297" t="n">
        <v>24</v>
      </c>
      <c r="I512" s="133">
        <f>G512-H512</f>
        <v/>
      </c>
      <c r="J512" s="298" t="inlineStr">
        <is>
          <t>Методология научных исследований</t>
        </is>
      </c>
      <c r="K512" s="298" t="inlineStr">
        <is>
          <t>ПЗ</t>
        </is>
      </c>
      <c r="L512" s="298" t="inlineStr">
        <is>
          <t>Т11О-201М-20</t>
        </is>
      </c>
      <c r="M512" s="297" t="n">
        <v>24</v>
      </c>
      <c r="N512" s="298" t="inlineStr">
        <is>
          <t>12597</t>
        </is>
      </c>
      <c r="O512" s="297" t="n">
        <v>24</v>
      </c>
      <c r="P512" s="298" t="inlineStr">
        <is>
          <t xml:space="preserve">82026     </t>
        </is>
      </c>
      <c r="Q512" s="298" t="inlineStr">
        <is>
          <t xml:space="preserve">Александрова Светлана Сергеевна </t>
        </is>
      </c>
      <c r="R512" s="298" t="n"/>
      <c r="S512" s="298" t="inlineStr">
        <is>
          <t>Нет</t>
        </is>
      </c>
      <c r="T512" s="298" t="inlineStr">
        <is>
          <t>Орш. А-509</t>
        </is>
      </c>
      <c r="U512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3" ht="15.75" customHeight="1" s="2">
      <c r="E513" s="300" t="n">
        <v>2</v>
      </c>
      <c r="G513" s="303" t="n">
        <v>24</v>
      </c>
      <c r="H513" s="297" t="n">
        <v>24</v>
      </c>
      <c r="I513" s="133">
        <f>G513-H513</f>
        <v/>
      </c>
      <c r="J513" s="298" t="inlineStr">
        <is>
          <t>Методология научных исследований</t>
        </is>
      </c>
      <c r="K513" s="298" t="inlineStr">
        <is>
          <t>ПЗ</t>
        </is>
      </c>
      <c r="L513" s="298" t="inlineStr">
        <is>
          <t>Т11О-202М-20</t>
        </is>
      </c>
      <c r="M513" s="297" t="n">
        <v>24</v>
      </c>
      <c r="N513" s="298" t="inlineStr">
        <is>
          <t>12597</t>
        </is>
      </c>
      <c r="O513" s="297" t="n">
        <v>24</v>
      </c>
      <c r="P513" s="298" t="inlineStr">
        <is>
          <t xml:space="preserve">82026     </t>
        </is>
      </c>
      <c r="Q513" s="298" t="inlineStr">
        <is>
          <t xml:space="preserve">Александрова Светлана Сергеевна </t>
        </is>
      </c>
      <c r="R513" s="298" t="n"/>
      <c r="S513" s="298" t="inlineStr">
        <is>
          <t>Нет</t>
        </is>
      </c>
      <c r="T513" s="298" t="inlineStr">
        <is>
          <t>Орш. А-509</t>
        </is>
      </c>
      <c r="U513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4" ht="15.75" customHeight="1" s="2">
      <c r="E514" s="300" t="n">
        <v>42</v>
      </c>
      <c r="G514" s="303" t="n">
        <v>24</v>
      </c>
      <c r="H514" s="297" t="n">
        <v>24</v>
      </c>
      <c r="I514" s="133">
        <f>G514-H514</f>
        <v/>
      </c>
      <c r="J514" s="298" t="inlineStr">
        <is>
          <t>Методология научных исследований</t>
        </is>
      </c>
      <c r="K514" s="298" t="inlineStr">
        <is>
          <t>ПЗ</t>
        </is>
      </c>
      <c r="L514" s="298" t="inlineStr">
        <is>
          <t>Т11О-203М-20</t>
        </is>
      </c>
      <c r="M514" s="297" t="n">
        <v>24</v>
      </c>
      <c r="N514" s="298" t="inlineStr">
        <is>
          <t>12597</t>
        </is>
      </c>
      <c r="O514" s="297" t="n">
        <v>24</v>
      </c>
      <c r="P514" s="298" t="inlineStr">
        <is>
          <t xml:space="preserve">82026     </t>
        </is>
      </c>
      <c r="Q514" s="298" t="inlineStr">
        <is>
          <t xml:space="preserve">Александрова Светлана Сергеевна </t>
        </is>
      </c>
      <c r="R514" s="298" t="n"/>
      <c r="S514" s="298" t="inlineStr">
        <is>
          <t>Нет</t>
        </is>
      </c>
      <c r="T514" s="298" t="inlineStr">
        <is>
          <t>Орш. А-509</t>
        </is>
      </c>
      <c r="U514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5" ht="15.75" customHeight="1" s="2">
      <c r="E515" s="300" t="n">
        <v>1</v>
      </c>
      <c r="G515" s="303" t="n">
        <v>24</v>
      </c>
      <c r="H515" s="297" t="n">
        <v>24</v>
      </c>
      <c r="I515" s="133">
        <f>G515-H515</f>
        <v/>
      </c>
      <c r="J515" s="298" t="inlineStr">
        <is>
          <t>Методология научных исследований</t>
        </is>
      </c>
      <c r="K515" s="298" t="inlineStr">
        <is>
          <t>ПЗ</t>
        </is>
      </c>
      <c r="L515" s="298" t="inlineStr">
        <is>
          <t>Т11О-204М-20</t>
        </is>
      </c>
      <c r="M515" s="297" t="n">
        <v>24</v>
      </c>
      <c r="N515" s="298" t="inlineStr">
        <is>
          <t>12597</t>
        </is>
      </c>
      <c r="O515" s="297" t="n">
        <v>24</v>
      </c>
      <c r="P515" s="298" t="inlineStr">
        <is>
          <t xml:space="preserve">82026     </t>
        </is>
      </c>
      <c r="Q515" s="298" t="inlineStr">
        <is>
          <t xml:space="preserve">Александрова Светлана Сергеевна </t>
        </is>
      </c>
      <c r="R515" s="298" t="n"/>
      <c r="S515" s="298" t="inlineStr">
        <is>
          <t>Нет</t>
        </is>
      </c>
      <c r="T515" s="298" t="inlineStr">
        <is>
          <t>Орш. А-509</t>
        </is>
      </c>
      <c r="U515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6" ht="15.75" customHeight="1" s="2">
      <c r="E516" s="300" t="n">
        <v>14</v>
      </c>
      <c r="G516" s="303" t="n">
        <v>24</v>
      </c>
      <c r="H516" s="297" t="n">
        <v>24</v>
      </c>
      <c r="I516" s="133">
        <f>G516-H516</f>
        <v/>
      </c>
      <c r="J516" s="298" t="inlineStr">
        <is>
          <t>Методология научных исследований</t>
        </is>
      </c>
      <c r="K516" s="298" t="inlineStr">
        <is>
          <t>ПЗ</t>
        </is>
      </c>
      <c r="L516" s="298" t="inlineStr">
        <is>
          <t>М9О-204М-20</t>
        </is>
      </c>
      <c r="M516" s="297" t="n">
        <v>24</v>
      </c>
      <c r="N516" s="298" t="inlineStr">
        <is>
          <t>12597</t>
        </is>
      </c>
      <c r="O516" s="297" t="n">
        <v>24</v>
      </c>
      <c r="P516" s="298" t="inlineStr">
        <is>
          <t xml:space="preserve">82026     </t>
        </is>
      </c>
      <c r="Q516" s="298" t="inlineStr">
        <is>
          <t xml:space="preserve">Александрова Светлана Сергеевна </t>
        </is>
      </c>
      <c r="R516" s="298" t="n"/>
      <c r="S516" s="298" t="inlineStr">
        <is>
          <t>Нет</t>
        </is>
      </c>
      <c r="T516" s="298" t="inlineStr">
        <is>
          <t>Орш. А-509</t>
        </is>
      </c>
      <c r="U516" s="298" t="inlineStr">
        <is>
      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      </is>
      </c>
    </row>
    <row r="517" ht="15.75" customHeight="1" s="2">
      <c r="E517" s="300" t="n">
        <v>24</v>
      </c>
      <c r="G517" s="303" t="n">
        <v>2</v>
      </c>
      <c r="H517" s="297" t="n">
        <v>2</v>
      </c>
      <c r="I517" s="133">
        <f>G517-H517</f>
        <v/>
      </c>
      <c r="J517" s="298" t="inlineStr">
        <is>
          <t>Методология научных исследований</t>
        </is>
      </c>
      <c r="K517" s="298" t="inlineStr">
        <is>
          <t>Зачет</t>
        </is>
      </c>
      <c r="L517" s="298" t="inlineStr">
        <is>
          <t>Т11О-201М-20</t>
        </is>
      </c>
      <c r="M517" s="297" t="n">
        <v>2</v>
      </c>
      <c r="N517" s="298" t="inlineStr">
        <is>
          <t>12597</t>
        </is>
      </c>
      <c r="O517" s="299" t="n"/>
      <c r="P517" s="298" t="inlineStr">
        <is>
          <t xml:space="preserve">82026     </t>
        </is>
      </c>
      <c r="Q517" s="298" t="inlineStr">
        <is>
          <t xml:space="preserve">Александрова Светлана Сергеевна </t>
        </is>
      </c>
      <c r="R517" s="298" t="n"/>
      <c r="S517" s="298" t="inlineStr">
        <is>
          <t>Нет</t>
        </is>
      </c>
      <c r="T517" s="298" t="n"/>
      <c r="U517" s="298" t="n"/>
    </row>
    <row r="518" ht="15.75" customHeight="1" s="2">
      <c r="E518" s="300" t="n">
        <v>2</v>
      </c>
      <c r="G518" s="303" t="n">
        <v>2</v>
      </c>
      <c r="H518" s="297" t="n">
        <v>2</v>
      </c>
      <c r="I518" s="133">
        <f>G518-H518</f>
        <v/>
      </c>
      <c r="J518" s="298" t="inlineStr">
        <is>
          <t>Методология научных исследований</t>
        </is>
      </c>
      <c r="K518" s="298" t="inlineStr">
        <is>
          <t>Зачет</t>
        </is>
      </c>
      <c r="L518" s="298" t="inlineStr">
        <is>
          <t>Т11О-202М-20</t>
        </is>
      </c>
      <c r="M518" s="297" t="n">
        <v>2</v>
      </c>
      <c r="N518" s="298" t="inlineStr">
        <is>
          <t>12597</t>
        </is>
      </c>
      <c r="O518" s="299" t="n"/>
      <c r="P518" s="298" t="inlineStr">
        <is>
          <t xml:space="preserve">82026     </t>
        </is>
      </c>
      <c r="Q518" s="298" t="inlineStr">
        <is>
          <t xml:space="preserve">Александрова Светлана Сергеевна </t>
        </is>
      </c>
      <c r="R518" s="298" t="n"/>
      <c r="S518" s="298" t="inlineStr">
        <is>
          <t>Нет</t>
        </is>
      </c>
      <c r="T518" s="298" t="n"/>
      <c r="U518" s="298" t="n"/>
    </row>
    <row r="519" ht="15.75" customHeight="1" s="2">
      <c r="E519" s="300" t="n">
        <v>1</v>
      </c>
      <c r="G519" s="303" t="n">
        <v>2</v>
      </c>
      <c r="H519" s="297" t="n">
        <v>2</v>
      </c>
      <c r="I519" s="133">
        <f>G519-H519</f>
        <v/>
      </c>
      <c r="J519" s="298" t="inlineStr">
        <is>
          <t>Методология научных исследований</t>
        </is>
      </c>
      <c r="K519" s="298" t="inlineStr">
        <is>
          <t>Зачет</t>
        </is>
      </c>
      <c r="L519" s="298" t="inlineStr">
        <is>
          <t>Т11О-203М-20</t>
        </is>
      </c>
      <c r="M519" s="297" t="n">
        <v>2</v>
      </c>
      <c r="N519" s="298" t="inlineStr">
        <is>
          <t>12597</t>
        </is>
      </c>
      <c r="O519" s="299" t="n"/>
      <c r="P519" s="298" t="inlineStr">
        <is>
          <t xml:space="preserve">82026     </t>
        </is>
      </c>
      <c r="Q519" s="298" t="inlineStr">
        <is>
          <t xml:space="preserve">Александрова Светлана Сергеевна </t>
        </is>
      </c>
      <c r="R519" s="298" t="n"/>
      <c r="S519" s="298" t="inlineStr">
        <is>
          <t>Нет</t>
        </is>
      </c>
      <c r="T519" s="298" t="n"/>
      <c r="U519" s="298" t="n"/>
    </row>
    <row r="520" ht="15.75" customHeight="1" s="2">
      <c r="E520" s="300" t="n">
        <v>12</v>
      </c>
      <c r="G520" s="303" t="n">
        <v>2</v>
      </c>
      <c r="H520" s="297" t="n">
        <v>2</v>
      </c>
      <c r="I520" s="133">
        <f>G520-H520</f>
        <v/>
      </c>
      <c r="J520" s="298" t="inlineStr">
        <is>
          <t>Методология научных исследований</t>
        </is>
      </c>
      <c r="K520" s="298" t="inlineStr">
        <is>
          <t>Зачет</t>
        </is>
      </c>
      <c r="L520" s="298" t="inlineStr">
        <is>
          <t>Т11О-204М-20</t>
        </is>
      </c>
      <c r="M520" s="297" t="n">
        <v>2</v>
      </c>
      <c r="N520" s="298" t="inlineStr">
        <is>
          <t>12597</t>
        </is>
      </c>
      <c r="O520" s="299" t="n"/>
      <c r="P520" s="298" t="inlineStr">
        <is>
          <t xml:space="preserve">82026     </t>
        </is>
      </c>
      <c r="Q520" s="298" t="inlineStr">
        <is>
          <t xml:space="preserve">Александрова Светлана Сергеевна </t>
        </is>
      </c>
      <c r="R520" s="298" t="n"/>
      <c r="S520" s="298" t="inlineStr">
        <is>
          <t>Нет</t>
        </is>
      </c>
      <c r="T520" s="298" t="n"/>
      <c r="U520" s="298" t="n"/>
    </row>
    <row r="521" ht="15.75" customHeight="1" s="2">
      <c r="E521" s="300" t="n">
        <v>24</v>
      </c>
      <c r="G521" s="303" t="n">
        <v>2</v>
      </c>
      <c r="H521" s="297" t="n">
        <v>2</v>
      </c>
      <c r="I521" s="133">
        <f>G521-H521</f>
        <v/>
      </c>
      <c r="J521" s="298" t="inlineStr">
        <is>
          <t>Методология научных исследований</t>
        </is>
      </c>
      <c r="K521" s="298" t="inlineStr">
        <is>
          <t>Зачет</t>
        </is>
      </c>
      <c r="L521" s="298" t="inlineStr">
        <is>
          <t>М9О-204М-20</t>
        </is>
      </c>
      <c r="M521" s="297" t="n">
        <v>2</v>
      </c>
      <c r="N521" s="298" t="inlineStr">
        <is>
          <t>12597</t>
        </is>
      </c>
      <c r="O521" s="299" t="n"/>
      <c r="P521" s="298" t="inlineStr">
        <is>
          <t xml:space="preserve">82026     </t>
        </is>
      </c>
      <c r="Q521" s="298" t="inlineStr">
        <is>
          <t xml:space="preserve">Александрова Светлана Сергеевна </t>
        </is>
      </c>
      <c r="R521" s="298" t="n"/>
      <c r="S521" s="298" t="inlineStr">
        <is>
          <t>Нет</t>
        </is>
      </c>
      <c r="T521" s="298" t="n"/>
      <c r="U521" s="298" t="n"/>
    </row>
    <row r="522" ht="15.75" customHeight="1" s="2">
      <c r="E522" s="300" t="n">
        <v>24</v>
      </c>
      <c r="G522" s="303" t="n">
        <v>1</v>
      </c>
      <c r="H522" s="297" t="n">
        <v>1</v>
      </c>
      <c r="I522" s="133">
        <f>G522-H522</f>
        <v/>
      </c>
      <c r="J522" s="298" t="inlineStr">
        <is>
          <t>Методология научных исследований</t>
        </is>
      </c>
      <c r="K522" s="298" t="inlineStr">
        <is>
          <t>Консультация</t>
        </is>
      </c>
      <c r="L522" s="298" t="inlineStr">
        <is>
          <t>Т11О-201М-20</t>
        </is>
      </c>
      <c r="M522" s="297" t="n">
        <v>1</v>
      </c>
      <c r="N522" s="298" t="inlineStr">
        <is>
          <t>12597</t>
        </is>
      </c>
      <c r="O522" s="299" t="n"/>
      <c r="P522" s="298" t="inlineStr">
        <is>
          <t xml:space="preserve">82026     </t>
        </is>
      </c>
      <c r="Q522" s="298" t="inlineStr">
        <is>
          <t xml:space="preserve">Александрова Светлана Сергеевна </t>
        </is>
      </c>
      <c r="R522" s="298" t="n"/>
      <c r="S522" s="298" t="inlineStr">
        <is>
          <t>Нет</t>
        </is>
      </c>
      <c r="T522" s="298" t="n"/>
      <c r="U522" s="298" t="n"/>
    </row>
    <row r="523" ht="15.75" customHeight="1" s="2">
      <c r="E523" s="300" t="n">
        <v>24</v>
      </c>
      <c r="G523" s="303" t="n">
        <v>1</v>
      </c>
      <c r="H523" s="297" t="n">
        <v>1</v>
      </c>
      <c r="I523" s="133">
        <f>G523-H523</f>
        <v/>
      </c>
      <c r="J523" s="298" t="inlineStr">
        <is>
          <t>Методология научных исследований</t>
        </is>
      </c>
      <c r="K523" s="298" t="inlineStr">
        <is>
          <t>Консультация</t>
        </is>
      </c>
      <c r="L523" s="298" t="inlineStr">
        <is>
          <t>Т11О-202М-20</t>
        </is>
      </c>
      <c r="M523" s="297" t="n">
        <v>1</v>
      </c>
      <c r="N523" s="298" t="inlineStr">
        <is>
          <t>12597</t>
        </is>
      </c>
      <c r="O523" s="299" t="n"/>
      <c r="P523" s="298" t="inlineStr">
        <is>
          <t xml:space="preserve">82026     </t>
        </is>
      </c>
      <c r="Q523" s="298" t="inlineStr">
        <is>
          <t xml:space="preserve">Александрова Светлана Сергеевна </t>
        </is>
      </c>
      <c r="R523" s="298" t="n"/>
      <c r="S523" s="298" t="inlineStr">
        <is>
          <t>Нет</t>
        </is>
      </c>
      <c r="T523" s="298" t="n"/>
      <c r="U523" s="298" t="n"/>
    </row>
    <row r="524" ht="15.75" customHeight="1" s="2">
      <c r="E524" s="300" t="n">
        <v>24</v>
      </c>
      <c r="G524" s="303" t="n">
        <v>1</v>
      </c>
      <c r="H524" s="297" t="n">
        <v>1</v>
      </c>
      <c r="I524" s="133">
        <f>G524-H524</f>
        <v/>
      </c>
      <c r="J524" s="298" t="inlineStr">
        <is>
          <t>Методология научных исследований</t>
        </is>
      </c>
      <c r="K524" s="298" t="inlineStr">
        <is>
          <t>Консультация</t>
        </is>
      </c>
      <c r="L524" s="298" t="inlineStr">
        <is>
          <t>Т11О-203М-20</t>
        </is>
      </c>
      <c r="M524" s="297" t="n">
        <v>1</v>
      </c>
      <c r="N524" s="298" t="inlineStr">
        <is>
          <t>12597</t>
        </is>
      </c>
      <c r="O524" s="299" t="n"/>
      <c r="P524" s="298" t="inlineStr">
        <is>
          <t xml:space="preserve">82026     </t>
        </is>
      </c>
      <c r="Q524" s="298" t="inlineStr">
        <is>
          <t xml:space="preserve">Александрова Светлана Сергеевна </t>
        </is>
      </c>
      <c r="R524" s="298" t="n"/>
      <c r="S524" s="298" t="inlineStr">
        <is>
          <t>Нет</t>
        </is>
      </c>
      <c r="T524" s="298" t="n"/>
      <c r="U524" s="298" t="n"/>
    </row>
    <row r="525" ht="15.75" customHeight="1" s="2">
      <c r="E525" s="300" t="n">
        <v>24</v>
      </c>
      <c r="G525" s="303" t="n">
        <v>1</v>
      </c>
      <c r="H525" s="297" t="n">
        <v>1</v>
      </c>
      <c r="I525" s="133">
        <f>G525-H525</f>
        <v/>
      </c>
      <c r="J525" s="298" t="inlineStr">
        <is>
          <t>Методология научных исследований</t>
        </is>
      </c>
      <c r="K525" s="298" t="inlineStr">
        <is>
          <t>Консультация</t>
        </is>
      </c>
      <c r="L525" s="298" t="inlineStr">
        <is>
          <t>Т11О-204М-20</t>
        </is>
      </c>
      <c r="M525" s="297" t="n">
        <v>1</v>
      </c>
      <c r="N525" s="298" t="inlineStr">
        <is>
          <t>12597</t>
        </is>
      </c>
      <c r="O525" s="299" t="n"/>
      <c r="P525" s="298" t="inlineStr">
        <is>
          <t xml:space="preserve">82026     </t>
        </is>
      </c>
      <c r="Q525" s="298" t="inlineStr">
        <is>
          <t xml:space="preserve">Александрова Светлана Сергеевна </t>
        </is>
      </c>
      <c r="R525" s="298" t="n"/>
      <c r="S525" s="298" t="inlineStr">
        <is>
          <t>Нет</t>
        </is>
      </c>
      <c r="T525" s="298" t="n"/>
      <c r="U525" s="298" t="n"/>
    </row>
    <row r="526" ht="15.75" customHeight="1" s="2">
      <c r="E526" s="300" t="n">
        <v>2</v>
      </c>
      <c r="G526" s="303" t="n">
        <v>1</v>
      </c>
      <c r="H526" s="297" t="n">
        <v>1</v>
      </c>
      <c r="I526" s="133">
        <f>G526-H526</f>
        <v/>
      </c>
      <c r="J526" s="298" t="inlineStr">
        <is>
          <t>Методология научных исследований</t>
        </is>
      </c>
      <c r="K526" s="298" t="inlineStr">
        <is>
          <t>Консультация</t>
        </is>
      </c>
      <c r="L526" s="298" t="inlineStr">
        <is>
          <t>М9О-204М-20</t>
        </is>
      </c>
      <c r="M526" s="297" t="n">
        <v>1</v>
      </c>
      <c r="N526" s="298" t="inlineStr">
        <is>
          <t>12597</t>
        </is>
      </c>
      <c r="O526" s="299" t="n"/>
      <c r="P526" s="298" t="inlineStr">
        <is>
          <t xml:space="preserve">82026     </t>
        </is>
      </c>
      <c r="Q526" s="298" t="inlineStr">
        <is>
          <t xml:space="preserve">Александрова Светлана Сергеевна </t>
        </is>
      </c>
      <c r="R526" s="298" t="n"/>
      <c r="S526" s="298" t="inlineStr">
        <is>
          <t>Нет</t>
        </is>
      </c>
      <c r="T526" s="298" t="n"/>
      <c r="U526" s="298" t="n"/>
    </row>
    <row r="527" ht="15.75" customHeight="1" s="2">
      <c r="E527" s="300" t="n">
        <v>2</v>
      </c>
      <c r="G527" s="313" t="n">
        <v>13</v>
      </c>
      <c r="H527" s="297" t="n">
        <v>13</v>
      </c>
      <c r="I527" s="133">
        <f>G527-H527</f>
        <v/>
      </c>
      <c r="J527" s="298" t="inlineStr">
        <is>
          <t>Производственная практика</t>
        </is>
      </c>
      <c r="K527" s="298" t="inlineStr">
        <is>
          <t>Преддипломная практика</t>
        </is>
      </c>
      <c r="L527" s="298" t="inlineStr">
        <is>
          <t>Т11О-201М-20</t>
        </is>
      </c>
      <c r="M527" s="297" t="n">
        <v>13</v>
      </c>
      <c r="N527" s="298" t="n"/>
      <c r="O527" s="299" t="n"/>
      <c r="P527" s="298" t="n"/>
      <c r="Q527" s="298" t="n"/>
      <c r="R527" s="298" t="n"/>
      <c r="S527" s="298" t="inlineStr">
        <is>
          <t>Нет</t>
        </is>
      </c>
      <c r="T527" s="298" t="n"/>
      <c r="U527" s="298" t="n"/>
    </row>
    <row r="528" ht="15.75" customHeight="1" s="2">
      <c r="E528" s="300" t="n">
        <v>2</v>
      </c>
      <c r="G528" s="313" t="n">
        <v>11</v>
      </c>
      <c r="H528" s="297" t="n">
        <v>11</v>
      </c>
      <c r="I528" s="133">
        <f>G528-H528</f>
        <v/>
      </c>
      <c r="J528" s="298" t="inlineStr">
        <is>
          <t>Производственная практика</t>
        </is>
      </c>
      <c r="K528" s="298" t="inlineStr">
        <is>
          <t>Преддипломная практика</t>
        </is>
      </c>
      <c r="L528" s="298" t="inlineStr">
        <is>
          <t>Т11О-202М-20</t>
        </is>
      </c>
      <c r="M528" s="297" t="n">
        <v>11</v>
      </c>
      <c r="N528" s="298" t="n"/>
      <c r="O528" s="299" t="n"/>
      <c r="P528" s="298" t="n"/>
      <c r="Q528" s="298" t="n"/>
      <c r="R528" s="298" t="n"/>
      <c r="S528" s="298" t="inlineStr">
        <is>
          <t>Нет</t>
        </is>
      </c>
      <c r="T528" s="298" t="n"/>
      <c r="U528" s="298" t="n"/>
    </row>
    <row r="529" ht="15.75" customHeight="1" s="2">
      <c r="E529" s="300" t="n">
        <v>2</v>
      </c>
      <c r="G529" s="313" t="n">
        <v>11</v>
      </c>
      <c r="H529" s="297" t="n">
        <v>11</v>
      </c>
      <c r="I529" s="133">
        <f>G529-H529</f>
        <v/>
      </c>
      <c r="J529" s="298" t="inlineStr">
        <is>
          <t>Производственная практика</t>
        </is>
      </c>
      <c r="K529" s="298" t="inlineStr">
        <is>
          <t>Преддипломная практика</t>
        </is>
      </c>
      <c r="L529" s="298" t="inlineStr">
        <is>
          <t>Т11О-203М-20</t>
        </is>
      </c>
      <c r="M529" s="297" t="n">
        <v>11</v>
      </c>
      <c r="N529" s="298" t="n"/>
      <c r="O529" s="299" t="n"/>
      <c r="P529" s="298" t="n"/>
      <c r="Q529" s="298" t="n"/>
      <c r="R529" s="298" t="n"/>
      <c r="S529" s="298" t="inlineStr">
        <is>
          <t>Нет</t>
        </is>
      </c>
      <c r="T529" s="298" t="n"/>
      <c r="U529" s="298" t="n"/>
    </row>
    <row r="530" ht="15.75" customHeight="1" s="2">
      <c r="E530" s="300" t="n">
        <v>2</v>
      </c>
      <c r="G530" s="313" t="n">
        <v>13</v>
      </c>
      <c r="H530" s="297" t="n">
        <v>13</v>
      </c>
      <c r="I530" s="133">
        <f>G530-H530</f>
        <v/>
      </c>
      <c r="J530" s="298" t="inlineStr">
        <is>
          <t>Производственная практика</t>
        </is>
      </c>
      <c r="K530" s="298" t="inlineStr">
        <is>
          <t>Преддипломная практика</t>
        </is>
      </c>
      <c r="L530" s="298" t="inlineStr">
        <is>
          <t>Т11О-204М-20</t>
        </is>
      </c>
      <c r="M530" s="297" t="n">
        <v>13</v>
      </c>
      <c r="N530" s="298" t="n"/>
      <c r="O530" s="299" t="n"/>
      <c r="P530" s="298" t="n"/>
      <c r="Q530" s="298" t="n"/>
      <c r="R530" s="298" t="n"/>
      <c r="S530" s="298" t="inlineStr">
        <is>
          <t>Нет</t>
        </is>
      </c>
      <c r="T530" s="298" t="n"/>
      <c r="U530" s="298" t="n"/>
    </row>
    <row r="531" ht="15.75" customHeight="1" s="2">
      <c r="E531" s="300" t="n">
        <v>1</v>
      </c>
      <c r="G531" s="296" t="n">
        <v>13</v>
      </c>
      <c r="H531" s="297" t="n">
        <v>13</v>
      </c>
      <c r="I531" s="133">
        <f>G531-H531</f>
        <v/>
      </c>
      <c r="J531" s="298" t="inlineStr">
        <is>
          <t>Педагогическая практика</t>
        </is>
      </c>
      <c r="K531" s="298" t="inlineStr">
        <is>
          <t>Преддипломная практика</t>
        </is>
      </c>
      <c r="L531" s="298" t="inlineStr">
        <is>
          <t>Т11О-201М-20</t>
        </is>
      </c>
      <c r="M531" s="297" t="n">
        <v>13</v>
      </c>
      <c r="N531" s="298" t="n"/>
      <c r="O531" s="299" t="n"/>
      <c r="P531" s="298" t="inlineStr">
        <is>
          <t xml:space="preserve">82061     </t>
        </is>
      </c>
      <c r="Q531" s="298" t="inlineStr">
        <is>
          <t xml:space="preserve">Моисеев Виктор Сергеевич </t>
        </is>
      </c>
      <c r="R531" s="298" t="n"/>
      <c r="S531" s="298" t="inlineStr">
        <is>
          <t>Да</t>
        </is>
      </c>
      <c r="T531" s="298" t="n"/>
      <c r="U531" s="298" t="n"/>
    </row>
    <row r="532" ht="15.75" customHeight="1" s="2">
      <c r="E532" s="300" t="n">
        <v>1</v>
      </c>
      <c r="G532" s="296" t="n">
        <v>11</v>
      </c>
      <c r="H532" s="297" t="n">
        <v>11</v>
      </c>
      <c r="I532" s="133">
        <f>G532-H532</f>
        <v/>
      </c>
      <c r="J532" s="298" t="inlineStr">
        <is>
          <t>Педагогическая практика</t>
        </is>
      </c>
      <c r="K532" s="298" t="inlineStr">
        <is>
          <t>Преддипломная практика</t>
        </is>
      </c>
      <c r="L532" s="298" t="inlineStr">
        <is>
          <t>Т11О-202М-20</t>
        </is>
      </c>
      <c r="M532" s="297" t="n">
        <v>11</v>
      </c>
      <c r="N532" s="298" t="n"/>
      <c r="O532" s="299" t="n"/>
      <c r="P532" s="298" t="inlineStr">
        <is>
          <t xml:space="preserve">82061     </t>
        </is>
      </c>
      <c r="Q532" s="298" t="inlineStr">
        <is>
          <t xml:space="preserve">Моисеев Виктор Сергеевич </t>
        </is>
      </c>
      <c r="R532" s="298" t="n"/>
      <c r="S532" s="298" t="inlineStr">
        <is>
          <t>Да</t>
        </is>
      </c>
      <c r="T532" s="298" t="n"/>
      <c r="U532" s="298" t="n"/>
    </row>
    <row r="533" ht="15.75" customHeight="1" s="2">
      <c r="E533" s="300" t="n">
        <v>1</v>
      </c>
      <c r="G533" s="296" t="n">
        <v>11</v>
      </c>
      <c r="H533" s="297" t="n">
        <v>11</v>
      </c>
      <c r="I533" s="133">
        <f>G533-H533</f>
        <v/>
      </c>
      <c r="J533" s="298" t="inlineStr">
        <is>
          <t>Педагогическая практика</t>
        </is>
      </c>
      <c r="K533" s="298" t="inlineStr">
        <is>
          <t>Преддипломная практика</t>
        </is>
      </c>
      <c r="L533" s="298" t="inlineStr">
        <is>
          <t>Т11О-203М-20</t>
        </is>
      </c>
      <c r="M533" s="297" t="n">
        <v>11</v>
      </c>
      <c r="N533" s="298" t="n"/>
      <c r="O533" s="299" t="n"/>
      <c r="P533" s="298" t="inlineStr">
        <is>
          <t xml:space="preserve">82061     </t>
        </is>
      </c>
      <c r="Q533" s="298" t="inlineStr">
        <is>
          <t xml:space="preserve">Моисеев Виктор Сергеевич </t>
        </is>
      </c>
      <c r="R533" s="298" t="n"/>
      <c r="S533" s="298" t="inlineStr">
        <is>
          <t>Да</t>
        </is>
      </c>
      <c r="T533" s="298" t="n"/>
      <c r="U533" s="298" t="n"/>
    </row>
    <row r="534" ht="15.75" customHeight="1" s="2">
      <c r="E534" s="300" t="n">
        <v>1</v>
      </c>
      <c r="G534" s="296" t="n">
        <v>13</v>
      </c>
      <c r="H534" s="297" t="n">
        <v>13</v>
      </c>
      <c r="I534" s="133">
        <f>G534-H534</f>
        <v/>
      </c>
      <c r="J534" s="298" t="inlineStr">
        <is>
          <t>Педагогическая практика</t>
        </is>
      </c>
      <c r="K534" s="298" t="inlineStr">
        <is>
          <t>Преддипломная практика</t>
        </is>
      </c>
      <c r="L534" s="298" t="inlineStr">
        <is>
          <t>Т11О-204М-20</t>
        </is>
      </c>
      <c r="M534" s="297" t="n">
        <v>13</v>
      </c>
      <c r="N534" s="298" t="n"/>
      <c r="O534" s="299" t="n"/>
      <c r="P534" s="298" t="inlineStr">
        <is>
          <t xml:space="preserve">82061     </t>
        </is>
      </c>
      <c r="Q534" s="298" t="inlineStr">
        <is>
          <t xml:space="preserve">Моисеев Виктор Сергеевич </t>
        </is>
      </c>
      <c r="R534" s="298" t="n"/>
      <c r="S534" s="298" t="inlineStr">
        <is>
          <t>Да</t>
        </is>
      </c>
      <c r="T534" s="298" t="n"/>
      <c r="U534" s="298" t="n"/>
    </row>
    <row r="535" ht="15.75" customHeight="1" s="2">
      <c r="E535" s="300" t="n">
        <v>1</v>
      </c>
      <c r="G535" s="296" t="n">
        <v>24</v>
      </c>
      <c r="H535" s="297" t="n">
        <v>24</v>
      </c>
      <c r="I535" s="133">
        <f>G535-H535</f>
        <v/>
      </c>
      <c r="J535" s="298" t="inlineStr">
        <is>
          <t>Педагогическая практика</t>
        </is>
      </c>
      <c r="K535" s="298" t="inlineStr">
        <is>
          <t>Преддипломная практика</t>
        </is>
      </c>
      <c r="L535" s="298" t="inlineStr">
        <is>
          <t>М9О-204М-20</t>
        </is>
      </c>
      <c r="M535" s="297" t="n">
        <v>24</v>
      </c>
      <c r="N535" s="298" t="n"/>
      <c r="O535" s="299" t="n"/>
      <c r="P535" s="298" t="inlineStr">
        <is>
          <t xml:space="preserve">82061     </t>
        </is>
      </c>
      <c r="Q535" s="298" t="inlineStr">
        <is>
          <t xml:space="preserve">Моисеев Виктор Сергеевич </t>
        </is>
      </c>
      <c r="R535" s="298" t="n"/>
      <c r="S535" s="298" t="inlineStr">
        <is>
          <t>Да</t>
        </is>
      </c>
      <c r="T535" s="298" t="n"/>
      <c r="U535" s="298" t="n"/>
    </row>
    <row r="536" ht="15.75" customHeight="1" s="2">
      <c r="E536" s="295" t="n">
        <v>13</v>
      </c>
      <c r="G536" s="296" t="n">
        <v>90</v>
      </c>
      <c r="H536" s="297" t="n">
        <v>90</v>
      </c>
      <c r="I536" s="133">
        <f>G536-H536</f>
        <v/>
      </c>
      <c r="J536" s="298" t="inlineStr">
        <is>
          <t>Руководство магистрами</t>
        </is>
      </c>
      <c r="K536" s="298" t="inlineStr">
        <is>
          <t>Руководство магистрами</t>
        </is>
      </c>
      <c r="L536" s="298" t="inlineStr">
        <is>
          <t>Т11О-201М-20</t>
        </is>
      </c>
      <c r="M536" s="297" t="n">
        <v>90</v>
      </c>
      <c r="N536" s="298" t="n"/>
      <c r="O536" s="299" t="n"/>
      <c r="P536" s="298" t="n"/>
      <c r="Q536" s="298" t="n"/>
      <c r="R536" s="298" t="n"/>
      <c r="S536" s="298" t="inlineStr">
        <is>
          <t>Нет</t>
        </is>
      </c>
      <c r="T536" s="298" t="n"/>
      <c r="U536" s="298" t="n"/>
    </row>
    <row r="537" ht="15.75" customHeight="1" s="2">
      <c r="E537" s="300" t="n">
        <v>11</v>
      </c>
      <c r="G537" s="296" t="n">
        <v>75</v>
      </c>
      <c r="H537" s="297" t="n">
        <v>75</v>
      </c>
      <c r="I537" s="133">
        <f>G537-H537</f>
        <v/>
      </c>
      <c r="J537" s="298" t="inlineStr">
        <is>
          <t>Руководство магистрами</t>
        </is>
      </c>
      <c r="K537" s="298" t="inlineStr">
        <is>
          <t>Руководство магистрами</t>
        </is>
      </c>
      <c r="L537" s="298" t="inlineStr">
        <is>
          <t>Т11О-202М-20</t>
        </is>
      </c>
      <c r="M537" s="297" t="n">
        <v>75</v>
      </c>
      <c r="N537" s="298" t="n"/>
      <c r="O537" s="299" t="n"/>
      <c r="P537" s="298" t="n"/>
      <c r="Q537" s="298" t="n"/>
      <c r="R537" s="298" t="n"/>
      <c r="S537" s="298" t="inlineStr">
        <is>
          <t>Нет</t>
        </is>
      </c>
      <c r="T537" s="298" t="n"/>
      <c r="U537" s="298" t="n"/>
    </row>
    <row r="538" ht="15.75" customHeight="1" s="2">
      <c r="E538" s="300" t="n">
        <v>11</v>
      </c>
      <c r="G538" s="296" t="n">
        <v>75</v>
      </c>
      <c r="H538" s="297" t="n">
        <v>75</v>
      </c>
      <c r="I538" s="133">
        <f>G538-H538</f>
        <v/>
      </c>
      <c r="J538" s="298" t="inlineStr">
        <is>
          <t>Руководство магистрами</t>
        </is>
      </c>
      <c r="K538" s="298" t="inlineStr">
        <is>
          <t>Руководство магистрами</t>
        </is>
      </c>
      <c r="L538" s="298" t="inlineStr">
        <is>
          <t>Т11О-203М-20</t>
        </is>
      </c>
      <c r="M538" s="297" t="n">
        <v>75</v>
      </c>
      <c r="N538" s="298" t="n"/>
      <c r="O538" s="299" t="n"/>
      <c r="P538" s="298" t="n"/>
      <c r="Q538" s="298" t="n"/>
      <c r="R538" s="298" t="n"/>
      <c r="S538" s="298" t="inlineStr">
        <is>
          <t>Нет</t>
        </is>
      </c>
      <c r="T538" s="298" t="n"/>
      <c r="U538" s="298" t="n"/>
    </row>
    <row r="539" ht="15.75" customHeight="1" s="2">
      <c r="E539" s="300" t="n">
        <v>13</v>
      </c>
      <c r="G539" s="296" t="n">
        <v>90</v>
      </c>
      <c r="H539" s="297" t="n">
        <v>90</v>
      </c>
      <c r="I539" s="133">
        <f>G539-H539</f>
        <v/>
      </c>
      <c r="J539" s="298" t="inlineStr">
        <is>
          <t>Руководство магистрами</t>
        </is>
      </c>
      <c r="K539" s="298" t="inlineStr">
        <is>
          <t>Руководство магистрами</t>
        </is>
      </c>
      <c r="L539" s="298" t="inlineStr">
        <is>
          <t>Т11О-204М-20</t>
        </is>
      </c>
      <c r="M539" s="297" t="n">
        <v>90</v>
      </c>
      <c r="N539" s="298" t="n"/>
      <c r="O539" s="299" t="n"/>
      <c r="P539" s="298" t="n"/>
      <c r="Q539" s="298" t="n"/>
      <c r="R539" s="298" t="n"/>
      <c r="S539" s="298" t="inlineStr">
        <is>
          <t>Нет</t>
        </is>
      </c>
      <c r="T539" s="298" t="n"/>
      <c r="U539" s="298" t="n"/>
    </row>
    <row r="540" ht="15.75" customHeight="1" s="2">
      <c r="E540" s="295" t="n">
        <v>13</v>
      </c>
      <c r="G540" s="296" t="n">
        <v>30</v>
      </c>
      <c r="H540" s="297" t="n">
        <v>30</v>
      </c>
      <c r="I540" s="133">
        <f>G540-H540</f>
        <v/>
      </c>
      <c r="J540" s="298" t="inlineStr">
        <is>
          <t>Руководство магистрами</t>
        </is>
      </c>
      <c r="K540" s="298" t="inlineStr">
        <is>
          <t>Руководство магистрами</t>
        </is>
      </c>
      <c r="L540" s="298" t="inlineStr">
        <is>
          <t>Т11О-101М-21</t>
        </is>
      </c>
      <c r="M540" s="297" t="n">
        <v>30</v>
      </c>
      <c r="N540" s="298" t="n"/>
      <c r="O540" s="299" t="n"/>
      <c r="P540" s="298" t="inlineStr">
        <is>
          <t xml:space="preserve">81732     </t>
        </is>
      </c>
      <c r="Q540" s="298" t="inlineStr">
        <is>
          <t xml:space="preserve">Петров Анатолий Павлович </t>
        </is>
      </c>
      <c r="R540" s="298" t="inlineStr">
        <is>
          <t>профессор</t>
        </is>
      </c>
      <c r="S540" s="298" t="inlineStr">
        <is>
          <t>Да</t>
        </is>
      </c>
      <c r="T540" s="298" t="n"/>
      <c r="U540" s="298" t="n"/>
    </row>
    <row r="541" ht="15.75" customHeight="1" s="2">
      <c r="E541" s="300" t="n">
        <v>11</v>
      </c>
      <c r="G541" s="296" t="n">
        <v>15</v>
      </c>
      <c r="H541" s="297" t="n">
        <v>15</v>
      </c>
      <c r="I541" s="133">
        <f>G541-H541</f>
        <v/>
      </c>
      <c r="J541" s="298" t="inlineStr">
        <is>
          <t>Руководство магистрами</t>
        </is>
      </c>
      <c r="K541" s="298" t="inlineStr">
        <is>
          <t>Руководство магистрами</t>
        </is>
      </c>
      <c r="L541" s="298" t="inlineStr">
        <is>
          <t>Т11О-101М-21</t>
        </is>
      </c>
      <c r="M541" s="297" t="n">
        <v>15</v>
      </c>
      <c r="N541" s="298" t="n"/>
      <c r="O541" s="299" t="n"/>
      <c r="P541" s="298" t="inlineStr">
        <is>
          <t xml:space="preserve">81728     </t>
        </is>
      </c>
      <c r="Q541" s="298" t="inlineStr">
        <is>
          <t xml:space="preserve">Галкин Виктор Иванович </t>
        </is>
      </c>
      <c r="R541" s="298" t="n"/>
      <c r="S541" s="298" t="inlineStr">
        <is>
          <t>Нет</t>
        </is>
      </c>
      <c r="T541" s="298" t="n"/>
      <c r="U541" s="298" t="n"/>
    </row>
    <row r="542" ht="15.75" customHeight="1" s="2">
      <c r="E542" s="300" t="n">
        <v>11</v>
      </c>
      <c r="G542" s="296" t="n">
        <v>15</v>
      </c>
      <c r="H542" s="297" t="n">
        <v>15</v>
      </c>
      <c r="I542" s="133">
        <f>G542-H542</f>
        <v/>
      </c>
      <c r="J542" s="298" t="inlineStr">
        <is>
          <t>Руководство магистрами</t>
        </is>
      </c>
      <c r="K542" s="298" t="inlineStr">
        <is>
          <t>Руководство магистрами</t>
        </is>
      </c>
      <c r="L542" s="298" t="inlineStr">
        <is>
          <t>Т11О-101М-21</t>
        </is>
      </c>
      <c r="M542" s="297" t="n">
        <v>15</v>
      </c>
      <c r="N542" s="298" t="n"/>
      <c r="O542" s="299" t="n"/>
      <c r="P542" s="298" t="inlineStr">
        <is>
          <t xml:space="preserve">81730     </t>
        </is>
      </c>
      <c r="Q542" s="298" t="inlineStr">
        <is>
          <t>Федоров Анатолий Александрович</t>
        </is>
      </c>
      <c r="R542" s="298" t="n"/>
      <c r="S542" s="298" t="inlineStr">
        <is>
          <t>Да</t>
        </is>
      </c>
      <c r="T542" s="298" t="n"/>
      <c r="U542" s="298" t="n"/>
    </row>
    <row r="543" ht="15.75" customHeight="1" s="2">
      <c r="E543" s="300" t="n">
        <v>13</v>
      </c>
      <c r="G543" s="296" t="n">
        <v>15</v>
      </c>
      <c r="H543" s="297" t="n">
        <v>15</v>
      </c>
      <c r="I543" s="133">
        <f>G543-H543</f>
        <v/>
      </c>
      <c r="J543" s="298" t="inlineStr">
        <is>
          <t>Руководство магистрами</t>
        </is>
      </c>
      <c r="K543" s="298" t="inlineStr">
        <is>
          <t>Руководство магистрами</t>
        </is>
      </c>
      <c r="L543" s="298" t="inlineStr">
        <is>
          <t>Т11О-101М-21</t>
        </is>
      </c>
      <c r="M543" s="297" t="n">
        <v>15</v>
      </c>
      <c r="N543" s="298" t="n"/>
      <c r="O543" s="299" t="n"/>
      <c r="P543" s="298" t="inlineStr">
        <is>
          <t xml:space="preserve">81731     </t>
        </is>
      </c>
      <c r="Q543" s="298" t="inlineStr">
        <is>
          <t xml:space="preserve">Беспалов Александр Владимирович </t>
        </is>
      </c>
      <c r="R543" s="298" t="n"/>
      <c r="S543" s="298" t="inlineStr">
        <is>
          <t>Нет</t>
        </is>
      </c>
      <c r="T543" s="298" t="n"/>
      <c r="U543" s="298" t="n"/>
    </row>
    <row r="544" ht="15.75" customHeight="1" s="2">
      <c r="E544" s="300" t="n">
        <v>24</v>
      </c>
      <c r="G544" s="296" t="n">
        <v>15</v>
      </c>
      <c r="H544" s="297" t="n">
        <v>15</v>
      </c>
      <c r="I544" s="133">
        <f>G544-H544</f>
        <v/>
      </c>
      <c r="J544" s="298" t="inlineStr">
        <is>
          <t>Руководство магистрами</t>
        </is>
      </c>
      <c r="K544" s="298" t="inlineStr">
        <is>
          <t>Руководство магистрами</t>
        </is>
      </c>
      <c r="L544" s="298" t="inlineStr">
        <is>
          <t>Т11О-102М-21</t>
        </is>
      </c>
      <c r="M544" s="297" t="n">
        <v>15</v>
      </c>
      <c r="N544" s="298" t="n"/>
      <c r="O544" s="299" t="n"/>
      <c r="P544" s="298" t="inlineStr">
        <is>
          <t xml:space="preserve">82061     </t>
        </is>
      </c>
      <c r="Q544" s="298" t="inlineStr">
        <is>
          <t xml:space="preserve">Моисеев Виктор Сергеевич </t>
        </is>
      </c>
      <c r="R544" s="298" t="n"/>
      <c r="S544" s="298" t="inlineStr">
        <is>
          <t>Да</t>
        </is>
      </c>
      <c r="T544" s="298" t="n"/>
      <c r="U544" s="298" t="n"/>
    </row>
    <row r="545" ht="15.75" customHeight="1" s="2">
      <c r="E545" s="307" t="n">
        <v>15</v>
      </c>
      <c r="G545" s="296" t="n">
        <v>15</v>
      </c>
      <c r="H545" s="297" t="n">
        <v>15</v>
      </c>
      <c r="I545" s="133">
        <f>G545-H545</f>
        <v/>
      </c>
      <c r="J545" s="298" t="inlineStr">
        <is>
          <t>Руководство магистрами</t>
        </is>
      </c>
      <c r="K545" s="298" t="inlineStr">
        <is>
          <t>Руководство магистрами</t>
        </is>
      </c>
      <c r="L545" s="298" t="inlineStr">
        <is>
          <t>Т11О-102М-21</t>
        </is>
      </c>
      <c r="M545" s="297" t="n">
        <v>15</v>
      </c>
      <c r="N545" s="298" t="n"/>
      <c r="O545" s="299" t="n"/>
      <c r="P545" s="298" t="inlineStr">
        <is>
          <t xml:space="preserve">82086     </t>
        </is>
      </c>
      <c r="Q545" s="298" t="inlineStr">
        <is>
          <t xml:space="preserve">Смыков Андрей Федорович </t>
        </is>
      </c>
      <c r="R545" s="298" t="n"/>
      <c r="S545" s="298" t="inlineStr">
        <is>
          <t>Нет</t>
        </is>
      </c>
      <c r="T545" s="298" t="n"/>
      <c r="U545" s="298" t="n"/>
    </row>
    <row r="546" ht="15.75" customHeight="1" s="2">
      <c r="E546" s="307" t="n">
        <v>30</v>
      </c>
      <c r="G546" s="296" t="n">
        <v>15</v>
      </c>
      <c r="H546" s="297" t="n">
        <v>15</v>
      </c>
      <c r="I546" s="133">
        <f>G546-H546</f>
        <v/>
      </c>
      <c r="J546" s="298" t="inlineStr">
        <is>
          <t>Руководство магистрами</t>
        </is>
      </c>
      <c r="K546" s="298" t="inlineStr">
        <is>
          <t>Руководство магистрами</t>
        </is>
      </c>
      <c r="L546" s="298" t="inlineStr">
        <is>
          <t>Т11О-102М-21</t>
        </is>
      </c>
      <c r="M546" s="297" t="n">
        <v>15</v>
      </c>
      <c r="N546" s="298" t="n"/>
      <c r="O546" s="299" t="n"/>
      <c r="P546" s="298" t="inlineStr">
        <is>
          <t xml:space="preserve">82020     </t>
        </is>
      </c>
      <c r="Q546" s="298" t="inlineStr">
        <is>
          <t xml:space="preserve">Варфоломеев Максим Сергеевич </t>
        </is>
      </c>
      <c r="R546" s="298" t="n"/>
      <c r="S546" s="298" t="inlineStr">
        <is>
          <t>Нет</t>
        </is>
      </c>
      <c r="T546" s="298" t="n"/>
      <c r="U546" s="298" t="n"/>
    </row>
    <row r="547" ht="15.75" customHeight="1" s="2">
      <c r="E547" s="307" t="n">
        <v>15</v>
      </c>
      <c r="G547" s="296" t="n">
        <v>15</v>
      </c>
      <c r="H547" s="297" t="n">
        <v>15</v>
      </c>
      <c r="I547" s="133">
        <f>G547-H547</f>
        <v/>
      </c>
      <c r="J547" s="298" t="inlineStr">
        <is>
          <t>Руководство магистрами</t>
        </is>
      </c>
      <c r="K547" s="298" t="inlineStr">
        <is>
          <t>Руководство магистрами</t>
        </is>
      </c>
      <c r="L547" s="298" t="inlineStr">
        <is>
          <t>Т11О-102М-21</t>
        </is>
      </c>
      <c r="M547" s="297" t="n">
        <v>15</v>
      </c>
      <c r="N547" s="298" t="n"/>
      <c r="O547" s="299" t="n"/>
      <c r="P547" s="298" t="inlineStr">
        <is>
          <t xml:space="preserve">82018     </t>
        </is>
      </c>
      <c r="Q547" s="298" t="inlineStr">
        <is>
          <t>Бережной Дмитрий Васильевич</t>
        </is>
      </c>
      <c r="R547" s="298" t="n"/>
      <c r="S547" s="298" t="inlineStr">
        <is>
          <t>Нет</t>
        </is>
      </c>
      <c r="T547" s="298" t="n"/>
      <c r="U547" s="298" t="n"/>
    </row>
    <row r="548" ht="15.75" customHeight="1" s="2">
      <c r="E548" s="307" t="n">
        <v>15</v>
      </c>
      <c r="G548" s="296" t="n">
        <v>15</v>
      </c>
      <c r="H548" s="297" t="n">
        <v>15</v>
      </c>
      <c r="I548" s="133">
        <f>G548-H548</f>
        <v/>
      </c>
      <c r="J548" s="298" t="inlineStr">
        <is>
          <t>Руководство магистрами</t>
        </is>
      </c>
      <c r="K548" s="298" t="inlineStr">
        <is>
          <t>Руководство магистрами</t>
        </is>
      </c>
      <c r="L548" s="298" t="inlineStr">
        <is>
          <t>Т11О-102М-21</t>
        </is>
      </c>
      <c r="M548" s="297" t="n">
        <v>15</v>
      </c>
      <c r="N548" s="298" t="n"/>
      <c r="O548" s="299" t="n"/>
      <c r="P548" s="298" t="inlineStr">
        <is>
          <t xml:space="preserve">89068     </t>
        </is>
      </c>
      <c r="Q548" s="298" t="inlineStr">
        <is>
          <t xml:space="preserve">Петров Игорь Алексеевич </t>
        </is>
      </c>
      <c r="R548" s="298" t="n"/>
      <c r="S548" s="298" t="inlineStr">
        <is>
          <t>Нет</t>
        </is>
      </c>
      <c r="T548" s="298" t="n"/>
      <c r="U548" s="298" t="n"/>
    </row>
    <row r="549" ht="15.75" customHeight="1" s="2">
      <c r="E549" s="300" t="n">
        <v>15</v>
      </c>
      <c r="G549" s="296" t="n">
        <v>15</v>
      </c>
      <c r="H549" s="297" t="n">
        <v>15</v>
      </c>
      <c r="I549" s="133">
        <f>G549-H549</f>
        <v/>
      </c>
      <c r="J549" s="298" t="inlineStr">
        <is>
          <t>Руководство магистрами</t>
        </is>
      </c>
      <c r="K549" s="298" t="inlineStr">
        <is>
          <t>Руководство магистрами</t>
        </is>
      </c>
      <c r="L549" s="298" t="inlineStr">
        <is>
          <t>Т11О-102М-21</t>
        </is>
      </c>
      <c r="M549" s="297" t="n">
        <v>15</v>
      </c>
      <c r="N549" s="298" t="n"/>
      <c r="O549" s="299" t="n"/>
      <c r="P549" s="298" t="inlineStr">
        <is>
          <t xml:space="preserve">93685     </t>
        </is>
      </c>
      <c r="Q549" s="298" t="inlineStr">
        <is>
          <t xml:space="preserve">Банишев Александр Федорович </t>
        </is>
      </c>
      <c r="R549" s="298" t="inlineStr">
        <is>
          <t>профессор</t>
        </is>
      </c>
      <c r="S549" s="298" t="inlineStr">
        <is>
          <t>Да</t>
        </is>
      </c>
      <c r="T549" s="298" t="n"/>
      <c r="U549" s="298" t="n"/>
    </row>
    <row r="550" ht="15.75" customHeight="1" s="2">
      <c r="E550" s="300" t="n">
        <v>15</v>
      </c>
      <c r="G550" s="296" t="n">
        <v>15</v>
      </c>
      <c r="H550" s="297" t="n">
        <v>15</v>
      </c>
      <c r="I550" s="133">
        <f>G550-H550</f>
        <v/>
      </c>
      <c r="J550" s="298" t="inlineStr">
        <is>
          <t>Руководство магистрами</t>
        </is>
      </c>
      <c r="K550" s="298" t="inlineStr">
        <is>
          <t>Руководство магистрами</t>
        </is>
      </c>
      <c r="L550" s="298" t="inlineStr">
        <is>
          <t>Т11О-103М-21</t>
        </is>
      </c>
      <c r="M550" s="297" t="n">
        <v>15</v>
      </c>
      <c r="N550" s="298" t="n"/>
      <c r="O550" s="299" t="n"/>
      <c r="P550" s="298" t="inlineStr">
        <is>
          <t xml:space="preserve">82060     </t>
        </is>
      </c>
      <c r="Q550" s="298" t="inlineStr">
        <is>
          <t xml:space="preserve">Лозован Александр Александрович </t>
        </is>
      </c>
      <c r="R550" s="298" t="n"/>
      <c r="S550" s="298" t="inlineStr">
        <is>
          <t>Да</t>
        </is>
      </c>
      <c r="T550" s="298" t="n"/>
      <c r="U550" s="298" t="n"/>
    </row>
    <row r="551" ht="15.75" customHeight="1" s="2">
      <c r="E551" s="300" t="n">
        <v>15</v>
      </c>
      <c r="G551" s="296" t="n">
        <v>30</v>
      </c>
      <c r="H551" s="297" t="n">
        <v>30</v>
      </c>
      <c r="I551" s="133">
        <f>G551-H551</f>
        <v/>
      </c>
      <c r="J551" s="298" t="inlineStr">
        <is>
          <t>Руководство магистрами</t>
        </is>
      </c>
      <c r="K551" s="298" t="inlineStr">
        <is>
          <t>Руководство магистрами</t>
        </is>
      </c>
      <c r="L551" s="298" t="inlineStr">
        <is>
          <t>Т11О-103М-21</t>
        </is>
      </c>
      <c r="M551" s="297" t="n">
        <v>30</v>
      </c>
      <c r="N551" s="298" t="n"/>
      <c r="O551" s="299" t="n"/>
      <c r="P551" s="298" t="inlineStr">
        <is>
          <t xml:space="preserve">82090     </t>
        </is>
      </c>
      <c r="Q551" s="298" t="inlineStr">
        <is>
          <t xml:space="preserve">Барабанова Ольга Алексеевна </t>
        </is>
      </c>
      <c r="R551" s="298" t="n"/>
      <c r="S551" s="298" t="inlineStr">
        <is>
          <t>Да</t>
        </is>
      </c>
      <c r="T551" s="298" t="n"/>
      <c r="U551" s="298" t="n"/>
    </row>
    <row r="552" ht="15.75" customHeight="1" s="2">
      <c r="E552" s="300" t="n">
        <v>15</v>
      </c>
      <c r="G552" s="296" t="n">
        <v>30</v>
      </c>
      <c r="H552" s="297" t="n">
        <v>30</v>
      </c>
      <c r="I552" s="133">
        <f>G552-H552</f>
        <v/>
      </c>
      <c r="J552" s="298" t="inlineStr">
        <is>
          <t>Руководство магистрами</t>
        </is>
      </c>
      <c r="K552" s="298" t="inlineStr">
        <is>
          <t>Руководство магистрами</t>
        </is>
      </c>
      <c r="L552" s="298" t="inlineStr">
        <is>
          <t>Т11О-103М-21</t>
        </is>
      </c>
      <c r="M552" s="297" t="n">
        <v>30</v>
      </c>
      <c r="N552" s="298" t="n"/>
      <c r="O552" s="299" t="n"/>
      <c r="P552" s="298" t="inlineStr">
        <is>
          <t xml:space="preserve">82066     </t>
        </is>
      </c>
      <c r="Q552" s="298" t="inlineStr">
        <is>
          <t xml:space="preserve">Серов Михаил Михайлович </t>
        </is>
      </c>
      <c r="R552" s="298" t="n"/>
      <c r="S552" s="298" t="inlineStr">
        <is>
          <t>Да</t>
        </is>
      </c>
      <c r="T552" s="298" t="n"/>
      <c r="U552" s="298" t="n"/>
    </row>
    <row r="553" ht="15.75" customHeight="1" s="2">
      <c r="E553" s="300" t="n">
        <v>15</v>
      </c>
      <c r="G553" s="296" t="n">
        <v>15</v>
      </c>
      <c r="H553" s="297" t="n">
        <v>15</v>
      </c>
      <c r="I553" s="133">
        <f>G553-H553</f>
        <v/>
      </c>
      <c r="J553" s="298" t="inlineStr">
        <is>
          <t>Руководство магистрами</t>
        </is>
      </c>
      <c r="K553" s="298" t="inlineStr">
        <is>
          <t>Руководство магистрами</t>
        </is>
      </c>
      <c r="L553" s="298" t="inlineStr">
        <is>
          <t>Т11О-103М-21</t>
        </is>
      </c>
      <c r="M553" s="297" t="n">
        <v>15</v>
      </c>
      <c r="N553" s="298" t="n"/>
      <c r="O553" s="299" t="n"/>
      <c r="P553" s="298" t="inlineStr">
        <is>
          <t xml:space="preserve">93685     </t>
        </is>
      </c>
      <c r="Q553" s="298" t="inlineStr">
        <is>
          <t xml:space="preserve">Банишев Александр Федорович </t>
        </is>
      </c>
      <c r="R553" s="298" t="inlineStr">
        <is>
          <t>профессор</t>
        </is>
      </c>
      <c r="S553" s="298" t="inlineStr">
        <is>
          <t>Да</t>
        </is>
      </c>
      <c r="T553" s="298" t="n"/>
      <c r="U553" s="298" t="n"/>
    </row>
    <row r="554" ht="15.75" customHeight="1" s="2">
      <c r="E554" s="300" t="n">
        <v>15</v>
      </c>
      <c r="G554" s="296" t="n">
        <v>15</v>
      </c>
      <c r="H554" s="297" t="n">
        <v>15</v>
      </c>
      <c r="I554" s="133">
        <f>G554-H554</f>
        <v/>
      </c>
      <c r="J554" s="298" t="inlineStr">
        <is>
          <t>Руководство магистрами</t>
        </is>
      </c>
      <c r="K554" s="298" t="inlineStr">
        <is>
          <t>Руководство магистрами</t>
        </is>
      </c>
      <c r="L554" s="298" t="inlineStr">
        <is>
          <t>Т11О-104М-21</t>
        </is>
      </c>
      <c r="M554" s="297" t="n">
        <v>15</v>
      </c>
      <c r="N554" s="298" t="n"/>
      <c r="O554" s="299" t="n"/>
      <c r="P554" s="298" t="inlineStr">
        <is>
          <t xml:space="preserve">87438     </t>
        </is>
      </c>
      <c r="Q554" s="298" t="inlineStr">
        <is>
          <t xml:space="preserve">Конкевич Валентин Юрьевич </t>
        </is>
      </c>
      <c r="R554" s="298" t="n"/>
      <c r="S554" s="298" t="inlineStr">
        <is>
          <t>Да</t>
        </is>
      </c>
      <c r="T554" s="298" t="n"/>
      <c r="U554" s="298" t="n"/>
    </row>
    <row r="555" ht="15.75" customHeight="1" s="2">
      <c r="E555" s="300" t="n">
        <v>15</v>
      </c>
      <c r="G555" s="296" t="n">
        <v>30</v>
      </c>
      <c r="H555" s="297" t="n">
        <v>30</v>
      </c>
      <c r="I555" s="133">
        <f>G555-H555</f>
        <v/>
      </c>
      <c r="J555" s="298" t="inlineStr">
        <is>
          <t>Руководство магистрами</t>
        </is>
      </c>
      <c r="K555" s="298" t="inlineStr">
        <is>
          <t>Руководство магистрами</t>
        </is>
      </c>
      <c r="L555" s="298" t="inlineStr">
        <is>
          <t>Т11О-104М-21</t>
        </is>
      </c>
      <c r="M555" s="297" t="n">
        <v>30</v>
      </c>
      <c r="N555" s="298" t="n"/>
      <c r="O555" s="299" t="n"/>
      <c r="P555" s="298" t="inlineStr">
        <is>
          <t xml:space="preserve">82056     </t>
        </is>
      </c>
      <c r="Q555" s="298" t="inlineStr">
        <is>
          <t xml:space="preserve">Никитина Елена Владимировна </t>
        </is>
      </c>
      <c r="R555" s="298" t="n"/>
      <c r="S555" s="298" t="inlineStr">
        <is>
          <t>Да</t>
        </is>
      </c>
      <c r="T555" s="298" t="n"/>
      <c r="U555" s="298" t="n"/>
    </row>
    <row r="556" ht="15.75" customHeight="1" s="2">
      <c r="E556" s="300" t="n">
        <v>30</v>
      </c>
      <c r="G556" s="296" t="n">
        <v>15</v>
      </c>
      <c r="H556" s="297" t="n">
        <v>15</v>
      </c>
      <c r="I556" s="133">
        <f>G556-H556</f>
        <v/>
      </c>
      <c r="J556" s="298" t="inlineStr">
        <is>
          <t>Руководство магистрами</t>
        </is>
      </c>
      <c r="K556" s="298" t="inlineStr">
        <is>
          <t>Руководство магистрами</t>
        </is>
      </c>
      <c r="L556" s="298" t="inlineStr">
        <is>
          <t>Т11О-104М-21</t>
        </is>
      </c>
      <c r="M556" s="297" t="n">
        <v>15</v>
      </c>
      <c r="N556" s="298" t="n"/>
      <c r="O556" s="299" t="n"/>
      <c r="P556" s="298" t="inlineStr">
        <is>
          <t xml:space="preserve">92509     </t>
        </is>
      </c>
      <c r="Q556" s="298" t="inlineStr">
        <is>
          <t xml:space="preserve">Пашков Игорь Николаевич </t>
        </is>
      </c>
      <c r="R556" s="298" t="n"/>
      <c r="S556" s="298" t="inlineStr">
        <is>
          <t>Нет</t>
        </is>
      </c>
      <c r="T556" s="298" t="n"/>
      <c r="U556" s="298" t="n"/>
    </row>
    <row r="557" ht="15.75" customHeight="1" s="2">
      <c r="E557" s="300" t="n">
        <v>30</v>
      </c>
      <c r="G557" s="296" t="n">
        <v>15</v>
      </c>
      <c r="H557" s="297" t="n">
        <v>15</v>
      </c>
      <c r="I557" s="133">
        <f>G557-H557</f>
        <v/>
      </c>
      <c r="J557" s="298" t="inlineStr">
        <is>
          <t>Руководство магистрами</t>
        </is>
      </c>
      <c r="K557" s="298" t="inlineStr">
        <is>
          <t>Руководство магистрами</t>
        </is>
      </c>
      <c r="L557" s="298" t="inlineStr">
        <is>
          <t>Т11О-104М-21</t>
        </is>
      </c>
      <c r="M557" s="297" t="n">
        <v>15</v>
      </c>
      <c r="N557" s="298" t="n"/>
      <c r="O557" s="299" t="n"/>
      <c r="P557" s="298" t="inlineStr">
        <is>
          <t xml:space="preserve">82023     </t>
        </is>
      </c>
      <c r="Q557" s="298" t="inlineStr">
        <is>
          <t xml:space="preserve">Федоров Сергей Александрович </t>
        </is>
      </c>
      <c r="R557" s="298" t="n"/>
      <c r="S557" s="298" t="inlineStr">
        <is>
          <t>Да</t>
        </is>
      </c>
      <c r="T557" s="298" t="n"/>
      <c r="U557" s="298" t="n"/>
    </row>
    <row r="558" ht="15.75" customHeight="1" s="2">
      <c r="E558" s="300" t="n">
        <v>15</v>
      </c>
      <c r="G558" s="296" t="n">
        <v>50</v>
      </c>
      <c r="H558" s="297" t="n">
        <v>50</v>
      </c>
      <c r="I558" s="133">
        <f>G558-H558</f>
        <v/>
      </c>
      <c r="J558" s="298" t="inlineStr">
        <is>
          <t>Руководство аспирантами</t>
        </is>
      </c>
      <c r="K558" s="298" t="inlineStr">
        <is>
          <t>Руководство аспирантами</t>
        </is>
      </c>
      <c r="L558" s="298" t="inlineStr">
        <is>
          <t>Т11О-207А-20</t>
        </is>
      </c>
      <c r="M558" s="297" t="n">
        <v>50</v>
      </c>
      <c r="N558" s="298" t="n"/>
      <c r="O558" s="299" t="n"/>
      <c r="P558" s="298" t="inlineStr">
        <is>
          <t xml:space="preserve">82060     </t>
        </is>
      </c>
      <c r="Q558" s="298" t="inlineStr">
        <is>
          <t xml:space="preserve">Лозован Александр Александрович </t>
        </is>
      </c>
      <c r="R558" s="298" t="n"/>
      <c r="S558" s="298" t="inlineStr">
        <is>
          <t>Да</t>
        </is>
      </c>
      <c r="T558" s="298" t="n"/>
      <c r="U558" s="298" t="inlineStr">
        <is>
          <t xml:space="preserve"> (Т11О-07А-20)Жуковский Павел Леонидович + Митрофанов Андрей Леонидович</t>
        </is>
      </c>
    </row>
    <row r="559" ht="15.75" customHeight="1" s="2">
      <c r="E559" s="300" t="n">
        <v>15</v>
      </c>
      <c r="G559" s="296" t="n">
        <v>25</v>
      </c>
      <c r="H559" s="297" t="n">
        <v>25</v>
      </c>
      <c r="I559" s="133">
        <f>G559-H559</f>
        <v/>
      </c>
      <c r="J559" s="298" t="inlineStr">
        <is>
          <t>Руководство аспирантами</t>
        </is>
      </c>
      <c r="K559" s="298" t="inlineStr">
        <is>
          <t>Руководство аспирантами</t>
        </is>
      </c>
      <c r="L559" s="298" t="inlineStr">
        <is>
          <t>Т1О-410А-18</t>
        </is>
      </c>
      <c r="M559" s="297" t="n">
        <v>25</v>
      </c>
      <c r="N559" s="298" t="n"/>
      <c r="O559" s="299" t="n"/>
      <c r="P559" s="298" t="inlineStr">
        <is>
          <t xml:space="preserve">81728     </t>
        </is>
      </c>
      <c r="Q559" s="298" t="inlineStr">
        <is>
          <t xml:space="preserve">Галкин Виктор Иванович </t>
        </is>
      </c>
      <c r="R559" s="298" t="n"/>
      <c r="S559" s="298" t="inlineStr">
        <is>
          <t>Нет</t>
        </is>
      </c>
      <c r="T559" s="298" t="n"/>
      <c r="U559" s="298" t="inlineStr">
        <is>
          <t>Захарова (Борунова) Татьяна Ивановна</t>
        </is>
      </c>
    </row>
    <row r="560" ht="15.75" customHeight="1" s="2">
      <c r="E560" s="308" t="n">
        <v>30</v>
      </c>
      <c r="G560" s="296" t="n">
        <v>25</v>
      </c>
      <c r="H560" s="297" t="n">
        <v>25</v>
      </c>
      <c r="I560" s="133">
        <f>G560-H560</f>
        <v/>
      </c>
      <c r="J560" s="298" t="inlineStr">
        <is>
          <t>Руководство аспирантами</t>
        </is>
      </c>
      <c r="K560" s="298" t="inlineStr">
        <is>
          <t>Руководство аспирантами</t>
        </is>
      </c>
      <c r="L560" s="298" t="inlineStr">
        <is>
          <t>Т11О-102А-21</t>
        </is>
      </c>
      <c r="M560" s="297" t="n">
        <v>25</v>
      </c>
      <c r="N560" s="298" t="n"/>
      <c r="O560" s="299" t="n"/>
      <c r="P560" s="298" t="inlineStr">
        <is>
          <t xml:space="preserve">92509     </t>
        </is>
      </c>
      <c r="Q560" s="298" t="inlineStr">
        <is>
          <t xml:space="preserve">Пашков Игорь Николаевич </t>
        </is>
      </c>
      <c r="R560" s="298" t="n"/>
      <c r="S560" s="298" t="inlineStr">
        <is>
          <t>Нет</t>
        </is>
      </c>
      <c r="T560" s="298" t="n"/>
      <c r="U560" s="298" t="n"/>
    </row>
    <row r="561" ht="15.75" customHeight="1" s="2">
      <c r="E561" s="308" t="n">
        <v>15</v>
      </c>
      <c r="G561" s="296" t="n">
        <v>25</v>
      </c>
      <c r="H561" s="297" t="n">
        <v>25</v>
      </c>
      <c r="I561" s="133">
        <f>G561-H561</f>
        <v/>
      </c>
      <c r="J561" s="298" t="inlineStr">
        <is>
          <t>Руководство аспирантами</t>
        </is>
      </c>
      <c r="K561" s="298" t="inlineStr">
        <is>
          <t>Руководство аспирантами</t>
        </is>
      </c>
      <c r="L561" s="298" t="inlineStr">
        <is>
          <t>Т11О-102А-21</t>
        </is>
      </c>
      <c r="M561" s="297" t="n">
        <v>25</v>
      </c>
      <c r="N561" s="298" t="n"/>
      <c r="O561" s="299" t="n"/>
      <c r="P561" s="298" t="n"/>
      <c r="Q561" s="298" t="n"/>
      <c r="R561" s="298" t="n"/>
      <c r="S561" s="298" t="inlineStr">
        <is>
          <t>Нет</t>
        </is>
      </c>
      <c r="T561" s="298" t="n"/>
      <c r="U561" s="298" t="n"/>
    </row>
    <row r="562" ht="15.75" customHeight="1" s="2">
      <c r="E562" s="308" t="n">
        <v>15</v>
      </c>
      <c r="G562" s="296" t="n">
        <v>25</v>
      </c>
      <c r="H562" s="297" t="n">
        <v>25</v>
      </c>
      <c r="I562" s="133">
        <f>G562-H562</f>
        <v/>
      </c>
      <c r="J562" s="298" t="inlineStr">
        <is>
          <t>Руководство аспирантами</t>
        </is>
      </c>
      <c r="K562" s="298" t="inlineStr">
        <is>
          <t>Руководство аспирантами</t>
        </is>
      </c>
      <c r="L562" s="298" t="inlineStr">
        <is>
          <t>Т11О-106А-21</t>
        </is>
      </c>
      <c r="M562" s="297" t="n">
        <v>25</v>
      </c>
      <c r="N562" s="298" t="n"/>
      <c r="O562" s="299" t="n"/>
      <c r="P562" s="298" t="n"/>
      <c r="Q562" s="298" t="n"/>
      <c r="R562" s="298" t="n"/>
      <c r="S562" s="298" t="inlineStr">
        <is>
          <t>Нет</t>
        </is>
      </c>
      <c r="T562" s="298" t="n"/>
      <c r="U562" s="298" t="n"/>
    </row>
    <row r="563" ht="15.75" customHeight="1" s="2">
      <c r="E563" s="308" t="n">
        <v>15</v>
      </c>
      <c r="G563" s="296" t="n">
        <v>25</v>
      </c>
      <c r="H563" s="297" t="n">
        <v>25</v>
      </c>
      <c r="I563" s="133">
        <f>G563-H563</f>
        <v/>
      </c>
      <c r="J563" s="298" t="inlineStr">
        <is>
          <t>Руководство аспирантами</t>
        </is>
      </c>
      <c r="K563" s="298" t="inlineStr">
        <is>
          <t>Руководство аспирантами</t>
        </is>
      </c>
      <c r="L563" s="298" t="inlineStr">
        <is>
          <t>Т11О-402А-18</t>
        </is>
      </c>
      <c r="M563" s="297" t="n">
        <v>25</v>
      </c>
      <c r="N563" s="298" t="n"/>
      <c r="O563" s="299" t="n"/>
      <c r="P563" s="298" t="inlineStr">
        <is>
          <t xml:space="preserve">92509     </t>
        </is>
      </c>
      <c r="Q563" s="298" t="inlineStr">
        <is>
          <t xml:space="preserve">Пашков Игорь Николаевич </t>
        </is>
      </c>
      <c r="R563" s="298" t="n"/>
      <c r="S563" s="298" t="inlineStr">
        <is>
          <t>Нет</t>
        </is>
      </c>
      <c r="T563" s="298" t="n"/>
      <c r="U563" s="298" t="inlineStr">
        <is>
          <t>Мисников Валерий Евгеньевич</t>
        </is>
      </c>
    </row>
    <row r="564" ht="15.75" customHeight="1" s="2">
      <c r="E564" s="308" t="n">
        <v>15</v>
      </c>
      <c r="G564" s="296" t="n">
        <v>75</v>
      </c>
      <c r="H564" s="297" t="n">
        <v>75</v>
      </c>
      <c r="I564" s="133">
        <f>G564-H564</f>
        <v/>
      </c>
      <c r="J564" s="298" t="inlineStr">
        <is>
          <t>Руководство аспирантами</t>
        </is>
      </c>
      <c r="K564" s="298" t="inlineStr">
        <is>
          <t>Руководство аспирантами</t>
        </is>
      </c>
      <c r="L564" s="298" t="inlineStr">
        <is>
          <t>Т11О-407А-18</t>
        </is>
      </c>
      <c r="M564" s="297" t="n">
        <v>75</v>
      </c>
      <c r="N564" s="298" t="n"/>
      <c r="O564" s="299" t="n"/>
      <c r="P564" s="298" t="inlineStr">
        <is>
          <t xml:space="preserve">82060     </t>
        </is>
      </c>
      <c r="Q564" s="298" t="inlineStr">
        <is>
          <t xml:space="preserve">Лозован Александр Александрович </t>
        </is>
      </c>
      <c r="R564" s="298" t="n"/>
      <c r="S564" s="298" t="inlineStr">
        <is>
          <t>Да</t>
        </is>
      </c>
      <c r="T564" s="298" t="n"/>
      <c r="U564" s="298" t="inlineStr">
        <is>
          <t>Т11О-407А-18 Иванов Николай Андреевич Кубатина Екатерина Павловна Быкадоров Артем Никитич</t>
        </is>
      </c>
    </row>
    <row r="565" ht="15.75" customHeight="1" s="2">
      <c r="E565" s="300" t="n">
        <v>15</v>
      </c>
      <c r="G565" s="296" t="n">
        <v>25</v>
      </c>
      <c r="H565" s="297" t="n">
        <v>25</v>
      </c>
      <c r="I565" s="133">
        <f>G565-H565</f>
        <v/>
      </c>
      <c r="J565" s="298" t="inlineStr">
        <is>
          <t>Руководство аспирантами</t>
        </is>
      </c>
      <c r="K565" s="298" t="inlineStr">
        <is>
          <t>Руководство аспирантами</t>
        </is>
      </c>
      <c r="L565" s="298" t="inlineStr">
        <is>
          <t>Т11О-302А-19</t>
        </is>
      </c>
      <c r="M565" s="297" t="n">
        <v>25</v>
      </c>
      <c r="N565" s="298" t="n"/>
      <c r="O565" s="299" t="n"/>
      <c r="P565" s="298" t="inlineStr">
        <is>
          <t xml:space="preserve">92509     </t>
        </is>
      </c>
      <c r="Q565" s="298" t="inlineStr">
        <is>
          <t xml:space="preserve">Пашков Игорь Николаевич </t>
        </is>
      </c>
      <c r="R565" s="298" t="n"/>
      <c r="S565" s="298" t="inlineStr">
        <is>
          <t>Нет</t>
        </is>
      </c>
      <c r="T565" s="298" t="n"/>
      <c r="U565" s="298" t="inlineStr">
        <is>
          <t>Степанов Максим Александрович</t>
        </is>
      </c>
    </row>
    <row r="566" ht="15.75" customHeight="1" s="2">
      <c r="E566" s="300" t="n">
        <v>15</v>
      </c>
      <c r="G566" s="296" t="n">
        <v>25</v>
      </c>
      <c r="H566" s="297" t="n">
        <v>25</v>
      </c>
      <c r="I566" s="133">
        <f>G566-H566</f>
        <v/>
      </c>
      <c r="J566" s="298" t="inlineStr">
        <is>
          <t>Руководство аспирантами</t>
        </is>
      </c>
      <c r="K566" s="298" t="inlineStr">
        <is>
          <t>Руководство аспирантами</t>
        </is>
      </c>
      <c r="L566" s="298" t="inlineStr">
        <is>
          <t>Т11О-307А-19</t>
        </is>
      </c>
      <c r="M566" s="297" t="n">
        <v>25</v>
      </c>
      <c r="N566" s="298" t="n"/>
      <c r="O566" s="299" t="n"/>
      <c r="P566" s="298" t="inlineStr">
        <is>
          <t xml:space="preserve">82060     </t>
        </is>
      </c>
      <c r="Q566" s="298" t="inlineStr">
        <is>
          <t xml:space="preserve">Лозован Александр Александрович </t>
        </is>
      </c>
      <c r="R566" s="298" t="n"/>
      <c r="S566" s="298" t="inlineStr">
        <is>
          <t>Да</t>
        </is>
      </c>
      <c r="T566" s="298" t="n"/>
      <c r="U566" s="298" t="inlineStr">
        <is>
          <t>Т11О-307А-19 Патрушев Александр Юрьевич Ярошенко Александр Сергеевич Козлов Павел Павлович</t>
        </is>
      </c>
    </row>
    <row r="567" ht="15.75" customHeight="1" s="2">
      <c r="E567" s="300" t="n">
        <v>15</v>
      </c>
      <c r="G567" s="296" t="n">
        <v>50</v>
      </c>
      <c r="H567" s="297" t="n">
        <v>50</v>
      </c>
      <c r="I567" s="133">
        <f>G567-H567</f>
        <v/>
      </c>
      <c r="J567" s="298" t="inlineStr">
        <is>
          <t>Руководство аспирантами</t>
        </is>
      </c>
      <c r="K567" s="298" t="inlineStr">
        <is>
          <t>Руководство аспирантами</t>
        </is>
      </c>
      <c r="L567" s="298" t="inlineStr">
        <is>
          <t>Т11О-307А-19</t>
        </is>
      </c>
      <c r="M567" s="297" t="n">
        <v>50</v>
      </c>
      <c r="N567" s="298" t="n"/>
      <c r="O567" s="299" t="n"/>
      <c r="P567" s="298" t="inlineStr">
        <is>
          <t xml:space="preserve">82066     </t>
        </is>
      </c>
      <c r="Q567" s="298" t="inlineStr">
        <is>
          <t xml:space="preserve">Серов Михаил Михайлович </t>
        </is>
      </c>
      <c r="R567" s="298" t="n"/>
      <c r="S567" s="298" t="inlineStr">
        <is>
          <t>Да</t>
        </is>
      </c>
      <c r="T567" s="298" t="n"/>
      <c r="U567" s="298" t="inlineStr">
        <is>
          <t>Т11О-307А-19 Патрушев Александр Юрьевич Ярошенко Александр Сергеевич Козлов Павел Павлович</t>
        </is>
      </c>
    </row>
    <row r="568" ht="15.75" customHeight="1" s="2">
      <c r="E568" s="300" t="n">
        <v>15</v>
      </c>
      <c r="G568" s="133">
        <f>SUM(G2:G567)</f>
        <v/>
      </c>
      <c r="H568" s="133">
        <f>SUM(H2:H567)</f>
        <v/>
      </c>
    </row>
    <row r="569" ht="15.75" customHeight="1" s="2">
      <c r="E569" s="300" t="n">
        <v>15</v>
      </c>
    </row>
    <row r="570" ht="15.75" customHeight="1" s="2">
      <c r="E570" s="300" t="n">
        <v>15</v>
      </c>
    </row>
    <row r="571" ht="15.75" customHeight="1" s="2">
      <c r="E571" s="300" t="n">
        <v>15</v>
      </c>
    </row>
    <row r="572" ht="15.75" customHeight="1" s="2">
      <c r="E572" s="300" t="n">
        <v>45</v>
      </c>
    </row>
    <row r="573" ht="15.75" customHeight="1" s="2">
      <c r="E573" s="300" t="n">
        <v>30</v>
      </c>
    </row>
    <row r="574" ht="15.75" customHeight="1" s="2">
      <c r="E574" s="300" t="n">
        <v>15</v>
      </c>
    </row>
    <row r="575" ht="15.75" customHeight="1" s="2">
      <c r="E575" s="300" t="n">
        <v>30</v>
      </c>
    </row>
    <row r="576" ht="15.75" customHeight="1" s="2">
      <c r="E576" s="300" t="n">
        <v>15</v>
      </c>
    </row>
    <row r="577" ht="15.75" customHeight="1" s="2">
      <c r="E577" s="300" t="n">
        <v>50</v>
      </c>
    </row>
    <row r="578" ht="15.75" customHeight="1" s="2">
      <c r="E578" s="300" t="n">
        <v>25</v>
      </c>
    </row>
    <row r="579" ht="15.75" customHeight="1" s="2">
      <c r="E579" s="300" t="n">
        <v>25</v>
      </c>
    </row>
    <row r="580" ht="15.75" customHeight="1" s="2">
      <c r="E580" s="300" t="n">
        <v>75</v>
      </c>
    </row>
    <row r="581" ht="15.75" customHeight="1" s="2">
      <c r="E581" s="300" t="n">
        <v>25</v>
      </c>
    </row>
    <row r="582" ht="15.75" customHeight="1" s="2">
      <c r="E582" s="300" t="n">
        <v>25</v>
      </c>
    </row>
    <row r="583" ht="15.75" customHeight="1" s="2">
      <c r="E583" s="300" t="n">
        <v>50</v>
      </c>
    </row>
    <row r="584" ht="15.75" customHeight="1" s="2">
      <c r="E584" s="300" t="n">
        <v>30</v>
      </c>
    </row>
    <row r="585" ht="15.75" customHeight="1" s="2">
      <c r="E585" s="300" t="n">
        <v>15</v>
      </c>
    </row>
    <row r="586" ht="15.75" customHeight="1" s="2">
      <c r="E586" s="300" t="n">
        <v>15</v>
      </c>
    </row>
    <row r="587" ht="15.75" customHeight="1" s="2">
      <c r="E587" s="133">
        <f>SUM(E2:E586)</f>
        <v/>
      </c>
    </row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rintOptions headings="0" gridLines="0"/>
  <pageMargins left="0.7" right="0.7" top="0.75" bottom="0.75" header="0" footer="0"/>
  <pageSetup orientation="landscape" paperSize="9" scale="100" fitToHeight="1" fitToWidth="1" firstPageNumber="-1" useFirstPageNumber="0" pageOrder="downThenOver" usePrinterDefaults="1" blackAndWhite="0" draft="0" errors="displayed" horizontalDpi="600" verticalDpi="600" copies="1"/>
  <headerFooter>
    <oddHeader>&amp;C&amp;A</oddHeader>
    <oddFooter>&amp;CСтраница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Budkin</dc:creator>
  <dcterms:created xmlns:dcterms="http://purl.org/dc/terms/" xmlns:xsi="http://www.w3.org/2001/XMLSchema-instance" xsi:type="dcterms:W3CDTF">2021-11-24T13:30:17Z</dcterms:created>
  <dcterms:modified xmlns:dcterms="http://purl.org/dc/terms/" xmlns:xsi="http://www.w3.org/2001/XMLSchema-instance" xsi:type="dcterms:W3CDTF">2026-06-22T19:17:17Z</dcterms:modified>
  <cp:revision>2</cp:revision>
</cp:coreProperties>
</file>